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N\Documents\1영일오엔씨\계약서\MCP서버 구축\"/>
    </mc:Choice>
  </mc:AlternateContent>
  <xr:revisionPtr revIDLastSave="0" documentId="8_{98A78BF2-0131-48FF-BCFA-DF3B57F55A95}" xr6:coauthVersionLast="47" xr6:coauthVersionMax="47" xr10:uidLastSave="{00000000-0000-0000-0000-000000000000}"/>
  <bookViews>
    <workbookView xWindow="28680" yWindow="-180" windowWidth="29040" windowHeight="15720" xr2:uid="{6DFD6608-607D-40BF-B4A7-F2091EC222A5}"/>
  </bookViews>
  <sheets>
    <sheet name="2025년" sheetId="4" r:id="rId1"/>
    <sheet name="2025년 계획" sheetId="5" r:id="rId2"/>
    <sheet name="2024년 실적" sheetId="2" r:id="rId3"/>
    <sheet name="2023년 실적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3" i="4" l="1"/>
  <c r="K43" i="4"/>
  <c r="J43" i="4"/>
  <c r="L40" i="4"/>
  <c r="K40" i="4"/>
  <c r="J40" i="4"/>
  <c r="L27" i="4"/>
  <c r="K27" i="4"/>
  <c r="J27" i="4"/>
  <c r="L7" i="4"/>
  <c r="K7" i="4"/>
  <c r="J7" i="4"/>
  <c r="L42" i="4"/>
  <c r="K42" i="4"/>
  <c r="J42" i="4"/>
  <c r="L41" i="4"/>
  <c r="K41" i="4"/>
  <c r="J41" i="4"/>
  <c r="L39" i="4"/>
  <c r="K39" i="4"/>
  <c r="J39" i="4"/>
  <c r="L38" i="4"/>
  <c r="K38" i="4"/>
  <c r="J38" i="4"/>
  <c r="L36" i="4"/>
  <c r="K36" i="4"/>
  <c r="J36" i="4"/>
  <c r="L35" i="4"/>
  <c r="K35" i="4"/>
  <c r="J35" i="4"/>
  <c r="L34" i="4"/>
  <c r="K34" i="4"/>
  <c r="J34" i="4"/>
  <c r="L33" i="4"/>
  <c r="K33" i="4"/>
  <c r="J33" i="4"/>
  <c r="L32" i="4"/>
  <c r="K32" i="4"/>
  <c r="J32" i="4"/>
  <c r="L31" i="4"/>
  <c r="K31" i="4"/>
  <c r="J31" i="4"/>
  <c r="L30" i="4"/>
  <c r="K30" i="4"/>
  <c r="J30" i="4"/>
  <c r="L28" i="4"/>
  <c r="K28" i="4"/>
  <c r="J28" i="4"/>
  <c r="L25" i="4"/>
  <c r="K25" i="4"/>
  <c r="J25" i="4"/>
  <c r="L24" i="4"/>
  <c r="K24" i="4"/>
  <c r="J24" i="4"/>
  <c r="L22" i="4"/>
  <c r="K22" i="4"/>
  <c r="K45" i="4" s="1"/>
  <c r="J22" i="4"/>
  <c r="J45" i="4" s="1"/>
  <c r="L21" i="4"/>
  <c r="K21" i="4"/>
  <c r="J21" i="4"/>
  <c r="L19" i="4"/>
  <c r="K19" i="4"/>
  <c r="J19" i="4"/>
  <c r="L18" i="4"/>
  <c r="K18" i="4"/>
  <c r="J18" i="4"/>
  <c r="L17" i="4"/>
  <c r="K17" i="4"/>
  <c r="J17" i="4"/>
  <c r="L16" i="4"/>
  <c r="K16" i="4"/>
  <c r="J16" i="4"/>
  <c r="L14" i="4"/>
  <c r="K14" i="4"/>
  <c r="J14" i="4"/>
  <c r="L13" i="4"/>
  <c r="K13" i="4"/>
  <c r="J13" i="4"/>
  <c r="L12" i="4"/>
  <c r="K12" i="4"/>
  <c r="J12" i="4"/>
  <c r="L8" i="4"/>
  <c r="K8" i="4"/>
  <c r="J8" i="4"/>
  <c r="K59" i="4"/>
  <c r="J59" i="4"/>
  <c r="K58" i="4"/>
  <c r="J58" i="4"/>
  <c r="K57" i="4"/>
  <c r="J57" i="4"/>
  <c r="K56" i="4"/>
  <c r="J56" i="4"/>
  <c r="K54" i="4"/>
  <c r="J54" i="4"/>
  <c r="K53" i="4"/>
  <c r="J53" i="4"/>
  <c r="K52" i="4"/>
  <c r="J52" i="4"/>
  <c r="K51" i="4"/>
  <c r="J51" i="4"/>
  <c r="L26" i="4"/>
  <c r="K26" i="4"/>
  <c r="J26" i="4"/>
  <c r="AY43" i="4"/>
  <c r="BZ1" i="4"/>
  <c r="O11" i="4"/>
  <c r="O10" i="4"/>
  <c r="L45" i="4" l="1"/>
  <c r="J11" i="4"/>
  <c r="L11" i="4"/>
  <c r="K11" i="4"/>
  <c r="BW36" i="4" l="1"/>
  <c r="BW35" i="4"/>
  <c r="BW34" i="4"/>
  <c r="BW33" i="4"/>
  <c r="BW32" i="4"/>
  <c r="BW31" i="4"/>
  <c r="BW30" i="4"/>
  <c r="BW25" i="4"/>
  <c r="BW24" i="4"/>
  <c r="BW22" i="4"/>
  <c r="BW21" i="4"/>
  <c r="BW18" i="4"/>
  <c r="BW17" i="4"/>
  <c r="BW16" i="4"/>
  <c r="BW14" i="4"/>
  <c r="BW13" i="4"/>
  <c r="BW12" i="4"/>
  <c r="AA7" i="4"/>
  <c r="AA8" i="4"/>
  <c r="BW26" i="4"/>
  <c r="BW19" i="4"/>
  <c r="L5" i="4" l="1"/>
  <c r="BZ26" i="4" l="1"/>
  <c r="BZ25" i="4"/>
  <c r="BZ24" i="4"/>
  <c r="BZ22" i="4"/>
  <c r="BZ21" i="4"/>
  <c r="BZ19" i="4"/>
  <c r="BZ18" i="4"/>
  <c r="BZ17" i="4"/>
  <c r="BZ16" i="4"/>
  <c r="BZ14" i="4"/>
  <c r="BZ13" i="4"/>
  <c r="BZ12" i="4"/>
  <c r="I26" i="5"/>
  <c r="I25" i="5"/>
  <c r="I24" i="5"/>
  <c r="I22" i="5"/>
  <c r="I21" i="5"/>
  <c r="I19" i="5"/>
  <c r="I18" i="5"/>
  <c r="I17" i="5"/>
  <c r="I16" i="5"/>
  <c r="I14" i="5"/>
  <c r="I13" i="5"/>
  <c r="I12" i="5"/>
  <c r="BT23" i="5"/>
  <c r="BT20" i="5"/>
  <c r="BT15" i="5"/>
  <c r="BO23" i="5"/>
  <c r="BO20" i="5"/>
  <c r="BO15" i="5"/>
  <c r="BJ23" i="5"/>
  <c r="BJ20" i="5"/>
  <c r="BJ15" i="5"/>
  <c r="BE23" i="5"/>
  <c r="BE20" i="5"/>
  <c r="BE15" i="5"/>
  <c r="AZ23" i="5"/>
  <c r="AZ20" i="5"/>
  <c r="AZ15" i="5"/>
  <c r="AU23" i="5"/>
  <c r="AU20" i="5"/>
  <c r="AU15" i="5"/>
  <c r="AP23" i="5"/>
  <c r="AP20" i="5"/>
  <c r="AP15" i="5"/>
  <c r="AK23" i="5"/>
  <c r="AK20" i="5"/>
  <c r="AK15" i="5"/>
  <c r="AF23" i="5"/>
  <c r="AF20" i="5"/>
  <c r="AF15" i="5"/>
  <c r="AA23" i="5"/>
  <c r="AA20" i="5"/>
  <c r="AA15" i="5"/>
  <c r="V23" i="5"/>
  <c r="V20" i="5"/>
  <c r="V15" i="5"/>
  <c r="Q23" i="5"/>
  <c r="Q20" i="5"/>
  <c r="Q15" i="5"/>
  <c r="R15" i="5"/>
  <c r="R20" i="5"/>
  <c r="R23" i="5"/>
  <c r="BZ36" i="4" l="1"/>
  <c r="BZ34" i="4"/>
  <c r="BZ35" i="4"/>
  <c r="BZ33" i="4"/>
  <c r="BZ31" i="4"/>
  <c r="BZ30" i="4"/>
  <c r="BZ32" i="4"/>
  <c r="I38" i="5"/>
  <c r="J38" i="5" s="1"/>
  <c r="BT38" i="5"/>
  <c r="BO38" i="5"/>
  <c r="BJ38" i="5"/>
  <c r="BE38" i="5"/>
  <c r="AZ38" i="5"/>
  <c r="AU38" i="5"/>
  <c r="AP38" i="5"/>
  <c r="AK38" i="5"/>
  <c r="AF38" i="5"/>
  <c r="AA38" i="5"/>
  <c r="V38" i="5"/>
  <c r="J28" i="5"/>
  <c r="J27" i="5"/>
  <c r="J26" i="5"/>
  <c r="J25" i="5"/>
  <c r="J24" i="5"/>
  <c r="J22" i="5"/>
  <c r="J21" i="5"/>
  <c r="J19" i="5"/>
  <c r="J18" i="5"/>
  <c r="J17" i="5"/>
  <c r="J16" i="5"/>
  <c r="J14" i="5"/>
  <c r="J13" i="5"/>
  <c r="J12" i="5"/>
  <c r="I31" i="5"/>
  <c r="I32" i="5"/>
  <c r="I33" i="5"/>
  <c r="I34" i="5"/>
  <c r="I35" i="5"/>
  <c r="I36" i="5"/>
  <c r="I30" i="5"/>
  <c r="BT42" i="5" l="1"/>
  <c r="BT43" i="5" s="1"/>
  <c r="BT39" i="5"/>
  <c r="BT40" i="5" s="1"/>
  <c r="BU29" i="5"/>
  <c r="BU37" i="5" s="1"/>
  <c r="BT29" i="5"/>
  <c r="BT28" i="5" s="1"/>
  <c r="BT27" i="5" s="1"/>
  <c r="BU23" i="5"/>
  <c r="BV23" i="5" s="1"/>
  <c r="BU20" i="5"/>
  <c r="BU10" i="5" s="1"/>
  <c r="BU9" i="5" s="1"/>
  <c r="BU4" i="5" s="1"/>
  <c r="BU15" i="5"/>
  <c r="BV15" i="5"/>
  <c r="BU11" i="5"/>
  <c r="BT11" i="5"/>
  <c r="BT10" i="5"/>
  <c r="BT9" i="5"/>
  <c r="BT4" i="5" s="1"/>
  <c r="BT8" i="5"/>
  <c r="BT5" i="5" s="1"/>
  <c r="BT7" i="5"/>
  <c r="BU6" i="5"/>
  <c r="BU5" i="5"/>
  <c r="BO42" i="5"/>
  <c r="BO43" i="5" s="1"/>
  <c r="BQ43" i="5" s="1"/>
  <c r="BO39" i="5"/>
  <c r="BO40" i="5" s="1"/>
  <c r="BP29" i="5"/>
  <c r="BP37" i="5" s="1"/>
  <c r="BO29" i="5"/>
  <c r="BO37" i="5" s="1"/>
  <c r="BP23" i="5"/>
  <c r="BP20" i="5"/>
  <c r="BP15" i="5"/>
  <c r="BP11" i="5"/>
  <c r="BO11" i="5"/>
  <c r="BP10" i="5"/>
  <c r="BO10" i="5"/>
  <c r="BP9" i="5"/>
  <c r="BP4" i="5" s="1"/>
  <c r="BO9" i="5"/>
  <c r="BO4" i="5" s="1"/>
  <c r="BO7" i="5"/>
  <c r="BP6" i="5"/>
  <c r="BP5" i="5"/>
  <c r="BJ42" i="5"/>
  <c r="BJ43" i="5" s="1"/>
  <c r="BJ39" i="5"/>
  <c r="BJ40" i="5" s="1"/>
  <c r="BL40" i="5" s="1"/>
  <c r="BK29" i="5"/>
  <c r="BK37" i="5" s="1"/>
  <c r="BJ29" i="5"/>
  <c r="BJ37" i="5" s="1"/>
  <c r="BK23" i="5"/>
  <c r="BK20" i="5"/>
  <c r="BK15" i="5"/>
  <c r="BL15" i="5"/>
  <c r="BK11" i="5"/>
  <c r="BJ11" i="5"/>
  <c r="BK10" i="5"/>
  <c r="BJ10" i="5"/>
  <c r="BK9" i="5"/>
  <c r="BK4" i="5" s="1"/>
  <c r="BJ9" i="5"/>
  <c r="BJ4" i="5" s="1"/>
  <c r="BJ7" i="5"/>
  <c r="BK6" i="5"/>
  <c r="BK5" i="5"/>
  <c r="AZ42" i="5"/>
  <c r="AZ43" i="5" s="1"/>
  <c r="BB43" i="5" s="1"/>
  <c r="AZ39" i="5"/>
  <c r="AZ40" i="5" s="1"/>
  <c r="BB40" i="5" s="1"/>
  <c r="BA29" i="5"/>
  <c r="BA37" i="5" s="1"/>
  <c r="AZ29" i="5"/>
  <c r="AZ37" i="5" s="1"/>
  <c r="BA23" i="5"/>
  <c r="BA20" i="5"/>
  <c r="BA10" i="5" s="1"/>
  <c r="BA9" i="5" s="1"/>
  <c r="BA4" i="5" s="1"/>
  <c r="BA15" i="5"/>
  <c r="BA11" i="5"/>
  <c r="AZ11" i="5"/>
  <c r="AZ10" i="5"/>
  <c r="AZ9" i="5" s="1"/>
  <c r="BA6" i="5"/>
  <c r="BA5" i="5"/>
  <c r="AU42" i="5"/>
  <c r="AU43" i="5" s="1"/>
  <c r="AW43" i="5" s="1"/>
  <c r="AU39" i="5"/>
  <c r="AU40" i="5" s="1"/>
  <c r="AW40" i="5" s="1"/>
  <c r="AV37" i="5"/>
  <c r="AV29" i="5"/>
  <c r="AU29" i="5"/>
  <c r="AU37" i="5" s="1"/>
  <c r="AV23" i="5"/>
  <c r="AV20" i="5"/>
  <c r="AV15" i="5"/>
  <c r="AV11" i="5"/>
  <c r="AU11" i="5"/>
  <c r="AW11" i="5" s="1"/>
  <c r="AV10" i="5"/>
  <c r="AU10" i="5"/>
  <c r="AU9" i="5" s="1"/>
  <c r="AV9" i="5"/>
  <c r="AV4" i="5" s="1"/>
  <c r="AV6" i="5"/>
  <c r="AV5" i="5"/>
  <c r="AP42" i="5"/>
  <c r="AP43" i="5" s="1"/>
  <c r="AR43" i="5" s="1"/>
  <c r="AP39" i="5"/>
  <c r="AP40" i="5" s="1"/>
  <c r="AR40" i="5" s="1"/>
  <c r="AQ29" i="5"/>
  <c r="AQ37" i="5" s="1"/>
  <c r="AP29" i="5"/>
  <c r="AP37" i="5" s="1"/>
  <c r="AQ23" i="5"/>
  <c r="AR23" i="5" s="1"/>
  <c r="AQ20" i="5"/>
  <c r="AR20" i="5" s="1"/>
  <c r="AQ15" i="5"/>
  <c r="AQ11" i="5"/>
  <c r="AP11" i="5"/>
  <c r="AQ10" i="5"/>
  <c r="AP10" i="5"/>
  <c r="AQ9" i="5"/>
  <c r="AQ4" i="5" s="1"/>
  <c r="AP9" i="5"/>
  <c r="AP8" i="5" s="1"/>
  <c r="AP7" i="5"/>
  <c r="AQ6" i="5"/>
  <c r="AQ5" i="5"/>
  <c r="AK42" i="5"/>
  <c r="AK43" i="5" s="1"/>
  <c r="AM43" i="5" s="1"/>
  <c r="AK39" i="5"/>
  <c r="AK40" i="5" s="1"/>
  <c r="AM40" i="5" s="1"/>
  <c r="AL29" i="5"/>
  <c r="AL37" i="5" s="1"/>
  <c r="AK29" i="5"/>
  <c r="AK37" i="5" s="1"/>
  <c r="AK28" i="5"/>
  <c r="AK27" i="5"/>
  <c r="AL23" i="5"/>
  <c r="AL20" i="5"/>
  <c r="AL10" i="5" s="1"/>
  <c r="AL9" i="5" s="1"/>
  <c r="AL4" i="5" s="1"/>
  <c r="AL15" i="5"/>
  <c r="AK10" i="5"/>
  <c r="AK9" i="5" s="1"/>
  <c r="AL11" i="5"/>
  <c r="AK11" i="5"/>
  <c r="AL6" i="5"/>
  <c r="AL5" i="5"/>
  <c r="AF42" i="5"/>
  <c r="AF43" i="5" s="1"/>
  <c r="AH43" i="5" s="1"/>
  <c r="AF39" i="5"/>
  <c r="AF40" i="5" s="1"/>
  <c r="AH40" i="5" s="1"/>
  <c r="AG29" i="5"/>
  <c r="AG37" i="5" s="1"/>
  <c r="AF29" i="5"/>
  <c r="AF37" i="5" s="1"/>
  <c r="AG23" i="5"/>
  <c r="AG20" i="5"/>
  <c r="AG10" i="5" s="1"/>
  <c r="AG9" i="5" s="1"/>
  <c r="AG4" i="5" s="1"/>
  <c r="AG15" i="5"/>
  <c r="AG11" i="5"/>
  <c r="AF11" i="5"/>
  <c r="AF10" i="5"/>
  <c r="AF9" i="5" s="1"/>
  <c r="AG6" i="5"/>
  <c r="AG5" i="5"/>
  <c r="AA42" i="5"/>
  <c r="AA43" i="5" s="1"/>
  <c r="AA39" i="5"/>
  <c r="AA40" i="5" s="1"/>
  <c r="AA37" i="5"/>
  <c r="AB29" i="5"/>
  <c r="AB37" i="5" s="1"/>
  <c r="AA29" i="5"/>
  <c r="AA28" i="5" s="1"/>
  <c r="AA27" i="5" s="1"/>
  <c r="AB23" i="5"/>
  <c r="AC23" i="5" s="1"/>
  <c r="AA10" i="5"/>
  <c r="AA9" i="5" s="1"/>
  <c r="AB20" i="5"/>
  <c r="AB10" i="5" s="1"/>
  <c r="AB15" i="5"/>
  <c r="AC15" i="5"/>
  <c r="AB11" i="5"/>
  <c r="AA11" i="5"/>
  <c r="AB6" i="5"/>
  <c r="AB5" i="5"/>
  <c r="V42" i="5"/>
  <c r="V43" i="5" s="1"/>
  <c r="X43" i="5" s="1"/>
  <c r="V39" i="5"/>
  <c r="V40" i="5" s="1"/>
  <c r="X40" i="5" s="1"/>
  <c r="W29" i="5"/>
  <c r="W37" i="5" s="1"/>
  <c r="V29" i="5"/>
  <c r="V37" i="5" s="1"/>
  <c r="V28" i="5"/>
  <c r="V27" i="5"/>
  <c r="W23" i="5"/>
  <c r="W20" i="5"/>
  <c r="X20" i="5" s="1"/>
  <c r="W15" i="5"/>
  <c r="V10" i="5"/>
  <c r="V9" i="5" s="1"/>
  <c r="W11" i="5"/>
  <c r="V11" i="5"/>
  <c r="W6" i="5"/>
  <c r="W5" i="5"/>
  <c r="BS43" i="5"/>
  <c r="BS42" i="5"/>
  <c r="BS41" i="5"/>
  <c r="BS40" i="5"/>
  <c r="BS39" i="5"/>
  <c r="BS38" i="5"/>
  <c r="BS36" i="5"/>
  <c r="BS35" i="5"/>
  <c r="BW35" i="5" s="1"/>
  <c r="BS34" i="5"/>
  <c r="BS33" i="5"/>
  <c r="BW33" i="5" s="1"/>
  <c r="BS32" i="5"/>
  <c r="BS31" i="5"/>
  <c r="BS29" i="5" s="1"/>
  <c r="BS37" i="5" s="1"/>
  <c r="BS30" i="5"/>
  <c r="BS28" i="5"/>
  <c r="BS59" i="5" s="1"/>
  <c r="BS27" i="5"/>
  <c r="BS26" i="5"/>
  <c r="BW26" i="5" s="1"/>
  <c r="BS25" i="5"/>
  <c r="BW25" i="5" s="1"/>
  <c r="BS24" i="5"/>
  <c r="BW24" i="5" s="1"/>
  <c r="BS22" i="5"/>
  <c r="BW22" i="5" s="1"/>
  <c r="BS21" i="5"/>
  <c r="BS23" i="5" s="1"/>
  <c r="BS20" i="5"/>
  <c r="BS19" i="5"/>
  <c r="BS18" i="5"/>
  <c r="BS17" i="5"/>
  <c r="BS16" i="5"/>
  <c r="BS14" i="5"/>
  <c r="BS13" i="5"/>
  <c r="BS12" i="5"/>
  <c r="BS15" i="5" s="1"/>
  <c r="BS8" i="5"/>
  <c r="BW8" i="5" s="1"/>
  <c r="BS7" i="5"/>
  <c r="BS6" i="5" s="1"/>
  <c r="BN43" i="5"/>
  <c r="BN42" i="5"/>
  <c r="BN41" i="5"/>
  <c r="BN40" i="5"/>
  <c r="BN39" i="5"/>
  <c r="BN38" i="5"/>
  <c r="BN36" i="5"/>
  <c r="BN35" i="5"/>
  <c r="BR35" i="5" s="1"/>
  <c r="BN34" i="5"/>
  <c r="BN33" i="5"/>
  <c r="BR33" i="5" s="1"/>
  <c r="BN32" i="5"/>
  <c r="BR32" i="5" s="1"/>
  <c r="BN31" i="5"/>
  <c r="BR31" i="5" s="1"/>
  <c r="BN30" i="5"/>
  <c r="BN28" i="5"/>
  <c r="BN27" i="5"/>
  <c r="BR27" i="5" s="1"/>
  <c r="BN26" i="5"/>
  <c r="BN25" i="5"/>
  <c r="BR25" i="5" s="1"/>
  <c r="BN24" i="5"/>
  <c r="BR24" i="5" s="1"/>
  <c r="BN22" i="5"/>
  <c r="BN21" i="5"/>
  <c r="BR21" i="5" s="1"/>
  <c r="BN20" i="5"/>
  <c r="BN19" i="5"/>
  <c r="BN18" i="5"/>
  <c r="BN17" i="5"/>
  <c r="BN16" i="5"/>
  <c r="BN14" i="5"/>
  <c r="BN13" i="5"/>
  <c r="BN12" i="5"/>
  <c r="BN15" i="5" s="1"/>
  <c r="BN8" i="5"/>
  <c r="BN58" i="5" s="1"/>
  <c r="BN7" i="5"/>
  <c r="BN6" i="5" s="1"/>
  <c r="BI43" i="5"/>
  <c r="BI42" i="5"/>
  <c r="BI41" i="5"/>
  <c r="BI40" i="5"/>
  <c r="BI39" i="5"/>
  <c r="BI38" i="5"/>
  <c r="BI36" i="5"/>
  <c r="BM36" i="5" s="1"/>
  <c r="BI35" i="5"/>
  <c r="BM35" i="5" s="1"/>
  <c r="BI34" i="5"/>
  <c r="BM34" i="5" s="1"/>
  <c r="BI33" i="5"/>
  <c r="BM33" i="5" s="1"/>
  <c r="BI32" i="5"/>
  <c r="BI31" i="5"/>
  <c r="BI30" i="5"/>
  <c r="BI28" i="5"/>
  <c r="BI59" i="5" s="1"/>
  <c r="BM59" i="5" s="1"/>
  <c r="BI27" i="5"/>
  <c r="BI26" i="5"/>
  <c r="BI25" i="5"/>
  <c r="BI24" i="5"/>
  <c r="BM24" i="5" s="1"/>
  <c r="BI22" i="5"/>
  <c r="BM22" i="5" s="1"/>
  <c r="BI21" i="5"/>
  <c r="BM21" i="5" s="1"/>
  <c r="BI20" i="5"/>
  <c r="BI19" i="5"/>
  <c r="BI18" i="5"/>
  <c r="BI17" i="5"/>
  <c r="BI16" i="5"/>
  <c r="BI14" i="5"/>
  <c r="BI13" i="5"/>
  <c r="BI11" i="5" s="1"/>
  <c r="BI12" i="5"/>
  <c r="BI15" i="5" s="1"/>
  <c r="BI8" i="5"/>
  <c r="BI5" i="5" s="1"/>
  <c r="BI7" i="5"/>
  <c r="BI6" i="5" s="1"/>
  <c r="BD42" i="5"/>
  <c r="BD41" i="5"/>
  <c r="BD40" i="5"/>
  <c r="BD39" i="5"/>
  <c r="BD38" i="5"/>
  <c r="BD35" i="5"/>
  <c r="BD34" i="5"/>
  <c r="BD33" i="5"/>
  <c r="BD32" i="5"/>
  <c r="BD31" i="5"/>
  <c r="BH31" i="5" s="1"/>
  <c r="BD30" i="5"/>
  <c r="BH30" i="5" s="1"/>
  <c r="BD27" i="5"/>
  <c r="BH27" i="5" s="1"/>
  <c r="BD26" i="5"/>
  <c r="BH26" i="5" s="1"/>
  <c r="BD25" i="5"/>
  <c r="BH25" i="5" s="1"/>
  <c r="BD24" i="5"/>
  <c r="BH24" i="5" s="1"/>
  <c r="BD23" i="5"/>
  <c r="BD21" i="5"/>
  <c r="BD20" i="5"/>
  <c r="BD10" i="5" s="1"/>
  <c r="BD19" i="5"/>
  <c r="BH19" i="5" s="1"/>
  <c r="BD18" i="5"/>
  <c r="BD17" i="5"/>
  <c r="BD16" i="5"/>
  <c r="BD15" i="5"/>
  <c r="BD13" i="5"/>
  <c r="BD12" i="5"/>
  <c r="BD11" i="5"/>
  <c r="BD14" i="5" s="1"/>
  <c r="BD7" i="5"/>
  <c r="BD4" i="5" s="1"/>
  <c r="BH4" i="5" s="1"/>
  <c r="BD6" i="5"/>
  <c r="BD5" i="5" s="1"/>
  <c r="AY43" i="5"/>
  <c r="AY42" i="5"/>
  <c r="AY41" i="5"/>
  <c r="AY40" i="5"/>
  <c r="AY39" i="5"/>
  <c r="AY38" i="5"/>
  <c r="AY36" i="5"/>
  <c r="AY35" i="5"/>
  <c r="AY34" i="5"/>
  <c r="AY33" i="5"/>
  <c r="AY32" i="5"/>
  <c r="BC32" i="5" s="1"/>
  <c r="AY31" i="5"/>
  <c r="AY29" i="5" s="1"/>
  <c r="AY37" i="5" s="1"/>
  <c r="AY30" i="5"/>
  <c r="BC30" i="5" s="1"/>
  <c r="AY28" i="5"/>
  <c r="AY5" i="5" s="1"/>
  <c r="AY27" i="5"/>
  <c r="BC27" i="5" s="1"/>
  <c r="AY26" i="5"/>
  <c r="BC26" i="5" s="1"/>
  <c r="AY25" i="5"/>
  <c r="BC25" i="5" s="1"/>
  <c r="AY24" i="5"/>
  <c r="BC24" i="5" s="1"/>
  <c r="AY22" i="5"/>
  <c r="BC22" i="5" s="1"/>
  <c r="AY21" i="5"/>
  <c r="AY23" i="5" s="1"/>
  <c r="AY20" i="5"/>
  <c r="AY19" i="5"/>
  <c r="AY18" i="5"/>
  <c r="AY17" i="5"/>
  <c r="AY16" i="5"/>
  <c r="AY14" i="5"/>
  <c r="AY13" i="5"/>
  <c r="AY12" i="5"/>
  <c r="AY15" i="5" s="1"/>
  <c r="AY8" i="5"/>
  <c r="AY7" i="5"/>
  <c r="AY6" i="5" s="1"/>
  <c r="AT43" i="5"/>
  <c r="AT42" i="5"/>
  <c r="AT41" i="5"/>
  <c r="AT40" i="5"/>
  <c r="AT39" i="5"/>
  <c r="AT38" i="5"/>
  <c r="AT36" i="5"/>
  <c r="AX36" i="5" s="1"/>
  <c r="AT35" i="5"/>
  <c r="AX35" i="5" s="1"/>
  <c r="AT34" i="5"/>
  <c r="AT33" i="5"/>
  <c r="AT32" i="5"/>
  <c r="AT31" i="5"/>
  <c r="AT30" i="5"/>
  <c r="AT28" i="5"/>
  <c r="AT27" i="5"/>
  <c r="AT26" i="5"/>
  <c r="AX26" i="5" s="1"/>
  <c r="AT25" i="5"/>
  <c r="AX25" i="5" s="1"/>
  <c r="AT24" i="5"/>
  <c r="AX24" i="5" s="1"/>
  <c r="AT22" i="5"/>
  <c r="AX22" i="5" s="1"/>
  <c r="AT21" i="5"/>
  <c r="AT23" i="5" s="1"/>
  <c r="AT20" i="5"/>
  <c r="AT19" i="5"/>
  <c r="AT18" i="5"/>
  <c r="AT17" i="5"/>
  <c r="AT16" i="5"/>
  <c r="AT14" i="5"/>
  <c r="AT13" i="5"/>
  <c r="AT12" i="5"/>
  <c r="AT15" i="5" s="1"/>
  <c r="AT8" i="5"/>
  <c r="AT5" i="5" s="1"/>
  <c r="AT7" i="5"/>
  <c r="AT6" i="5" s="1"/>
  <c r="AO43" i="5"/>
  <c r="AO42" i="5"/>
  <c r="AO41" i="5"/>
  <c r="AO40" i="5"/>
  <c r="AO39" i="5"/>
  <c r="AO38" i="5"/>
  <c r="AO36" i="5"/>
  <c r="AS36" i="5" s="1"/>
  <c r="AO35" i="5"/>
  <c r="AS35" i="5" s="1"/>
  <c r="AO34" i="5"/>
  <c r="AS34" i="5" s="1"/>
  <c r="AO33" i="5"/>
  <c r="AS33" i="5" s="1"/>
  <c r="AO32" i="5"/>
  <c r="AO31" i="5"/>
  <c r="AO30" i="5"/>
  <c r="AO28" i="5"/>
  <c r="AO27" i="5"/>
  <c r="AO26" i="5"/>
  <c r="AS26" i="5" s="1"/>
  <c r="AO25" i="5"/>
  <c r="AS25" i="5" s="1"/>
  <c r="AO24" i="5"/>
  <c r="AS24" i="5" s="1"/>
  <c r="AO22" i="5"/>
  <c r="AO21" i="5"/>
  <c r="AS21" i="5" s="1"/>
  <c r="AO20" i="5"/>
  <c r="AO19" i="5"/>
  <c r="AO18" i="5"/>
  <c r="AO17" i="5"/>
  <c r="AO16" i="5"/>
  <c r="AO14" i="5"/>
  <c r="AO13" i="5"/>
  <c r="AO12" i="5"/>
  <c r="AO15" i="5" s="1"/>
  <c r="AO8" i="5"/>
  <c r="AO5" i="5" s="1"/>
  <c r="AO7" i="5"/>
  <c r="AO6" i="5" s="1"/>
  <c r="AJ43" i="5"/>
  <c r="AJ42" i="5"/>
  <c r="AJ41" i="5"/>
  <c r="AJ40" i="5"/>
  <c r="AJ39" i="5"/>
  <c r="AJ38" i="5"/>
  <c r="AJ36" i="5"/>
  <c r="AJ35" i="5"/>
  <c r="AJ34" i="5"/>
  <c r="AJ33" i="5"/>
  <c r="AJ32" i="5"/>
  <c r="AJ31" i="5"/>
  <c r="AJ30" i="5"/>
  <c r="AJ28" i="5"/>
  <c r="AJ27" i="5"/>
  <c r="AJ26" i="5"/>
  <c r="AJ25" i="5"/>
  <c r="AJ24" i="5"/>
  <c r="AJ22" i="5"/>
  <c r="AN22" i="5" s="1"/>
  <c r="AJ21" i="5"/>
  <c r="AN21" i="5" s="1"/>
  <c r="AJ20" i="5"/>
  <c r="AN20" i="5" s="1"/>
  <c r="AJ19" i="5"/>
  <c r="AJ18" i="5"/>
  <c r="AJ17" i="5"/>
  <c r="AJ16" i="5"/>
  <c r="AJ14" i="5"/>
  <c r="AJ13" i="5"/>
  <c r="AJ12" i="5"/>
  <c r="AJ15" i="5" s="1"/>
  <c r="AJ8" i="5"/>
  <c r="AJ5" i="5" s="1"/>
  <c r="AJ7" i="5"/>
  <c r="AJ6" i="5" s="1"/>
  <c r="AE43" i="5"/>
  <c r="AE42" i="5"/>
  <c r="AE41" i="5"/>
  <c r="AE40" i="5"/>
  <c r="AE39" i="5"/>
  <c r="AE38" i="5"/>
  <c r="AE36" i="5"/>
  <c r="AE35" i="5"/>
  <c r="AI35" i="5" s="1"/>
  <c r="AE34" i="5"/>
  <c r="AE33" i="5"/>
  <c r="AI33" i="5" s="1"/>
  <c r="AE32" i="5"/>
  <c r="AE31" i="5"/>
  <c r="AE29" i="5" s="1"/>
  <c r="AE37" i="5" s="1"/>
  <c r="AE30" i="5"/>
  <c r="AE28" i="5"/>
  <c r="AI28" i="5" s="1"/>
  <c r="AE27" i="5"/>
  <c r="AI27" i="5" s="1"/>
  <c r="AE26" i="5"/>
  <c r="AE25" i="5"/>
  <c r="AE24" i="5"/>
  <c r="AI24" i="5" s="1"/>
  <c r="AE22" i="5"/>
  <c r="AI22" i="5" s="1"/>
  <c r="AE21" i="5"/>
  <c r="AE23" i="5" s="1"/>
  <c r="AE20" i="5"/>
  <c r="AE19" i="5"/>
  <c r="AE18" i="5"/>
  <c r="AE17" i="5"/>
  <c r="AE16" i="5"/>
  <c r="AE14" i="5"/>
  <c r="AE13" i="5"/>
  <c r="AE12" i="5"/>
  <c r="AE15" i="5" s="1"/>
  <c r="AE8" i="5"/>
  <c r="AE5" i="5" s="1"/>
  <c r="AE7" i="5"/>
  <c r="AI7" i="5" s="1"/>
  <c r="Z43" i="5"/>
  <c r="Z42" i="5"/>
  <c r="Z41" i="5"/>
  <c r="Z40" i="5"/>
  <c r="Z39" i="5"/>
  <c r="Z38" i="5"/>
  <c r="Z36" i="5"/>
  <c r="AD36" i="5" s="1"/>
  <c r="Z35" i="5"/>
  <c r="AD35" i="5" s="1"/>
  <c r="Z34" i="5"/>
  <c r="AD34" i="5" s="1"/>
  <c r="Z33" i="5"/>
  <c r="AD33" i="5" s="1"/>
  <c r="Z32" i="5"/>
  <c r="AD32" i="5" s="1"/>
  <c r="Z31" i="5"/>
  <c r="AD31" i="5" s="1"/>
  <c r="Z30" i="5"/>
  <c r="Z28" i="5"/>
  <c r="Z27" i="5"/>
  <c r="AD27" i="5" s="1"/>
  <c r="Z26" i="5"/>
  <c r="AD26" i="5" s="1"/>
  <c r="Z25" i="5"/>
  <c r="AD25" i="5" s="1"/>
  <c r="Z24" i="5"/>
  <c r="AD24" i="5" s="1"/>
  <c r="Z22" i="5"/>
  <c r="AD22" i="5" s="1"/>
  <c r="Z21" i="5"/>
  <c r="AD21" i="5" s="1"/>
  <c r="Z20" i="5"/>
  <c r="Z19" i="5"/>
  <c r="Z18" i="5"/>
  <c r="Z17" i="5"/>
  <c r="Z16" i="5"/>
  <c r="Z14" i="5"/>
  <c r="Z13" i="5"/>
  <c r="Z12" i="5"/>
  <c r="Z15" i="5" s="1"/>
  <c r="Z8" i="5"/>
  <c r="Z5" i="5" s="1"/>
  <c r="Z7" i="5"/>
  <c r="AD7" i="5" s="1"/>
  <c r="U43" i="5"/>
  <c r="U42" i="5"/>
  <c r="U41" i="5"/>
  <c r="U40" i="5"/>
  <c r="U39" i="5"/>
  <c r="U38" i="5"/>
  <c r="U36" i="5"/>
  <c r="Y36" i="5" s="1"/>
  <c r="U35" i="5"/>
  <c r="Y35" i="5" s="1"/>
  <c r="U34" i="5"/>
  <c r="Y34" i="5" s="1"/>
  <c r="U33" i="5"/>
  <c r="Y33" i="5" s="1"/>
  <c r="U32" i="5"/>
  <c r="Y32" i="5" s="1"/>
  <c r="U31" i="5"/>
  <c r="Y31" i="5" s="1"/>
  <c r="U30" i="5"/>
  <c r="U28" i="5"/>
  <c r="U27" i="5"/>
  <c r="Y27" i="5" s="1"/>
  <c r="U26" i="5"/>
  <c r="Y26" i="5" s="1"/>
  <c r="U25" i="5"/>
  <c r="Y25" i="5" s="1"/>
  <c r="U24" i="5"/>
  <c r="U22" i="5"/>
  <c r="Y22" i="5" s="1"/>
  <c r="U21" i="5"/>
  <c r="Y21" i="5" s="1"/>
  <c r="U20" i="5"/>
  <c r="U19" i="5"/>
  <c r="U18" i="5"/>
  <c r="U17" i="5"/>
  <c r="U16" i="5"/>
  <c r="U14" i="5"/>
  <c r="U13" i="5"/>
  <c r="U12" i="5"/>
  <c r="U15" i="5" s="1"/>
  <c r="U8" i="5"/>
  <c r="U5" i="5" s="1"/>
  <c r="U7" i="5"/>
  <c r="U6" i="5" s="1"/>
  <c r="Y6" i="5" s="1"/>
  <c r="BG4" i="5"/>
  <c r="P43" i="5"/>
  <c r="P42" i="5"/>
  <c r="P41" i="5"/>
  <c r="P40" i="5"/>
  <c r="P39" i="5"/>
  <c r="P38" i="5"/>
  <c r="P36" i="5"/>
  <c r="P35" i="5"/>
  <c r="P34" i="5"/>
  <c r="P33" i="5"/>
  <c r="P32" i="5"/>
  <c r="T32" i="5" s="1"/>
  <c r="P31" i="5"/>
  <c r="T31" i="5" s="1"/>
  <c r="P30" i="5"/>
  <c r="P28" i="5"/>
  <c r="P27" i="5"/>
  <c r="P26" i="5"/>
  <c r="P25" i="5"/>
  <c r="P24" i="5"/>
  <c r="P22" i="5"/>
  <c r="P21" i="5"/>
  <c r="P19" i="5"/>
  <c r="T19" i="5" s="1"/>
  <c r="P18" i="5"/>
  <c r="P17" i="5"/>
  <c r="P16" i="5"/>
  <c r="T16" i="5" s="1"/>
  <c r="P14" i="5"/>
  <c r="P13" i="5"/>
  <c r="P12" i="5"/>
  <c r="H43" i="5"/>
  <c r="H42" i="5"/>
  <c r="H41" i="5"/>
  <c r="H40" i="5"/>
  <c r="H39" i="5"/>
  <c r="H38" i="5"/>
  <c r="H28" i="5"/>
  <c r="H27" i="5"/>
  <c r="H26" i="5"/>
  <c r="H25" i="5"/>
  <c r="H24" i="5"/>
  <c r="H22" i="5"/>
  <c r="H21" i="5"/>
  <c r="H19" i="5"/>
  <c r="H18" i="5"/>
  <c r="H17" i="5"/>
  <c r="H16" i="5"/>
  <c r="H20" i="5" s="1"/>
  <c r="H13" i="5"/>
  <c r="H14" i="5"/>
  <c r="H12" i="5"/>
  <c r="I11" i="5"/>
  <c r="J11" i="5" s="1"/>
  <c r="I15" i="5"/>
  <c r="J15" i="5" s="1"/>
  <c r="I20" i="5"/>
  <c r="J20" i="5" s="1"/>
  <c r="I23" i="5"/>
  <c r="J23" i="5" s="1"/>
  <c r="I28" i="5"/>
  <c r="I27" i="5" s="1"/>
  <c r="I29" i="5"/>
  <c r="I54" i="5" s="1"/>
  <c r="I59" i="5" s="1"/>
  <c r="I37" i="5"/>
  <c r="I39" i="5"/>
  <c r="J39" i="5" s="1"/>
  <c r="I48" i="5"/>
  <c r="I52" i="5"/>
  <c r="AG105" i="5"/>
  <c r="AB105" i="5"/>
  <c r="BS104" i="5"/>
  <c r="BW104" i="5" s="1"/>
  <c r="BN104" i="5"/>
  <c r="BR104" i="5" s="1"/>
  <c r="BI104" i="5"/>
  <c r="BM104" i="5" s="1"/>
  <c r="BD104" i="5"/>
  <c r="BH104" i="5" s="1"/>
  <c r="AY104" i="5"/>
  <c r="AX104" i="5"/>
  <c r="AW104" i="5"/>
  <c r="M104" i="5"/>
  <c r="BS103" i="5"/>
  <c r="BW103" i="5" s="1"/>
  <c r="BN103" i="5"/>
  <c r="BR103" i="5" s="1"/>
  <c r="BI103" i="5"/>
  <c r="BM103" i="5" s="1"/>
  <c r="BD103" i="5"/>
  <c r="AY103" i="5"/>
  <c r="BC103" i="5" s="1"/>
  <c r="AT103" i="5"/>
  <c r="AX103" i="5" s="1"/>
  <c r="AS103" i="5"/>
  <c r="AN103" i="5"/>
  <c r="AI103" i="5"/>
  <c r="AD103" i="5"/>
  <c r="Y103" i="5"/>
  <c r="T103" i="5"/>
  <c r="M103" i="5"/>
  <c r="G103" i="5"/>
  <c r="H103" i="5" s="1"/>
  <c r="BS102" i="5"/>
  <c r="BW102" i="5" s="1"/>
  <c r="BN102" i="5"/>
  <c r="BR102" i="5" s="1"/>
  <c r="BI102" i="5"/>
  <c r="BM102" i="5" s="1"/>
  <c r="BD102" i="5"/>
  <c r="BH102" i="5" s="1"/>
  <c r="AY102" i="5"/>
  <c r="AX102" i="5"/>
  <c r="AT102" i="5"/>
  <c r="AS102" i="5"/>
  <c r="AN102" i="5"/>
  <c r="AI102" i="5"/>
  <c r="AF102" i="5"/>
  <c r="AH102" i="5" s="1"/>
  <c r="AD102" i="5"/>
  <c r="Y102" i="5"/>
  <c r="T102" i="5"/>
  <c r="M102" i="5"/>
  <c r="G102" i="5"/>
  <c r="H102" i="5" s="1"/>
  <c r="AP102" i="5" s="1"/>
  <c r="AR102" i="5" s="1"/>
  <c r="BS101" i="5"/>
  <c r="BW101" i="5" s="1"/>
  <c r="BN101" i="5"/>
  <c r="BR101" i="5" s="1"/>
  <c r="BM101" i="5"/>
  <c r="BI101" i="5"/>
  <c r="BD101" i="5"/>
  <c r="BH101" i="5" s="1"/>
  <c r="AY101" i="5"/>
  <c r="BC101" i="5" s="1"/>
  <c r="AT101" i="5"/>
  <c r="AX101" i="5" s="1"/>
  <c r="AS101" i="5"/>
  <c r="AN101" i="5"/>
  <c r="AI101" i="5"/>
  <c r="AD101" i="5"/>
  <c r="Y101" i="5"/>
  <c r="T101" i="5"/>
  <c r="M101" i="5"/>
  <c r="G101" i="5"/>
  <c r="H101" i="5" s="1"/>
  <c r="BS100" i="5"/>
  <c r="BW100" i="5" s="1"/>
  <c r="BR100" i="5"/>
  <c r="BN100" i="5"/>
  <c r="BI100" i="5"/>
  <c r="BM100" i="5" s="1"/>
  <c r="BD100" i="5"/>
  <c r="BH100" i="5" s="1"/>
  <c r="AY100" i="5"/>
  <c r="BC100" i="5" s="1"/>
  <c r="AT100" i="5"/>
  <c r="AX100" i="5" s="1"/>
  <c r="AS100" i="5"/>
  <c r="AN100" i="5"/>
  <c r="AI100" i="5"/>
  <c r="AD100" i="5"/>
  <c r="Y100" i="5"/>
  <c r="T100" i="5"/>
  <c r="M100" i="5"/>
  <c r="G100" i="5"/>
  <c r="H100" i="5" s="1"/>
  <c r="AK100" i="5" s="1"/>
  <c r="AM100" i="5" s="1"/>
  <c r="BW99" i="5"/>
  <c r="BS99" i="5"/>
  <c r="BN99" i="5"/>
  <c r="BR99" i="5" s="1"/>
  <c r="BI99" i="5"/>
  <c r="BM99" i="5" s="1"/>
  <c r="BD99" i="5"/>
  <c r="AY99" i="5"/>
  <c r="BC99" i="5" s="1"/>
  <c r="AX99" i="5"/>
  <c r="AT99" i="5"/>
  <c r="AS99" i="5"/>
  <c r="AN99" i="5"/>
  <c r="AI99" i="5"/>
  <c r="AD99" i="5"/>
  <c r="Y99" i="5"/>
  <c r="V99" i="5"/>
  <c r="X99" i="5" s="1"/>
  <c r="T99" i="5"/>
  <c r="M99" i="5"/>
  <c r="G99" i="5"/>
  <c r="H99" i="5" s="1"/>
  <c r="BS98" i="5"/>
  <c r="BW98" i="5" s="1"/>
  <c r="BN98" i="5"/>
  <c r="BI98" i="5"/>
  <c r="BH98" i="5"/>
  <c r="BD98" i="5"/>
  <c r="AY98" i="5"/>
  <c r="BC98" i="5" s="1"/>
  <c r="AT98" i="5"/>
  <c r="K98" i="5" s="1"/>
  <c r="AS98" i="5"/>
  <c r="AN98" i="5"/>
  <c r="AI98" i="5"/>
  <c r="AD98" i="5"/>
  <c r="Y98" i="5"/>
  <c r="T98" i="5"/>
  <c r="M98" i="5"/>
  <c r="G98" i="5"/>
  <c r="H98" i="5" s="1"/>
  <c r="J98" i="5" s="1"/>
  <c r="BU97" i="5"/>
  <c r="BP97" i="5"/>
  <c r="BP105" i="5" s="1"/>
  <c r="BK97" i="5"/>
  <c r="BK105" i="5" s="1"/>
  <c r="BF97" i="5"/>
  <c r="BF105" i="5" s="1"/>
  <c r="BA97" i="5"/>
  <c r="BA105" i="5" s="1"/>
  <c r="AV97" i="5"/>
  <c r="AQ97" i="5"/>
  <c r="AO97" i="5"/>
  <c r="AL97" i="5"/>
  <c r="AL105" i="5" s="1"/>
  <c r="AJ97" i="5"/>
  <c r="AI97" i="5"/>
  <c r="AG97" i="5"/>
  <c r="AE97" i="5"/>
  <c r="AB97" i="5"/>
  <c r="AD97" i="5" s="1"/>
  <c r="Z97" i="5"/>
  <c r="W97" i="5"/>
  <c r="U97" i="5"/>
  <c r="R97" i="5"/>
  <c r="R105" i="5" s="1"/>
  <c r="P97" i="5"/>
  <c r="F97" i="5"/>
  <c r="F105" i="5" s="1"/>
  <c r="BV96" i="5"/>
  <c r="BS96" i="5"/>
  <c r="BW96" i="5" s="1"/>
  <c r="BQ96" i="5"/>
  <c r="BN96" i="5"/>
  <c r="BL96" i="5"/>
  <c r="BI96" i="5"/>
  <c r="BM96" i="5" s="1"/>
  <c r="BH96" i="5"/>
  <c r="BG96" i="5"/>
  <c r="BD96" i="5"/>
  <c r="BB96" i="5"/>
  <c r="AY96" i="5"/>
  <c r="BC96" i="5" s="1"/>
  <c r="AW96" i="5"/>
  <c r="AT96" i="5"/>
  <c r="AX96" i="5" s="1"/>
  <c r="AR96" i="5"/>
  <c r="AO96" i="5"/>
  <c r="AM96" i="5"/>
  <c r="AJ96" i="5"/>
  <c r="AH96" i="5"/>
  <c r="AE96" i="5"/>
  <c r="AI96" i="5" s="1"/>
  <c r="Z96" i="5"/>
  <c r="U96" i="5"/>
  <c r="Y96" i="5" s="1"/>
  <c r="P96" i="5"/>
  <c r="T96" i="5" s="1"/>
  <c r="M96" i="5"/>
  <c r="BV95" i="5"/>
  <c r="BS95" i="5"/>
  <c r="BQ95" i="5"/>
  <c r="BN95" i="5"/>
  <c r="BR95" i="5" s="1"/>
  <c r="BL95" i="5"/>
  <c r="BI95" i="5"/>
  <c r="BM95" i="5" s="1"/>
  <c r="BG95" i="5"/>
  <c r="BD95" i="5"/>
  <c r="BH95" i="5" s="1"/>
  <c r="BB95" i="5"/>
  <c r="AY95" i="5"/>
  <c r="BC95" i="5" s="1"/>
  <c r="AX95" i="5"/>
  <c r="AW95" i="5"/>
  <c r="AT95" i="5"/>
  <c r="AR95" i="5"/>
  <c r="AO95" i="5"/>
  <c r="AS95" i="5" s="1"/>
  <c r="AM95" i="5"/>
  <c r="AJ95" i="5"/>
  <c r="AN95" i="5" s="1"/>
  <c r="AH95" i="5"/>
  <c r="AE95" i="5"/>
  <c r="AI95" i="5" s="1"/>
  <c r="Z95" i="5"/>
  <c r="AD95" i="5" s="1"/>
  <c r="U95" i="5"/>
  <c r="Y95" i="5" s="1"/>
  <c r="P95" i="5"/>
  <c r="T95" i="5" s="1"/>
  <c r="M95" i="5"/>
  <c r="N95" i="5" s="1"/>
  <c r="L95" i="5"/>
  <c r="BV94" i="5"/>
  <c r="BS94" i="5"/>
  <c r="BW94" i="5" s="1"/>
  <c r="BQ94" i="5"/>
  <c r="BN94" i="5"/>
  <c r="BR94" i="5" s="1"/>
  <c r="BM94" i="5"/>
  <c r="BL94" i="5"/>
  <c r="BI94" i="5"/>
  <c r="BG94" i="5"/>
  <c r="BD94" i="5"/>
  <c r="BH94" i="5" s="1"/>
  <c r="BB94" i="5"/>
  <c r="AY94" i="5"/>
  <c r="BC94" i="5" s="1"/>
  <c r="AW94" i="5"/>
  <c r="AT94" i="5"/>
  <c r="AX94" i="5" s="1"/>
  <c r="AR94" i="5"/>
  <c r="AO94" i="5"/>
  <c r="AS94" i="5" s="1"/>
  <c r="AM94" i="5"/>
  <c r="AJ94" i="5"/>
  <c r="AN94" i="5" s="1"/>
  <c r="AH94" i="5"/>
  <c r="AE94" i="5"/>
  <c r="AI94" i="5" s="1"/>
  <c r="AC94" i="5"/>
  <c r="Z94" i="5"/>
  <c r="AD94" i="5" s="1"/>
  <c r="X94" i="5"/>
  <c r="U94" i="5"/>
  <c r="S94" i="5"/>
  <c r="P94" i="5"/>
  <c r="T94" i="5" s="1"/>
  <c r="M94" i="5"/>
  <c r="L94" i="5"/>
  <c r="J94" i="5"/>
  <c r="G94" i="5"/>
  <c r="F94" i="5"/>
  <c r="BV93" i="5"/>
  <c r="BS93" i="5"/>
  <c r="BW93" i="5" s="1"/>
  <c r="BQ93" i="5"/>
  <c r="BN93" i="5"/>
  <c r="BR93" i="5" s="1"/>
  <c r="BL93" i="5"/>
  <c r="BI93" i="5"/>
  <c r="BM93" i="5" s="1"/>
  <c r="BG93" i="5"/>
  <c r="BD93" i="5"/>
  <c r="BH93" i="5" s="1"/>
  <c r="BB93" i="5"/>
  <c r="AY93" i="5"/>
  <c r="BC93" i="5" s="1"/>
  <c r="AW93" i="5"/>
  <c r="AT93" i="5"/>
  <c r="AX93" i="5" s="1"/>
  <c r="AR93" i="5"/>
  <c r="AO93" i="5"/>
  <c r="AS93" i="5" s="1"/>
  <c r="AM93" i="5"/>
  <c r="AJ93" i="5"/>
  <c r="AH93" i="5"/>
  <c r="AE93" i="5"/>
  <c r="AI93" i="5" s="1"/>
  <c r="AD93" i="5"/>
  <c r="AC93" i="5"/>
  <c r="Z93" i="5"/>
  <c r="X93" i="5"/>
  <c r="U93" i="5"/>
  <c r="Y93" i="5" s="1"/>
  <c r="S93" i="5"/>
  <c r="P93" i="5"/>
  <c r="T93" i="5" s="1"/>
  <c r="M93" i="5"/>
  <c r="L93" i="5"/>
  <c r="G93" i="5"/>
  <c r="J93" i="5" s="1"/>
  <c r="F93" i="5"/>
  <c r="BV92" i="5"/>
  <c r="BS92" i="5"/>
  <c r="BW92" i="5" s="1"/>
  <c r="BQ92" i="5"/>
  <c r="BN92" i="5"/>
  <c r="BR92" i="5" s="1"/>
  <c r="BL92" i="5"/>
  <c r="BI92" i="5"/>
  <c r="BM92" i="5" s="1"/>
  <c r="BG92" i="5"/>
  <c r="BD92" i="5"/>
  <c r="BH92" i="5" s="1"/>
  <c r="BB92" i="5"/>
  <c r="AY92" i="5"/>
  <c r="BC92" i="5" s="1"/>
  <c r="AX92" i="5"/>
  <c r="AW92" i="5"/>
  <c r="AT92" i="5"/>
  <c r="AR92" i="5"/>
  <c r="AO92" i="5"/>
  <c r="AS92" i="5" s="1"/>
  <c r="AM92" i="5"/>
  <c r="AJ92" i="5"/>
  <c r="AN92" i="5" s="1"/>
  <c r="AH92" i="5"/>
  <c r="AE92" i="5"/>
  <c r="AI92" i="5" s="1"/>
  <c r="AC92" i="5"/>
  <c r="Z92" i="5"/>
  <c r="AD92" i="5" s="1"/>
  <c r="X92" i="5"/>
  <c r="U92" i="5"/>
  <c r="Y92" i="5" s="1"/>
  <c r="S92" i="5"/>
  <c r="P92" i="5"/>
  <c r="M92" i="5"/>
  <c r="L92" i="5"/>
  <c r="G92" i="5"/>
  <c r="J92" i="5" s="1"/>
  <c r="F92" i="5"/>
  <c r="BU91" i="5"/>
  <c r="BT91" i="5"/>
  <c r="BQ91" i="5"/>
  <c r="BP91" i="5"/>
  <c r="BO91" i="5"/>
  <c r="BK91" i="5"/>
  <c r="BL91" i="5" s="1"/>
  <c r="BJ91" i="5"/>
  <c r="BF91" i="5"/>
  <c r="BG91" i="5" s="1"/>
  <c r="BE91" i="5"/>
  <c r="BA91" i="5"/>
  <c r="AZ91" i="5"/>
  <c r="AV91" i="5"/>
  <c r="AW91" i="5" s="1"/>
  <c r="AU91" i="5"/>
  <c r="AQ91" i="5"/>
  <c r="AR91" i="5" s="1"/>
  <c r="AP91" i="5"/>
  <c r="AL91" i="5"/>
  <c r="AK91" i="5"/>
  <c r="AK79" i="5" s="1"/>
  <c r="AK78" i="5" s="1"/>
  <c r="AG91" i="5"/>
  <c r="AH91" i="5" s="1"/>
  <c r="AF91" i="5"/>
  <c r="AB91" i="5"/>
  <c r="AA91" i="5"/>
  <c r="AC91" i="5" s="1"/>
  <c r="W91" i="5"/>
  <c r="V91" i="5"/>
  <c r="R91" i="5"/>
  <c r="Q91" i="5"/>
  <c r="H91" i="5"/>
  <c r="J91" i="5" s="1"/>
  <c r="G91" i="5"/>
  <c r="BV90" i="5"/>
  <c r="BS90" i="5"/>
  <c r="BW90" i="5" s="1"/>
  <c r="BQ90" i="5"/>
  <c r="BN90" i="5"/>
  <c r="BR90" i="5" s="1"/>
  <c r="BL90" i="5"/>
  <c r="BI90" i="5"/>
  <c r="BM90" i="5" s="1"/>
  <c r="BG90" i="5"/>
  <c r="BD90" i="5"/>
  <c r="BH90" i="5" s="1"/>
  <c r="BB90" i="5"/>
  <c r="AY90" i="5"/>
  <c r="BC90" i="5" s="1"/>
  <c r="AX90" i="5"/>
  <c r="AW90" i="5"/>
  <c r="AT90" i="5"/>
  <c r="AR90" i="5"/>
  <c r="AO90" i="5"/>
  <c r="AS90" i="5" s="1"/>
  <c r="AM90" i="5"/>
  <c r="AJ90" i="5"/>
  <c r="AN90" i="5" s="1"/>
  <c r="AH90" i="5"/>
  <c r="AE90" i="5"/>
  <c r="AI90" i="5" s="1"/>
  <c r="AC90" i="5"/>
  <c r="Z90" i="5"/>
  <c r="AD90" i="5" s="1"/>
  <c r="X90" i="5"/>
  <c r="U90" i="5"/>
  <c r="Y90" i="5" s="1"/>
  <c r="S90" i="5"/>
  <c r="P90" i="5"/>
  <c r="P91" i="5" s="1"/>
  <c r="T91" i="5" s="1"/>
  <c r="M90" i="5"/>
  <c r="L90" i="5"/>
  <c r="L91" i="5" s="1"/>
  <c r="G90" i="5"/>
  <c r="J90" i="5" s="1"/>
  <c r="F90" i="5"/>
  <c r="BV89" i="5"/>
  <c r="BS89" i="5"/>
  <c r="BW89" i="5" s="1"/>
  <c r="BR89" i="5"/>
  <c r="BQ89" i="5"/>
  <c r="BN89" i="5"/>
  <c r="BL89" i="5"/>
  <c r="BI89" i="5"/>
  <c r="BG89" i="5"/>
  <c r="BD89" i="5"/>
  <c r="BH89" i="5" s="1"/>
  <c r="BB89" i="5"/>
  <c r="AY89" i="5"/>
  <c r="BC89" i="5" s="1"/>
  <c r="AW89" i="5"/>
  <c r="AT89" i="5"/>
  <c r="AS89" i="5"/>
  <c r="AR89" i="5"/>
  <c r="AO89" i="5"/>
  <c r="AM89" i="5"/>
  <c r="AJ89" i="5"/>
  <c r="AH89" i="5"/>
  <c r="AE89" i="5"/>
  <c r="AC89" i="5"/>
  <c r="Z89" i="5"/>
  <c r="X89" i="5"/>
  <c r="U89" i="5"/>
  <c r="Y89" i="5" s="1"/>
  <c r="T89" i="5"/>
  <c r="S89" i="5"/>
  <c r="P89" i="5"/>
  <c r="M89" i="5"/>
  <c r="N89" i="5" s="1"/>
  <c r="L89" i="5"/>
  <c r="G89" i="5"/>
  <c r="J89" i="5" s="1"/>
  <c r="F89" i="5"/>
  <c r="BU88" i="5"/>
  <c r="BT88" i="5"/>
  <c r="BP88" i="5"/>
  <c r="BQ88" i="5" s="1"/>
  <c r="BO88" i="5"/>
  <c r="BK88" i="5"/>
  <c r="BJ88" i="5"/>
  <c r="BJ79" i="5" s="1"/>
  <c r="BJ78" i="5" s="1"/>
  <c r="BF88" i="5"/>
  <c r="BE88" i="5"/>
  <c r="BA88" i="5"/>
  <c r="AZ88" i="5"/>
  <c r="AV88" i="5"/>
  <c r="AU88" i="5"/>
  <c r="AR88" i="5"/>
  <c r="AQ88" i="5"/>
  <c r="AP88" i="5"/>
  <c r="AL88" i="5"/>
  <c r="AK88" i="5"/>
  <c r="AG88" i="5"/>
  <c r="AF88" i="5"/>
  <c r="AF79" i="5" s="1"/>
  <c r="AF78" i="5" s="1"/>
  <c r="AB88" i="5"/>
  <c r="AA88" i="5"/>
  <c r="W88" i="5"/>
  <c r="V88" i="5"/>
  <c r="R88" i="5"/>
  <c r="Q88" i="5"/>
  <c r="H88" i="5"/>
  <c r="BV87" i="5"/>
  <c r="BS87" i="5"/>
  <c r="BW87" i="5" s="1"/>
  <c r="BQ87" i="5"/>
  <c r="BN87" i="5"/>
  <c r="BR87" i="5" s="1"/>
  <c r="BL87" i="5"/>
  <c r="BI87" i="5"/>
  <c r="BM87" i="5" s="1"/>
  <c r="BH87" i="5"/>
  <c r="BG87" i="5"/>
  <c r="BD87" i="5"/>
  <c r="BB87" i="5"/>
  <c r="AY87" i="5"/>
  <c r="AW87" i="5"/>
  <c r="AT87" i="5"/>
  <c r="AX87" i="5" s="1"/>
  <c r="AR87" i="5"/>
  <c r="AO87" i="5"/>
  <c r="AS87" i="5" s="1"/>
  <c r="AM87" i="5"/>
  <c r="AJ87" i="5"/>
  <c r="AN87" i="5" s="1"/>
  <c r="AH87" i="5"/>
  <c r="AE87" i="5"/>
  <c r="AI87" i="5" s="1"/>
  <c r="AD87" i="5"/>
  <c r="AC87" i="5"/>
  <c r="Z87" i="5"/>
  <c r="X87" i="5"/>
  <c r="U87" i="5"/>
  <c r="Y87" i="5" s="1"/>
  <c r="S87" i="5"/>
  <c r="P87" i="5"/>
  <c r="T87" i="5" s="1"/>
  <c r="M87" i="5"/>
  <c r="L87" i="5"/>
  <c r="G87" i="5"/>
  <c r="J87" i="5" s="1"/>
  <c r="F87" i="5"/>
  <c r="BW86" i="5"/>
  <c r="BV86" i="5"/>
  <c r="BS86" i="5"/>
  <c r="BQ86" i="5"/>
  <c r="BN86" i="5"/>
  <c r="BR86" i="5" s="1"/>
  <c r="BL86" i="5"/>
  <c r="BI86" i="5"/>
  <c r="BM86" i="5" s="1"/>
  <c r="BG86" i="5"/>
  <c r="BD86" i="5"/>
  <c r="BH86" i="5" s="1"/>
  <c r="BB86" i="5"/>
  <c r="AY86" i="5"/>
  <c r="BC86" i="5" s="1"/>
  <c r="AW86" i="5"/>
  <c r="AT86" i="5"/>
  <c r="AX86" i="5" s="1"/>
  <c r="AR86" i="5"/>
  <c r="AO86" i="5"/>
  <c r="AS86" i="5" s="1"/>
  <c r="AM86" i="5"/>
  <c r="AJ86" i="5"/>
  <c r="AN86" i="5" s="1"/>
  <c r="AH86" i="5"/>
  <c r="AE86" i="5"/>
  <c r="AI86" i="5" s="1"/>
  <c r="AC86" i="5"/>
  <c r="Z86" i="5"/>
  <c r="AD86" i="5" s="1"/>
  <c r="Y86" i="5"/>
  <c r="X86" i="5"/>
  <c r="U86" i="5"/>
  <c r="S86" i="5"/>
  <c r="P86" i="5"/>
  <c r="M86" i="5"/>
  <c r="N86" i="5" s="1"/>
  <c r="L86" i="5"/>
  <c r="G86" i="5"/>
  <c r="J86" i="5" s="1"/>
  <c r="F86" i="5"/>
  <c r="BV85" i="5"/>
  <c r="BS85" i="5"/>
  <c r="BW85" i="5" s="1"/>
  <c r="BQ85" i="5"/>
  <c r="BN85" i="5"/>
  <c r="BR85" i="5" s="1"/>
  <c r="BL85" i="5"/>
  <c r="BI85" i="5"/>
  <c r="BM85" i="5" s="1"/>
  <c r="BG85" i="5"/>
  <c r="BD85" i="5"/>
  <c r="BH85" i="5" s="1"/>
  <c r="BB85" i="5"/>
  <c r="AY85" i="5"/>
  <c r="BC85" i="5" s="1"/>
  <c r="AW85" i="5"/>
  <c r="AT85" i="5"/>
  <c r="AS85" i="5"/>
  <c r="AR85" i="5"/>
  <c r="AO85" i="5"/>
  <c r="AM85" i="5"/>
  <c r="AJ85" i="5"/>
  <c r="AH85" i="5"/>
  <c r="AE85" i="5"/>
  <c r="AI85" i="5" s="1"/>
  <c r="AC85" i="5"/>
  <c r="Z85" i="5"/>
  <c r="AD85" i="5" s="1"/>
  <c r="X85" i="5"/>
  <c r="U85" i="5"/>
  <c r="S85" i="5"/>
  <c r="P85" i="5"/>
  <c r="T85" i="5" s="1"/>
  <c r="M85" i="5"/>
  <c r="L85" i="5"/>
  <c r="G85" i="5"/>
  <c r="J85" i="5" s="1"/>
  <c r="F85" i="5"/>
  <c r="BV84" i="5"/>
  <c r="BS84" i="5"/>
  <c r="BW84" i="5" s="1"/>
  <c r="BQ84" i="5"/>
  <c r="BN84" i="5"/>
  <c r="BL84" i="5"/>
  <c r="BI84" i="5"/>
  <c r="BM84" i="5" s="1"/>
  <c r="BG84" i="5"/>
  <c r="BD84" i="5"/>
  <c r="BH84" i="5" s="1"/>
  <c r="BB84" i="5"/>
  <c r="AY84" i="5"/>
  <c r="BC84" i="5" s="1"/>
  <c r="AW84" i="5"/>
  <c r="AT84" i="5"/>
  <c r="AX84" i="5" s="1"/>
  <c r="AR84" i="5"/>
  <c r="AO84" i="5"/>
  <c r="AN84" i="5"/>
  <c r="AM84" i="5"/>
  <c r="AJ84" i="5"/>
  <c r="AH84" i="5"/>
  <c r="AE84" i="5"/>
  <c r="AI84" i="5" s="1"/>
  <c r="AC84" i="5"/>
  <c r="Z84" i="5"/>
  <c r="AD84" i="5" s="1"/>
  <c r="X84" i="5"/>
  <c r="U84" i="5"/>
  <c r="T84" i="5"/>
  <c r="S84" i="5"/>
  <c r="P84" i="5"/>
  <c r="M84" i="5"/>
  <c r="N84" i="5" s="1"/>
  <c r="L84" i="5"/>
  <c r="G84" i="5"/>
  <c r="J84" i="5" s="1"/>
  <c r="F84" i="5"/>
  <c r="BU83" i="5"/>
  <c r="BT83" i="5"/>
  <c r="BS83" i="5"/>
  <c r="BQ83" i="5"/>
  <c r="BP83" i="5"/>
  <c r="BO83" i="5"/>
  <c r="BO79" i="5" s="1"/>
  <c r="BO78" i="5" s="1"/>
  <c r="BK83" i="5"/>
  <c r="BJ83" i="5"/>
  <c r="BL83" i="5" s="1"/>
  <c r="BF83" i="5"/>
  <c r="BE83" i="5"/>
  <c r="BA83" i="5"/>
  <c r="AZ83" i="5"/>
  <c r="AV83" i="5"/>
  <c r="AU83" i="5"/>
  <c r="AQ83" i="5"/>
  <c r="AQ79" i="5" s="1"/>
  <c r="AP83" i="5"/>
  <c r="AP79" i="5" s="1"/>
  <c r="AP78" i="5" s="1"/>
  <c r="AL83" i="5"/>
  <c r="AK83" i="5"/>
  <c r="AG83" i="5"/>
  <c r="AH83" i="5" s="1"/>
  <c r="AF83" i="5"/>
  <c r="AB83" i="5"/>
  <c r="AA83" i="5"/>
  <c r="W83" i="5"/>
  <c r="V83" i="5"/>
  <c r="U83" i="5"/>
  <c r="R83" i="5"/>
  <c r="Q83" i="5"/>
  <c r="H83" i="5"/>
  <c r="F83" i="5"/>
  <c r="BV82" i="5"/>
  <c r="BS82" i="5"/>
  <c r="BW82" i="5" s="1"/>
  <c r="BQ82" i="5"/>
  <c r="BN82" i="5"/>
  <c r="BR82" i="5" s="1"/>
  <c r="BL82" i="5"/>
  <c r="BI82" i="5"/>
  <c r="BM82" i="5" s="1"/>
  <c r="BG82" i="5"/>
  <c r="BD82" i="5"/>
  <c r="BH82" i="5" s="1"/>
  <c r="BB82" i="5"/>
  <c r="AY82" i="5"/>
  <c r="AW82" i="5"/>
  <c r="AT82" i="5"/>
  <c r="AX82" i="5" s="1"/>
  <c r="AR82" i="5"/>
  <c r="AO82" i="5"/>
  <c r="AS82" i="5" s="1"/>
  <c r="AM82" i="5"/>
  <c r="AJ82" i="5"/>
  <c r="AN82" i="5" s="1"/>
  <c r="AH82" i="5"/>
  <c r="AE82" i="5"/>
  <c r="AI82" i="5" s="1"/>
  <c r="AC82" i="5"/>
  <c r="Z82" i="5"/>
  <c r="AD82" i="5" s="1"/>
  <c r="X82" i="5"/>
  <c r="U82" i="5"/>
  <c r="Y82" i="5" s="1"/>
  <c r="T82" i="5"/>
  <c r="S82" i="5"/>
  <c r="P82" i="5"/>
  <c r="M82" i="5"/>
  <c r="L82" i="5"/>
  <c r="G82" i="5"/>
  <c r="J82" i="5" s="1"/>
  <c r="F82" i="5"/>
  <c r="BV81" i="5"/>
  <c r="BS81" i="5"/>
  <c r="BW81" i="5" s="1"/>
  <c r="BQ81" i="5"/>
  <c r="BN81" i="5"/>
  <c r="BR81" i="5" s="1"/>
  <c r="BL81" i="5"/>
  <c r="BI81" i="5"/>
  <c r="BM81" i="5" s="1"/>
  <c r="BG81" i="5"/>
  <c r="BD81" i="5"/>
  <c r="BH81" i="5" s="1"/>
  <c r="BC81" i="5"/>
  <c r="BB81" i="5"/>
  <c r="AY81" i="5"/>
  <c r="AW81" i="5"/>
  <c r="AT81" i="5"/>
  <c r="AX81" i="5" s="1"/>
  <c r="AR81" i="5"/>
  <c r="AO81" i="5"/>
  <c r="AS81" i="5" s="1"/>
  <c r="AM81" i="5"/>
  <c r="AJ81" i="5"/>
  <c r="AN81" i="5" s="1"/>
  <c r="AI81" i="5"/>
  <c r="AH81" i="5"/>
  <c r="AE81" i="5"/>
  <c r="AC81" i="5"/>
  <c r="Z81" i="5"/>
  <c r="AD81" i="5" s="1"/>
  <c r="X81" i="5"/>
  <c r="U81" i="5"/>
  <c r="Y81" i="5" s="1"/>
  <c r="S81" i="5"/>
  <c r="P81" i="5"/>
  <c r="T81" i="5" s="1"/>
  <c r="M81" i="5"/>
  <c r="L81" i="5"/>
  <c r="G81" i="5"/>
  <c r="J81" i="5" s="1"/>
  <c r="F81" i="5"/>
  <c r="BW80" i="5"/>
  <c r="BV80" i="5"/>
  <c r="BS80" i="5"/>
  <c r="BQ80" i="5"/>
  <c r="BN80" i="5"/>
  <c r="BR80" i="5" s="1"/>
  <c r="BL80" i="5"/>
  <c r="BI80" i="5"/>
  <c r="BM80" i="5" s="1"/>
  <c r="BG80" i="5"/>
  <c r="BD80" i="5"/>
  <c r="BD83" i="5" s="1"/>
  <c r="BC80" i="5"/>
  <c r="BB80" i="5"/>
  <c r="AY80" i="5"/>
  <c r="AW80" i="5"/>
  <c r="AT80" i="5"/>
  <c r="AR80" i="5"/>
  <c r="AO80" i="5"/>
  <c r="AM80" i="5"/>
  <c r="AJ80" i="5"/>
  <c r="AH80" i="5"/>
  <c r="AE80" i="5"/>
  <c r="AI80" i="5" s="1"/>
  <c r="AD80" i="5"/>
  <c r="AC80" i="5"/>
  <c r="Z80" i="5"/>
  <c r="X80" i="5"/>
  <c r="U80" i="5"/>
  <c r="Y80" i="5" s="1"/>
  <c r="S80" i="5"/>
  <c r="P80" i="5"/>
  <c r="T80" i="5" s="1"/>
  <c r="M80" i="5"/>
  <c r="M83" i="5" s="1"/>
  <c r="L80" i="5"/>
  <c r="J80" i="5"/>
  <c r="G80" i="5"/>
  <c r="F80" i="5"/>
  <c r="BV77" i="5"/>
  <c r="BS77" i="5"/>
  <c r="BW77" i="5" s="1"/>
  <c r="BQ77" i="5"/>
  <c r="BN77" i="5"/>
  <c r="BR77" i="5" s="1"/>
  <c r="BL77" i="5"/>
  <c r="BI77" i="5"/>
  <c r="BG77" i="5"/>
  <c r="BD77" i="5"/>
  <c r="BH77" i="5" s="1"/>
  <c r="BB77" i="5"/>
  <c r="AY77" i="5"/>
  <c r="AW77" i="5"/>
  <c r="AT77" i="5"/>
  <c r="AX77" i="5" s="1"/>
  <c r="AR77" i="5"/>
  <c r="AO77" i="5"/>
  <c r="AS77" i="5" s="1"/>
  <c r="AN77" i="5"/>
  <c r="AM77" i="5"/>
  <c r="AJ77" i="5"/>
  <c r="AH77" i="5"/>
  <c r="AE77" i="5"/>
  <c r="AI77" i="5" s="1"/>
  <c r="Z77" i="5"/>
  <c r="U77" i="5"/>
  <c r="P77" i="5"/>
  <c r="M77" i="5"/>
  <c r="G77" i="5"/>
  <c r="G74" i="5" s="1"/>
  <c r="F77" i="5"/>
  <c r="F74" i="5" s="1"/>
  <c r="BV76" i="5"/>
  <c r="BS76" i="5"/>
  <c r="BW76" i="5" s="1"/>
  <c r="BQ76" i="5"/>
  <c r="BN76" i="5"/>
  <c r="BL76" i="5"/>
  <c r="BI76" i="5"/>
  <c r="BG76" i="5"/>
  <c r="BD76" i="5"/>
  <c r="BB76" i="5"/>
  <c r="AY76" i="5"/>
  <c r="AX76" i="5"/>
  <c r="AW76" i="5"/>
  <c r="AT76" i="5"/>
  <c r="AT75" i="5" s="1"/>
  <c r="AR76" i="5"/>
  <c r="AO76" i="5"/>
  <c r="AS76" i="5" s="1"/>
  <c r="AM76" i="5"/>
  <c r="AJ76" i="5"/>
  <c r="AH76" i="5"/>
  <c r="AE76" i="5"/>
  <c r="AI76" i="5" s="1"/>
  <c r="Z76" i="5"/>
  <c r="AD76" i="5" s="1"/>
  <c r="X76" i="5"/>
  <c r="U76" i="5"/>
  <c r="T76" i="5"/>
  <c r="P76" i="5"/>
  <c r="P75" i="5" s="1"/>
  <c r="M76" i="5"/>
  <c r="L76" i="5"/>
  <c r="BU75" i="5"/>
  <c r="BT75" i="5"/>
  <c r="BP75" i="5"/>
  <c r="BO75" i="5"/>
  <c r="BK75" i="5"/>
  <c r="BJ75" i="5"/>
  <c r="BG75" i="5"/>
  <c r="BF75" i="5"/>
  <c r="BE75" i="5"/>
  <c r="BA75" i="5"/>
  <c r="AZ75" i="5"/>
  <c r="AV75" i="5"/>
  <c r="AU75" i="5"/>
  <c r="AQ75" i="5"/>
  <c r="AR75" i="5" s="1"/>
  <c r="AP75" i="5"/>
  <c r="AO75" i="5"/>
  <c r="AL75" i="5"/>
  <c r="AK75" i="5"/>
  <c r="AG75" i="5"/>
  <c r="AF75" i="5"/>
  <c r="AE75" i="5"/>
  <c r="AB75" i="5"/>
  <c r="W75" i="5"/>
  <c r="R75" i="5"/>
  <c r="G75" i="5"/>
  <c r="F75" i="5"/>
  <c r="BU74" i="5"/>
  <c r="BT74" i="5"/>
  <c r="BP74" i="5"/>
  <c r="BO74" i="5"/>
  <c r="BK74" i="5"/>
  <c r="BL74" i="5" s="1"/>
  <c r="BJ74" i="5"/>
  <c r="BF74" i="5"/>
  <c r="BG74" i="5" s="1"/>
  <c r="BE74" i="5"/>
  <c r="BD74" i="5"/>
  <c r="BH74" i="5" s="1"/>
  <c r="BA74" i="5"/>
  <c r="BB74" i="5" s="1"/>
  <c r="AZ74" i="5"/>
  <c r="AV74" i="5"/>
  <c r="AU74" i="5"/>
  <c r="AT74" i="5"/>
  <c r="AQ74" i="5"/>
  <c r="AP74" i="5"/>
  <c r="AL74" i="5"/>
  <c r="AM74" i="5" s="1"/>
  <c r="AK74" i="5"/>
  <c r="AG74" i="5"/>
  <c r="AF74" i="5"/>
  <c r="AB74" i="5"/>
  <c r="W74" i="5"/>
  <c r="R74" i="5"/>
  <c r="AO72" i="5"/>
  <c r="AT72" i="5" s="1"/>
  <c r="AY72" i="5" s="1"/>
  <c r="BD72" i="5" s="1"/>
  <c r="BI72" i="5" s="1"/>
  <c r="BN72" i="5" s="1"/>
  <c r="BS72" i="5" s="1"/>
  <c r="AK72" i="5"/>
  <c r="AP72" i="5" s="1"/>
  <c r="AU72" i="5" s="1"/>
  <c r="AZ72" i="5" s="1"/>
  <c r="BE72" i="5" s="1"/>
  <c r="BJ72" i="5" s="1"/>
  <c r="BO72" i="5" s="1"/>
  <c r="BT72" i="5" s="1"/>
  <c r="Y72" i="5"/>
  <c r="AD72" i="5" s="1"/>
  <c r="AI72" i="5" s="1"/>
  <c r="AN72" i="5" s="1"/>
  <c r="AS72" i="5" s="1"/>
  <c r="AX72" i="5" s="1"/>
  <c r="BC72" i="5" s="1"/>
  <c r="BH72" i="5" s="1"/>
  <c r="BM72" i="5" s="1"/>
  <c r="BR72" i="5" s="1"/>
  <c r="BW72" i="5" s="1"/>
  <c r="T72" i="5"/>
  <c r="S72" i="5"/>
  <c r="X72" i="5" s="1"/>
  <c r="AC72" i="5" s="1"/>
  <c r="AH72" i="5" s="1"/>
  <c r="AM72" i="5" s="1"/>
  <c r="AR72" i="5" s="1"/>
  <c r="AW72" i="5" s="1"/>
  <c r="BB72" i="5" s="1"/>
  <c r="BG72" i="5" s="1"/>
  <c r="BL72" i="5" s="1"/>
  <c r="BQ72" i="5" s="1"/>
  <c r="BV72" i="5" s="1"/>
  <c r="R72" i="5"/>
  <c r="W72" i="5" s="1"/>
  <c r="AB72" i="5" s="1"/>
  <c r="AG72" i="5" s="1"/>
  <c r="AL72" i="5" s="1"/>
  <c r="AQ72" i="5" s="1"/>
  <c r="AV72" i="5" s="1"/>
  <c r="BA72" i="5" s="1"/>
  <c r="BF72" i="5" s="1"/>
  <c r="BK72" i="5" s="1"/>
  <c r="BP72" i="5" s="1"/>
  <c r="BU72" i="5" s="1"/>
  <c r="Q72" i="5"/>
  <c r="V72" i="5" s="1"/>
  <c r="AA72" i="5" s="1"/>
  <c r="AF72" i="5" s="1"/>
  <c r="P72" i="5"/>
  <c r="U72" i="5" s="1"/>
  <c r="Z72" i="5" s="1"/>
  <c r="AE72" i="5" s="1"/>
  <c r="AJ72" i="5" s="1"/>
  <c r="BU59" i="5"/>
  <c r="BP59" i="5"/>
  <c r="BK59" i="5"/>
  <c r="BF59" i="5"/>
  <c r="BA59" i="5"/>
  <c r="AV59" i="5"/>
  <c r="AQ59" i="5"/>
  <c r="AL59" i="5"/>
  <c r="AG59" i="5"/>
  <c r="AB59" i="5"/>
  <c r="W59" i="5"/>
  <c r="R59" i="5"/>
  <c r="BU58" i="5"/>
  <c r="BP58" i="5"/>
  <c r="BK58" i="5"/>
  <c r="BA58" i="5"/>
  <c r="AV58" i="5"/>
  <c r="AQ58" i="5"/>
  <c r="AO58" i="5"/>
  <c r="AL58" i="5"/>
  <c r="AG58" i="5"/>
  <c r="AB58" i="5"/>
  <c r="W58" i="5"/>
  <c r="R58" i="5"/>
  <c r="BU57" i="5"/>
  <c r="BP57" i="5"/>
  <c r="BK57" i="5"/>
  <c r="BI57" i="5"/>
  <c r="BF57" i="5"/>
  <c r="BA57" i="5"/>
  <c r="BC57" i="5" s="1"/>
  <c r="AV57" i="5"/>
  <c r="AQ57" i="5"/>
  <c r="AL57" i="5"/>
  <c r="AK57" i="5"/>
  <c r="AG57" i="5"/>
  <c r="AB57" i="5"/>
  <c r="W57" i="5"/>
  <c r="R57" i="5"/>
  <c r="BU56" i="5"/>
  <c r="BP56" i="5"/>
  <c r="BK56" i="5"/>
  <c r="BK55" i="5" s="1"/>
  <c r="BF56" i="5"/>
  <c r="BA56" i="5"/>
  <c r="AV56" i="5"/>
  <c r="AQ56" i="5"/>
  <c r="AO56" i="5"/>
  <c r="AL56" i="5"/>
  <c r="AK56" i="5"/>
  <c r="AG56" i="5"/>
  <c r="AG55" i="5" s="1"/>
  <c r="AB56" i="5"/>
  <c r="AB55" i="5" s="1"/>
  <c r="W56" i="5"/>
  <c r="R56" i="5"/>
  <c r="BU54" i="5"/>
  <c r="AV54" i="5"/>
  <c r="BU52" i="5"/>
  <c r="BT52" i="5"/>
  <c r="BV52" i="5" s="1"/>
  <c r="BS52" i="5"/>
  <c r="BP52" i="5"/>
  <c r="BO52" i="5"/>
  <c r="BK52" i="5"/>
  <c r="BJ52" i="5"/>
  <c r="BF52" i="5"/>
  <c r="BE52" i="5"/>
  <c r="BD52" i="5"/>
  <c r="BA52" i="5"/>
  <c r="AZ52" i="5"/>
  <c r="AV52" i="5"/>
  <c r="AU52" i="5"/>
  <c r="AQ52" i="5"/>
  <c r="AP52" i="5"/>
  <c r="AL52" i="5"/>
  <c r="AK52" i="5"/>
  <c r="AM52" i="5" s="1"/>
  <c r="AG52" i="5"/>
  <c r="AF52" i="5"/>
  <c r="AE52" i="5"/>
  <c r="AB52" i="5"/>
  <c r="AD52" i="5" s="1"/>
  <c r="AA52" i="5"/>
  <c r="W52" i="5"/>
  <c r="V52" i="5"/>
  <c r="R52" i="5"/>
  <c r="Q52" i="5"/>
  <c r="H52" i="5"/>
  <c r="BU51" i="5"/>
  <c r="BT51" i="5"/>
  <c r="BP51" i="5"/>
  <c r="BO51" i="5"/>
  <c r="BK51" i="5"/>
  <c r="BJ51" i="5"/>
  <c r="BF51" i="5"/>
  <c r="BH51" i="5" s="1"/>
  <c r="BE51" i="5"/>
  <c r="BA51" i="5"/>
  <c r="AZ51" i="5"/>
  <c r="AV51" i="5"/>
  <c r="AU51" i="5"/>
  <c r="AQ51" i="5"/>
  <c r="AP51" i="5"/>
  <c r="AR51" i="5" s="1"/>
  <c r="AL51" i="5"/>
  <c r="AK51" i="5"/>
  <c r="AG51" i="5"/>
  <c r="AF51" i="5"/>
  <c r="AB51" i="5"/>
  <c r="AA51" i="5"/>
  <c r="W51" i="5"/>
  <c r="V51" i="5"/>
  <c r="R51" i="5"/>
  <c r="Q51" i="5"/>
  <c r="H51" i="5"/>
  <c r="H56" i="5" s="1"/>
  <c r="T49" i="5"/>
  <c r="O49" i="5"/>
  <c r="N49" i="5"/>
  <c r="M49" i="5"/>
  <c r="L49" i="5"/>
  <c r="K49" i="5"/>
  <c r="BS48" i="5"/>
  <c r="BN48" i="5"/>
  <c r="BI48" i="5"/>
  <c r="BD48" i="5"/>
  <c r="AY48" i="5"/>
  <c r="AT48" i="5"/>
  <c r="AO48" i="5"/>
  <c r="AJ48" i="5"/>
  <c r="AE48" i="5"/>
  <c r="Z48" i="5"/>
  <c r="U48" i="5"/>
  <c r="P48" i="5"/>
  <c r="K48" i="5"/>
  <c r="H48" i="5"/>
  <c r="G48" i="5"/>
  <c r="F48" i="5"/>
  <c r="E46" i="5"/>
  <c r="BU45" i="5"/>
  <c r="BP45" i="5"/>
  <c r="BK45" i="5"/>
  <c r="BF45" i="5"/>
  <c r="BA45" i="5"/>
  <c r="AQ45" i="5"/>
  <c r="AL45" i="5"/>
  <c r="AG45" i="5"/>
  <c r="AB45" i="5"/>
  <c r="W45" i="5"/>
  <c r="R45" i="5"/>
  <c r="BW43" i="5"/>
  <c r="BR43" i="5"/>
  <c r="BM43" i="5"/>
  <c r="BG43" i="5"/>
  <c r="BD43" i="5"/>
  <c r="BH43" i="5" s="1"/>
  <c r="BC43" i="5"/>
  <c r="AX43" i="5"/>
  <c r="AS43" i="5"/>
  <c r="AN43" i="5"/>
  <c r="AI43" i="5"/>
  <c r="AD43" i="5"/>
  <c r="Y43" i="5"/>
  <c r="T43" i="5"/>
  <c r="M43" i="5"/>
  <c r="K43" i="5"/>
  <c r="G43" i="5"/>
  <c r="F43" i="5"/>
  <c r="BR42" i="5"/>
  <c r="BO56" i="5"/>
  <c r="BN56" i="5"/>
  <c r="BE56" i="5"/>
  <c r="BC42" i="5"/>
  <c r="AT56" i="5"/>
  <c r="AS42" i="5"/>
  <c r="AM42" i="5"/>
  <c r="AM56" i="5" s="1"/>
  <c r="AD42" i="5"/>
  <c r="Z56" i="5"/>
  <c r="Y42" i="5"/>
  <c r="V56" i="5"/>
  <c r="U56" i="5"/>
  <c r="Q42" i="5"/>
  <c r="Q56" i="5" s="1"/>
  <c r="M42" i="5"/>
  <c r="M56" i="5" s="1"/>
  <c r="G42" i="5"/>
  <c r="F42" i="5"/>
  <c r="BV41" i="5"/>
  <c r="BQ41" i="5"/>
  <c r="BR41" i="5"/>
  <c r="BM41" i="5"/>
  <c r="BL41" i="5"/>
  <c r="BI51" i="5"/>
  <c r="BG41" i="5"/>
  <c r="BD51" i="5"/>
  <c r="BB41" i="5"/>
  <c r="BC41" i="5"/>
  <c r="AW41" i="5"/>
  <c r="AR41" i="5"/>
  <c r="AS41" i="5"/>
  <c r="AM41" i="5"/>
  <c r="AH41" i="5"/>
  <c r="AC41" i="5"/>
  <c r="Z51" i="5"/>
  <c r="X41" i="5"/>
  <c r="T41" i="5"/>
  <c r="S41" i="5"/>
  <c r="M41" i="5"/>
  <c r="M51" i="5" s="1"/>
  <c r="L41" i="5"/>
  <c r="G41" i="5"/>
  <c r="F41" i="5"/>
  <c r="BR40" i="5"/>
  <c r="BM40" i="5"/>
  <c r="BG40" i="5"/>
  <c r="BH40" i="5"/>
  <c r="BC40" i="5"/>
  <c r="AX40" i="5"/>
  <c r="AS40" i="5"/>
  <c r="AN40" i="5"/>
  <c r="AI40" i="5"/>
  <c r="AD40" i="5"/>
  <c r="Y40" i="5"/>
  <c r="T40" i="5"/>
  <c r="M40" i="5"/>
  <c r="G40" i="5"/>
  <c r="F40" i="5"/>
  <c r="BS57" i="5"/>
  <c r="BR39" i="5"/>
  <c r="BN57" i="5"/>
  <c r="BM39" i="5"/>
  <c r="BG39" i="5"/>
  <c r="BG57" i="5" s="1"/>
  <c r="BE57" i="5"/>
  <c r="BB39" i="5"/>
  <c r="BB57" i="5" s="1"/>
  <c r="AY57" i="5"/>
  <c r="AS39" i="5"/>
  <c r="AO57" i="5"/>
  <c r="X39" i="5"/>
  <c r="X57" i="5" s="1"/>
  <c r="V57" i="5"/>
  <c r="U57" i="5"/>
  <c r="T39" i="5"/>
  <c r="Q39" i="5"/>
  <c r="S39" i="5" s="1"/>
  <c r="S57" i="5" s="1"/>
  <c r="P57" i="5"/>
  <c r="M39" i="5"/>
  <c r="M57" i="5" s="1"/>
  <c r="G39" i="5"/>
  <c r="F39" i="5"/>
  <c r="BV38" i="5"/>
  <c r="BW38" i="5"/>
  <c r="BQ38" i="5"/>
  <c r="BL38" i="5"/>
  <c r="BG38" i="5"/>
  <c r="BH38" i="5"/>
  <c r="BB38" i="5"/>
  <c r="AW38" i="5"/>
  <c r="AR38" i="5"/>
  <c r="AO52" i="5"/>
  <c r="AM38" i="5"/>
  <c r="AI38" i="5"/>
  <c r="AH38" i="5"/>
  <c r="AC38" i="5"/>
  <c r="Z52" i="5"/>
  <c r="X38" i="5"/>
  <c r="S38" i="5"/>
  <c r="M38" i="5"/>
  <c r="L38" i="5"/>
  <c r="L52" i="5" s="1"/>
  <c r="G38" i="5"/>
  <c r="F38" i="5"/>
  <c r="BW36" i="5"/>
  <c r="BV36" i="5"/>
  <c r="BQ36" i="5"/>
  <c r="BR36" i="5"/>
  <c r="BL36" i="5"/>
  <c r="BG36" i="5"/>
  <c r="BB36" i="5"/>
  <c r="BC36" i="5"/>
  <c r="AW36" i="5"/>
  <c r="AR36" i="5"/>
  <c r="AM36" i="5"/>
  <c r="AN36" i="5"/>
  <c r="AH36" i="5"/>
  <c r="AI36" i="5"/>
  <c r="AC36" i="5"/>
  <c r="X36" i="5"/>
  <c r="M36" i="5"/>
  <c r="G36" i="5"/>
  <c r="F36" i="5"/>
  <c r="BV35" i="5"/>
  <c r="BQ35" i="5"/>
  <c r="BL35" i="5"/>
  <c r="BG35" i="5"/>
  <c r="BH35" i="5"/>
  <c r="BB35" i="5"/>
  <c r="BC35" i="5"/>
  <c r="AW35" i="5"/>
  <c r="AR35" i="5"/>
  <c r="AM35" i="5"/>
  <c r="AN35" i="5"/>
  <c r="AH35" i="5"/>
  <c r="AC35" i="5"/>
  <c r="S35" i="5"/>
  <c r="M35" i="5"/>
  <c r="G35" i="5"/>
  <c r="F35" i="5"/>
  <c r="BW34" i="5"/>
  <c r="BV34" i="5"/>
  <c r="BQ34" i="5"/>
  <c r="BR34" i="5"/>
  <c r="BL34" i="5"/>
  <c r="BG34" i="5"/>
  <c r="BH34" i="5"/>
  <c r="BB34" i="5"/>
  <c r="BC34" i="5"/>
  <c r="AW34" i="5"/>
  <c r="AX34" i="5"/>
  <c r="AR34" i="5"/>
  <c r="AM34" i="5"/>
  <c r="AN34" i="5"/>
  <c r="AI34" i="5"/>
  <c r="AC34" i="5"/>
  <c r="X34" i="5"/>
  <c r="S34" i="5"/>
  <c r="M34" i="5"/>
  <c r="G34" i="5"/>
  <c r="F34" i="5"/>
  <c r="BV33" i="5"/>
  <c r="BQ33" i="5"/>
  <c r="BL33" i="5"/>
  <c r="BG33" i="5"/>
  <c r="BH33" i="5"/>
  <c r="BB33" i="5"/>
  <c r="BC33" i="5"/>
  <c r="AW33" i="5"/>
  <c r="AX33" i="5"/>
  <c r="AR33" i="5"/>
  <c r="AN33" i="5"/>
  <c r="AH33" i="5"/>
  <c r="AC33" i="5"/>
  <c r="T33" i="5"/>
  <c r="S33" i="5"/>
  <c r="M33" i="5"/>
  <c r="G33" i="5"/>
  <c r="F33" i="5"/>
  <c r="BV32" i="5"/>
  <c r="BW32" i="5"/>
  <c r="BQ32" i="5"/>
  <c r="BL32" i="5"/>
  <c r="BM32" i="5"/>
  <c r="BG32" i="5"/>
  <c r="AS32" i="5"/>
  <c r="AH32" i="5"/>
  <c r="AI32" i="5"/>
  <c r="AC32" i="5"/>
  <c r="X32" i="5"/>
  <c r="S32" i="5"/>
  <c r="M32" i="5"/>
  <c r="G32" i="5"/>
  <c r="F32" i="5"/>
  <c r="BV31" i="5"/>
  <c r="BC31" i="5"/>
  <c r="AR31" i="5"/>
  <c r="AS31" i="5"/>
  <c r="AM31" i="5"/>
  <c r="AC31" i="5"/>
  <c r="X31" i="5"/>
  <c r="S31" i="5"/>
  <c r="M31" i="5"/>
  <c r="G31" i="5"/>
  <c r="F31" i="5"/>
  <c r="BW30" i="5"/>
  <c r="BB30" i="5"/>
  <c r="AR30" i="5"/>
  <c r="AM30" i="5"/>
  <c r="AN30" i="5"/>
  <c r="AI30" i="5"/>
  <c r="M30" i="5"/>
  <c r="G30" i="5"/>
  <c r="F30" i="5"/>
  <c r="BF54" i="5"/>
  <c r="R29" i="5"/>
  <c r="AN28" i="5"/>
  <c r="M28" i="5"/>
  <c r="M59" i="5" s="1"/>
  <c r="M27" i="5"/>
  <c r="BM27" i="5"/>
  <c r="AX27" i="5"/>
  <c r="AS27" i="5"/>
  <c r="AN27" i="5"/>
  <c r="T27" i="5"/>
  <c r="BV26" i="5"/>
  <c r="BR26" i="5"/>
  <c r="BQ26" i="5"/>
  <c r="BL26" i="5"/>
  <c r="BM26" i="5"/>
  <c r="BG26" i="5"/>
  <c r="BB26" i="5"/>
  <c r="AW26" i="5"/>
  <c r="AR26" i="5"/>
  <c r="AM26" i="5"/>
  <c r="AN26" i="5"/>
  <c r="AH26" i="5"/>
  <c r="AC26" i="5"/>
  <c r="X26" i="5"/>
  <c r="S26" i="5"/>
  <c r="T26" i="5"/>
  <c r="M26" i="5"/>
  <c r="L26" i="5"/>
  <c r="G26" i="5"/>
  <c r="F26" i="5"/>
  <c r="BV25" i="5"/>
  <c r="BQ25" i="5"/>
  <c r="BL25" i="5"/>
  <c r="BM25" i="5"/>
  <c r="BG25" i="5"/>
  <c r="BB25" i="5"/>
  <c r="AW25" i="5"/>
  <c r="AR25" i="5"/>
  <c r="AM25" i="5"/>
  <c r="AN25" i="5"/>
  <c r="AH25" i="5"/>
  <c r="AI25" i="5"/>
  <c r="AC25" i="5"/>
  <c r="X25" i="5"/>
  <c r="S25" i="5"/>
  <c r="M25" i="5"/>
  <c r="L25" i="5"/>
  <c r="G25" i="5"/>
  <c r="F25" i="5"/>
  <c r="BV24" i="5"/>
  <c r="BQ24" i="5"/>
  <c r="BL24" i="5"/>
  <c r="BG24" i="5"/>
  <c r="BB24" i="5"/>
  <c r="AW24" i="5"/>
  <c r="AR24" i="5"/>
  <c r="AM24" i="5"/>
  <c r="AN24" i="5"/>
  <c r="AH24" i="5"/>
  <c r="AC24" i="5"/>
  <c r="X24" i="5"/>
  <c r="Y24" i="5"/>
  <c r="T24" i="5"/>
  <c r="S24" i="5"/>
  <c r="M24" i="5"/>
  <c r="L24" i="5"/>
  <c r="G24" i="5"/>
  <c r="F24" i="5"/>
  <c r="BG23" i="5"/>
  <c r="H23" i="5"/>
  <c r="BV22" i="5"/>
  <c r="BQ22" i="5"/>
  <c r="BL22" i="5"/>
  <c r="BG22" i="5"/>
  <c r="BB22" i="5"/>
  <c r="AW22" i="5"/>
  <c r="AR22" i="5"/>
  <c r="AM22" i="5"/>
  <c r="AH22" i="5"/>
  <c r="AC22" i="5"/>
  <c r="X22" i="5"/>
  <c r="S22" i="5"/>
  <c r="M22" i="5"/>
  <c r="L22" i="5"/>
  <c r="G22" i="5"/>
  <c r="F22" i="5"/>
  <c r="BV21" i="5"/>
  <c r="BQ21" i="5"/>
  <c r="BL21" i="5"/>
  <c r="BG21" i="5"/>
  <c r="BB21" i="5"/>
  <c r="AW21" i="5"/>
  <c r="AR21" i="5"/>
  <c r="AM21" i="5"/>
  <c r="AH21" i="5"/>
  <c r="AC21" i="5"/>
  <c r="X21" i="5"/>
  <c r="S21" i="5"/>
  <c r="M21" i="5"/>
  <c r="L21" i="5"/>
  <c r="G21" i="5"/>
  <c r="F21" i="5"/>
  <c r="F23" i="5" s="1"/>
  <c r="BG20" i="5"/>
  <c r="BV19" i="5"/>
  <c r="BW19" i="5"/>
  <c r="BQ19" i="5"/>
  <c r="BR19" i="5"/>
  <c r="BM19" i="5"/>
  <c r="BL19" i="5"/>
  <c r="BG19" i="5"/>
  <c r="BB19" i="5"/>
  <c r="BC19" i="5"/>
  <c r="AW19" i="5"/>
  <c r="AX19" i="5"/>
  <c r="AR19" i="5"/>
  <c r="AS19" i="5"/>
  <c r="AN19" i="5"/>
  <c r="AM19" i="5"/>
  <c r="AI19" i="5"/>
  <c r="AH19" i="5"/>
  <c r="AC19" i="5"/>
  <c r="AD19" i="5"/>
  <c r="X19" i="5"/>
  <c r="S19" i="5"/>
  <c r="M19" i="5"/>
  <c r="L19" i="5"/>
  <c r="G19" i="5"/>
  <c r="F19" i="5"/>
  <c r="BV18" i="5"/>
  <c r="BW18" i="5"/>
  <c r="BQ18" i="5"/>
  <c r="BL18" i="5"/>
  <c r="BM18" i="5"/>
  <c r="BG18" i="5"/>
  <c r="BH18" i="5"/>
  <c r="BC18" i="5"/>
  <c r="BB18" i="5"/>
  <c r="AW18" i="5"/>
  <c r="AX18" i="5"/>
  <c r="AR18" i="5"/>
  <c r="AS18" i="5"/>
  <c r="AM18" i="5"/>
  <c r="AN18" i="5"/>
  <c r="AH18" i="5"/>
  <c r="AI18" i="5"/>
  <c r="AC18" i="5"/>
  <c r="AD18" i="5"/>
  <c r="X18" i="5"/>
  <c r="Y18" i="5"/>
  <c r="S18" i="5"/>
  <c r="M18" i="5"/>
  <c r="L18" i="5"/>
  <c r="G18" i="5"/>
  <c r="F18" i="5"/>
  <c r="BV17" i="5"/>
  <c r="BW17" i="5"/>
  <c r="BQ17" i="5"/>
  <c r="BR17" i="5"/>
  <c r="BL17" i="5"/>
  <c r="BH17" i="5"/>
  <c r="BG17" i="5"/>
  <c r="BB17" i="5"/>
  <c r="BC17" i="5"/>
  <c r="AW17" i="5"/>
  <c r="AX17" i="5"/>
  <c r="AR17" i="5"/>
  <c r="AS17" i="5"/>
  <c r="AM17" i="5"/>
  <c r="AN17" i="5"/>
  <c r="AI17" i="5"/>
  <c r="AH17" i="5"/>
  <c r="AD17" i="5"/>
  <c r="AC17" i="5"/>
  <c r="X17" i="5"/>
  <c r="Y17" i="5"/>
  <c r="S17" i="5"/>
  <c r="M17" i="5"/>
  <c r="L17" i="5"/>
  <c r="G17" i="5"/>
  <c r="F17" i="5"/>
  <c r="BV16" i="5"/>
  <c r="BW16" i="5"/>
  <c r="BQ16" i="5"/>
  <c r="BR16" i="5"/>
  <c r="BM16" i="5"/>
  <c r="BL16" i="5"/>
  <c r="BH16" i="5"/>
  <c r="BG16" i="5"/>
  <c r="BB16" i="5"/>
  <c r="AW16" i="5"/>
  <c r="AX16" i="5"/>
  <c r="AR16" i="5"/>
  <c r="AS16" i="5"/>
  <c r="AM16" i="5"/>
  <c r="AH16" i="5"/>
  <c r="AI16" i="5"/>
  <c r="AC16" i="5"/>
  <c r="AD16" i="5"/>
  <c r="X16" i="5"/>
  <c r="Y16" i="5"/>
  <c r="S16" i="5"/>
  <c r="M16" i="5"/>
  <c r="L16" i="5"/>
  <c r="G16" i="5"/>
  <c r="F16" i="5"/>
  <c r="BQ15" i="5"/>
  <c r="AH15" i="5"/>
  <c r="H15" i="5"/>
  <c r="F15" i="5"/>
  <c r="BV14" i="5"/>
  <c r="BW14" i="5"/>
  <c r="BQ14" i="5"/>
  <c r="BR14" i="5"/>
  <c r="BL14" i="5"/>
  <c r="BM14" i="5"/>
  <c r="BG14" i="5"/>
  <c r="BB14" i="5"/>
  <c r="BC14" i="5"/>
  <c r="AW14" i="5"/>
  <c r="AX14" i="5"/>
  <c r="AR14" i="5"/>
  <c r="AS14" i="5"/>
  <c r="AN14" i="5"/>
  <c r="AM14" i="5"/>
  <c r="AH14" i="5"/>
  <c r="AI14" i="5"/>
  <c r="AC14" i="5"/>
  <c r="AD14" i="5"/>
  <c r="X14" i="5"/>
  <c r="Y14" i="5"/>
  <c r="S14" i="5"/>
  <c r="M14" i="5"/>
  <c r="L14" i="5"/>
  <c r="G14" i="5"/>
  <c r="F14" i="5"/>
  <c r="BV13" i="5"/>
  <c r="BW13" i="5"/>
  <c r="BQ13" i="5"/>
  <c r="BR13" i="5"/>
  <c r="BM13" i="5"/>
  <c r="BL13" i="5"/>
  <c r="BG13" i="5"/>
  <c r="BH13" i="5"/>
  <c r="BB13" i="5"/>
  <c r="BC13" i="5"/>
  <c r="AW13" i="5"/>
  <c r="AX13" i="5"/>
  <c r="AR13" i="5"/>
  <c r="AS13" i="5"/>
  <c r="AN13" i="5"/>
  <c r="AM13" i="5"/>
  <c r="AH13" i="5"/>
  <c r="AI13" i="5"/>
  <c r="AC13" i="5"/>
  <c r="AD13" i="5"/>
  <c r="X13" i="5"/>
  <c r="Y13" i="5"/>
  <c r="S13" i="5"/>
  <c r="T13" i="5"/>
  <c r="M13" i="5"/>
  <c r="L13" i="5"/>
  <c r="G13" i="5"/>
  <c r="F13" i="5"/>
  <c r="BV12" i="5"/>
  <c r="BQ12" i="5"/>
  <c r="BR12" i="5"/>
  <c r="BL12" i="5"/>
  <c r="BG12" i="5"/>
  <c r="BH12" i="5"/>
  <c r="BB12" i="5"/>
  <c r="AW12" i="5"/>
  <c r="AR12" i="5"/>
  <c r="AS12" i="5"/>
  <c r="AN12" i="5"/>
  <c r="AM12" i="5"/>
  <c r="AI12" i="5"/>
  <c r="AH12" i="5"/>
  <c r="AC12" i="5"/>
  <c r="AD12" i="5"/>
  <c r="X12" i="5"/>
  <c r="S12" i="5"/>
  <c r="T12" i="5"/>
  <c r="M12" i="5"/>
  <c r="L12" i="5"/>
  <c r="G12" i="5"/>
  <c r="F12" i="5"/>
  <c r="BG11" i="5"/>
  <c r="AR11" i="5"/>
  <c r="R11" i="5"/>
  <c r="Q11" i="5"/>
  <c r="AS8" i="5"/>
  <c r="P8" i="5"/>
  <c r="G8" i="5"/>
  <c r="F8" i="5"/>
  <c r="F5" i="5" s="1"/>
  <c r="M7" i="5"/>
  <c r="G7" i="5"/>
  <c r="P7" i="5"/>
  <c r="K7" i="5"/>
  <c r="R6" i="5"/>
  <c r="F6" i="5"/>
  <c r="R5" i="5"/>
  <c r="G5" i="5"/>
  <c r="Y3" i="5"/>
  <c r="X3" i="5"/>
  <c r="T3" i="5"/>
  <c r="S3" i="5"/>
  <c r="S49" i="5" s="1"/>
  <c r="R3" i="5"/>
  <c r="R49" i="5" s="1"/>
  <c r="Q3" i="5"/>
  <c r="P3" i="5"/>
  <c r="Q7" i="4"/>
  <c r="H11" i="4"/>
  <c r="AD26" i="4"/>
  <c r="AD25" i="4"/>
  <c r="AD24" i="4"/>
  <c r="AD22" i="4"/>
  <c r="AD21" i="4"/>
  <c r="AD19" i="4"/>
  <c r="AD18" i="4"/>
  <c r="AD17" i="4"/>
  <c r="AD16" i="4"/>
  <c r="AD14" i="4"/>
  <c r="AD13" i="4"/>
  <c r="AD12" i="4"/>
  <c r="BR26" i="4"/>
  <c r="BR25" i="4"/>
  <c r="BR24" i="4"/>
  <c r="BR22" i="4"/>
  <c r="BR21" i="4"/>
  <c r="BR19" i="4"/>
  <c r="BR18" i="4"/>
  <c r="BR17" i="4"/>
  <c r="BR16" i="4"/>
  <c r="BR14" i="4"/>
  <c r="BR13" i="4"/>
  <c r="BR12" i="4"/>
  <c r="BM26" i="4"/>
  <c r="BM25" i="4"/>
  <c r="BM24" i="4"/>
  <c r="BM22" i="4"/>
  <c r="BM21" i="4"/>
  <c r="BM19" i="4"/>
  <c r="BM18" i="4"/>
  <c r="BM17" i="4"/>
  <c r="BM16" i="4"/>
  <c r="BM14" i="4"/>
  <c r="BM13" i="4"/>
  <c r="BM12" i="4"/>
  <c r="BH26" i="4"/>
  <c r="BH25" i="4"/>
  <c r="BH24" i="4"/>
  <c r="BH22" i="4"/>
  <c r="BH21" i="4"/>
  <c r="BH19" i="4"/>
  <c r="BH18" i="4"/>
  <c r="BH17" i="4"/>
  <c r="BH16" i="4"/>
  <c r="BH14" i="4"/>
  <c r="BH13" i="4"/>
  <c r="BH12" i="4"/>
  <c r="BC26" i="4"/>
  <c r="BC25" i="4"/>
  <c r="BC24" i="4"/>
  <c r="BC22" i="4"/>
  <c r="BC21" i="4"/>
  <c r="BC19" i="4"/>
  <c r="BC18" i="4"/>
  <c r="BC17" i="4"/>
  <c r="BC16" i="4"/>
  <c r="BC14" i="4"/>
  <c r="BC13" i="4"/>
  <c r="BC12" i="4"/>
  <c r="AX26" i="4"/>
  <c r="AX25" i="4"/>
  <c r="AX24" i="4"/>
  <c r="AX22" i="4"/>
  <c r="AX21" i="4"/>
  <c r="AX19" i="4"/>
  <c r="AX18" i="4"/>
  <c r="AX17" i="4"/>
  <c r="AX16" i="4"/>
  <c r="AX14" i="4"/>
  <c r="AX13" i="4"/>
  <c r="AX12" i="4"/>
  <c r="AS28" i="4"/>
  <c r="AS27" i="4"/>
  <c r="AS25" i="4"/>
  <c r="AS24" i="4"/>
  <c r="AS23" i="4"/>
  <c r="AS22" i="4"/>
  <c r="AS21" i="4"/>
  <c r="AS19" i="4"/>
  <c r="AS18" i="4"/>
  <c r="AS17" i="4"/>
  <c r="AS16" i="4"/>
  <c r="AS14" i="4"/>
  <c r="AS13" i="4"/>
  <c r="AS12" i="4"/>
  <c r="AN26" i="4"/>
  <c r="AN25" i="4"/>
  <c r="AN24" i="4"/>
  <c r="AN22" i="4"/>
  <c r="AN21" i="4"/>
  <c r="AN19" i="4"/>
  <c r="AN18" i="4"/>
  <c r="AN17" i="4"/>
  <c r="AN16" i="4"/>
  <c r="AN14" i="4"/>
  <c r="AN13" i="4"/>
  <c r="AN12" i="4"/>
  <c r="AI26" i="4"/>
  <c r="AI25" i="4"/>
  <c r="AI24" i="4"/>
  <c r="AI22" i="4"/>
  <c r="AI21" i="4"/>
  <c r="AI19" i="4"/>
  <c r="AI18" i="4"/>
  <c r="AI17" i="4"/>
  <c r="AI16" i="4"/>
  <c r="AI14" i="4"/>
  <c r="AI13" i="4"/>
  <c r="AI12" i="4"/>
  <c r="Y26" i="4"/>
  <c r="Y25" i="4"/>
  <c r="Y24" i="4"/>
  <c r="Y22" i="4"/>
  <c r="Y21" i="4"/>
  <c r="Y19" i="4"/>
  <c r="Y18" i="4"/>
  <c r="Y17" i="4"/>
  <c r="Y16" i="4"/>
  <c r="Y14" i="4"/>
  <c r="Y13" i="4"/>
  <c r="Y12" i="4"/>
  <c r="T26" i="4"/>
  <c r="T25" i="4"/>
  <c r="T24" i="4"/>
  <c r="T22" i="4"/>
  <c r="T21" i="4"/>
  <c r="T19" i="4"/>
  <c r="T18" i="4"/>
  <c r="T17" i="4"/>
  <c r="T16" i="4"/>
  <c r="T14" i="4"/>
  <c r="T13" i="4"/>
  <c r="T12" i="4"/>
  <c r="O26" i="4"/>
  <c r="O25" i="4"/>
  <c r="O24" i="4"/>
  <c r="O22" i="4"/>
  <c r="O21" i="4"/>
  <c r="O19" i="4"/>
  <c r="O18" i="4"/>
  <c r="O17" i="4"/>
  <c r="O16" i="4"/>
  <c r="O14" i="4"/>
  <c r="O13" i="4"/>
  <c r="O12" i="4"/>
  <c r="BX12" i="4" s="1"/>
  <c r="H23" i="4"/>
  <c r="H20" i="4"/>
  <c r="H15" i="4"/>
  <c r="BI29" i="5" l="1"/>
  <c r="BI37" i="5" s="1"/>
  <c r="AT29" i="5"/>
  <c r="AT37" i="5" s="1"/>
  <c r="AO29" i="5"/>
  <c r="AO37" i="5" s="1"/>
  <c r="AJ29" i="5"/>
  <c r="AJ37" i="5" s="1"/>
  <c r="Z29" i="5"/>
  <c r="Z37" i="5" s="1"/>
  <c r="H10" i="4"/>
  <c r="H9" i="4" s="1"/>
  <c r="BX17" i="4"/>
  <c r="BX13" i="4"/>
  <c r="BX16" i="4"/>
  <c r="BX14" i="4"/>
  <c r="BX18" i="4"/>
  <c r="BX25" i="4"/>
  <c r="BX19" i="4"/>
  <c r="BX21" i="4"/>
  <c r="BX22" i="4"/>
  <c r="BX24" i="4"/>
  <c r="BX26" i="4"/>
  <c r="I10" i="5"/>
  <c r="BO8" i="5"/>
  <c r="BJ8" i="5"/>
  <c r="BL11" i="5"/>
  <c r="AZ4" i="5"/>
  <c r="AZ8" i="5"/>
  <c r="AZ7" i="5"/>
  <c r="AU8" i="5"/>
  <c r="AU7" i="5"/>
  <c r="AF4" i="5"/>
  <c r="AF8" i="5"/>
  <c r="AF7" i="5"/>
  <c r="BB42" i="5"/>
  <c r="BB56" i="5" s="1"/>
  <c r="AR42" i="5"/>
  <c r="AR56" i="5" s="1"/>
  <c r="AP56" i="5"/>
  <c r="AM51" i="5"/>
  <c r="L51" i="5"/>
  <c r="I41" i="5"/>
  <c r="I57" i="5"/>
  <c r="J57" i="5" s="1"/>
  <c r="J52" i="5"/>
  <c r="I40" i="5"/>
  <c r="J40" i="5" s="1"/>
  <c r="BQ52" i="5"/>
  <c r="BL39" i="5"/>
  <c r="BL57" i="5" s="1"/>
  <c r="BJ57" i="5"/>
  <c r="AZ57" i="5"/>
  <c r="BB52" i="5"/>
  <c r="AW39" i="5"/>
  <c r="AW57" i="5" s="1"/>
  <c r="AP57" i="5"/>
  <c r="AM39" i="5"/>
  <c r="AM57" i="5" s="1"/>
  <c r="AF57" i="5"/>
  <c r="BT37" i="5"/>
  <c r="BT6" i="5"/>
  <c r="BO28" i="5"/>
  <c r="BO27" i="5" s="1"/>
  <c r="BO6" i="5" s="1"/>
  <c r="BB4" i="5"/>
  <c r="AZ28" i="5"/>
  <c r="AZ27" i="5" s="1"/>
  <c r="AZ6" i="5" s="1"/>
  <c r="AU4" i="5"/>
  <c r="AP4" i="5"/>
  <c r="BQ51" i="5"/>
  <c r="BJ28" i="5"/>
  <c r="BJ27" i="5" s="1"/>
  <c r="BJ6" i="5" s="1"/>
  <c r="AZ53" i="5"/>
  <c r="AW4" i="5"/>
  <c r="AW51" i="5"/>
  <c r="AU28" i="5"/>
  <c r="AU27" i="5" s="1"/>
  <c r="AU6" i="5" s="1"/>
  <c r="AR4" i="5"/>
  <c r="AP28" i="5"/>
  <c r="AP27" i="5" s="1"/>
  <c r="AP6" i="5" s="1"/>
  <c r="AK4" i="5"/>
  <c r="AK7" i="5"/>
  <c r="AK6" i="5" s="1"/>
  <c r="AK8" i="5"/>
  <c r="AM4" i="5"/>
  <c r="AM20" i="5"/>
  <c r="AH4" i="5"/>
  <c r="AF28" i="5"/>
  <c r="AF27" i="5" s="1"/>
  <c r="AF6" i="5" s="1"/>
  <c r="AB9" i="5"/>
  <c r="AB4" i="5" s="1"/>
  <c r="AC10" i="5"/>
  <c r="AA4" i="5"/>
  <c r="AA8" i="5"/>
  <c r="AA5" i="5" s="1"/>
  <c r="AA7" i="5"/>
  <c r="AA6" i="5" s="1"/>
  <c r="AC52" i="5"/>
  <c r="V4" i="5"/>
  <c r="V7" i="5"/>
  <c r="V8" i="5"/>
  <c r="V5" i="5" s="1"/>
  <c r="Y57" i="5"/>
  <c r="W10" i="5"/>
  <c r="W9" i="5" s="1"/>
  <c r="W4" i="5" s="1"/>
  <c r="W55" i="5"/>
  <c r="N41" i="5"/>
  <c r="Q40" i="5"/>
  <c r="S40" i="5" s="1"/>
  <c r="N25" i="5"/>
  <c r="L23" i="5"/>
  <c r="S20" i="5"/>
  <c r="N19" i="5"/>
  <c r="N17" i="5"/>
  <c r="Q10" i="5"/>
  <c r="Q9" i="5" s="1"/>
  <c r="Q7" i="5" s="1"/>
  <c r="L15" i="5"/>
  <c r="N12" i="5"/>
  <c r="M23" i="5"/>
  <c r="BS10" i="5"/>
  <c r="BS9" i="5" s="1"/>
  <c r="BS4" i="5" s="1"/>
  <c r="BW31" i="5"/>
  <c r="BS5" i="5"/>
  <c r="BS58" i="5"/>
  <c r="BW58" i="5" s="1"/>
  <c r="BS11" i="5"/>
  <c r="BN5" i="5"/>
  <c r="BN29" i="5"/>
  <c r="BN37" i="5" s="1"/>
  <c r="BN23" i="5"/>
  <c r="BN10" i="5" s="1"/>
  <c r="BN9" i="5" s="1"/>
  <c r="BN11" i="5"/>
  <c r="BR11" i="5" s="1"/>
  <c r="BM31" i="5"/>
  <c r="BI23" i="5"/>
  <c r="BI10" i="5" s="1"/>
  <c r="BI9" i="5" s="1"/>
  <c r="BI4" i="5" s="1"/>
  <c r="BH14" i="5"/>
  <c r="BD22" i="5"/>
  <c r="BH22" i="5" s="1"/>
  <c r="AY10" i="5"/>
  <c r="AY9" i="5" s="1"/>
  <c r="AY4" i="5" s="1"/>
  <c r="BC4" i="5" s="1"/>
  <c r="AY11" i="5"/>
  <c r="AT10" i="5"/>
  <c r="AT9" i="5" s="1"/>
  <c r="AT4" i="5" s="1"/>
  <c r="AX4" i="5" s="1"/>
  <c r="AX31" i="5"/>
  <c r="AT11" i="5"/>
  <c r="AX56" i="5"/>
  <c r="AO23" i="5"/>
  <c r="AO10" i="5" s="1"/>
  <c r="AO9" i="5" s="1"/>
  <c r="AO4" i="5" s="1"/>
  <c r="AS4" i="5" s="1"/>
  <c r="AO11" i="5"/>
  <c r="AS57" i="5"/>
  <c r="AN31" i="5"/>
  <c r="AJ11" i="5"/>
  <c r="AJ23" i="5"/>
  <c r="AJ10" i="5" s="1"/>
  <c r="AJ9" i="5" s="1"/>
  <c r="AJ4" i="5" s="1"/>
  <c r="AN4" i="5" s="1"/>
  <c r="AN6" i="5"/>
  <c r="AE10" i="5"/>
  <c r="AE9" i="5" s="1"/>
  <c r="AE4" i="5" s="1"/>
  <c r="AI4" i="5" s="1"/>
  <c r="AE6" i="5"/>
  <c r="AE11" i="5"/>
  <c r="Z6" i="5"/>
  <c r="Z23" i="5"/>
  <c r="Z10" i="5" s="1"/>
  <c r="Z9" i="5" s="1"/>
  <c r="Z4" i="5" s="1"/>
  <c r="AD4" i="5" s="1"/>
  <c r="Z11" i="5"/>
  <c r="AD6" i="5"/>
  <c r="U23" i="5"/>
  <c r="U10" i="5" s="1"/>
  <c r="U9" i="5" s="1"/>
  <c r="U29" i="5"/>
  <c r="U37" i="5" s="1"/>
  <c r="U11" i="5"/>
  <c r="K31" i="5"/>
  <c r="O31" i="5" s="1"/>
  <c r="H10" i="5"/>
  <c r="H9" i="5" s="1"/>
  <c r="BG30" i="5"/>
  <c r="H11" i="5"/>
  <c r="BL30" i="5"/>
  <c r="AM32" i="5"/>
  <c r="BB31" i="5"/>
  <c r="BQ30" i="5"/>
  <c r="AR32" i="5"/>
  <c r="X29" i="5"/>
  <c r="X30" i="5"/>
  <c r="BV30" i="5"/>
  <c r="BG31" i="5"/>
  <c r="AW31" i="5"/>
  <c r="AW32" i="5"/>
  <c r="BQ31" i="5"/>
  <c r="AH30" i="5"/>
  <c r="M6" i="5"/>
  <c r="AA103" i="5"/>
  <c r="AC103" i="5" s="1"/>
  <c r="V103" i="5"/>
  <c r="X103" i="5" s="1"/>
  <c r="J103" i="5"/>
  <c r="AP103" i="5"/>
  <c r="AR103" i="5" s="1"/>
  <c r="AF103" i="5"/>
  <c r="AH103" i="5" s="1"/>
  <c r="AK103" i="5"/>
  <c r="AM103" i="5" s="1"/>
  <c r="AD23" i="5"/>
  <c r="BH80" i="5"/>
  <c r="P23" i="5"/>
  <c r="T21" i="5"/>
  <c r="BW39" i="5"/>
  <c r="W54" i="5"/>
  <c r="AM75" i="5"/>
  <c r="AX15" i="5"/>
  <c r="AX11" i="5"/>
  <c r="AX12" i="5"/>
  <c r="AW23" i="5"/>
  <c r="M11" i="5"/>
  <c r="BW27" i="5"/>
  <c r="K27" i="5"/>
  <c r="O27" i="5" s="1"/>
  <c r="G27" i="5"/>
  <c r="AH39" i="5"/>
  <c r="AH57" i="5" s="1"/>
  <c r="BW40" i="5"/>
  <c r="K40" i="5"/>
  <c r="O40" i="5" s="1"/>
  <c r="W79" i="5"/>
  <c r="W78" i="5" s="1"/>
  <c r="G15" i="5"/>
  <c r="G10" i="5" s="1"/>
  <c r="K18" i="5"/>
  <c r="O18" i="5" s="1"/>
  <c r="AO54" i="5"/>
  <c r="AS30" i="5"/>
  <c r="BB51" i="5"/>
  <c r="AX89" i="5"/>
  <c r="AT91" i="5"/>
  <c r="AX91" i="5" s="1"/>
  <c r="BW7" i="5"/>
  <c r="N22" i="5"/>
  <c r="BN88" i="5"/>
  <c r="BR88" i="5" s="1"/>
  <c r="T18" i="5"/>
  <c r="AW75" i="5"/>
  <c r="BS88" i="5"/>
  <c r="BW88" i="5" s="1"/>
  <c r="BV91" i="5"/>
  <c r="BM38" i="5"/>
  <c r="BI52" i="5"/>
  <c r="BM52" i="5" s="1"/>
  <c r="BR84" i="5"/>
  <c r="BT79" i="5"/>
  <c r="BT78" i="5" s="1"/>
  <c r="P6" i="5"/>
  <c r="T6" i="5" s="1"/>
  <c r="AH31" i="5"/>
  <c r="X88" i="5"/>
  <c r="AK98" i="5"/>
  <c r="AM98" i="5" s="1"/>
  <c r="BG42" i="5"/>
  <c r="BG56" i="5" s="1"/>
  <c r="P52" i="5"/>
  <c r="T52" i="5" s="1"/>
  <c r="T38" i="5"/>
  <c r="BT57" i="5"/>
  <c r="L40" i="5"/>
  <c r="N40" i="5" s="1"/>
  <c r="L79" i="5"/>
  <c r="L78" i="5" s="1"/>
  <c r="N16" i="5"/>
  <c r="M20" i="5"/>
  <c r="BC76" i="5"/>
  <c r="AY75" i="5"/>
  <c r="BC75" i="5" s="1"/>
  <c r="Y7" i="5"/>
  <c r="AU57" i="5"/>
  <c r="BW15" i="5"/>
  <c r="AS28" i="5"/>
  <c r="AO59" i="5"/>
  <c r="AO55" i="5" s="1"/>
  <c r="AJ105" i="5"/>
  <c r="AN105" i="5" s="1"/>
  <c r="AT58" i="5"/>
  <c r="AX58" i="5" s="1"/>
  <c r="AO83" i="5"/>
  <c r="AS83" i="5" s="1"/>
  <c r="AX8" i="5"/>
  <c r="BH21" i="5"/>
  <c r="BE79" i="5"/>
  <c r="BE78" i="5" s="1"/>
  <c r="AN97" i="5"/>
  <c r="BW5" i="5"/>
  <c r="AH23" i="5"/>
  <c r="K26" i="5"/>
  <c r="O26" i="5" s="1"/>
  <c r="AJ51" i="5"/>
  <c r="AN41" i="5"/>
  <c r="AE59" i="5"/>
  <c r="AI59" i="5" s="1"/>
  <c r="BV75" i="5"/>
  <c r="AO105" i="5"/>
  <c r="AY56" i="5"/>
  <c r="BC56" i="5" s="1"/>
  <c r="Z75" i="5"/>
  <c r="AQ105" i="5"/>
  <c r="AS97" i="5"/>
  <c r="AX38" i="5"/>
  <c r="AT52" i="5"/>
  <c r="AX52" i="5" s="1"/>
  <c r="BW28" i="5"/>
  <c r="AZ56" i="5"/>
  <c r="N76" i="5"/>
  <c r="AY91" i="5"/>
  <c r="BC91" i="5" s="1"/>
  <c r="AS38" i="5"/>
  <c r="BR58" i="5"/>
  <c r="BD75" i="5"/>
  <c r="BH76" i="5"/>
  <c r="AM91" i="5"/>
  <c r="BL42" i="5"/>
  <c r="BL56" i="5" s="1"/>
  <c r="BL43" i="5"/>
  <c r="AS91" i="5"/>
  <c r="P49" i="5"/>
  <c r="U3" i="5"/>
  <c r="U49" i="5" s="1"/>
  <c r="G23" i="5"/>
  <c r="G29" i="5"/>
  <c r="G37" i="5" s="1"/>
  <c r="K103" i="5"/>
  <c r="O103" i="5" s="1"/>
  <c r="AI75" i="5"/>
  <c r="BI88" i="5"/>
  <c r="BM88" i="5" s="1"/>
  <c r="X11" i="5"/>
  <c r="BC15" i="5"/>
  <c r="AO91" i="5"/>
  <c r="BV11" i="5"/>
  <c r="BW23" i="5"/>
  <c r="AS52" i="5"/>
  <c r="BA55" i="5"/>
  <c r="M75" i="5"/>
  <c r="T90" i="5"/>
  <c r="AY97" i="5"/>
  <c r="AY105" i="5" s="1"/>
  <c r="BC105" i="5" s="1"/>
  <c r="F11" i="5"/>
  <c r="AW15" i="5"/>
  <c r="BN75" i="5"/>
  <c r="BR75" i="5" s="1"/>
  <c r="AC11" i="5"/>
  <c r="N14" i="5"/>
  <c r="X42" i="5"/>
  <c r="X56" i="5" s="1"/>
  <c r="BQ42" i="5"/>
  <c r="BQ56" i="5" s="1"/>
  <c r="S51" i="5"/>
  <c r="AS75" i="5"/>
  <c r="S83" i="5"/>
  <c r="Z83" i="5"/>
  <c r="AD83" i="5" s="1"/>
  <c r="BD91" i="5"/>
  <c r="BH91" i="5" s="1"/>
  <c r="BU55" i="5"/>
  <c r="F91" i="5"/>
  <c r="BC39" i="5"/>
  <c r="F88" i="5"/>
  <c r="BC7" i="5"/>
  <c r="O43" i="5"/>
  <c r="BH41" i="5"/>
  <c r="AN15" i="5"/>
  <c r="S52" i="5"/>
  <c r="AS80" i="5"/>
  <c r="S91" i="5"/>
  <c r="BC6" i="5"/>
  <c r="BW12" i="5"/>
  <c r="AS5" i="5"/>
  <c r="BL20" i="5"/>
  <c r="AX23" i="5"/>
  <c r="BM28" i="5"/>
  <c r="AO51" i="5"/>
  <c r="AS51" i="5" s="1"/>
  <c r="AE74" i="5"/>
  <c r="AI74" i="5" s="1"/>
  <c r="AE105" i="5"/>
  <c r="N13" i="5"/>
  <c r="AI15" i="5"/>
  <c r="F20" i="5"/>
  <c r="F10" i="5" s="1"/>
  <c r="F9" i="5" s="1"/>
  <c r="F4" i="5" s="1"/>
  <c r="X10" i="5"/>
  <c r="BO53" i="5"/>
  <c r="AX75" i="5"/>
  <c r="G83" i="5"/>
  <c r="J83" i="5" s="1"/>
  <c r="AE83" i="5"/>
  <c r="BP79" i="5"/>
  <c r="BP78" i="5" s="1"/>
  <c r="BP73" i="5" s="1"/>
  <c r="BQ78" i="5"/>
  <c r="V3" i="5"/>
  <c r="Q49" i="5"/>
  <c r="BM30" i="5"/>
  <c r="BM17" i="5"/>
  <c r="BM20" i="5"/>
  <c r="BR29" i="5"/>
  <c r="BP54" i="5"/>
  <c r="AX39" i="5"/>
  <c r="AT57" i="5"/>
  <c r="AX57" i="5" s="1"/>
  <c r="AA56" i="5"/>
  <c r="AC43" i="5"/>
  <c r="L42" i="5"/>
  <c r="L56" i="5" s="1"/>
  <c r="AC42" i="5"/>
  <c r="AC56" i="5" s="1"/>
  <c r="N90" i="5"/>
  <c r="K17" i="5"/>
  <c r="O17" i="5" s="1"/>
  <c r="AF53" i="5"/>
  <c r="AU53" i="5"/>
  <c r="BN59" i="5"/>
  <c r="BN55" i="5" s="1"/>
  <c r="BR28" i="5"/>
  <c r="N85" i="5"/>
  <c r="T17" i="5"/>
  <c r="AI23" i="5"/>
  <c r="AI21" i="5"/>
  <c r="BR22" i="5"/>
  <c r="BR23" i="5"/>
  <c r="J88" i="5"/>
  <c r="O92" i="5"/>
  <c r="T77" i="5"/>
  <c r="K77" i="5"/>
  <c r="O77" i="5" s="1"/>
  <c r="P74" i="5"/>
  <c r="AV105" i="5"/>
  <c r="AI8" i="5"/>
  <c r="AE58" i="5"/>
  <c r="AI58" i="5" s="1"/>
  <c r="AS7" i="5"/>
  <c r="P29" i="5"/>
  <c r="T30" i="5"/>
  <c r="K30" i="5"/>
  <c r="Y11" i="5"/>
  <c r="K13" i="5"/>
  <c r="O13" i="5" s="1"/>
  <c r="AI26" i="5"/>
  <c r="AX32" i="5"/>
  <c r="K32" i="5"/>
  <c r="O32" i="5" s="1"/>
  <c r="H53" i="5"/>
  <c r="H58" i="5" s="1"/>
  <c r="H8" i="5"/>
  <c r="AD11" i="5"/>
  <c r="BQ11" i="5"/>
  <c r="BR59" i="5"/>
  <c r="BW74" i="5"/>
  <c r="M74" i="5"/>
  <c r="BV74" i="5"/>
  <c r="AD51" i="5"/>
  <c r="AC51" i="5"/>
  <c r="AM15" i="5"/>
  <c r="L11" i="5"/>
  <c r="L20" i="5"/>
  <c r="T23" i="5"/>
  <c r="S23" i="5"/>
  <c r="R10" i="5"/>
  <c r="T25" i="5"/>
  <c r="K25" i="5"/>
  <c r="O25" i="5" s="1"/>
  <c r="AA53" i="5"/>
  <c r="BM23" i="5"/>
  <c r="T35" i="5"/>
  <c r="K35" i="5"/>
  <c r="O35" i="5" s="1"/>
  <c r="U51" i="5"/>
  <c r="Y41" i="5"/>
  <c r="H57" i="5"/>
  <c r="BL75" i="5"/>
  <c r="P88" i="5"/>
  <c r="T86" i="5"/>
  <c r="K86" i="5"/>
  <c r="O86" i="5" s="1"/>
  <c r="BH7" i="5"/>
  <c r="K87" i="5"/>
  <c r="O87" i="5" s="1"/>
  <c r="BC87" i="5"/>
  <c r="Y97" i="5"/>
  <c r="W105" i="5"/>
  <c r="K14" i="5"/>
  <c r="O14" i="5" s="1"/>
  <c r="P15" i="5"/>
  <c r="AN23" i="5"/>
  <c r="AM23" i="5"/>
  <c r="K90" i="5"/>
  <c r="O90" i="5" s="1"/>
  <c r="AX30" i="5"/>
  <c r="BH6" i="5"/>
  <c r="BT53" i="5"/>
  <c r="BC21" i="5"/>
  <c r="BC23" i="5"/>
  <c r="AN51" i="5"/>
  <c r="AM88" i="5"/>
  <c r="AL79" i="5"/>
  <c r="K39" i="5"/>
  <c r="K57" i="5" s="1"/>
  <c r="O57" i="5" s="1"/>
  <c r="BH52" i="5"/>
  <c r="BG52" i="5"/>
  <c r="BQ75" i="5"/>
  <c r="O98" i="5"/>
  <c r="BI58" i="5"/>
  <c r="BM58" i="5" s="1"/>
  <c r="BM8" i="5"/>
  <c r="BM5" i="5"/>
  <c r="AS22" i="5"/>
  <c r="O7" i="5"/>
  <c r="BA53" i="5"/>
  <c r="BB9" i="5"/>
  <c r="T14" i="5"/>
  <c r="AZ58" i="5"/>
  <c r="BB8" i="5"/>
  <c r="BB58" i="5" s="1"/>
  <c r="AM33" i="5"/>
  <c r="AS96" i="5"/>
  <c r="AO74" i="5"/>
  <c r="AS74" i="5" s="1"/>
  <c r="BQ79" i="5"/>
  <c r="N26" i="5"/>
  <c r="BC11" i="5"/>
  <c r="AR29" i="5"/>
  <c r="BV10" i="5"/>
  <c r="AN11" i="5"/>
  <c r="AN16" i="5"/>
  <c r="K16" i="5"/>
  <c r="BW52" i="5"/>
  <c r="AI89" i="5"/>
  <c r="AE91" i="5"/>
  <c r="AI91" i="5" s="1"/>
  <c r="X78" i="5"/>
  <c r="W73" i="5"/>
  <c r="AX85" i="5"/>
  <c r="AT88" i="5"/>
  <c r="AX88" i="5" s="1"/>
  <c r="BS56" i="5"/>
  <c r="BW42" i="5"/>
  <c r="K84" i="5"/>
  <c r="O84" i="5" s="1"/>
  <c r="Y84" i="5"/>
  <c r="U88" i="5"/>
  <c r="Y88" i="5" s="1"/>
  <c r="AI6" i="5"/>
  <c r="BB10" i="5"/>
  <c r="K12" i="5"/>
  <c r="O12" i="5" s="1"/>
  <c r="BL31" i="5"/>
  <c r="BD57" i="5"/>
  <c r="BH57" i="5" s="1"/>
  <c r="BH39" i="5"/>
  <c r="BT56" i="5"/>
  <c r="BV42" i="5"/>
  <c r="BV56" i="5" s="1"/>
  <c r="BN51" i="5"/>
  <c r="AR52" i="5"/>
  <c r="T97" i="5"/>
  <c r="P105" i="5"/>
  <c r="BM7" i="5"/>
  <c r="BC12" i="5"/>
  <c r="AI42" i="5"/>
  <c r="AE56" i="5"/>
  <c r="BI97" i="5"/>
  <c r="BM98" i="5"/>
  <c r="M15" i="5"/>
  <c r="Y28" i="5"/>
  <c r="U59" i="5"/>
  <c r="Y59" i="5" s="1"/>
  <c r="AN32" i="5"/>
  <c r="AN29" i="5"/>
  <c r="AH42" i="5"/>
  <c r="AH56" i="5" s="1"/>
  <c r="AF56" i="5"/>
  <c r="BA79" i="5"/>
  <c r="BB83" i="5"/>
  <c r="BR98" i="5"/>
  <c r="BN97" i="5"/>
  <c r="BD97" i="5"/>
  <c r="BD105" i="5" s="1"/>
  <c r="BH105" i="5" s="1"/>
  <c r="BH99" i="5"/>
  <c r="AW20" i="5"/>
  <c r="Z59" i="5"/>
  <c r="AD28" i="5"/>
  <c r="AB54" i="5"/>
  <c r="P51" i="5"/>
  <c r="K41" i="5"/>
  <c r="K51" i="5" s="1"/>
  <c r="AD89" i="5"/>
  <c r="Z91" i="5"/>
  <c r="AD30" i="5"/>
  <c r="Y94" i="5"/>
  <c r="K94" i="5"/>
  <c r="AX6" i="5"/>
  <c r="X33" i="5"/>
  <c r="N92" i="5"/>
  <c r="P56" i="5"/>
  <c r="T42" i="5"/>
  <c r="U75" i="5"/>
  <c r="Y75" i="5" s="1"/>
  <c r="Y76" i="5"/>
  <c r="BI74" i="5"/>
  <c r="BM74" i="5" s="1"/>
  <c r="BM77" i="5"/>
  <c r="AD39" i="5"/>
  <c r="Z57" i="5"/>
  <c r="X49" i="5"/>
  <c r="AC3" i="5"/>
  <c r="AD5" i="5"/>
  <c r="AC39" i="5"/>
  <c r="AC57" i="5" s="1"/>
  <c r="AC40" i="5"/>
  <c r="L39" i="5"/>
  <c r="L57" i="5" s="1"/>
  <c r="N57" i="5" s="1"/>
  <c r="AA57" i="5"/>
  <c r="AW42" i="5"/>
  <c r="AW56" i="5" s="1"/>
  <c r="AU56" i="5"/>
  <c r="R55" i="5"/>
  <c r="T57" i="5"/>
  <c r="AS84" i="5"/>
  <c r="AO88" i="5"/>
  <c r="AS88" i="5" s="1"/>
  <c r="Y85" i="5"/>
  <c r="K85" i="5"/>
  <c r="O85" i="5" s="1"/>
  <c r="Y49" i="5"/>
  <c r="AD3" i="5"/>
  <c r="P58" i="5"/>
  <c r="T58" i="5" s="1"/>
  <c r="P5" i="5"/>
  <c r="T5" i="5" s="1"/>
  <c r="T22" i="5"/>
  <c r="K22" i="5"/>
  <c r="O22" i="5" s="1"/>
  <c r="BC38" i="5"/>
  <c r="AY52" i="5"/>
  <c r="BC52" i="5" s="1"/>
  <c r="K42" i="5"/>
  <c r="AX42" i="5"/>
  <c r="M5" i="5"/>
  <c r="T8" i="5"/>
  <c r="X52" i="5"/>
  <c r="AD20" i="5"/>
  <c r="BC29" i="5"/>
  <c r="F29" i="5"/>
  <c r="F37" i="5" s="1"/>
  <c r="BR76" i="5"/>
  <c r="BW83" i="5"/>
  <c r="BU79" i="5"/>
  <c r="BV83" i="5"/>
  <c r="V100" i="5"/>
  <c r="X100" i="5" s="1"/>
  <c r="AP100" i="5"/>
  <c r="AR100" i="5" s="1"/>
  <c r="AF100" i="5"/>
  <c r="AH100" i="5" s="1"/>
  <c r="AA100" i="5"/>
  <c r="AC100" i="5" s="1"/>
  <c r="J100" i="5"/>
  <c r="K102" i="5"/>
  <c r="O102" i="5" s="1"/>
  <c r="BC102" i="5"/>
  <c r="AI5" i="5"/>
  <c r="AX7" i="5"/>
  <c r="BG15" i="5"/>
  <c r="BQ20" i="5"/>
  <c r="BH32" i="5"/>
  <c r="K38" i="5"/>
  <c r="K52" i="5" s="1"/>
  <c r="AH20" i="5"/>
  <c r="BA54" i="5"/>
  <c r="AS37" i="5"/>
  <c r="AN56" i="5"/>
  <c r="AL55" i="5"/>
  <c r="AY83" i="5"/>
  <c r="BC82" i="5"/>
  <c r="X83" i="5"/>
  <c r="Y83" i="5"/>
  <c r="K95" i="5"/>
  <c r="O95" i="5" s="1"/>
  <c r="BW95" i="5"/>
  <c r="BS75" i="5"/>
  <c r="BW75" i="5" s="1"/>
  <c r="BN74" i="5"/>
  <c r="BR74" i="5" s="1"/>
  <c r="BR96" i="5"/>
  <c r="U58" i="5"/>
  <c r="Y58" i="5" s="1"/>
  <c r="Y8" i="5"/>
  <c r="Y5" i="5"/>
  <c r="K19" i="5"/>
  <c r="O19" i="5" s="1"/>
  <c r="BW20" i="5"/>
  <c r="AG54" i="5"/>
  <c r="AI29" i="5"/>
  <c r="N83" i="5"/>
  <c r="BL88" i="5"/>
  <c r="BK79" i="5"/>
  <c r="AN89" i="5"/>
  <c r="AJ91" i="5"/>
  <c r="AN91" i="5" s="1"/>
  <c r="AD96" i="5"/>
  <c r="K96" i="5"/>
  <c r="O96" i="5" s="1"/>
  <c r="AM11" i="5"/>
  <c r="BW11" i="5"/>
  <c r="AR15" i="5"/>
  <c r="M29" i="5"/>
  <c r="AW30" i="5"/>
  <c r="BB75" i="5"/>
  <c r="K82" i="5"/>
  <c r="O82" i="5" s="1"/>
  <c r="AS11" i="5"/>
  <c r="AS15" i="5"/>
  <c r="G20" i="5"/>
  <c r="Y19" i="5"/>
  <c r="BV20" i="5"/>
  <c r="K24" i="5"/>
  <c r="O24" i="5" s="1"/>
  <c r="AL54" i="5"/>
  <c r="L36" i="5"/>
  <c r="N36" i="5" s="1"/>
  <c r="AR39" i="5"/>
  <c r="AR57" i="5" s="1"/>
  <c r="BV51" i="5"/>
  <c r="BW57" i="5"/>
  <c r="Q79" i="5"/>
  <c r="Q78" i="5" s="1"/>
  <c r="BI83" i="5"/>
  <c r="K80" i="5"/>
  <c r="AM83" i="5"/>
  <c r="T7" i="5"/>
  <c r="AD8" i="5"/>
  <c r="Z58" i="5"/>
  <c r="AD58" i="5" s="1"/>
  <c r="BR8" i="5"/>
  <c r="BR5" i="5"/>
  <c r="AI11" i="5"/>
  <c r="AX21" i="5"/>
  <c r="S36" i="5"/>
  <c r="U52" i="5"/>
  <c r="Y52" i="5" s="1"/>
  <c r="Y38" i="5"/>
  <c r="AR74" i="5"/>
  <c r="AJ75" i="5"/>
  <c r="AN75" i="5" s="1"/>
  <c r="AN76" i="5"/>
  <c r="N82" i="5"/>
  <c r="AN93" i="5"/>
  <c r="K93" i="5"/>
  <c r="O93" i="5" s="1"/>
  <c r="AN96" i="5"/>
  <c r="AJ74" i="5"/>
  <c r="AN74" i="5" s="1"/>
  <c r="U105" i="5"/>
  <c r="J101" i="5"/>
  <c r="AP101" i="5"/>
  <c r="AR101" i="5" s="1"/>
  <c r="AA101" i="5"/>
  <c r="AC101" i="5" s="1"/>
  <c r="AF101" i="5"/>
  <c r="AH101" i="5" s="1"/>
  <c r="V101" i="5"/>
  <c r="X101" i="5" s="1"/>
  <c r="AD75" i="5"/>
  <c r="AD77" i="5"/>
  <c r="Z74" i="5"/>
  <c r="AD74" i="5" s="1"/>
  <c r="T92" i="5"/>
  <c r="K92" i="5"/>
  <c r="Z3" i="5"/>
  <c r="BL23" i="5"/>
  <c r="AJ59" i="5"/>
  <c r="AN59" i="5" s="1"/>
  <c r="AN5" i="5"/>
  <c r="BH83" i="5"/>
  <c r="BF79" i="5"/>
  <c r="BG83" i="5"/>
  <c r="BR20" i="5"/>
  <c r="AQ78" i="5"/>
  <c r="BB11" i="5"/>
  <c r="K34" i="5"/>
  <c r="O34" i="5" s="1"/>
  <c r="BR18" i="5"/>
  <c r="X35" i="5"/>
  <c r="L35" i="5"/>
  <c r="N35" i="5" s="1"/>
  <c r="BV40" i="5"/>
  <c r="Y12" i="5"/>
  <c r="Y15" i="5"/>
  <c r="BW21" i="5"/>
  <c r="BK54" i="5"/>
  <c r="K33" i="5"/>
  <c r="O33" i="5" s="1"/>
  <c r="T34" i="5"/>
  <c r="N81" i="5"/>
  <c r="N87" i="5"/>
  <c r="AK101" i="5"/>
  <c r="AM101" i="5" s="1"/>
  <c r="BR6" i="5"/>
  <c r="BR7" i="5"/>
  <c r="P11" i="5"/>
  <c r="T11" i="5" s="1"/>
  <c r="Y23" i="5"/>
  <c r="K21" i="5"/>
  <c r="O21" i="5" s="1"/>
  <c r="X23" i="5"/>
  <c r="AI31" i="5"/>
  <c r="AT51" i="5"/>
  <c r="AX41" i="5"/>
  <c r="AH75" i="5"/>
  <c r="AR79" i="5"/>
  <c r="BI91" i="5"/>
  <c r="BM91" i="5" s="1"/>
  <c r="BM89" i="5"/>
  <c r="BB91" i="5"/>
  <c r="S11" i="5"/>
  <c r="BR30" i="5"/>
  <c r="AV55" i="5"/>
  <c r="AS105" i="5"/>
  <c r="BM12" i="5"/>
  <c r="BM11" i="5"/>
  <c r="W3" i="5"/>
  <c r="BC5" i="5"/>
  <c r="AY58" i="5"/>
  <c r="BC8" i="5"/>
  <c r="BH11" i="5"/>
  <c r="AD15" i="5"/>
  <c r="L33" i="5"/>
  <c r="N33" i="5" s="1"/>
  <c r="Y39" i="5"/>
  <c r="BI75" i="5"/>
  <c r="BM75" i="5" s="1"/>
  <c r="BM76" i="5"/>
  <c r="V79" i="5"/>
  <c r="V78" i="5" s="1"/>
  <c r="N24" i="5"/>
  <c r="AN38" i="5"/>
  <c r="AJ52" i="5"/>
  <c r="AN52" i="5" s="1"/>
  <c r="AJ56" i="5"/>
  <c r="AN42" i="5"/>
  <c r="T75" i="5"/>
  <c r="AA79" i="5"/>
  <c r="AA78" i="5" s="1"/>
  <c r="G11" i="5"/>
  <c r="N18" i="5"/>
  <c r="BB23" i="5"/>
  <c r="BS51" i="5"/>
  <c r="BW41" i="5"/>
  <c r="AI52" i="5"/>
  <c r="AC83" i="5"/>
  <c r="AC88" i="5"/>
  <c r="J99" i="5"/>
  <c r="AK99" i="5"/>
  <c r="AM99" i="5" s="1"/>
  <c r="AA99" i="5"/>
  <c r="AC99" i="5" s="1"/>
  <c r="AF99" i="5"/>
  <c r="AH99" i="5" s="1"/>
  <c r="AI20" i="5"/>
  <c r="T36" i="5"/>
  <c r="AD41" i="5"/>
  <c r="AH51" i="5"/>
  <c r="BL51" i="5"/>
  <c r="BM51" i="5"/>
  <c r="AH52" i="5"/>
  <c r="AB79" i="5"/>
  <c r="L83" i="5"/>
  <c r="N80" i="5"/>
  <c r="M97" i="5"/>
  <c r="AI39" i="5"/>
  <c r="AE57" i="5"/>
  <c r="AI57" i="5" s="1"/>
  <c r="BP55" i="5"/>
  <c r="BQ74" i="5"/>
  <c r="BD88" i="5"/>
  <c r="BH88" i="5" s="1"/>
  <c r="AT59" i="5"/>
  <c r="AX59" i="5" s="1"/>
  <c r="AX28" i="5"/>
  <c r="S42" i="5"/>
  <c r="S56" i="5" s="1"/>
  <c r="Q43" i="5"/>
  <c r="S43" i="5" s="1"/>
  <c r="AH74" i="5"/>
  <c r="Y91" i="5"/>
  <c r="X91" i="5"/>
  <c r="AM7" i="5"/>
  <c r="Y20" i="5"/>
  <c r="N38" i="5"/>
  <c r="M52" i="5"/>
  <c r="BQ40" i="5"/>
  <c r="BQ39" i="5"/>
  <c r="BQ57" i="5" s="1"/>
  <c r="BO57" i="5"/>
  <c r="M79" i="5"/>
  <c r="AX5" i="5"/>
  <c r="BW6" i="5"/>
  <c r="AN8" i="5"/>
  <c r="AJ58" i="5"/>
  <c r="AN58" i="5" s="1"/>
  <c r="G6" i="5"/>
  <c r="AH11" i="5"/>
  <c r="X15" i="5"/>
  <c r="BB15" i="5"/>
  <c r="BC16" i="5"/>
  <c r="BC20" i="5"/>
  <c r="BG29" i="5"/>
  <c r="L34" i="5"/>
  <c r="N34" i="5" s="1"/>
  <c r="BN52" i="5"/>
  <c r="BR52" i="5" s="1"/>
  <c r="BR38" i="5"/>
  <c r="N51" i="5"/>
  <c r="F79" i="5"/>
  <c r="F78" i="5" s="1"/>
  <c r="F73" i="5" s="1"/>
  <c r="AN85" i="5"/>
  <c r="AJ88" i="5"/>
  <c r="AN88" i="5" s="1"/>
  <c r="M88" i="5"/>
  <c r="BH103" i="5"/>
  <c r="BQ23" i="5"/>
  <c r="Q29" i="5"/>
  <c r="S29" i="5" s="1"/>
  <c r="AW88" i="5"/>
  <c r="AV79" i="5"/>
  <c r="K100" i="5"/>
  <c r="S30" i="5"/>
  <c r="BD56" i="5"/>
  <c r="BH42" i="5"/>
  <c r="AP99" i="5"/>
  <c r="AR99" i="5" s="1"/>
  <c r="AN7" i="5"/>
  <c r="BH20" i="5"/>
  <c r="BB20" i="5"/>
  <c r="AS23" i="5"/>
  <c r="AH34" i="5"/>
  <c r="BR56" i="5"/>
  <c r="BS74" i="5"/>
  <c r="AZ79" i="5"/>
  <c r="AZ78" i="5" s="1"/>
  <c r="BG88" i="5"/>
  <c r="V98" i="5"/>
  <c r="H97" i="5"/>
  <c r="AP98" i="5"/>
  <c r="AA98" i="5"/>
  <c r="AF98" i="5"/>
  <c r="BN83" i="5"/>
  <c r="S88" i="5"/>
  <c r="T88" i="5"/>
  <c r="U91" i="5"/>
  <c r="N94" i="5"/>
  <c r="BF58" i="5"/>
  <c r="BF55" i="5" s="1"/>
  <c r="P20" i="5"/>
  <c r="T20" i="5" s="1"/>
  <c r="Y30" i="5"/>
  <c r="AI41" i="5"/>
  <c r="AE51" i="5"/>
  <c r="AI51" i="5" s="1"/>
  <c r="BC58" i="5"/>
  <c r="O94" i="5"/>
  <c r="AC20" i="5"/>
  <c r="BH23" i="5"/>
  <c r="R37" i="5"/>
  <c r="R54" i="5"/>
  <c r="BW29" i="5"/>
  <c r="AN39" i="5"/>
  <c r="AJ57" i="5"/>
  <c r="AN57" i="5" s="1"/>
  <c r="BV39" i="5"/>
  <c r="BV57" i="5" s="1"/>
  <c r="BJ56" i="5"/>
  <c r="AX74" i="5"/>
  <c r="AR83" i="5"/>
  <c r="BV88" i="5"/>
  <c r="J102" i="5"/>
  <c r="AK102" i="5"/>
  <c r="AM102" i="5" s="1"/>
  <c r="AA102" i="5"/>
  <c r="AC102" i="5" s="1"/>
  <c r="V102" i="5"/>
  <c r="X102" i="5" s="1"/>
  <c r="N21" i="5"/>
  <c r="AT83" i="5"/>
  <c r="AX98" i="5"/>
  <c r="AT97" i="5"/>
  <c r="AT105" i="5" s="1"/>
  <c r="S15" i="5"/>
  <c r="AY59" i="5"/>
  <c r="BC59" i="5" s="1"/>
  <c r="BC28" i="5"/>
  <c r="BM42" i="5"/>
  <c r="BI56" i="5"/>
  <c r="AY51" i="5"/>
  <c r="BC51" i="5" s="1"/>
  <c r="AW52" i="5"/>
  <c r="Y56" i="5"/>
  <c r="AW74" i="5"/>
  <c r="AX80" i="5"/>
  <c r="AD57" i="5"/>
  <c r="K81" i="5"/>
  <c r="O81" i="5" s="1"/>
  <c r="BS91" i="5"/>
  <c r="M8" i="5"/>
  <c r="AS20" i="5"/>
  <c r="P59" i="5"/>
  <c r="T59" i="5" s="1"/>
  <c r="T28" i="5"/>
  <c r="BR57" i="5"/>
  <c r="P83" i="5"/>
  <c r="P79" i="5" s="1"/>
  <c r="P78" i="5" s="1"/>
  <c r="P73" i="5" s="1"/>
  <c r="AU79" i="5"/>
  <c r="AU78" i="5" s="1"/>
  <c r="AW83" i="5"/>
  <c r="BW59" i="5"/>
  <c r="U74" i="5"/>
  <c r="Y74" i="5" s="1"/>
  <c r="Y77" i="5"/>
  <c r="AY88" i="5"/>
  <c r="BC88" i="5" s="1"/>
  <c r="AH88" i="5"/>
  <c r="AD91" i="5"/>
  <c r="BU105" i="5"/>
  <c r="BS97" i="5"/>
  <c r="BS105" i="5" s="1"/>
  <c r="L88" i="5"/>
  <c r="T105" i="5"/>
  <c r="AQ54" i="5"/>
  <c r="AS29" i="5"/>
  <c r="BH56" i="5"/>
  <c r="AE88" i="5"/>
  <c r="AE79" i="5" s="1"/>
  <c r="AE78" i="5" s="1"/>
  <c r="AE73" i="5" s="1"/>
  <c r="K89" i="5"/>
  <c r="BG51" i="5"/>
  <c r="BH75" i="5"/>
  <c r="BC77" i="5"/>
  <c r="AY74" i="5"/>
  <c r="BC74" i="5" s="1"/>
  <c r="AJ83" i="5"/>
  <c r="AJ79" i="5" s="1"/>
  <c r="AJ78" i="5" s="1"/>
  <c r="AJ73" i="5" s="1"/>
  <c r="AN80" i="5"/>
  <c r="BB88" i="5"/>
  <c r="BN91" i="5"/>
  <c r="BR91" i="5" s="1"/>
  <c r="BC104" i="5"/>
  <c r="K104" i="5"/>
  <c r="O104" i="5" s="1"/>
  <c r="AD56" i="5"/>
  <c r="AS58" i="5"/>
  <c r="AG79" i="5"/>
  <c r="AI83" i="5"/>
  <c r="Z88" i="5"/>
  <c r="AD88" i="5" s="1"/>
  <c r="G97" i="5"/>
  <c r="G105" i="5" s="1"/>
  <c r="X51" i="5"/>
  <c r="BL52" i="5"/>
  <c r="AQ55" i="5"/>
  <c r="AS56" i="5"/>
  <c r="BM57" i="5"/>
  <c r="R79" i="5"/>
  <c r="Z105" i="5"/>
  <c r="AD105" i="5" s="1"/>
  <c r="K99" i="5"/>
  <c r="O99" i="5" s="1"/>
  <c r="O100" i="5"/>
  <c r="AD38" i="5"/>
  <c r="K76" i="5"/>
  <c r="T83" i="5"/>
  <c r="AI105" i="5"/>
  <c r="M91" i="5"/>
  <c r="H79" i="5"/>
  <c r="G88" i="5"/>
  <c r="N93" i="5"/>
  <c r="Q57" i="5"/>
  <c r="K101" i="5"/>
  <c r="O101" i="5" s="1"/>
  <c r="BS23" i="4"/>
  <c r="BT29" i="4"/>
  <c r="BT37" i="4" s="1"/>
  <c r="BT23" i="4"/>
  <c r="BU23" i="4" s="1"/>
  <c r="BT20" i="4"/>
  <c r="BT15" i="4"/>
  <c r="BU15" i="4" s="1"/>
  <c r="BT11" i="4"/>
  <c r="BT6" i="4"/>
  <c r="BT5" i="4"/>
  <c r="BO29" i="4"/>
  <c r="BO37" i="4" s="1"/>
  <c r="BO23" i="4"/>
  <c r="BO20" i="4"/>
  <c r="BO15" i="4"/>
  <c r="BO11" i="4"/>
  <c r="BO10" i="4"/>
  <c r="BO9" i="4"/>
  <c r="BO6" i="4"/>
  <c r="BO5" i="4"/>
  <c r="BO4" i="4"/>
  <c r="BJ29" i="4"/>
  <c r="BJ37" i="4" s="1"/>
  <c r="BJ23" i="4"/>
  <c r="BJ20" i="4"/>
  <c r="BJ15" i="4"/>
  <c r="BK15" i="4" s="1"/>
  <c r="BJ11" i="4"/>
  <c r="BJ6" i="4"/>
  <c r="BJ5" i="4"/>
  <c r="BE29" i="4"/>
  <c r="BE37" i="4" s="1"/>
  <c r="BE23" i="4"/>
  <c r="BE20" i="4"/>
  <c r="BF20" i="4" s="1"/>
  <c r="BE15" i="4"/>
  <c r="BE11" i="4"/>
  <c r="BE6" i="4"/>
  <c r="BE5" i="4"/>
  <c r="AZ29" i="4"/>
  <c r="AZ37" i="4" s="1"/>
  <c r="AZ23" i="4"/>
  <c r="AZ20" i="4"/>
  <c r="AZ10" i="4" s="1"/>
  <c r="AZ9" i="4" s="1"/>
  <c r="AZ4" i="4" s="1"/>
  <c r="AZ15" i="4"/>
  <c r="AZ11" i="4"/>
  <c r="AZ6" i="4"/>
  <c r="AZ5" i="4"/>
  <c r="AU29" i="4"/>
  <c r="AU37" i="4" s="1"/>
  <c r="AU23" i="4"/>
  <c r="AV23" i="4" s="1"/>
  <c r="AU20" i="4"/>
  <c r="AU15" i="4"/>
  <c r="AU11" i="4"/>
  <c r="AU6" i="4"/>
  <c r="AU5" i="4"/>
  <c r="AP29" i="4"/>
  <c r="AP37" i="4" s="1"/>
  <c r="AP23" i="4"/>
  <c r="AP20" i="4"/>
  <c r="AP15" i="4"/>
  <c r="AP11" i="4"/>
  <c r="AP6" i="4"/>
  <c r="AP5" i="4"/>
  <c r="AK29" i="4"/>
  <c r="AK37" i="4" s="1"/>
  <c r="AK23" i="4"/>
  <c r="AK20" i="4"/>
  <c r="AK15" i="4"/>
  <c r="AK11" i="4"/>
  <c r="AK6" i="4"/>
  <c r="AK5" i="4"/>
  <c r="AF29" i="4"/>
  <c r="AF37" i="4" s="1"/>
  <c r="AF23" i="4"/>
  <c r="AF20" i="4"/>
  <c r="AF15" i="4"/>
  <c r="AF11" i="4"/>
  <c r="AF6" i="4"/>
  <c r="AF5" i="4"/>
  <c r="BR43" i="4"/>
  <c r="BV43" i="4" s="1"/>
  <c r="BR42" i="4"/>
  <c r="BV42" i="4" s="1"/>
  <c r="BR41" i="4"/>
  <c r="BR40" i="4"/>
  <c r="BV40" i="4" s="1"/>
  <c r="BR39" i="4"/>
  <c r="BR38" i="4"/>
  <c r="BR36" i="4"/>
  <c r="BV36" i="4" s="1"/>
  <c r="BR35" i="4"/>
  <c r="BV35" i="4" s="1"/>
  <c r="BR34" i="4"/>
  <c r="BR33" i="4"/>
  <c r="BR32" i="4"/>
  <c r="BV32" i="4" s="1"/>
  <c r="BR31" i="4"/>
  <c r="BV31" i="4" s="1"/>
  <c r="BR30" i="4"/>
  <c r="BR28" i="4"/>
  <c r="BR27" i="4"/>
  <c r="BV22" i="4"/>
  <c r="BV21" i="4"/>
  <c r="BR20" i="4"/>
  <c r="BR15" i="4"/>
  <c r="BR8" i="4"/>
  <c r="BR5" i="4" s="1"/>
  <c r="BR7" i="4"/>
  <c r="BR6" i="4" s="1"/>
  <c r="BM43" i="4"/>
  <c r="BQ43" i="4" s="1"/>
  <c r="BM42" i="4"/>
  <c r="BM56" i="4" s="1"/>
  <c r="BM41" i="4"/>
  <c r="BM51" i="4" s="1"/>
  <c r="BM40" i="4"/>
  <c r="BQ40" i="4" s="1"/>
  <c r="BM39" i="4"/>
  <c r="BM38" i="4"/>
  <c r="BM36" i="4"/>
  <c r="BQ36" i="4" s="1"/>
  <c r="BM35" i="4"/>
  <c r="BQ35" i="4" s="1"/>
  <c r="BM34" i="4"/>
  <c r="BQ34" i="4" s="1"/>
  <c r="BM33" i="4"/>
  <c r="BQ33" i="4" s="1"/>
  <c r="BM32" i="4"/>
  <c r="BQ32" i="4" s="1"/>
  <c r="BM31" i="4"/>
  <c r="BQ31" i="4" s="1"/>
  <c r="BM30" i="4"/>
  <c r="BM28" i="4"/>
  <c r="BQ28" i="4" s="1"/>
  <c r="BM27" i="4"/>
  <c r="BQ27" i="4" s="1"/>
  <c r="BQ26" i="4"/>
  <c r="BQ22" i="4"/>
  <c r="BM11" i="4"/>
  <c r="BM20" i="4"/>
  <c r="BM15" i="4"/>
  <c r="BM8" i="4"/>
  <c r="BM58" i="4" s="1"/>
  <c r="BM7" i="4"/>
  <c r="BM6" i="4" s="1"/>
  <c r="BQ6" i="4" s="1"/>
  <c r="BH43" i="4"/>
  <c r="BL43" i="4" s="1"/>
  <c r="BH42" i="4"/>
  <c r="BH41" i="4"/>
  <c r="BH40" i="4"/>
  <c r="BH39" i="4"/>
  <c r="BL39" i="4" s="1"/>
  <c r="BH38" i="4"/>
  <c r="BH52" i="4" s="1"/>
  <c r="BH36" i="4"/>
  <c r="BL36" i="4" s="1"/>
  <c r="BH35" i="4"/>
  <c r="BL35" i="4" s="1"/>
  <c r="BH34" i="4"/>
  <c r="BL34" i="4" s="1"/>
  <c r="BH33" i="4"/>
  <c r="BL33" i="4" s="1"/>
  <c r="BH32" i="4"/>
  <c r="BL32" i="4" s="1"/>
  <c r="BH31" i="4"/>
  <c r="BL31" i="4" s="1"/>
  <c r="BH30" i="4"/>
  <c r="BL30" i="4" s="1"/>
  <c r="BH28" i="4"/>
  <c r="BL28" i="4" s="1"/>
  <c r="BH27" i="4"/>
  <c r="BL26" i="4"/>
  <c r="BL25" i="4"/>
  <c r="BL24" i="4"/>
  <c r="BL22" i="4"/>
  <c r="BH23" i="4"/>
  <c r="BH20" i="4"/>
  <c r="BH15" i="4"/>
  <c r="BH11" i="4"/>
  <c r="BH8" i="4"/>
  <c r="BL8" i="4" s="1"/>
  <c r="BH7" i="4"/>
  <c r="BL7" i="4" s="1"/>
  <c r="BC43" i="4"/>
  <c r="BG43" i="4" s="1"/>
  <c r="BC42" i="4"/>
  <c r="BG42" i="4" s="1"/>
  <c r="BC41" i="4"/>
  <c r="BC51" i="4" s="1"/>
  <c r="BC40" i="4"/>
  <c r="BG40" i="4" s="1"/>
  <c r="BC39" i="4"/>
  <c r="BC38" i="4"/>
  <c r="BC36" i="4"/>
  <c r="BG36" i="4" s="1"/>
  <c r="BC35" i="4"/>
  <c r="BG35" i="4" s="1"/>
  <c r="BC34" i="4"/>
  <c r="BG34" i="4" s="1"/>
  <c r="BC33" i="4"/>
  <c r="BC32" i="4"/>
  <c r="BC31" i="4"/>
  <c r="BC30" i="4"/>
  <c r="BC28" i="4"/>
  <c r="BC27" i="4"/>
  <c r="BG27" i="4" s="1"/>
  <c r="BG24" i="4"/>
  <c r="BC11" i="4"/>
  <c r="BC20" i="4"/>
  <c r="BC15" i="4"/>
  <c r="BC8" i="4"/>
  <c r="BC5" i="4" s="1"/>
  <c r="BC7" i="4"/>
  <c r="BC6" i="4" s="1"/>
  <c r="AX43" i="4"/>
  <c r="BB43" i="4" s="1"/>
  <c r="AX42" i="4"/>
  <c r="AX41" i="4"/>
  <c r="BB41" i="4" s="1"/>
  <c r="AX40" i="4"/>
  <c r="AX39" i="4"/>
  <c r="AX38" i="4"/>
  <c r="AX52" i="4" s="1"/>
  <c r="BB52" i="4" s="1"/>
  <c r="AX36" i="4"/>
  <c r="BB36" i="4" s="1"/>
  <c r="AX35" i="4"/>
  <c r="BB35" i="4" s="1"/>
  <c r="AX34" i="4"/>
  <c r="BB34" i="4" s="1"/>
  <c r="AX33" i="4"/>
  <c r="BB33" i="4" s="1"/>
  <c r="AX32" i="4"/>
  <c r="AX31" i="4"/>
  <c r="AX30" i="4"/>
  <c r="BB30" i="4" s="1"/>
  <c r="AX28" i="4"/>
  <c r="AX59" i="4" s="1"/>
  <c r="AX27" i="4"/>
  <c r="BB22" i="4"/>
  <c r="BB21" i="4"/>
  <c r="AX20" i="4"/>
  <c r="AX15" i="4"/>
  <c r="AX8" i="4"/>
  <c r="AX5" i="4" s="1"/>
  <c r="AX7" i="4"/>
  <c r="AX6" i="4" s="1"/>
  <c r="AS43" i="4"/>
  <c r="AS42" i="4"/>
  <c r="AS41" i="4"/>
  <c r="AW41" i="4" s="1"/>
  <c r="AS40" i="4"/>
  <c r="AW40" i="4" s="1"/>
  <c r="AS39" i="4"/>
  <c r="AS57" i="4" s="1"/>
  <c r="AW57" i="4" s="1"/>
  <c r="AS38" i="4"/>
  <c r="AS36" i="4"/>
  <c r="AW36" i="4" s="1"/>
  <c r="AS35" i="4"/>
  <c r="AS34" i="4"/>
  <c r="AW34" i="4" s="1"/>
  <c r="AS33" i="4"/>
  <c r="AW33" i="4" s="1"/>
  <c r="AS32" i="4"/>
  <c r="AS31" i="4"/>
  <c r="AW31" i="4" s="1"/>
  <c r="AS30" i="4"/>
  <c r="AW30" i="4" s="1"/>
  <c r="AS59" i="4"/>
  <c r="AS26" i="4"/>
  <c r="AW26" i="4" s="1"/>
  <c r="AW24" i="4"/>
  <c r="AW22" i="4"/>
  <c r="AW21" i="4"/>
  <c r="AS20" i="4"/>
  <c r="AW12" i="4"/>
  <c r="AS8" i="4"/>
  <c r="AS5" i="4" s="1"/>
  <c r="AS7" i="4"/>
  <c r="AS6" i="4" s="1"/>
  <c r="AN43" i="4"/>
  <c r="BX43" i="4" s="1"/>
  <c r="AN42" i="4"/>
  <c r="AN41" i="4"/>
  <c r="AN40" i="4"/>
  <c r="BX40" i="4" s="1"/>
  <c r="AN39" i="4"/>
  <c r="AN57" i="4" s="1"/>
  <c r="AN38" i="4"/>
  <c r="AN52" i="4" s="1"/>
  <c r="AN36" i="4"/>
  <c r="AN35" i="4"/>
  <c r="AR35" i="4" s="1"/>
  <c r="AN34" i="4"/>
  <c r="AR34" i="4" s="1"/>
  <c r="AN33" i="4"/>
  <c r="AR33" i="4" s="1"/>
  <c r="AN32" i="4"/>
  <c r="AR32" i="4" s="1"/>
  <c r="AN31" i="4"/>
  <c r="AR31" i="4" s="1"/>
  <c r="AN30" i="4"/>
  <c r="AR30" i="4" s="1"/>
  <c r="AN28" i="4"/>
  <c r="AN59" i="4" s="1"/>
  <c r="AN27" i="4"/>
  <c r="AR26" i="4"/>
  <c r="AR25" i="4"/>
  <c r="AR22" i="4"/>
  <c r="AN23" i="4"/>
  <c r="AN20" i="4"/>
  <c r="AN15" i="4"/>
  <c r="AN8" i="4"/>
  <c r="AN7" i="4"/>
  <c r="AI43" i="4"/>
  <c r="AI42" i="4"/>
  <c r="AI41" i="4"/>
  <c r="AM41" i="4" s="1"/>
  <c r="AI40" i="4"/>
  <c r="AM40" i="4" s="1"/>
  <c r="AI39" i="4"/>
  <c r="AI38" i="4"/>
  <c r="AM38" i="4" s="1"/>
  <c r="AI36" i="4"/>
  <c r="AI35" i="4"/>
  <c r="AM35" i="4" s="1"/>
  <c r="AI34" i="4"/>
  <c r="AM34" i="4" s="1"/>
  <c r="AI33" i="4"/>
  <c r="AM33" i="4" s="1"/>
  <c r="AI32" i="4"/>
  <c r="AM32" i="4" s="1"/>
  <c r="AI31" i="4"/>
  <c r="AI30" i="4"/>
  <c r="AM30" i="4" s="1"/>
  <c r="AI28" i="4"/>
  <c r="AI59" i="4" s="1"/>
  <c r="AI27" i="4"/>
  <c r="AM27" i="4" s="1"/>
  <c r="AM25" i="4"/>
  <c r="AM22" i="4"/>
  <c r="AI11" i="4"/>
  <c r="AI20" i="4"/>
  <c r="AM14" i="4"/>
  <c r="AI15" i="4"/>
  <c r="AI8" i="4"/>
  <c r="AI7" i="4"/>
  <c r="AD43" i="4"/>
  <c r="AD42" i="4"/>
  <c r="AD41" i="4"/>
  <c r="AD51" i="4" s="1"/>
  <c r="AD40" i="4"/>
  <c r="AH40" i="4" s="1"/>
  <c r="AD39" i="4"/>
  <c r="AD38" i="4"/>
  <c r="AH38" i="4" s="1"/>
  <c r="AD36" i="4"/>
  <c r="AH36" i="4" s="1"/>
  <c r="AD35" i="4"/>
  <c r="AH35" i="4" s="1"/>
  <c r="AD34" i="4"/>
  <c r="AH34" i="4" s="1"/>
  <c r="AD33" i="4"/>
  <c r="AH33" i="4" s="1"/>
  <c r="AD32" i="4"/>
  <c r="AH32" i="4" s="1"/>
  <c r="AD31" i="4"/>
  <c r="AH31" i="4" s="1"/>
  <c r="AD30" i="4"/>
  <c r="AH30" i="4" s="1"/>
  <c r="AD28" i="4"/>
  <c r="AD59" i="4" s="1"/>
  <c r="AD27" i="4"/>
  <c r="AH27" i="4" s="1"/>
  <c r="AH26" i="4"/>
  <c r="AH22" i="4"/>
  <c r="AH21" i="4"/>
  <c r="AD20" i="4"/>
  <c r="AH17" i="4"/>
  <c r="AD15" i="4"/>
  <c r="AD8" i="4"/>
  <c r="AH8" i="4" s="1"/>
  <c r="AD7" i="4"/>
  <c r="AH7" i="4" s="1"/>
  <c r="Y43" i="4"/>
  <c r="Y42" i="4"/>
  <c r="Y41" i="4"/>
  <c r="Y51" i="4" s="1"/>
  <c r="Y40" i="4"/>
  <c r="Y39" i="4"/>
  <c r="Y57" i="4" s="1"/>
  <c r="Y38" i="4"/>
  <c r="Y36" i="4"/>
  <c r="AC36" i="4" s="1"/>
  <c r="Y35" i="4"/>
  <c r="AC35" i="4" s="1"/>
  <c r="Y34" i="4"/>
  <c r="AC34" i="4" s="1"/>
  <c r="Y33" i="4"/>
  <c r="AC33" i="4" s="1"/>
  <c r="Y32" i="4"/>
  <c r="AC32" i="4" s="1"/>
  <c r="Y31" i="4"/>
  <c r="Y30" i="4"/>
  <c r="AC30" i="4" s="1"/>
  <c r="Y28" i="4"/>
  <c r="AC28" i="4" s="1"/>
  <c r="Y27" i="4"/>
  <c r="AC27" i="4" s="1"/>
  <c r="Y23" i="4"/>
  <c r="Y20" i="4"/>
  <c r="Y15" i="4"/>
  <c r="Y11" i="4"/>
  <c r="Y8" i="4"/>
  <c r="Y7" i="4"/>
  <c r="T43" i="4"/>
  <c r="T42" i="4"/>
  <c r="T41" i="4"/>
  <c r="T40" i="4"/>
  <c r="T39" i="4"/>
  <c r="T38" i="4"/>
  <c r="T36" i="4"/>
  <c r="X36" i="4" s="1"/>
  <c r="T35" i="4"/>
  <c r="X35" i="4" s="1"/>
  <c r="T34" i="4"/>
  <c r="X34" i="4" s="1"/>
  <c r="T33" i="4"/>
  <c r="X33" i="4" s="1"/>
  <c r="T32" i="4"/>
  <c r="T31" i="4"/>
  <c r="X31" i="4" s="1"/>
  <c r="T30" i="4"/>
  <c r="X30" i="4" s="1"/>
  <c r="T28" i="4"/>
  <c r="T27" i="4"/>
  <c r="X26" i="4"/>
  <c r="X24" i="4"/>
  <c r="X22" i="4"/>
  <c r="T11" i="4"/>
  <c r="T20" i="4"/>
  <c r="T15" i="4"/>
  <c r="T8" i="4"/>
  <c r="T5" i="4" s="1"/>
  <c r="T7" i="4"/>
  <c r="T6" i="4" s="1"/>
  <c r="O43" i="4"/>
  <c r="O42" i="4"/>
  <c r="O41" i="4"/>
  <c r="O40" i="4"/>
  <c r="S40" i="4" s="1"/>
  <c r="O39" i="4"/>
  <c r="O38" i="4"/>
  <c r="O36" i="4"/>
  <c r="O35" i="4"/>
  <c r="O34" i="4"/>
  <c r="O33" i="4"/>
  <c r="O32" i="4"/>
  <c r="O31" i="4"/>
  <c r="O30" i="4"/>
  <c r="O28" i="4"/>
  <c r="S28" i="4" s="1"/>
  <c r="O27" i="4"/>
  <c r="S27" i="4" s="1"/>
  <c r="S14" i="4"/>
  <c r="O8" i="4"/>
  <c r="O7" i="4"/>
  <c r="O56" i="4"/>
  <c r="S17" i="4"/>
  <c r="G43" i="4"/>
  <c r="G42" i="4"/>
  <c r="G41" i="4"/>
  <c r="G40" i="4"/>
  <c r="G39" i="4"/>
  <c r="G38" i="4"/>
  <c r="G28" i="4"/>
  <c r="G27" i="4"/>
  <c r="G26" i="4"/>
  <c r="I26" i="4" s="1"/>
  <c r="G25" i="4"/>
  <c r="I25" i="4" s="1"/>
  <c r="G24" i="4"/>
  <c r="I24" i="4" s="1"/>
  <c r="G23" i="4"/>
  <c r="G22" i="4"/>
  <c r="G21" i="4"/>
  <c r="I21" i="4" s="1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X3" i="4"/>
  <c r="W3" i="4"/>
  <c r="T3" i="4"/>
  <c r="P3" i="4"/>
  <c r="P49" i="4" s="1"/>
  <c r="Q3" i="4"/>
  <c r="V3" i="4" s="1"/>
  <c r="R3" i="4"/>
  <c r="S3" i="4"/>
  <c r="S49" i="4" s="1"/>
  <c r="O3" i="4"/>
  <c r="O49" i="4" s="1"/>
  <c r="BS104" i="4"/>
  <c r="BU104" i="4" s="1"/>
  <c r="BR104" i="4"/>
  <c r="BV104" i="4" s="1"/>
  <c r="BN104" i="4"/>
  <c r="BP104" i="4" s="1"/>
  <c r="BM104" i="4"/>
  <c r="BQ104" i="4" s="1"/>
  <c r="BI104" i="4"/>
  <c r="BK104" i="4" s="1"/>
  <c r="BH104" i="4"/>
  <c r="BL104" i="4" s="1"/>
  <c r="BD104" i="4"/>
  <c r="BF104" i="4" s="1"/>
  <c r="BC104" i="4"/>
  <c r="BG104" i="4" s="1"/>
  <c r="AY104" i="4"/>
  <c r="AX104" i="4"/>
  <c r="BB104" i="4" s="1"/>
  <c r="AW104" i="4"/>
  <c r="AV104" i="4"/>
  <c r="L104" i="4"/>
  <c r="BS103" i="4"/>
  <c r="BU103" i="4" s="1"/>
  <c r="BR103" i="4"/>
  <c r="BV103" i="4" s="1"/>
  <c r="BQ103" i="4"/>
  <c r="BN103" i="4"/>
  <c r="BP103" i="4" s="1"/>
  <c r="BM103" i="4"/>
  <c r="BI103" i="4"/>
  <c r="BK103" i="4" s="1"/>
  <c r="BH103" i="4"/>
  <c r="BL103" i="4" s="1"/>
  <c r="BD103" i="4"/>
  <c r="BF103" i="4" s="1"/>
  <c r="BC103" i="4"/>
  <c r="BG103" i="4" s="1"/>
  <c r="AY103" i="4"/>
  <c r="BA103" i="4" s="1"/>
  <c r="AX103" i="4"/>
  <c r="BB103" i="4" s="1"/>
  <c r="AT103" i="4"/>
  <c r="AS103" i="4"/>
  <c r="AR103" i="4"/>
  <c r="AM103" i="4"/>
  <c r="AH103" i="4"/>
  <c r="AC103" i="4"/>
  <c r="X103" i="4"/>
  <c r="S103" i="4"/>
  <c r="P103" i="4"/>
  <c r="R103" i="4" s="1"/>
  <c r="L103" i="4"/>
  <c r="G103" i="4"/>
  <c r="H103" i="4" s="1"/>
  <c r="BS102" i="4"/>
  <c r="BU102" i="4" s="1"/>
  <c r="BR102" i="4"/>
  <c r="BV102" i="4" s="1"/>
  <c r="BN102" i="4"/>
  <c r="BP102" i="4" s="1"/>
  <c r="BM102" i="4"/>
  <c r="BQ102" i="4" s="1"/>
  <c r="BI102" i="4"/>
  <c r="BK102" i="4" s="1"/>
  <c r="BH102" i="4"/>
  <c r="BL102" i="4" s="1"/>
  <c r="BD102" i="4"/>
  <c r="BF102" i="4" s="1"/>
  <c r="BC102" i="4"/>
  <c r="BG102" i="4" s="1"/>
  <c r="AY102" i="4"/>
  <c r="BA102" i="4" s="1"/>
  <c r="AX102" i="4"/>
  <c r="AT102" i="4"/>
  <c r="AV102" i="4" s="1"/>
  <c r="AS102" i="4"/>
  <c r="AW102" i="4" s="1"/>
  <c r="AR102" i="4"/>
  <c r="AM102" i="4"/>
  <c r="AH102" i="4"/>
  <c r="AC102" i="4"/>
  <c r="X102" i="4"/>
  <c r="S102" i="4"/>
  <c r="P102" i="4"/>
  <c r="L102" i="4"/>
  <c r="G102" i="4"/>
  <c r="H102" i="4" s="1"/>
  <c r="BS101" i="4"/>
  <c r="BU101" i="4" s="1"/>
  <c r="BR101" i="4"/>
  <c r="BV101" i="4" s="1"/>
  <c r="BN101" i="4"/>
  <c r="BP101" i="4" s="1"/>
  <c r="BM101" i="4"/>
  <c r="BQ101" i="4" s="1"/>
  <c r="BI101" i="4"/>
  <c r="BK101" i="4" s="1"/>
  <c r="BH101" i="4"/>
  <c r="BL101" i="4" s="1"/>
  <c r="BD101" i="4"/>
  <c r="BF101" i="4" s="1"/>
  <c r="BC101" i="4"/>
  <c r="BG101" i="4" s="1"/>
  <c r="AY101" i="4"/>
  <c r="BA101" i="4" s="1"/>
  <c r="AX101" i="4"/>
  <c r="AT101" i="4"/>
  <c r="AV101" i="4" s="1"/>
  <c r="AS101" i="4"/>
  <c r="AW101" i="4" s="1"/>
  <c r="AR101" i="4"/>
  <c r="AM101" i="4"/>
  <c r="AH101" i="4"/>
  <c r="AC101" i="4"/>
  <c r="X101" i="4"/>
  <c r="S101" i="4"/>
  <c r="P101" i="4"/>
  <c r="L101" i="4"/>
  <c r="G101" i="4"/>
  <c r="H101" i="4" s="1"/>
  <c r="BU100" i="4"/>
  <c r="BS100" i="4"/>
  <c r="BR100" i="4"/>
  <c r="BV100" i="4" s="1"/>
  <c r="BN100" i="4"/>
  <c r="BP100" i="4" s="1"/>
  <c r="BM100" i="4"/>
  <c r="BQ100" i="4" s="1"/>
  <c r="BI100" i="4"/>
  <c r="BK100" i="4" s="1"/>
  <c r="BH100" i="4"/>
  <c r="BL100" i="4" s="1"/>
  <c r="BF100" i="4"/>
  <c r="BD100" i="4"/>
  <c r="BC100" i="4"/>
  <c r="AY100" i="4"/>
  <c r="BA100" i="4" s="1"/>
  <c r="AX100" i="4"/>
  <c r="BB100" i="4" s="1"/>
  <c r="AT100" i="4"/>
  <c r="AV100" i="4" s="1"/>
  <c r="AS100" i="4"/>
  <c r="AW100" i="4" s="1"/>
  <c r="AR100" i="4"/>
  <c r="AM100" i="4"/>
  <c r="AH100" i="4"/>
  <c r="AC100" i="4"/>
  <c r="X100" i="4"/>
  <c r="S100" i="4"/>
  <c r="P100" i="4"/>
  <c r="L100" i="4"/>
  <c r="G100" i="4"/>
  <c r="H100" i="4" s="1"/>
  <c r="BS99" i="4"/>
  <c r="BU99" i="4" s="1"/>
  <c r="BR99" i="4"/>
  <c r="BV99" i="4" s="1"/>
  <c r="BN99" i="4"/>
  <c r="BP99" i="4" s="1"/>
  <c r="BM99" i="4"/>
  <c r="BQ99" i="4" s="1"/>
  <c r="BI99" i="4"/>
  <c r="BK99" i="4" s="1"/>
  <c r="BH99" i="4"/>
  <c r="BL99" i="4" s="1"/>
  <c r="BD99" i="4"/>
  <c r="BC99" i="4"/>
  <c r="AY99" i="4"/>
  <c r="BA99" i="4" s="1"/>
  <c r="AX99" i="4"/>
  <c r="BB99" i="4" s="1"/>
  <c r="AT99" i="4"/>
  <c r="AV99" i="4" s="1"/>
  <c r="AS99" i="4"/>
  <c r="AW99" i="4" s="1"/>
  <c r="AR99" i="4"/>
  <c r="AM99" i="4"/>
  <c r="AH99" i="4"/>
  <c r="AC99" i="4"/>
  <c r="X99" i="4"/>
  <c r="S99" i="4"/>
  <c r="P99" i="4"/>
  <c r="R99" i="4" s="1"/>
  <c r="L99" i="4"/>
  <c r="G99" i="4"/>
  <c r="H99" i="4" s="1"/>
  <c r="Z99" i="4" s="1"/>
  <c r="AB99" i="4" s="1"/>
  <c r="BS98" i="4"/>
  <c r="BU98" i="4" s="1"/>
  <c r="BR98" i="4"/>
  <c r="BV98" i="4" s="1"/>
  <c r="BN98" i="4"/>
  <c r="BM98" i="4"/>
  <c r="BQ98" i="4" s="1"/>
  <c r="BI98" i="4"/>
  <c r="BH98" i="4"/>
  <c r="BG98" i="4"/>
  <c r="BD98" i="4"/>
  <c r="BF98" i="4" s="1"/>
  <c r="BC98" i="4"/>
  <c r="AY98" i="4"/>
  <c r="BA98" i="4" s="1"/>
  <c r="AX98" i="4"/>
  <c r="BB98" i="4" s="1"/>
  <c r="AT98" i="4"/>
  <c r="AV98" i="4" s="1"/>
  <c r="AS98" i="4"/>
  <c r="AW98" i="4" s="1"/>
  <c r="AR98" i="4"/>
  <c r="AM98" i="4"/>
  <c r="AH98" i="4"/>
  <c r="AC98" i="4"/>
  <c r="X98" i="4"/>
  <c r="S98" i="4"/>
  <c r="P98" i="4"/>
  <c r="R98" i="4" s="1"/>
  <c r="L98" i="4"/>
  <c r="G98" i="4"/>
  <c r="G97" i="4" s="1"/>
  <c r="BT97" i="4"/>
  <c r="BT105" i="4" s="1"/>
  <c r="BO97" i="4"/>
  <c r="BJ97" i="4"/>
  <c r="BJ105" i="4" s="1"/>
  <c r="BE97" i="4"/>
  <c r="BE105" i="4" s="1"/>
  <c r="AZ97" i="4"/>
  <c r="AZ105" i="4" s="1"/>
  <c r="AU97" i="4"/>
  <c r="AP97" i="4"/>
  <c r="AP105" i="4" s="1"/>
  <c r="AN97" i="4"/>
  <c r="AK97" i="4"/>
  <c r="AK105" i="4" s="1"/>
  <c r="AI97" i="4"/>
  <c r="AI105" i="4" s="1"/>
  <c r="AF97" i="4"/>
  <c r="AF105" i="4" s="1"/>
  <c r="AH105" i="4" s="1"/>
  <c r="AD97" i="4"/>
  <c r="AD105" i="4" s="1"/>
  <c r="AA97" i="4"/>
  <c r="AA105" i="4" s="1"/>
  <c r="AC105" i="4" s="1"/>
  <c r="Y97" i="4"/>
  <c r="Y105" i="4" s="1"/>
  <c r="V97" i="4"/>
  <c r="V105" i="4" s="1"/>
  <c r="T97" i="4"/>
  <c r="T105" i="4" s="1"/>
  <c r="Q97" i="4"/>
  <c r="O97" i="4"/>
  <c r="O105" i="4" s="1"/>
  <c r="F97" i="4"/>
  <c r="BV96" i="4"/>
  <c r="BU96" i="4"/>
  <c r="BR96" i="4"/>
  <c r="BQ96" i="4"/>
  <c r="BP96" i="4"/>
  <c r="BM96" i="4"/>
  <c r="BK96" i="4"/>
  <c r="BH96" i="4"/>
  <c r="BL96" i="4" s="1"/>
  <c r="BG96" i="4"/>
  <c r="BF96" i="4"/>
  <c r="BC96" i="4"/>
  <c r="BA96" i="4"/>
  <c r="AX96" i="4"/>
  <c r="AV96" i="4"/>
  <c r="AS96" i="4"/>
  <c r="AW96" i="4" s="1"/>
  <c r="AQ96" i="4"/>
  <c r="AN96" i="4"/>
  <c r="AR96" i="4" s="1"/>
  <c r="AL96" i="4"/>
  <c r="AI96" i="4"/>
  <c r="AM96" i="4" s="1"/>
  <c r="AG96" i="4"/>
  <c r="AD96" i="4"/>
  <c r="AH96" i="4" s="1"/>
  <c r="Y96" i="4"/>
  <c r="AC96" i="4" s="1"/>
  <c r="T96" i="4"/>
  <c r="X96" i="4" s="1"/>
  <c r="O96" i="4"/>
  <c r="L96" i="4"/>
  <c r="BU95" i="4"/>
  <c r="BR95" i="4"/>
  <c r="J95" i="4" s="1"/>
  <c r="N95" i="4" s="1"/>
  <c r="BQ95" i="4"/>
  <c r="BP95" i="4"/>
  <c r="BM95" i="4"/>
  <c r="BK95" i="4"/>
  <c r="BH95" i="4"/>
  <c r="BL95" i="4" s="1"/>
  <c r="BF95" i="4"/>
  <c r="BC95" i="4"/>
  <c r="BG95" i="4" s="1"/>
  <c r="BA95" i="4"/>
  <c r="AX95" i="4"/>
  <c r="BB95" i="4" s="1"/>
  <c r="AV95" i="4"/>
  <c r="AS95" i="4"/>
  <c r="AW95" i="4" s="1"/>
  <c r="AQ95" i="4"/>
  <c r="AN95" i="4"/>
  <c r="AR95" i="4" s="1"/>
  <c r="AL95" i="4"/>
  <c r="AI95" i="4"/>
  <c r="AM95" i="4" s="1"/>
  <c r="AG95" i="4"/>
  <c r="AD95" i="4"/>
  <c r="AH95" i="4" s="1"/>
  <c r="Y95" i="4"/>
  <c r="AC95" i="4" s="1"/>
  <c r="T95" i="4"/>
  <c r="X95" i="4" s="1"/>
  <c r="S95" i="4"/>
  <c r="O95" i="4"/>
  <c r="L95" i="4"/>
  <c r="K95" i="4"/>
  <c r="M95" i="4" s="1"/>
  <c r="BV94" i="4"/>
  <c r="BU94" i="4"/>
  <c r="BR94" i="4"/>
  <c r="BP94" i="4"/>
  <c r="BM94" i="4"/>
  <c r="BQ94" i="4" s="1"/>
  <c r="BK94" i="4"/>
  <c r="BH94" i="4"/>
  <c r="BL94" i="4" s="1"/>
  <c r="BF94" i="4"/>
  <c r="BC94" i="4"/>
  <c r="BG94" i="4" s="1"/>
  <c r="BA94" i="4"/>
  <c r="AX94" i="4"/>
  <c r="BB94" i="4" s="1"/>
  <c r="AV94" i="4"/>
  <c r="AS94" i="4"/>
  <c r="AW94" i="4" s="1"/>
  <c r="AQ94" i="4"/>
  <c r="AN94" i="4"/>
  <c r="AR94" i="4" s="1"/>
  <c r="AL94" i="4"/>
  <c r="AI94" i="4"/>
  <c r="AM94" i="4" s="1"/>
  <c r="AH94" i="4"/>
  <c r="AG94" i="4"/>
  <c r="AD94" i="4"/>
  <c r="AB94" i="4"/>
  <c r="Y94" i="4"/>
  <c r="AC94" i="4" s="1"/>
  <c r="X94" i="4"/>
  <c r="W94" i="4"/>
  <c r="T94" i="4"/>
  <c r="R94" i="4"/>
  <c r="O94" i="4"/>
  <c r="L94" i="4"/>
  <c r="K94" i="4"/>
  <c r="G94" i="4"/>
  <c r="F94" i="4"/>
  <c r="BU93" i="4"/>
  <c r="BR93" i="4"/>
  <c r="BV93" i="4" s="1"/>
  <c r="BP93" i="4"/>
  <c r="BM93" i="4"/>
  <c r="BQ93" i="4" s="1"/>
  <c r="BK93" i="4"/>
  <c r="BH93" i="4"/>
  <c r="BL93" i="4" s="1"/>
  <c r="BG93" i="4"/>
  <c r="BF93" i="4"/>
  <c r="BC93" i="4"/>
  <c r="BA93" i="4"/>
  <c r="AX93" i="4"/>
  <c r="BB93" i="4" s="1"/>
  <c r="AV93" i="4"/>
  <c r="AS93" i="4"/>
  <c r="AW93" i="4" s="1"/>
  <c r="AR93" i="4"/>
  <c r="AQ93" i="4"/>
  <c r="AN93" i="4"/>
  <c r="AL93" i="4"/>
  <c r="AI93" i="4"/>
  <c r="AM93" i="4" s="1"/>
  <c r="AG93" i="4"/>
  <c r="AD93" i="4"/>
  <c r="AH93" i="4" s="1"/>
  <c r="AB93" i="4"/>
  <c r="Y93" i="4"/>
  <c r="AC93" i="4" s="1"/>
  <c r="W93" i="4"/>
  <c r="T93" i="4"/>
  <c r="X93" i="4" s="1"/>
  <c r="S93" i="4"/>
  <c r="R93" i="4"/>
  <c r="O93" i="4"/>
  <c r="L93" i="4"/>
  <c r="K93" i="4"/>
  <c r="K79" i="4" s="1"/>
  <c r="K78" i="4" s="1"/>
  <c r="I93" i="4"/>
  <c r="G93" i="4"/>
  <c r="F93" i="4"/>
  <c r="BU92" i="4"/>
  <c r="BR92" i="4"/>
  <c r="BV92" i="4" s="1"/>
  <c r="BQ92" i="4"/>
  <c r="BP92" i="4"/>
  <c r="BM92" i="4"/>
  <c r="BK92" i="4"/>
  <c r="BH92" i="4"/>
  <c r="BL92" i="4" s="1"/>
  <c r="BF92" i="4"/>
  <c r="BC92" i="4"/>
  <c r="BG92" i="4" s="1"/>
  <c r="BA92" i="4"/>
  <c r="AX92" i="4"/>
  <c r="BB92" i="4" s="1"/>
  <c r="AV92" i="4"/>
  <c r="AS92" i="4"/>
  <c r="AW92" i="4" s="1"/>
  <c r="AQ92" i="4"/>
  <c r="AN92" i="4"/>
  <c r="AR92" i="4" s="1"/>
  <c r="AL92" i="4"/>
  <c r="AI92" i="4"/>
  <c r="AM92" i="4" s="1"/>
  <c r="AG92" i="4"/>
  <c r="AD92" i="4"/>
  <c r="AC92" i="4"/>
  <c r="AB92" i="4"/>
  <c r="Y92" i="4"/>
  <c r="W92" i="4"/>
  <c r="T92" i="4"/>
  <c r="X92" i="4" s="1"/>
  <c r="R92" i="4"/>
  <c r="O92" i="4"/>
  <c r="S92" i="4" s="1"/>
  <c r="L92" i="4"/>
  <c r="K92" i="4"/>
  <c r="G92" i="4"/>
  <c r="I92" i="4" s="1"/>
  <c r="F92" i="4"/>
  <c r="BT91" i="4"/>
  <c r="BS91" i="4"/>
  <c r="BU91" i="4" s="1"/>
  <c r="BO91" i="4"/>
  <c r="BN91" i="4"/>
  <c r="BJ91" i="4"/>
  <c r="BI91" i="4"/>
  <c r="BE91" i="4"/>
  <c r="BD91" i="4"/>
  <c r="AZ91" i="4"/>
  <c r="AY91" i="4"/>
  <c r="AU91" i="4"/>
  <c r="AT91" i="4"/>
  <c r="AT79" i="4" s="1"/>
  <c r="AT78" i="4" s="1"/>
  <c r="AP91" i="4"/>
  <c r="AO91" i="4"/>
  <c r="AQ91" i="4" s="1"/>
  <c r="AK91" i="4"/>
  <c r="AL91" i="4" s="1"/>
  <c r="AJ91" i="4"/>
  <c r="AF91" i="4"/>
  <c r="AE91" i="4"/>
  <c r="AA91" i="4"/>
  <c r="Z91" i="4"/>
  <c r="V91" i="4"/>
  <c r="U91" i="4"/>
  <c r="W91" i="4" s="1"/>
  <c r="Q91" i="4"/>
  <c r="P91" i="4"/>
  <c r="R91" i="4" s="1"/>
  <c r="H91" i="4"/>
  <c r="BU90" i="4"/>
  <c r="BR90" i="4"/>
  <c r="BP90" i="4"/>
  <c r="BM90" i="4"/>
  <c r="BQ90" i="4" s="1"/>
  <c r="BL90" i="4"/>
  <c r="BK90" i="4"/>
  <c r="BH90" i="4"/>
  <c r="BF90" i="4"/>
  <c r="BC90" i="4"/>
  <c r="BG90" i="4" s="1"/>
  <c r="BA90" i="4"/>
  <c r="AX90" i="4"/>
  <c r="BB90" i="4" s="1"/>
  <c r="AV90" i="4"/>
  <c r="AS90" i="4"/>
  <c r="AW90" i="4" s="1"/>
  <c r="AQ90" i="4"/>
  <c r="AN90" i="4"/>
  <c r="AR90" i="4" s="1"/>
  <c r="AL90" i="4"/>
  <c r="AI90" i="4"/>
  <c r="AM90" i="4" s="1"/>
  <c r="AG90" i="4"/>
  <c r="AD90" i="4"/>
  <c r="AB90" i="4"/>
  <c r="Y90" i="4"/>
  <c r="AC90" i="4" s="1"/>
  <c r="W90" i="4"/>
  <c r="T90" i="4"/>
  <c r="S90" i="4"/>
  <c r="R90" i="4"/>
  <c r="O90" i="4"/>
  <c r="L90" i="4"/>
  <c r="K90" i="4"/>
  <c r="I90" i="4"/>
  <c r="G90" i="4"/>
  <c r="F90" i="4"/>
  <c r="BU89" i="4"/>
  <c r="BR89" i="4"/>
  <c r="BV89" i="4" s="1"/>
  <c r="BQ89" i="4"/>
  <c r="BP89" i="4"/>
  <c r="BM89" i="4"/>
  <c r="BK89" i="4"/>
  <c r="BH89" i="4"/>
  <c r="BL89" i="4" s="1"/>
  <c r="BF89" i="4"/>
  <c r="BC89" i="4"/>
  <c r="BC91" i="4" s="1"/>
  <c r="BA89" i="4"/>
  <c r="AX89" i="4"/>
  <c r="AV89" i="4"/>
  <c r="AS89" i="4"/>
  <c r="AW89" i="4" s="1"/>
  <c r="AQ89" i="4"/>
  <c r="AN89" i="4"/>
  <c r="AN91" i="4" s="1"/>
  <c r="AR91" i="4" s="1"/>
  <c r="AL89" i="4"/>
  <c r="AI89" i="4"/>
  <c r="AM89" i="4" s="1"/>
  <c r="AH89" i="4"/>
  <c r="AG89" i="4"/>
  <c r="AD89" i="4"/>
  <c r="AB89" i="4"/>
  <c r="Y89" i="4"/>
  <c r="AC89" i="4" s="1"/>
  <c r="X89" i="4"/>
  <c r="W89" i="4"/>
  <c r="T89" i="4"/>
  <c r="R89" i="4"/>
  <c r="O89" i="4"/>
  <c r="S89" i="4" s="1"/>
  <c r="L89" i="4"/>
  <c r="K89" i="4"/>
  <c r="K91" i="4" s="1"/>
  <c r="I89" i="4"/>
  <c r="G89" i="4"/>
  <c r="G91" i="4" s="1"/>
  <c r="F89" i="4"/>
  <c r="F91" i="4" s="1"/>
  <c r="BT88" i="4"/>
  <c r="BS88" i="4"/>
  <c r="BU88" i="4" s="1"/>
  <c r="BO88" i="4"/>
  <c r="BP88" i="4" s="1"/>
  <c r="BN88" i="4"/>
  <c r="BJ88" i="4"/>
  <c r="BI88" i="4"/>
  <c r="BE88" i="4"/>
  <c r="BD88" i="4"/>
  <c r="AZ88" i="4"/>
  <c r="AY88" i="4"/>
  <c r="BA88" i="4" s="1"/>
  <c r="AU88" i="4"/>
  <c r="AT88" i="4"/>
  <c r="AP88" i="4"/>
  <c r="AQ88" i="4" s="1"/>
  <c r="AO88" i="4"/>
  <c r="AK88" i="4"/>
  <c r="AJ88" i="4"/>
  <c r="AJ79" i="4" s="1"/>
  <c r="AJ78" i="4" s="1"/>
  <c r="AF88" i="4"/>
  <c r="AF79" i="4" s="1"/>
  <c r="AE88" i="4"/>
  <c r="AG88" i="4" s="1"/>
  <c r="AA88" i="4"/>
  <c r="Z88" i="4"/>
  <c r="V88" i="4"/>
  <c r="V79" i="4" s="1"/>
  <c r="V78" i="4" s="1"/>
  <c r="V73" i="4" s="1"/>
  <c r="U88" i="4"/>
  <c r="Q88" i="4"/>
  <c r="Q79" i="4" s="1"/>
  <c r="P88" i="4"/>
  <c r="O88" i="4"/>
  <c r="H88" i="4"/>
  <c r="BU87" i="4"/>
  <c r="BR87" i="4"/>
  <c r="BV87" i="4" s="1"/>
  <c r="BQ87" i="4"/>
  <c r="BP87" i="4"/>
  <c r="BM87" i="4"/>
  <c r="BK87" i="4"/>
  <c r="BH87" i="4"/>
  <c r="BL87" i="4" s="1"/>
  <c r="BF87" i="4"/>
  <c r="BC87" i="4"/>
  <c r="BG87" i="4" s="1"/>
  <c r="BA87" i="4"/>
  <c r="AX87" i="4"/>
  <c r="BB87" i="4" s="1"/>
  <c r="AV87" i="4"/>
  <c r="AS87" i="4"/>
  <c r="AW87" i="4" s="1"/>
  <c r="AQ87" i="4"/>
  <c r="AN87" i="4"/>
  <c r="AR87" i="4" s="1"/>
  <c r="AM87" i="4"/>
  <c r="AL87" i="4"/>
  <c r="AI87" i="4"/>
  <c r="AG87" i="4"/>
  <c r="AD87" i="4"/>
  <c r="AH87" i="4" s="1"/>
  <c r="AC87" i="4"/>
  <c r="AB87" i="4"/>
  <c r="Y87" i="4"/>
  <c r="W87" i="4"/>
  <c r="T87" i="4"/>
  <c r="X87" i="4" s="1"/>
  <c r="R87" i="4"/>
  <c r="O87" i="4"/>
  <c r="S87" i="4" s="1"/>
  <c r="L87" i="4"/>
  <c r="K87" i="4"/>
  <c r="M87" i="4" s="1"/>
  <c r="I87" i="4"/>
  <c r="G87" i="4"/>
  <c r="F87" i="4"/>
  <c r="BU86" i="4"/>
  <c r="BR86" i="4"/>
  <c r="BV86" i="4" s="1"/>
  <c r="BP86" i="4"/>
  <c r="BM86" i="4"/>
  <c r="BQ86" i="4" s="1"/>
  <c r="BL86" i="4"/>
  <c r="BK86" i="4"/>
  <c r="BH86" i="4"/>
  <c r="BF86" i="4"/>
  <c r="BC86" i="4"/>
  <c r="BG86" i="4" s="1"/>
  <c r="BA86" i="4"/>
  <c r="AX86" i="4"/>
  <c r="BB86" i="4" s="1"/>
  <c r="AV86" i="4"/>
  <c r="AS86" i="4"/>
  <c r="AQ86" i="4"/>
  <c r="AN86" i="4"/>
  <c r="AR86" i="4" s="1"/>
  <c r="AL86" i="4"/>
  <c r="AI86" i="4"/>
  <c r="AM86" i="4" s="1"/>
  <c r="AG86" i="4"/>
  <c r="AD86" i="4"/>
  <c r="AH86" i="4" s="1"/>
  <c r="AB86" i="4"/>
  <c r="Y86" i="4"/>
  <c r="AC86" i="4" s="1"/>
  <c r="W86" i="4"/>
  <c r="T86" i="4"/>
  <c r="X86" i="4" s="1"/>
  <c r="R86" i="4"/>
  <c r="O86" i="4"/>
  <c r="S86" i="4" s="1"/>
  <c r="L86" i="4"/>
  <c r="L88" i="4" s="1"/>
  <c r="K86" i="4"/>
  <c r="K88" i="4" s="1"/>
  <c r="G86" i="4"/>
  <c r="I86" i="4" s="1"/>
  <c r="F86" i="4"/>
  <c r="BV85" i="4"/>
  <c r="BU85" i="4"/>
  <c r="BR85" i="4"/>
  <c r="BP85" i="4"/>
  <c r="BM85" i="4"/>
  <c r="BQ85" i="4" s="1"/>
  <c r="BK85" i="4"/>
  <c r="BH85" i="4"/>
  <c r="BL85" i="4" s="1"/>
  <c r="BF85" i="4"/>
  <c r="BC85" i="4"/>
  <c r="BG85" i="4" s="1"/>
  <c r="BA85" i="4"/>
  <c r="AX85" i="4"/>
  <c r="BB85" i="4" s="1"/>
  <c r="AW85" i="4"/>
  <c r="AV85" i="4"/>
  <c r="AS85" i="4"/>
  <c r="AQ85" i="4"/>
  <c r="AN85" i="4"/>
  <c r="AR85" i="4" s="1"/>
  <c r="AL85" i="4"/>
  <c r="AI85" i="4"/>
  <c r="AM85" i="4" s="1"/>
  <c r="AG85" i="4"/>
  <c r="AD85" i="4"/>
  <c r="AH85" i="4" s="1"/>
  <c r="AB85" i="4"/>
  <c r="Y85" i="4"/>
  <c r="W85" i="4"/>
  <c r="T85" i="4"/>
  <c r="X85" i="4" s="1"/>
  <c r="R85" i="4"/>
  <c r="O85" i="4"/>
  <c r="S85" i="4" s="1"/>
  <c r="L85" i="4"/>
  <c r="M85" i="4" s="1"/>
  <c r="K85" i="4"/>
  <c r="G85" i="4"/>
  <c r="I85" i="4" s="1"/>
  <c r="F85" i="4"/>
  <c r="BU84" i="4"/>
  <c r="BR84" i="4"/>
  <c r="BP84" i="4"/>
  <c r="BM84" i="4"/>
  <c r="BK84" i="4"/>
  <c r="BH84" i="4"/>
  <c r="BF84" i="4"/>
  <c r="BC84" i="4"/>
  <c r="BA84" i="4"/>
  <c r="AX84" i="4"/>
  <c r="BB84" i="4" s="1"/>
  <c r="AV84" i="4"/>
  <c r="AS84" i="4"/>
  <c r="AW84" i="4" s="1"/>
  <c r="AQ84" i="4"/>
  <c r="AN84" i="4"/>
  <c r="AR84" i="4" s="1"/>
  <c r="AL84" i="4"/>
  <c r="AI84" i="4"/>
  <c r="AM84" i="4" s="1"/>
  <c r="AG84" i="4"/>
  <c r="AD84" i="4"/>
  <c r="AB84" i="4"/>
  <c r="Y84" i="4"/>
  <c r="W84" i="4"/>
  <c r="T84" i="4"/>
  <c r="S84" i="4"/>
  <c r="R84" i="4"/>
  <c r="O84" i="4"/>
  <c r="L84" i="4"/>
  <c r="K84" i="4"/>
  <c r="G84" i="4"/>
  <c r="F84" i="4"/>
  <c r="BT83" i="4"/>
  <c r="BT79" i="4" s="1"/>
  <c r="BT78" i="4" s="1"/>
  <c r="BS83" i="4"/>
  <c r="BS79" i="4" s="1"/>
  <c r="BS78" i="4" s="1"/>
  <c r="BO83" i="4"/>
  <c r="BN83" i="4"/>
  <c r="BM83" i="4"/>
  <c r="BJ83" i="4"/>
  <c r="BI83" i="4"/>
  <c r="BI79" i="4" s="1"/>
  <c r="BI78" i="4" s="1"/>
  <c r="BE83" i="4"/>
  <c r="BE79" i="4" s="1"/>
  <c r="BD83" i="4"/>
  <c r="AZ83" i="4"/>
  <c r="AY83" i="4"/>
  <c r="AY79" i="4" s="1"/>
  <c r="AY78" i="4" s="1"/>
  <c r="AV83" i="4"/>
  <c r="AU83" i="4"/>
  <c r="AT83" i="4"/>
  <c r="AP83" i="4"/>
  <c r="AO83" i="4"/>
  <c r="AO79" i="4" s="1"/>
  <c r="AO78" i="4" s="1"/>
  <c r="AL83" i="4"/>
  <c r="AK83" i="4"/>
  <c r="AK79" i="4" s="1"/>
  <c r="AJ83" i="4"/>
  <c r="AF83" i="4"/>
  <c r="AE83" i="4"/>
  <c r="AA83" i="4"/>
  <c r="Z83" i="4"/>
  <c r="Z79" i="4" s="1"/>
  <c r="Z78" i="4" s="1"/>
  <c r="V83" i="4"/>
  <c r="U83" i="4"/>
  <c r="Q83" i="4"/>
  <c r="P83" i="4"/>
  <c r="O83" i="4"/>
  <c r="H83" i="4"/>
  <c r="BU82" i="4"/>
  <c r="BR82" i="4"/>
  <c r="BV82" i="4" s="1"/>
  <c r="BP82" i="4"/>
  <c r="BM82" i="4"/>
  <c r="BQ82" i="4" s="1"/>
  <c r="BK82" i="4"/>
  <c r="BH82" i="4"/>
  <c r="BL82" i="4" s="1"/>
  <c r="BF82" i="4"/>
  <c r="BC82" i="4"/>
  <c r="BG82" i="4" s="1"/>
  <c r="BA82" i="4"/>
  <c r="AX82" i="4"/>
  <c r="AW82" i="4"/>
  <c r="AV82" i="4"/>
  <c r="AS82" i="4"/>
  <c r="AR82" i="4"/>
  <c r="AQ82" i="4"/>
  <c r="AN82" i="4"/>
  <c r="AL82" i="4"/>
  <c r="AI82" i="4"/>
  <c r="AM82" i="4" s="1"/>
  <c r="AG82" i="4"/>
  <c r="AD82" i="4"/>
  <c r="AH82" i="4" s="1"/>
  <c r="AB82" i="4"/>
  <c r="Y82" i="4"/>
  <c r="AC82" i="4" s="1"/>
  <c r="W82" i="4"/>
  <c r="T82" i="4"/>
  <c r="R82" i="4"/>
  <c r="O82" i="4"/>
  <c r="S82" i="4" s="1"/>
  <c r="L82" i="4"/>
  <c r="K82" i="4"/>
  <c r="I82" i="4"/>
  <c r="G82" i="4"/>
  <c r="F82" i="4"/>
  <c r="BU81" i="4"/>
  <c r="BR81" i="4"/>
  <c r="BV81" i="4" s="1"/>
  <c r="BQ81" i="4"/>
  <c r="BP81" i="4"/>
  <c r="BM81" i="4"/>
  <c r="BL81" i="4"/>
  <c r="BK81" i="4"/>
  <c r="BH81" i="4"/>
  <c r="BF81" i="4"/>
  <c r="BC81" i="4"/>
  <c r="BG81" i="4" s="1"/>
  <c r="BB81" i="4"/>
  <c r="BA81" i="4"/>
  <c r="AX81" i="4"/>
  <c r="AV81" i="4"/>
  <c r="AS81" i="4"/>
  <c r="J81" i="4" s="1"/>
  <c r="AR81" i="4"/>
  <c r="AQ81" i="4"/>
  <c r="AN81" i="4"/>
  <c r="AL81" i="4"/>
  <c r="AI81" i="4"/>
  <c r="AM81" i="4" s="1"/>
  <c r="AG81" i="4"/>
  <c r="AD81" i="4"/>
  <c r="AH81" i="4" s="1"/>
  <c r="AB81" i="4"/>
  <c r="Y81" i="4"/>
  <c r="AC81" i="4" s="1"/>
  <c r="X81" i="4"/>
  <c r="W81" i="4"/>
  <c r="T81" i="4"/>
  <c r="R81" i="4"/>
  <c r="O81" i="4"/>
  <c r="S81" i="4" s="1"/>
  <c r="L81" i="4"/>
  <c r="K81" i="4"/>
  <c r="G81" i="4"/>
  <c r="I81" i="4" s="1"/>
  <c r="F81" i="4"/>
  <c r="BU80" i="4"/>
  <c r="BR80" i="4"/>
  <c r="BR83" i="4" s="1"/>
  <c r="BP80" i="4"/>
  <c r="BM80" i="4"/>
  <c r="BQ80" i="4" s="1"/>
  <c r="BL80" i="4"/>
  <c r="BK80" i="4"/>
  <c r="BH80" i="4"/>
  <c r="BF80" i="4"/>
  <c r="BC80" i="4"/>
  <c r="BA80" i="4"/>
  <c r="AX80" i="4"/>
  <c r="BB80" i="4" s="1"/>
  <c r="AV80" i="4"/>
  <c r="AS80" i="4"/>
  <c r="AW80" i="4" s="1"/>
  <c r="AR80" i="4"/>
  <c r="AQ80" i="4"/>
  <c r="AN80" i="4"/>
  <c r="AL80" i="4"/>
  <c r="AI80" i="4"/>
  <c r="AG80" i="4"/>
  <c r="AD80" i="4"/>
  <c r="AB80" i="4"/>
  <c r="Y80" i="4"/>
  <c r="AC80" i="4" s="1"/>
  <c r="W80" i="4"/>
  <c r="T80" i="4"/>
  <c r="X80" i="4" s="1"/>
  <c r="R80" i="4"/>
  <c r="O80" i="4"/>
  <c r="S80" i="4" s="1"/>
  <c r="L80" i="4"/>
  <c r="L83" i="4" s="1"/>
  <c r="K80" i="4"/>
  <c r="G80" i="4"/>
  <c r="I80" i="4" s="1"/>
  <c r="F80" i="4"/>
  <c r="BU77" i="4"/>
  <c r="BR77" i="4"/>
  <c r="BP77" i="4"/>
  <c r="BM77" i="4"/>
  <c r="BL77" i="4"/>
  <c r="BK77" i="4"/>
  <c r="BH77" i="4"/>
  <c r="BF77" i="4"/>
  <c r="BC77" i="4"/>
  <c r="BG77" i="4" s="1"/>
  <c r="BA77" i="4"/>
  <c r="AX77" i="4"/>
  <c r="BB77" i="4" s="1"/>
  <c r="AW77" i="4"/>
  <c r="AV77" i="4"/>
  <c r="AS77" i="4"/>
  <c r="AQ77" i="4"/>
  <c r="AN77" i="4"/>
  <c r="AR77" i="4" s="1"/>
  <c r="AL77" i="4"/>
  <c r="AI77" i="4"/>
  <c r="AM77" i="4" s="1"/>
  <c r="AG77" i="4"/>
  <c r="AD77" i="4"/>
  <c r="Y77" i="4"/>
  <c r="T77" i="4"/>
  <c r="T74" i="4" s="1"/>
  <c r="O77" i="4"/>
  <c r="S77" i="4" s="1"/>
  <c r="L77" i="4"/>
  <c r="G77" i="4"/>
  <c r="G74" i="4" s="1"/>
  <c r="F77" i="4"/>
  <c r="F74" i="4" s="1"/>
  <c r="BU76" i="4"/>
  <c r="BR76" i="4"/>
  <c r="BP76" i="4"/>
  <c r="BM76" i="4"/>
  <c r="BK76" i="4"/>
  <c r="BH76" i="4"/>
  <c r="BL76" i="4" s="1"/>
  <c r="BG76" i="4"/>
  <c r="BF76" i="4"/>
  <c r="BC76" i="4"/>
  <c r="BA76" i="4"/>
  <c r="AX76" i="4"/>
  <c r="BB76" i="4" s="1"/>
  <c r="AV76" i="4"/>
  <c r="AS76" i="4"/>
  <c r="AW76" i="4" s="1"/>
  <c r="AQ76" i="4"/>
  <c r="AN76" i="4"/>
  <c r="AR76" i="4" s="1"/>
  <c r="AL76" i="4"/>
  <c r="AI76" i="4"/>
  <c r="AI75" i="4" s="1"/>
  <c r="AG76" i="4"/>
  <c r="AD76" i="4"/>
  <c r="Y76" i="4"/>
  <c r="Y75" i="4" s="1"/>
  <c r="W76" i="4"/>
  <c r="T76" i="4"/>
  <c r="X76" i="4" s="1"/>
  <c r="O76" i="4"/>
  <c r="S76" i="4" s="1"/>
  <c r="L76" i="4"/>
  <c r="K76" i="4"/>
  <c r="M76" i="4" s="1"/>
  <c r="BT75" i="4"/>
  <c r="BS75" i="4"/>
  <c r="BR75" i="4"/>
  <c r="BO75" i="4"/>
  <c r="BP75" i="4" s="1"/>
  <c r="BN75" i="4"/>
  <c r="BJ75" i="4"/>
  <c r="BI75" i="4"/>
  <c r="BE75" i="4"/>
  <c r="BD75" i="4"/>
  <c r="BF75" i="4" s="1"/>
  <c r="BC75" i="4"/>
  <c r="AZ75" i="4"/>
  <c r="AY75" i="4"/>
  <c r="AX75" i="4"/>
  <c r="BB75" i="4" s="1"/>
  <c r="AU75" i="4"/>
  <c r="AT75" i="4"/>
  <c r="AQ75" i="4"/>
  <c r="AP75" i="4"/>
  <c r="AO75" i="4"/>
  <c r="AK75" i="4"/>
  <c r="AJ75" i="4"/>
  <c r="AF75" i="4"/>
  <c r="AE75" i="4"/>
  <c r="AA75" i="4"/>
  <c r="V75" i="4"/>
  <c r="Q75" i="4"/>
  <c r="S75" i="4" s="1"/>
  <c r="O75" i="4"/>
  <c r="G75" i="4"/>
  <c r="F75" i="4"/>
  <c r="BT74" i="4"/>
  <c r="BS74" i="4"/>
  <c r="BO74" i="4"/>
  <c r="BP74" i="4" s="1"/>
  <c r="BN74" i="4"/>
  <c r="BJ74" i="4"/>
  <c r="BI74" i="4"/>
  <c r="BH74" i="4"/>
  <c r="BG74" i="4"/>
  <c r="BF74" i="4"/>
  <c r="BE74" i="4"/>
  <c r="BD74" i="4"/>
  <c r="BC74" i="4"/>
  <c r="AZ74" i="4"/>
  <c r="AY74" i="4"/>
  <c r="BA74" i="4" s="1"/>
  <c r="AU74" i="4"/>
  <c r="AT74" i="4"/>
  <c r="AP74" i="4"/>
  <c r="AO74" i="4"/>
  <c r="AK74" i="4"/>
  <c r="AJ74" i="4"/>
  <c r="AI74" i="4"/>
  <c r="AM74" i="4" s="1"/>
  <c r="AF74" i="4"/>
  <c r="AE74" i="4"/>
  <c r="AA74" i="4"/>
  <c r="V74" i="4"/>
  <c r="Q74" i="4"/>
  <c r="AC72" i="4"/>
  <c r="AH72" i="4" s="1"/>
  <c r="AM72" i="4" s="1"/>
  <c r="AR72" i="4" s="1"/>
  <c r="AW72" i="4" s="1"/>
  <c r="BB72" i="4" s="1"/>
  <c r="BG72" i="4" s="1"/>
  <c r="BL72" i="4" s="1"/>
  <c r="BQ72" i="4" s="1"/>
  <c r="BV72" i="4" s="1"/>
  <c r="W72" i="4"/>
  <c r="AB72" i="4" s="1"/>
  <c r="AG72" i="4" s="1"/>
  <c r="AL72" i="4" s="1"/>
  <c r="AQ72" i="4" s="1"/>
  <c r="AV72" i="4" s="1"/>
  <c r="BA72" i="4" s="1"/>
  <c r="BF72" i="4" s="1"/>
  <c r="BK72" i="4" s="1"/>
  <c r="BP72" i="4" s="1"/>
  <c r="BU72" i="4" s="1"/>
  <c r="S72" i="4"/>
  <c r="X72" i="4" s="1"/>
  <c r="R72" i="4"/>
  <c r="Q72" i="4"/>
  <c r="V72" i="4" s="1"/>
  <c r="AA72" i="4" s="1"/>
  <c r="AF72" i="4" s="1"/>
  <c r="AK72" i="4" s="1"/>
  <c r="AP72" i="4" s="1"/>
  <c r="AU72" i="4" s="1"/>
  <c r="AZ72" i="4" s="1"/>
  <c r="BE72" i="4" s="1"/>
  <c r="BJ72" i="4" s="1"/>
  <c r="BO72" i="4" s="1"/>
  <c r="BT72" i="4" s="1"/>
  <c r="P72" i="4"/>
  <c r="U72" i="4" s="1"/>
  <c r="Z72" i="4" s="1"/>
  <c r="AE72" i="4" s="1"/>
  <c r="AJ72" i="4" s="1"/>
  <c r="AO72" i="4" s="1"/>
  <c r="AT72" i="4" s="1"/>
  <c r="AY72" i="4" s="1"/>
  <c r="BD72" i="4" s="1"/>
  <c r="BI72" i="4" s="1"/>
  <c r="BN72" i="4" s="1"/>
  <c r="BS72" i="4" s="1"/>
  <c r="O72" i="4"/>
  <c r="T72" i="4" s="1"/>
  <c r="Y72" i="4" s="1"/>
  <c r="AD72" i="4" s="1"/>
  <c r="AI72" i="4" s="1"/>
  <c r="AN72" i="4" s="1"/>
  <c r="AS72" i="4" s="1"/>
  <c r="AX72" i="4" s="1"/>
  <c r="BC72" i="4" s="1"/>
  <c r="BH72" i="4" s="1"/>
  <c r="BM72" i="4" s="1"/>
  <c r="BR72" i="4" s="1"/>
  <c r="BT59" i="4"/>
  <c r="BO59" i="4"/>
  <c r="BJ59" i="4"/>
  <c r="BE59" i="4"/>
  <c r="L59" i="4" s="1"/>
  <c r="AZ59" i="4"/>
  <c r="AU59" i="4"/>
  <c r="AP59" i="4"/>
  <c r="AK59" i="4"/>
  <c r="AF59" i="4"/>
  <c r="AA59" i="4"/>
  <c r="V59" i="4"/>
  <c r="Q59" i="4"/>
  <c r="BT58" i="4"/>
  <c r="BO58" i="4"/>
  <c r="BJ58" i="4"/>
  <c r="AZ58" i="4"/>
  <c r="AU58" i="4"/>
  <c r="AP58" i="4"/>
  <c r="AK58" i="4"/>
  <c r="AJ58" i="4"/>
  <c r="AF58" i="4"/>
  <c r="AD58" i="4"/>
  <c r="AA58" i="4"/>
  <c r="V58" i="4"/>
  <c r="X58" i="4" s="1"/>
  <c r="Q58" i="4"/>
  <c r="BT57" i="4"/>
  <c r="BO57" i="4"/>
  <c r="BJ57" i="4"/>
  <c r="BE57" i="4"/>
  <c r="L57" i="4" s="1"/>
  <c r="BD57" i="4"/>
  <c r="AZ57" i="4"/>
  <c r="AU57" i="4"/>
  <c r="AP57" i="4"/>
  <c r="AK57" i="4"/>
  <c r="AF57" i="4"/>
  <c r="AA57" i="4"/>
  <c r="V57" i="4"/>
  <c r="Q57" i="4"/>
  <c r="O57" i="4"/>
  <c r="S57" i="4" s="1"/>
  <c r="BT56" i="4"/>
  <c r="BO56" i="4"/>
  <c r="BJ56" i="4"/>
  <c r="BH56" i="4"/>
  <c r="BE56" i="4"/>
  <c r="L56" i="4" s="1"/>
  <c r="BD56" i="4"/>
  <c r="AZ56" i="4"/>
  <c r="AX56" i="4"/>
  <c r="BB56" i="4" s="1"/>
  <c r="AU56" i="4"/>
  <c r="AP56" i="4"/>
  <c r="AK56" i="4"/>
  <c r="AJ56" i="4"/>
  <c r="AI56" i="4"/>
  <c r="AF56" i="4"/>
  <c r="AD56" i="4"/>
  <c r="AA56" i="4"/>
  <c r="Y56" i="4"/>
  <c r="V56" i="4"/>
  <c r="T56" i="4"/>
  <c r="Q56" i="4"/>
  <c r="BO54" i="4"/>
  <c r="AZ54" i="4"/>
  <c r="BT52" i="4"/>
  <c r="BS52" i="4"/>
  <c r="BO52" i="4"/>
  <c r="BN52" i="4"/>
  <c r="BJ52" i="4"/>
  <c r="BI52" i="4"/>
  <c r="BE52" i="4"/>
  <c r="L52" i="4" s="1"/>
  <c r="BD52" i="4"/>
  <c r="AZ52" i="4"/>
  <c r="AY52" i="4"/>
  <c r="AU52" i="4"/>
  <c r="AT52" i="4"/>
  <c r="AP52" i="4"/>
  <c r="AO52" i="4"/>
  <c r="AK52" i="4"/>
  <c r="AJ52" i="4"/>
  <c r="AF52" i="4"/>
  <c r="AG52" i="4" s="1"/>
  <c r="AE52" i="4"/>
  <c r="AA52" i="4"/>
  <c r="Z52" i="4"/>
  <c r="V52" i="4"/>
  <c r="U52" i="4"/>
  <c r="Q52" i="4"/>
  <c r="R52" i="4" s="1"/>
  <c r="P52" i="4"/>
  <c r="H52" i="4"/>
  <c r="H57" i="4" s="1"/>
  <c r="BT51" i="4"/>
  <c r="BU51" i="4" s="1"/>
  <c r="BS51" i="4"/>
  <c r="BO51" i="4"/>
  <c r="BN51" i="4"/>
  <c r="BJ51" i="4"/>
  <c r="BI51" i="4"/>
  <c r="BE51" i="4"/>
  <c r="L51" i="4" s="1"/>
  <c r="BD51" i="4"/>
  <c r="AZ51" i="4"/>
  <c r="AY51" i="4"/>
  <c r="AU51" i="4"/>
  <c r="AV51" i="4" s="1"/>
  <c r="AT51" i="4"/>
  <c r="AP51" i="4"/>
  <c r="AO51" i="4"/>
  <c r="AK51" i="4"/>
  <c r="AJ51" i="4"/>
  <c r="AI51" i="4"/>
  <c r="AF51" i="4"/>
  <c r="AE51" i="4"/>
  <c r="AA51" i="4"/>
  <c r="Z51" i="4"/>
  <c r="V51" i="4"/>
  <c r="W51" i="4" s="1"/>
  <c r="U51" i="4"/>
  <c r="Q51" i="4"/>
  <c r="P51" i="4"/>
  <c r="H51" i="4"/>
  <c r="H56" i="4" s="1"/>
  <c r="N49" i="4"/>
  <c r="M49" i="4"/>
  <c r="L49" i="4"/>
  <c r="K49" i="4"/>
  <c r="J49" i="4"/>
  <c r="BR48" i="4"/>
  <c r="BM48" i="4"/>
  <c r="BH48" i="4"/>
  <c r="BC48" i="4"/>
  <c r="AX48" i="4"/>
  <c r="AS48" i="4"/>
  <c r="AN48" i="4"/>
  <c r="AI48" i="4"/>
  <c r="AD48" i="4"/>
  <c r="Y48" i="4"/>
  <c r="T48" i="4"/>
  <c r="O48" i="4"/>
  <c r="J48" i="4"/>
  <c r="H48" i="4"/>
  <c r="G48" i="4"/>
  <c r="F48" i="4"/>
  <c r="E46" i="4"/>
  <c r="BT45" i="4"/>
  <c r="BO45" i="4"/>
  <c r="BJ45" i="4"/>
  <c r="BE45" i="4"/>
  <c r="AZ45" i="4"/>
  <c r="AP45" i="4"/>
  <c r="AK45" i="4"/>
  <c r="AF45" i="4"/>
  <c r="BD43" i="4"/>
  <c r="BF43" i="4" s="1"/>
  <c r="BA43" i="4"/>
  <c r="AW43" i="4"/>
  <c r="AT43" i="4"/>
  <c r="AV43" i="4" s="1"/>
  <c r="AO43" i="4"/>
  <c r="AR43" i="4"/>
  <c r="AM43" i="4"/>
  <c r="AJ43" i="4"/>
  <c r="AL43" i="4" s="1"/>
  <c r="AE43" i="4"/>
  <c r="AG43" i="4" s="1"/>
  <c r="AH43" i="4"/>
  <c r="AC43" i="4"/>
  <c r="X43" i="4"/>
  <c r="S43" i="4"/>
  <c r="BS42" i="4"/>
  <c r="BN42" i="4"/>
  <c r="BL42" i="4"/>
  <c r="BI42" i="4"/>
  <c r="BF42" i="4"/>
  <c r="BF56" i="4" s="1"/>
  <c r="BD42" i="4"/>
  <c r="AY42" i="4"/>
  <c r="BB42" i="4"/>
  <c r="AW42" i="4"/>
  <c r="AT42" i="4"/>
  <c r="AT56" i="4" s="1"/>
  <c r="AS56" i="4"/>
  <c r="AO42" i="4"/>
  <c r="AM42" i="4"/>
  <c r="AJ42" i="4"/>
  <c r="AL42" i="4" s="1"/>
  <c r="AL56" i="4" s="1"/>
  <c r="AH42" i="4"/>
  <c r="AE42" i="4"/>
  <c r="AG42" i="4" s="1"/>
  <c r="AG56" i="4" s="1"/>
  <c r="AC42" i="4"/>
  <c r="AB42" i="4"/>
  <c r="AB56" i="4" s="1"/>
  <c r="Z42" i="4"/>
  <c r="Z43" i="4" s="1"/>
  <c r="AB43" i="4" s="1"/>
  <c r="U42" i="4"/>
  <c r="X42" i="4"/>
  <c r="S42" i="4"/>
  <c r="P42" i="4"/>
  <c r="H42" i="4"/>
  <c r="I42" i="4" s="1"/>
  <c r="I56" i="4" s="1"/>
  <c r="BV41" i="4"/>
  <c r="BU41" i="4"/>
  <c r="BR51" i="4"/>
  <c r="BQ41" i="4"/>
  <c r="BP41" i="4"/>
  <c r="BK41" i="4"/>
  <c r="BF41" i="4"/>
  <c r="BA41" i="4"/>
  <c r="AV41" i="4"/>
  <c r="AQ41" i="4"/>
  <c r="AL41" i="4"/>
  <c r="AH41" i="4"/>
  <c r="AG41" i="4"/>
  <c r="AB41" i="4"/>
  <c r="W41" i="4"/>
  <c r="R41" i="4"/>
  <c r="I41" i="4"/>
  <c r="I51" i="4" s="1"/>
  <c r="BS40" i="4"/>
  <c r="BL40" i="4"/>
  <c r="BF40" i="4"/>
  <c r="BD40" i="4"/>
  <c r="BB40" i="4"/>
  <c r="AY40" i="4"/>
  <c r="BA40" i="4" s="1"/>
  <c r="AT40" i="4"/>
  <c r="AV40" i="4" s="1"/>
  <c r="AQ40" i="4"/>
  <c r="AL40" i="4"/>
  <c r="AG40" i="4"/>
  <c r="AE40" i="4"/>
  <c r="AC40" i="4"/>
  <c r="W40" i="4"/>
  <c r="X40" i="4"/>
  <c r="P40" i="4"/>
  <c r="R40" i="4" s="1"/>
  <c r="N40" i="4"/>
  <c r="BS39" i="4"/>
  <c r="BS57" i="4" s="1"/>
  <c r="BV39" i="4"/>
  <c r="BN39" i="4"/>
  <c r="BI39" i="4"/>
  <c r="BI40" i="4" s="1"/>
  <c r="BK40" i="4" s="1"/>
  <c r="BD39" i="4"/>
  <c r="BF39" i="4" s="1"/>
  <c r="BF57" i="4" s="1"/>
  <c r="AY39" i="4"/>
  <c r="AW39" i="4"/>
  <c r="AT39" i="4"/>
  <c r="AT57" i="4" s="1"/>
  <c r="AO39" i="4"/>
  <c r="AJ39" i="4"/>
  <c r="AL39" i="4" s="1"/>
  <c r="AL57" i="4" s="1"/>
  <c r="AG39" i="4"/>
  <c r="AG57" i="4" s="1"/>
  <c r="AE39" i="4"/>
  <c r="AE57" i="4" s="1"/>
  <c r="Z39" i="4"/>
  <c r="U39" i="4"/>
  <c r="U40" i="4" s="1"/>
  <c r="P39" i="4"/>
  <c r="P57" i="4" s="1"/>
  <c r="H39" i="4"/>
  <c r="BU38" i="4"/>
  <c r="BP38" i="4"/>
  <c r="BK38" i="4"/>
  <c r="BF38" i="4"/>
  <c r="BC52" i="4"/>
  <c r="BA38" i="4"/>
  <c r="BB38" i="4"/>
  <c r="AV38" i="4"/>
  <c r="AQ38" i="4"/>
  <c r="AL38" i="4"/>
  <c r="AG38" i="4"/>
  <c r="AB38" i="4"/>
  <c r="W38" i="4"/>
  <c r="R38" i="4"/>
  <c r="I38" i="4"/>
  <c r="I52" i="4" s="1"/>
  <c r="BS36" i="4"/>
  <c r="BU36" i="4" s="1"/>
  <c r="BN36" i="4"/>
  <c r="BP36" i="4" s="1"/>
  <c r="BI36" i="4"/>
  <c r="BK36" i="4" s="1"/>
  <c r="BD36" i="4"/>
  <c r="BF36" i="4" s="1"/>
  <c r="AY36" i="4"/>
  <c r="BA36" i="4" s="1"/>
  <c r="AT36" i="4"/>
  <c r="AV36" i="4" s="1"/>
  <c r="AO36" i="4"/>
  <c r="AM36" i="4"/>
  <c r="AL36" i="4"/>
  <c r="AJ36" i="4"/>
  <c r="AE36" i="4"/>
  <c r="AG36" i="4" s="1"/>
  <c r="Z36" i="4"/>
  <c r="AB36" i="4" s="1"/>
  <c r="U36" i="4"/>
  <c r="W36" i="4" s="1"/>
  <c r="P36" i="4"/>
  <c r="BU35" i="4"/>
  <c r="BS35" i="4"/>
  <c r="BN35" i="4"/>
  <c r="BP35" i="4" s="1"/>
  <c r="BI35" i="4"/>
  <c r="BK35" i="4" s="1"/>
  <c r="BD35" i="4"/>
  <c r="BF35" i="4" s="1"/>
  <c r="AY35" i="4"/>
  <c r="BA35" i="4" s="1"/>
  <c r="AT35" i="4"/>
  <c r="AV35" i="4" s="1"/>
  <c r="AW35" i="4"/>
  <c r="AO35" i="4"/>
  <c r="AQ35" i="4" s="1"/>
  <c r="AJ35" i="4"/>
  <c r="AL35" i="4" s="1"/>
  <c r="AE35" i="4"/>
  <c r="AG35" i="4" s="1"/>
  <c r="Z35" i="4"/>
  <c r="AB35" i="4" s="1"/>
  <c r="U35" i="4"/>
  <c r="W35" i="4" s="1"/>
  <c r="P35" i="4"/>
  <c r="BS34" i="4"/>
  <c r="BU34" i="4" s="1"/>
  <c r="BV34" i="4"/>
  <c r="BN34" i="4"/>
  <c r="BP34" i="4" s="1"/>
  <c r="BI34" i="4"/>
  <c r="BK34" i="4" s="1"/>
  <c r="BD34" i="4"/>
  <c r="BF34" i="4" s="1"/>
  <c r="AY34" i="4"/>
  <c r="BA34" i="4" s="1"/>
  <c r="AT34" i="4"/>
  <c r="AV34" i="4" s="1"/>
  <c r="AO34" i="4"/>
  <c r="AQ34" i="4" s="1"/>
  <c r="AJ34" i="4"/>
  <c r="AL34" i="4" s="1"/>
  <c r="AE34" i="4"/>
  <c r="AG34" i="4" s="1"/>
  <c r="Z34" i="4"/>
  <c r="AB34" i="4" s="1"/>
  <c r="U34" i="4"/>
  <c r="W34" i="4" s="1"/>
  <c r="P34" i="4"/>
  <c r="BV33" i="4"/>
  <c r="BS33" i="4"/>
  <c r="BU33" i="4" s="1"/>
  <c r="BN33" i="4"/>
  <c r="BP33" i="4" s="1"/>
  <c r="BI33" i="4"/>
  <c r="BK33" i="4" s="1"/>
  <c r="BD33" i="4"/>
  <c r="BF33" i="4" s="1"/>
  <c r="BG33" i="4"/>
  <c r="AY33" i="4"/>
  <c r="BA33" i="4" s="1"/>
  <c r="AT33" i="4"/>
  <c r="AV33" i="4" s="1"/>
  <c r="AO33" i="4"/>
  <c r="AQ33" i="4" s="1"/>
  <c r="AJ33" i="4"/>
  <c r="AL33" i="4" s="1"/>
  <c r="AE33" i="4"/>
  <c r="AG33" i="4" s="1"/>
  <c r="Z33" i="4"/>
  <c r="AB33" i="4" s="1"/>
  <c r="U33" i="4"/>
  <c r="W33" i="4" s="1"/>
  <c r="P33" i="4"/>
  <c r="BS32" i="4"/>
  <c r="BU32" i="4" s="1"/>
  <c r="BN32" i="4"/>
  <c r="BP32" i="4" s="1"/>
  <c r="BI32" i="4"/>
  <c r="BK32" i="4" s="1"/>
  <c r="BD32" i="4"/>
  <c r="BF32" i="4" s="1"/>
  <c r="BG32" i="4"/>
  <c r="AY32" i="4"/>
  <c r="BA32" i="4" s="1"/>
  <c r="AT32" i="4"/>
  <c r="AV32" i="4" s="1"/>
  <c r="AO32" i="4"/>
  <c r="AQ32" i="4" s="1"/>
  <c r="AJ32" i="4"/>
  <c r="AL32" i="4" s="1"/>
  <c r="AE32" i="4"/>
  <c r="AG32" i="4" s="1"/>
  <c r="Z32" i="4"/>
  <c r="AB32" i="4" s="1"/>
  <c r="X32" i="4"/>
  <c r="U32" i="4"/>
  <c r="W32" i="4" s="1"/>
  <c r="P32" i="4"/>
  <c r="BS31" i="4"/>
  <c r="BU31" i="4" s="1"/>
  <c r="BN31" i="4"/>
  <c r="BP31" i="4" s="1"/>
  <c r="BI31" i="4"/>
  <c r="BG31" i="4"/>
  <c r="BD31" i="4"/>
  <c r="BF31" i="4" s="1"/>
  <c r="BB31" i="4"/>
  <c r="AY31" i="4"/>
  <c r="BA31" i="4" s="1"/>
  <c r="AT31" i="4"/>
  <c r="AV31" i="4" s="1"/>
  <c r="AO31" i="4"/>
  <c r="AJ31" i="4"/>
  <c r="AL31" i="4" s="1"/>
  <c r="AE31" i="4"/>
  <c r="AG31" i="4" s="1"/>
  <c r="Z31" i="4"/>
  <c r="AB31" i="4" s="1"/>
  <c r="U31" i="4"/>
  <c r="W31" i="4" s="1"/>
  <c r="P31" i="4"/>
  <c r="BS30" i="4"/>
  <c r="BN30" i="4"/>
  <c r="BI30" i="4"/>
  <c r="BK30" i="4" s="1"/>
  <c r="BD30" i="4"/>
  <c r="BF30" i="4" s="1"/>
  <c r="BG30" i="4"/>
  <c r="AY30" i="4"/>
  <c r="BA30" i="4" s="1"/>
  <c r="AT30" i="4"/>
  <c r="AO30" i="4"/>
  <c r="AQ30" i="4" s="1"/>
  <c r="AJ30" i="4"/>
  <c r="AL30" i="4" s="1"/>
  <c r="AG30" i="4"/>
  <c r="AE30" i="4"/>
  <c r="Z30" i="4"/>
  <c r="AB30" i="4" s="1"/>
  <c r="U30" i="4"/>
  <c r="P30" i="4"/>
  <c r="AA29" i="4"/>
  <c r="V29" i="4"/>
  <c r="V37" i="4" s="1"/>
  <c r="Q29" i="4"/>
  <c r="Q54" i="4" s="1"/>
  <c r="H29" i="4"/>
  <c r="AW28" i="4"/>
  <c r="AM28" i="4"/>
  <c r="BL27" i="4"/>
  <c r="BB27" i="4"/>
  <c r="AW27" i="4"/>
  <c r="BU26" i="4"/>
  <c r="BV26" i="4"/>
  <c r="BP26" i="4"/>
  <c r="BK26" i="4"/>
  <c r="BG26" i="4"/>
  <c r="BF26" i="4"/>
  <c r="BB26" i="4"/>
  <c r="BA26" i="4"/>
  <c r="AV26" i="4"/>
  <c r="AQ26" i="4"/>
  <c r="AM26" i="4"/>
  <c r="AL26" i="4"/>
  <c r="AG26" i="4"/>
  <c r="AB26" i="4"/>
  <c r="AC26" i="4"/>
  <c r="W26" i="4"/>
  <c r="R26" i="4"/>
  <c r="S26" i="4"/>
  <c r="BU25" i="4"/>
  <c r="BV25" i="4"/>
  <c r="BQ25" i="4"/>
  <c r="BP25" i="4"/>
  <c r="BK25" i="4"/>
  <c r="BF25" i="4"/>
  <c r="BG25" i="4"/>
  <c r="BA25" i="4"/>
  <c r="BB25" i="4"/>
  <c r="AW25" i="4"/>
  <c r="AV25" i="4"/>
  <c r="AQ25" i="4"/>
  <c r="AL25" i="4"/>
  <c r="AG25" i="4"/>
  <c r="AH25" i="4"/>
  <c r="AC25" i="4"/>
  <c r="AB25" i="4"/>
  <c r="W25" i="4"/>
  <c r="S25" i="4"/>
  <c r="R25" i="4"/>
  <c r="BU24" i="4"/>
  <c r="BV24" i="4"/>
  <c r="BP24" i="4"/>
  <c r="BQ24" i="4"/>
  <c r="BK24" i="4"/>
  <c r="BF24" i="4"/>
  <c r="BA24" i="4"/>
  <c r="BB24" i="4"/>
  <c r="AV24" i="4"/>
  <c r="AQ24" i="4"/>
  <c r="AR24" i="4"/>
  <c r="AM24" i="4"/>
  <c r="AL24" i="4"/>
  <c r="AG24" i="4"/>
  <c r="AH24" i="4"/>
  <c r="AB24" i="4"/>
  <c r="AC24" i="4"/>
  <c r="W24" i="4"/>
  <c r="R24" i="4"/>
  <c r="S24" i="4"/>
  <c r="BN23" i="4"/>
  <c r="BP23" i="4" s="1"/>
  <c r="BI23" i="4"/>
  <c r="BD23" i="4"/>
  <c r="AY23" i="4"/>
  <c r="AT23" i="4"/>
  <c r="AO23" i="4"/>
  <c r="AJ23" i="4"/>
  <c r="AE23" i="4"/>
  <c r="AA23" i="4"/>
  <c r="Z23" i="4"/>
  <c r="V23" i="4"/>
  <c r="U23" i="4"/>
  <c r="Q23" i="4"/>
  <c r="P23" i="4"/>
  <c r="BU22" i="4"/>
  <c r="BP22" i="4"/>
  <c r="BK22" i="4"/>
  <c r="BF22" i="4"/>
  <c r="BA22" i="4"/>
  <c r="AV22" i="4"/>
  <c r="AQ22" i="4"/>
  <c r="AL22" i="4"/>
  <c r="AG22" i="4"/>
  <c r="AC22" i="4"/>
  <c r="AB22" i="4"/>
  <c r="W22" i="4"/>
  <c r="R22" i="4"/>
  <c r="I22" i="4"/>
  <c r="BU21" i="4"/>
  <c r="BP21" i="4"/>
  <c r="BK21" i="4"/>
  <c r="BF21" i="4"/>
  <c r="BA21" i="4"/>
  <c r="AV21" i="4"/>
  <c r="AQ21" i="4"/>
  <c r="AL21" i="4"/>
  <c r="AG21" i="4"/>
  <c r="AB21" i="4"/>
  <c r="AC21" i="4"/>
  <c r="W21" i="4"/>
  <c r="S21" i="4"/>
  <c r="R21" i="4"/>
  <c r="BS20" i="4"/>
  <c r="BN20" i="4"/>
  <c r="BP20" i="4" s="1"/>
  <c r="BI20" i="4"/>
  <c r="BK20" i="4" s="1"/>
  <c r="BD20" i="4"/>
  <c r="AY20" i="4"/>
  <c r="AT20" i="4"/>
  <c r="AO20" i="4"/>
  <c r="AJ20" i="4"/>
  <c r="AE20" i="4"/>
  <c r="AA20" i="4"/>
  <c r="Z20" i="4"/>
  <c r="V20" i="4"/>
  <c r="U20" i="4"/>
  <c r="Q20" i="4"/>
  <c r="P20" i="4"/>
  <c r="I20" i="4"/>
  <c r="BU19" i="4"/>
  <c r="BV19" i="4"/>
  <c r="BP19" i="4"/>
  <c r="BQ19" i="4"/>
  <c r="BK19" i="4"/>
  <c r="BL19" i="4"/>
  <c r="BG19" i="4"/>
  <c r="BF19" i="4"/>
  <c r="BA19" i="4"/>
  <c r="BB19" i="4"/>
  <c r="AW19" i="4"/>
  <c r="AV19" i="4"/>
  <c r="AQ19" i="4"/>
  <c r="AR19" i="4"/>
  <c r="AL19" i="4"/>
  <c r="AM19" i="4"/>
  <c r="AH19" i="4"/>
  <c r="AG19" i="4"/>
  <c r="AC19" i="4"/>
  <c r="AB19" i="4"/>
  <c r="W19" i="4"/>
  <c r="X19" i="4"/>
  <c r="R19" i="4"/>
  <c r="I19" i="4"/>
  <c r="BU18" i="4"/>
  <c r="BV18" i="4"/>
  <c r="BP18" i="4"/>
  <c r="BQ18" i="4"/>
  <c r="BK18" i="4"/>
  <c r="BL18" i="4"/>
  <c r="BG18" i="4"/>
  <c r="BF18" i="4"/>
  <c r="BA18" i="4"/>
  <c r="BB18" i="4"/>
  <c r="AW18" i="4"/>
  <c r="AV18" i="4"/>
  <c r="AR18" i="4"/>
  <c r="AQ18" i="4"/>
  <c r="AL18" i="4"/>
  <c r="AM18" i="4"/>
  <c r="AG18" i="4"/>
  <c r="AH18" i="4"/>
  <c r="AC18" i="4"/>
  <c r="AB18" i="4"/>
  <c r="W18" i="4"/>
  <c r="R18" i="4"/>
  <c r="S18" i="4"/>
  <c r="I18" i="4"/>
  <c r="BV17" i="4"/>
  <c r="BU17" i="4"/>
  <c r="BQ17" i="4"/>
  <c r="BP17" i="4"/>
  <c r="BL17" i="4"/>
  <c r="BK17" i="4"/>
  <c r="BF17" i="4"/>
  <c r="BG17" i="4"/>
  <c r="BA17" i="4"/>
  <c r="AV17" i="4"/>
  <c r="AQ17" i="4"/>
  <c r="AR17" i="4"/>
  <c r="AM17" i="4"/>
  <c r="AL17" i="4"/>
  <c r="AG17" i="4"/>
  <c r="AC17" i="4"/>
  <c r="AB17" i="4"/>
  <c r="X17" i="4"/>
  <c r="W17" i="4"/>
  <c r="R17" i="4"/>
  <c r="I17" i="4"/>
  <c r="BU16" i="4"/>
  <c r="BQ16" i="4"/>
  <c r="BP16" i="4"/>
  <c r="BK16" i="4"/>
  <c r="BF16" i="4"/>
  <c r="BB16" i="4"/>
  <c r="BA16" i="4"/>
  <c r="AV16" i="4"/>
  <c r="AW16" i="4"/>
  <c r="AQ16" i="4"/>
  <c r="AL16" i="4"/>
  <c r="AG16" i="4"/>
  <c r="AC16" i="4"/>
  <c r="AB16" i="4"/>
  <c r="X16" i="4"/>
  <c r="W16" i="4"/>
  <c r="R16" i="4"/>
  <c r="I16" i="4"/>
  <c r="BS15" i="4"/>
  <c r="BN15" i="4"/>
  <c r="BI15" i="4"/>
  <c r="BD15" i="4"/>
  <c r="AY15" i="4"/>
  <c r="BA15" i="4" s="1"/>
  <c r="AT15" i="4"/>
  <c r="AO15" i="4"/>
  <c r="AJ15" i="4"/>
  <c r="AE15" i="4"/>
  <c r="AA15" i="4"/>
  <c r="Z15" i="4"/>
  <c r="V15" i="4"/>
  <c r="U15" i="4"/>
  <c r="Q15" i="4"/>
  <c r="P15" i="4"/>
  <c r="I15" i="4"/>
  <c r="BU14" i="4"/>
  <c r="BV14" i="4"/>
  <c r="BQ14" i="4"/>
  <c r="BP14" i="4"/>
  <c r="BK14" i="4"/>
  <c r="BL14" i="4"/>
  <c r="BG14" i="4"/>
  <c r="BF14" i="4"/>
  <c r="BA14" i="4"/>
  <c r="BB14" i="4"/>
  <c r="AV14" i="4"/>
  <c r="AW14" i="4"/>
  <c r="AQ14" i="4"/>
  <c r="AR14" i="4"/>
  <c r="AL14" i="4"/>
  <c r="AG14" i="4"/>
  <c r="AH14" i="4"/>
  <c r="AB14" i="4"/>
  <c r="AC14" i="4"/>
  <c r="W14" i="4"/>
  <c r="X14" i="4"/>
  <c r="R14" i="4"/>
  <c r="I14" i="4"/>
  <c r="BU13" i="4"/>
  <c r="BV13" i="4"/>
  <c r="BQ13" i="4"/>
  <c r="BP13" i="4"/>
  <c r="BL13" i="4"/>
  <c r="BK13" i="4"/>
  <c r="BF13" i="4"/>
  <c r="BB13" i="4"/>
  <c r="BA13" i="4"/>
  <c r="AW13" i="4"/>
  <c r="AV13" i="4"/>
  <c r="AR13" i="4"/>
  <c r="AQ13" i="4"/>
  <c r="AM13" i="4"/>
  <c r="AL13" i="4"/>
  <c r="AG13" i="4"/>
  <c r="AH13" i="4"/>
  <c r="AB13" i="4"/>
  <c r="AC13" i="4"/>
  <c r="X13" i="4"/>
  <c r="W13" i="4"/>
  <c r="R13" i="4"/>
  <c r="I13" i="4"/>
  <c r="BU12" i="4"/>
  <c r="BQ12" i="4"/>
  <c r="BP12" i="4"/>
  <c r="BK12" i="4"/>
  <c r="BL12" i="4"/>
  <c r="BG12" i="4"/>
  <c r="BF12" i="4"/>
  <c r="BA12" i="4"/>
  <c r="AV12" i="4"/>
  <c r="AR12" i="4"/>
  <c r="AQ12" i="4"/>
  <c r="AL12" i="4"/>
  <c r="AM12" i="4"/>
  <c r="AG12" i="4"/>
  <c r="AH12" i="4"/>
  <c r="AC12" i="4"/>
  <c r="AB12" i="4"/>
  <c r="X12" i="4"/>
  <c r="W12" i="4"/>
  <c r="R12" i="4"/>
  <c r="I12" i="4"/>
  <c r="BS11" i="4"/>
  <c r="BN11" i="4"/>
  <c r="BP11" i="4" s="1"/>
  <c r="BI11" i="4"/>
  <c r="BD11" i="4"/>
  <c r="AY11" i="4"/>
  <c r="AT11" i="4"/>
  <c r="AO11" i="4"/>
  <c r="AJ11" i="4"/>
  <c r="AE11" i="4"/>
  <c r="AA11" i="4"/>
  <c r="Z11" i="4"/>
  <c r="V11" i="4"/>
  <c r="U11" i="4"/>
  <c r="Q11" i="4"/>
  <c r="P11" i="4"/>
  <c r="AW8" i="4"/>
  <c r="AL8" i="4"/>
  <c r="AL58" i="4" s="1"/>
  <c r="T58" i="4"/>
  <c r="BB7" i="4"/>
  <c r="AJ7" i="4"/>
  <c r="AL7" i="4" s="1"/>
  <c r="X7" i="4"/>
  <c r="W7" i="4"/>
  <c r="S7" i="4"/>
  <c r="AA6" i="4"/>
  <c r="V6" i="4"/>
  <c r="Q6" i="4"/>
  <c r="O6" i="4"/>
  <c r="AA5" i="4"/>
  <c r="V5" i="4"/>
  <c r="Q5" i="4"/>
  <c r="BR27" i="2"/>
  <c r="G27" i="2" s="1"/>
  <c r="BR7" i="2"/>
  <c r="BT27" i="2"/>
  <c r="BT7" i="2"/>
  <c r="BJ10" i="4" l="1"/>
  <c r="BJ9" i="4" s="1"/>
  <c r="BJ4" i="4" s="1"/>
  <c r="BJ54" i="4"/>
  <c r="BF23" i="4"/>
  <c r="BN4" i="5"/>
  <c r="AI29" i="4"/>
  <c r="AI37" i="4" s="1"/>
  <c r="U4" i="5"/>
  <c r="Y4" i="5" s="1"/>
  <c r="S32" i="4"/>
  <c r="BX32" i="4"/>
  <c r="AU55" i="4"/>
  <c r="AV20" i="4"/>
  <c r="AV11" i="4"/>
  <c r="AQ15" i="4"/>
  <c r="AR57" i="4"/>
  <c r="AP10" i="4"/>
  <c r="AP9" i="4" s="1"/>
  <c r="AP4" i="4" s="1"/>
  <c r="AQ20" i="4"/>
  <c r="AE103" i="4"/>
  <c r="AG103" i="4" s="1"/>
  <c r="I103" i="4"/>
  <c r="AO103" i="4"/>
  <c r="AQ103" i="4" s="1"/>
  <c r="AJ103" i="4"/>
  <c r="AL103" i="4" s="1"/>
  <c r="Z103" i="4"/>
  <c r="AB103" i="4" s="1"/>
  <c r="U103" i="4"/>
  <c r="W103" i="4" s="1"/>
  <c r="AM105" i="4"/>
  <c r="I102" i="4"/>
  <c r="AE102" i="4"/>
  <c r="AG102" i="4" s="1"/>
  <c r="Z102" i="4"/>
  <c r="AB102" i="4" s="1"/>
  <c r="U102" i="4"/>
  <c r="W102" i="4" s="1"/>
  <c r="AO102" i="4"/>
  <c r="AQ102" i="4" s="1"/>
  <c r="I101" i="4"/>
  <c r="AE101" i="4"/>
  <c r="AG101" i="4" s="1"/>
  <c r="Z101" i="4"/>
  <c r="AB101" i="4" s="1"/>
  <c r="U101" i="4"/>
  <c r="W101" i="4" s="1"/>
  <c r="AG79" i="4"/>
  <c r="AC59" i="4"/>
  <c r="O74" i="4"/>
  <c r="S74" i="4" s="1"/>
  <c r="H79" i="4"/>
  <c r="H78" i="4" s="1"/>
  <c r="H73" i="4" s="1"/>
  <c r="J104" i="4"/>
  <c r="N104" i="4" s="1"/>
  <c r="M32" i="4"/>
  <c r="AR38" i="4"/>
  <c r="R51" i="4"/>
  <c r="BQ51" i="4"/>
  <c r="AS75" i="4"/>
  <c r="M80" i="4"/>
  <c r="BA83" i="4"/>
  <c r="BK88" i="4"/>
  <c r="BR97" i="4"/>
  <c r="BR105" i="4" s="1"/>
  <c r="BG41" i="4"/>
  <c r="AS91" i="4"/>
  <c r="BA52" i="4"/>
  <c r="BF83" i="4"/>
  <c r="S88" i="4"/>
  <c r="BX8" i="4"/>
  <c r="AS29" i="4"/>
  <c r="AS37" i="4" s="1"/>
  <c r="BK52" i="4"/>
  <c r="BA75" i="4"/>
  <c r="Y74" i="4"/>
  <c r="AC74" i="4" s="1"/>
  <c r="BV80" i="4"/>
  <c r="AW81" i="4"/>
  <c r="U3" i="4"/>
  <c r="BX30" i="4"/>
  <c r="BK11" i="4"/>
  <c r="BT54" i="4"/>
  <c r="R31" i="4"/>
  <c r="BC56" i="4"/>
  <c r="AG74" i="4"/>
  <c r="BG75" i="4"/>
  <c r="BN79" i="4"/>
  <c r="BN78" i="4" s="1"/>
  <c r="BX31" i="4"/>
  <c r="BH6" i="4"/>
  <c r="BL6" i="4" s="1"/>
  <c r="W52" i="4"/>
  <c r="AL74" i="4"/>
  <c r="BK75" i="4"/>
  <c r="W83" i="4"/>
  <c r="BC88" i="4"/>
  <c r="BG88" i="4" s="1"/>
  <c r="L91" i="4"/>
  <c r="BG89" i="4"/>
  <c r="M94" i="4"/>
  <c r="BX34" i="4"/>
  <c r="BV51" i="4"/>
  <c r="Y29" i="4"/>
  <c r="Y37" i="4" s="1"/>
  <c r="AZ55" i="4"/>
  <c r="S30" i="4"/>
  <c r="AD83" i="4"/>
  <c r="AH83" i="4" s="1"/>
  <c r="AH80" i="4"/>
  <c r="M89" i="4"/>
  <c r="AQ51" i="4"/>
  <c r="AN74" i="4"/>
  <c r="F88" i="4"/>
  <c r="BX36" i="4"/>
  <c r="S8" i="4"/>
  <c r="AS51" i="4"/>
  <c r="AW51" i="4" s="1"/>
  <c r="AD52" i="4"/>
  <c r="G88" i="4"/>
  <c r="AX74" i="4"/>
  <c r="BB74" i="4" s="1"/>
  <c r="AH97" i="4"/>
  <c r="BX38" i="4"/>
  <c r="G105" i="4"/>
  <c r="AE79" i="4"/>
  <c r="AE78" i="4" s="1"/>
  <c r="BX35" i="4"/>
  <c r="BR56" i="4"/>
  <c r="BV56" i="4" s="1"/>
  <c r="AN83" i="4"/>
  <c r="AN88" i="4"/>
  <c r="AR88" i="4" s="1"/>
  <c r="BM91" i="4"/>
  <c r="BQ91" i="4" s="1"/>
  <c r="BX39" i="4"/>
  <c r="AC39" i="4"/>
  <c r="U56" i="4"/>
  <c r="U43" i="4"/>
  <c r="W43" i="4" s="1"/>
  <c r="AS74" i="4"/>
  <c r="AZ79" i="4"/>
  <c r="BB96" i="4"/>
  <c r="AN6" i="4"/>
  <c r="BK39" i="4"/>
  <c r="BK57" i="4" s="1"/>
  <c r="O29" i="4"/>
  <c r="S29" i="4" s="1"/>
  <c r="W42" i="4"/>
  <c r="W56" i="4" s="1"/>
  <c r="AI52" i="4"/>
  <c r="AP55" i="4"/>
  <c r="AC75" i="4"/>
  <c r="AM97" i="4"/>
  <c r="BX41" i="4"/>
  <c r="AI6" i="4"/>
  <c r="AM6" i="4" s="1"/>
  <c r="AN5" i="4"/>
  <c r="AR5" i="4" s="1"/>
  <c r="S34" i="4"/>
  <c r="M35" i="4"/>
  <c r="H43" i="4"/>
  <c r="I43" i="4" s="1"/>
  <c r="X56" i="4"/>
  <c r="BR88" i="4"/>
  <c r="BV88" i="4" s="1"/>
  <c r="AI5" i="4"/>
  <c r="AM5" i="4" s="1"/>
  <c r="R34" i="4"/>
  <c r="R36" i="4"/>
  <c r="BA51" i="4"/>
  <c r="BC29" i="4"/>
  <c r="BC37" i="4" s="1"/>
  <c r="H98" i="4"/>
  <c r="AQ43" i="4"/>
  <c r="I91" i="4"/>
  <c r="F105" i="4"/>
  <c r="BV83" i="4"/>
  <c r="R39" i="4"/>
  <c r="R57" i="4" s="1"/>
  <c r="M39" i="4"/>
  <c r="AB52" i="4"/>
  <c r="O59" i="4"/>
  <c r="S59" i="4" s="1"/>
  <c r="AR39" i="4"/>
  <c r="AR40" i="4"/>
  <c r="Z56" i="4"/>
  <c r="L75" i="4"/>
  <c r="F83" i="4"/>
  <c r="F79" i="4" s="1"/>
  <c r="F78" i="4" s="1"/>
  <c r="F73" i="4" s="1"/>
  <c r="J82" i="4"/>
  <c r="N82" i="4" s="1"/>
  <c r="AP79" i="4"/>
  <c r="AP78" i="4" s="1"/>
  <c r="BQ8" i="4"/>
  <c r="BN10" i="4"/>
  <c r="BN9" i="4" s="1"/>
  <c r="BN53" i="4" s="1"/>
  <c r="AG20" i="4"/>
  <c r="AX51" i="4"/>
  <c r="AA55" i="4"/>
  <c r="AS83" i="4"/>
  <c r="S31" i="4"/>
  <c r="Y6" i="4"/>
  <c r="BH29" i="4"/>
  <c r="BH37" i="4" s="1"/>
  <c r="BX33" i="4"/>
  <c r="BS10" i="4"/>
  <c r="BS9" i="4" s="1"/>
  <c r="BS53" i="4" s="1"/>
  <c r="Y59" i="4"/>
  <c r="S33" i="4"/>
  <c r="AQ52" i="4"/>
  <c r="AN75" i="4"/>
  <c r="AR75" i="4" s="1"/>
  <c r="BC83" i="4"/>
  <c r="S36" i="4"/>
  <c r="Y5" i="4"/>
  <c r="AC5" i="4" s="1"/>
  <c r="AH20" i="4"/>
  <c r="BE10" i="4"/>
  <c r="BE9" i="4" s="1"/>
  <c r="BE4" i="4" s="1"/>
  <c r="AW75" i="4"/>
  <c r="BX28" i="4"/>
  <c r="J93" i="4"/>
  <c r="N93" i="4" s="1"/>
  <c r="AG23" i="4"/>
  <c r="R33" i="4"/>
  <c r="AE56" i="4"/>
  <c r="J80" i="4"/>
  <c r="BD79" i="4"/>
  <c r="BD78" i="4" s="1"/>
  <c r="BI57" i="4"/>
  <c r="AU54" i="4"/>
  <c r="BG84" i="4"/>
  <c r="BR58" i="4"/>
  <c r="AH28" i="4"/>
  <c r="AV39" i="4"/>
  <c r="AV57" i="4" s="1"/>
  <c r="K83" i="4"/>
  <c r="BH83" i="4"/>
  <c r="BL83" i="4" s="1"/>
  <c r="AD88" i="4"/>
  <c r="M90" i="4"/>
  <c r="BM97" i="4"/>
  <c r="BM105" i="4" s="1"/>
  <c r="S41" i="4"/>
  <c r="AR27" i="4"/>
  <c r="AX29" i="4"/>
  <c r="AX37" i="4" s="1"/>
  <c r="BT10" i="4"/>
  <c r="BT9" i="4" s="1"/>
  <c r="BT4" i="4" s="1"/>
  <c r="AQ11" i="4"/>
  <c r="AK10" i="4"/>
  <c r="AK9" i="4" s="1"/>
  <c r="AK4" i="4" s="1"/>
  <c r="AL20" i="4"/>
  <c r="AL15" i="4"/>
  <c r="AF10" i="4"/>
  <c r="AF9" i="4" s="1"/>
  <c r="AF4" i="4" s="1"/>
  <c r="AG15" i="4"/>
  <c r="V54" i="4"/>
  <c r="I9" i="5"/>
  <c r="J10" i="5"/>
  <c r="Q8" i="5"/>
  <c r="S8" i="5" s="1"/>
  <c r="S58" i="5" s="1"/>
  <c r="Q53" i="5"/>
  <c r="I42" i="5"/>
  <c r="J41" i="5"/>
  <c r="I51" i="5"/>
  <c r="BO5" i="5"/>
  <c r="AZ5" i="5"/>
  <c r="X4" i="5"/>
  <c r="BJ5" i="5"/>
  <c r="AU5" i="5"/>
  <c r="N23" i="5"/>
  <c r="AP5" i="5"/>
  <c r="AM8" i="5"/>
  <c r="AM58" i="5" s="1"/>
  <c r="AK5" i="5"/>
  <c r="AK58" i="5"/>
  <c r="AF5" i="5"/>
  <c r="AC4" i="5"/>
  <c r="V6" i="5"/>
  <c r="X7" i="5"/>
  <c r="N11" i="5"/>
  <c r="N20" i="5"/>
  <c r="L10" i="5"/>
  <c r="L9" i="5" s="1"/>
  <c r="L53" i="5" s="1"/>
  <c r="BD9" i="5"/>
  <c r="BD8" i="5" s="1"/>
  <c r="AS59" i="5"/>
  <c r="O39" i="5"/>
  <c r="Z55" i="5"/>
  <c r="AD55" i="5" s="1"/>
  <c r="BL29" i="5"/>
  <c r="L31" i="5"/>
  <c r="N31" i="5" s="1"/>
  <c r="X37" i="5"/>
  <c r="V54" i="5"/>
  <c r="X54" i="5" s="1"/>
  <c r="AC30" i="5"/>
  <c r="L32" i="5"/>
  <c r="N32" i="5" s="1"/>
  <c r="L30" i="5"/>
  <c r="N30" i="5" s="1"/>
  <c r="AM29" i="5"/>
  <c r="G9" i="5"/>
  <c r="G4" i="5" s="1"/>
  <c r="AO79" i="5"/>
  <c r="AI88" i="5"/>
  <c r="BC97" i="5"/>
  <c r="AY55" i="5"/>
  <c r="BC55" i="5" s="1"/>
  <c r="BJ54" i="5"/>
  <c r="BL54" i="5" s="1"/>
  <c r="BO58" i="5"/>
  <c r="W53" i="5"/>
  <c r="AW10" i="5"/>
  <c r="BH97" i="5"/>
  <c r="BT58" i="5"/>
  <c r="BJ53" i="5"/>
  <c r="BV29" i="5"/>
  <c r="X79" i="5"/>
  <c r="U79" i="5"/>
  <c r="U78" i="5" s="1"/>
  <c r="G79" i="5"/>
  <c r="G78" i="5" s="1"/>
  <c r="G73" i="5" s="1"/>
  <c r="Z79" i="5"/>
  <c r="Z78" i="5" s="1"/>
  <c r="Z73" i="5" s="1"/>
  <c r="BB29" i="5"/>
  <c r="U55" i="5"/>
  <c r="Y55" i="5" s="1"/>
  <c r="K6" i="5"/>
  <c r="O6" i="5" s="1"/>
  <c r="BW91" i="5"/>
  <c r="BS79" i="5"/>
  <c r="BS78" i="5" s="1"/>
  <c r="BS73" i="5" s="1"/>
  <c r="AT79" i="5"/>
  <c r="AT78" i="5" s="1"/>
  <c r="AT73" i="5" s="1"/>
  <c r="AX83" i="5"/>
  <c r="N42" i="5"/>
  <c r="Y51" i="5"/>
  <c r="R78" i="5"/>
  <c r="S79" i="5"/>
  <c r="T79" i="5"/>
  <c r="BW105" i="5"/>
  <c r="N39" i="5"/>
  <c r="AD59" i="5"/>
  <c r="N15" i="5"/>
  <c r="M10" i="5"/>
  <c r="AK53" i="5"/>
  <c r="BW97" i="5"/>
  <c r="AH10" i="5"/>
  <c r="AI10" i="5"/>
  <c r="N88" i="5"/>
  <c r="Q58" i="5"/>
  <c r="BL79" i="5"/>
  <c r="BK78" i="5"/>
  <c r="N56" i="5"/>
  <c r="BQ8" i="5"/>
  <c r="BQ58" i="5" s="1"/>
  <c r="AS55" i="5"/>
  <c r="S7" i="5"/>
  <c r="O30" i="5"/>
  <c r="BV79" i="5"/>
  <c r="BU78" i="5"/>
  <c r="K97" i="5"/>
  <c r="K105" i="5" s="1"/>
  <c r="T15" i="5"/>
  <c r="P10" i="5"/>
  <c r="P9" i="5" s="1"/>
  <c r="AP53" i="5"/>
  <c r="AA58" i="5"/>
  <c r="AC8" i="5"/>
  <c r="AC58" i="5" s="1"/>
  <c r="P54" i="5"/>
  <c r="T54" i="5" s="1"/>
  <c r="P37" i="5"/>
  <c r="T37" i="5" s="1"/>
  <c r="O89" i="5"/>
  <c r="K91" i="5"/>
  <c r="O91" i="5" s="1"/>
  <c r="Y37" i="5"/>
  <c r="U54" i="5"/>
  <c r="Y54" i="5" s="1"/>
  <c r="BD79" i="5"/>
  <c r="BD78" i="5" s="1"/>
  <c r="BD73" i="5" s="1"/>
  <c r="AQ73" i="5"/>
  <c r="AR78" i="5"/>
  <c r="AY79" i="5"/>
  <c r="AY78" i="5" s="1"/>
  <c r="AY73" i="5" s="1"/>
  <c r="BL37" i="5"/>
  <c r="BN105" i="5"/>
  <c r="BR105" i="5" s="1"/>
  <c r="BR97" i="5"/>
  <c r="AE55" i="5"/>
  <c r="AI55" i="5" s="1"/>
  <c r="AI56" i="5"/>
  <c r="K15" i="5"/>
  <c r="O15" i="5" s="1"/>
  <c r="K11" i="5"/>
  <c r="O11" i="5" s="1"/>
  <c r="BM15" i="5"/>
  <c r="Y105" i="5"/>
  <c r="AH8" i="5"/>
  <c r="AH58" i="5" s="1"/>
  <c r="AF58" i="5"/>
  <c r="O51" i="5"/>
  <c r="M58" i="5"/>
  <c r="BI105" i="5"/>
  <c r="BM105" i="5" s="1"/>
  <c r="BM97" i="5"/>
  <c r="BR55" i="5"/>
  <c r="AY54" i="5"/>
  <c r="BC54" i="5" s="1"/>
  <c r="BC37" i="5"/>
  <c r="BH5" i="5"/>
  <c r="M78" i="5"/>
  <c r="N79" i="5"/>
  <c r="AA77" i="5"/>
  <c r="V59" i="5"/>
  <c r="X28" i="5"/>
  <c r="X59" i="5" s="1"/>
  <c r="BV7" i="5"/>
  <c r="L7" i="5"/>
  <c r="BV43" i="5"/>
  <c r="L43" i="5"/>
  <c r="N43" i="5" s="1"/>
  <c r="H78" i="5"/>
  <c r="AX51" i="5"/>
  <c r="BG79" i="5"/>
  <c r="BH79" i="5"/>
  <c r="BF78" i="5"/>
  <c r="AO53" i="5"/>
  <c r="AO50" i="5" s="1"/>
  <c r="BQ10" i="5"/>
  <c r="BH15" i="5"/>
  <c r="BC79" i="5"/>
  <c r="BB79" i="5"/>
  <c r="BA78" i="5"/>
  <c r="K20" i="5"/>
  <c r="O20" i="5" s="1"/>
  <c r="O16" i="5"/>
  <c r="H7" i="5"/>
  <c r="H5" i="5"/>
  <c r="AS6" i="5"/>
  <c r="X98" i="5"/>
  <c r="V97" i="5"/>
  <c r="V73" i="5" s="1"/>
  <c r="X73" i="5" s="1"/>
  <c r="BW51" i="5"/>
  <c r="AG78" i="5"/>
  <c r="AI79" i="5"/>
  <c r="AH79" i="5"/>
  <c r="AE54" i="5"/>
  <c r="AI54" i="5" s="1"/>
  <c r="AI37" i="5"/>
  <c r="AW37" i="5"/>
  <c r="AW29" i="5"/>
  <c r="AU54" i="5"/>
  <c r="Y79" i="5"/>
  <c r="BC83" i="5"/>
  <c r="AN83" i="5"/>
  <c r="BI54" i="5"/>
  <c r="BM54" i="5" s="1"/>
  <c r="BM29" i="5"/>
  <c r="BM37" i="5"/>
  <c r="T51" i="5"/>
  <c r="AT55" i="5"/>
  <c r="K79" i="5"/>
  <c r="K78" i="5" s="1"/>
  <c r="K88" i="5"/>
  <c r="O88" i="5" s="1"/>
  <c r="AV53" i="5"/>
  <c r="AW9" i="5"/>
  <c r="R9" i="5"/>
  <c r="S10" i="5"/>
  <c r="K56" i="5"/>
  <c r="O42" i="5"/>
  <c r="BG10" i="5"/>
  <c r="AC49" i="5"/>
  <c r="AH3" i="5"/>
  <c r="N91" i="5"/>
  <c r="AS54" i="5"/>
  <c r="BR15" i="5"/>
  <c r="BI55" i="5"/>
  <c r="BM55" i="5" s="1"/>
  <c r="BM56" i="5"/>
  <c r="BE54" i="5"/>
  <c r="BG54" i="5" s="1"/>
  <c r="BG27" i="5"/>
  <c r="BG37" i="5"/>
  <c r="O97" i="5"/>
  <c r="M105" i="5"/>
  <c r="AB3" i="5"/>
  <c r="W49" i="5"/>
  <c r="BE53" i="5"/>
  <c r="K5" i="5"/>
  <c r="O5" i="5" s="1"/>
  <c r="AX37" i="5"/>
  <c r="AT54" i="5"/>
  <c r="AX54" i="5" s="1"/>
  <c r="AX29" i="5"/>
  <c r="AW8" i="5"/>
  <c r="AW58" i="5" s="1"/>
  <c r="AU58" i="5"/>
  <c r="Y29" i="5"/>
  <c r="O52" i="5"/>
  <c r="N52" i="5"/>
  <c r="Z53" i="5"/>
  <c r="AJ53" i="5"/>
  <c r="BM6" i="5"/>
  <c r="AD10" i="5"/>
  <c r="O41" i="5"/>
  <c r="BV37" i="5"/>
  <c r="BT54" i="5"/>
  <c r="BV54" i="5" s="1"/>
  <c r="BV5" i="5"/>
  <c r="BV6" i="5"/>
  <c r="AJ55" i="5"/>
  <c r="AN55" i="5" s="1"/>
  <c r="K23" i="5"/>
  <c r="O23" i="5" s="1"/>
  <c r="O80" i="5"/>
  <c r="K83" i="5"/>
  <c r="O83" i="5" s="1"/>
  <c r="Z54" i="5"/>
  <c r="AD54" i="5" s="1"/>
  <c r="AD37" i="5"/>
  <c r="AD29" i="5"/>
  <c r="BS55" i="5"/>
  <c r="BW55" i="5" s="1"/>
  <c r="BW56" i="5"/>
  <c r="BB53" i="5"/>
  <c r="AA3" i="5"/>
  <c r="V49" i="5"/>
  <c r="BN79" i="5"/>
  <c r="BR83" i="5"/>
  <c r="O38" i="5"/>
  <c r="BI79" i="5"/>
  <c r="BI78" i="5" s="1"/>
  <c r="BI73" i="5" s="1"/>
  <c r="BM83" i="5"/>
  <c r="BL10" i="5"/>
  <c r="AI3" i="5"/>
  <c r="AD49" i="5"/>
  <c r="AN37" i="5"/>
  <c r="AJ54" i="5"/>
  <c r="AN54" i="5" s="1"/>
  <c r="AK54" i="5"/>
  <c r="AM54" i="5" s="1"/>
  <c r="AM37" i="5"/>
  <c r="T29" i="5"/>
  <c r="AV78" i="5"/>
  <c r="AW79" i="5"/>
  <c r="AC79" i="5"/>
  <c r="AB78" i="5"/>
  <c r="Q76" i="5"/>
  <c r="Q77" i="5"/>
  <c r="AR37" i="5"/>
  <c r="AP54" i="5"/>
  <c r="AR54" i="5" s="1"/>
  <c r="AN79" i="5"/>
  <c r="AL78" i="5"/>
  <c r="AM79" i="5"/>
  <c r="AN10" i="5"/>
  <c r="AM10" i="5"/>
  <c r="BS54" i="5"/>
  <c r="BW54" i="5" s="1"/>
  <c r="BW37" i="5"/>
  <c r="AF97" i="5"/>
  <c r="AH98" i="5"/>
  <c r="V53" i="5"/>
  <c r="AX55" i="5"/>
  <c r="M54" i="5"/>
  <c r="M37" i="5"/>
  <c r="AB53" i="5"/>
  <c r="AC9" i="5"/>
  <c r="AD9" i="5"/>
  <c r="AX97" i="5"/>
  <c r="K75" i="5"/>
  <c r="O75" i="5" s="1"/>
  <c r="O76" i="5"/>
  <c r="AA97" i="5"/>
  <c r="AC98" i="5"/>
  <c r="AR10" i="5"/>
  <c r="BV9" i="5"/>
  <c r="BU53" i="5"/>
  <c r="AX105" i="5"/>
  <c r="BB7" i="5"/>
  <c r="AR98" i="5"/>
  <c r="AP97" i="5"/>
  <c r="BN54" i="5"/>
  <c r="BR54" i="5" s="1"/>
  <c r="BR37" i="5"/>
  <c r="T56" i="5"/>
  <c r="P55" i="5"/>
  <c r="T55" i="5" s="1"/>
  <c r="BR51" i="5"/>
  <c r="K74" i="5"/>
  <c r="O74" i="5" s="1"/>
  <c r="T74" i="5"/>
  <c r="H96" i="5"/>
  <c r="J97" i="5"/>
  <c r="H105" i="5"/>
  <c r="J105" i="5" s="1"/>
  <c r="Q37" i="5"/>
  <c r="S37" i="5" s="1"/>
  <c r="Q4" i="5"/>
  <c r="Q54" i="5"/>
  <c r="Q50" i="5" s="1"/>
  <c r="Q28" i="5"/>
  <c r="Q5" i="5" s="1"/>
  <c r="V77" i="5"/>
  <c r="Z49" i="5"/>
  <c r="AE3" i="5"/>
  <c r="BA50" i="5"/>
  <c r="AK97" i="5"/>
  <c r="AX20" i="5"/>
  <c r="AE10" i="4"/>
  <c r="AE9" i="4" s="1"/>
  <c r="P10" i="4"/>
  <c r="R15" i="4"/>
  <c r="P9" i="4"/>
  <c r="Q55" i="4"/>
  <c r="U29" i="4"/>
  <c r="U37" i="4" s="1"/>
  <c r="BS97" i="4"/>
  <c r="BS105" i="4" s="1"/>
  <c r="BI97" i="4"/>
  <c r="BK97" i="4" s="1"/>
  <c r="BN97" i="4"/>
  <c r="AE29" i="4"/>
  <c r="AG29" i="4" s="1"/>
  <c r="BI29" i="4"/>
  <c r="BI54" i="4" s="1"/>
  <c r="BK54" i="4" s="1"/>
  <c r="BK98" i="4"/>
  <c r="BD29" i="4"/>
  <c r="BD37" i="4" s="1"/>
  <c r="BP98" i="4"/>
  <c r="M25" i="4"/>
  <c r="BI10" i="4"/>
  <c r="BI9" i="4" s="1"/>
  <c r="BI8" i="4" s="1"/>
  <c r="BD10" i="4"/>
  <c r="BD9" i="4" s="1"/>
  <c r="BD8" i="4" s="1"/>
  <c r="BD58" i="4" s="1"/>
  <c r="AO10" i="4"/>
  <c r="AO9" i="4" s="1"/>
  <c r="AO53" i="4" s="1"/>
  <c r="K15" i="4"/>
  <c r="AJ10" i="4"/>
  <c r="AJ9" i="4" s="1"/>
  <c r="AJ53" i="4" s="1"/>
  <c r="Z10" i="4"/>
  <c r="Z9" i="4" s="1"/>
  <c r="Z53" i="4" s="1"/>
  <c r="AB11" i="4"/>
  <c r="AB15" i="4"/>
  <c r="U10" i="4"/>
  <c r="U9" i="4" s="1"/>
  <c r="U53" i="4" s="1"/>
  <c r="M13" i="4"/>
  <c r="M26" i="4"/>
  <c r="M18" i="4"/>
  <c r="M19" i="4"/>
  <c r="R11" i="4"/>
  <c r="P53" i="4"/>
  <c r="P8" i="4"/>
  <c r="M12" i="4"/>
  <c r="BT55" i="4"/>
  <c r="BB59" i="4"/>
  <c r="AW59" i="4"/>
  <c r="AU10" i="4"/>
  <c r="AU9" i="4" s="1"/>
  <c r="AU4" i="4" s="1"/>
  <c r="AW56" i="4"/>
  <c r="M22" i="4"/>
  <c r="AM56" i="4"/>
  <c r="AH51" i="4"/>
  <c r="AH52" i="4"/>
  <c r="AH59" i="4"/>
  <c r="V55" i="4"/>
  <c r="X5" i="4"/>
  <c r="W11" i="4"/>
  <c r="L15" i="4"/>
  <c r="BR23" i="4"/>
  <c r="BR10" i="4" s="1"/>
  <c r="BR9" i="4" s="1"/>
  <c r="BR29" i="4"/>
  <c r="BR37" i="4" s="1"/>
  <c r="BV27" i="4"/>
  <c r="BR11" i="4"/>
  <c r="BV11" i="4" s="1"/>
  <c r="BM23" i="4"/>
  <c r="BM10" i="4" s="1"/>
  <c r="BM9" i="4" s="1"/>
  <c r="BM5" i="4"/>
  <c r="BQ5" i="4" s="1"/>
  <c r="BM29" i="4"/>
  <c r="BM37" i="4" s="1"/>
  <c r="BQ37" i="4" s="1"/>
  <c r="BM59" i="4"/>
  <c r="BQ59" i="4" s="1"/>
  <c r="BH10" i="4"/>
  <c r="BH9" i="4" s="1"/>
  <c r="BH57" i="4"/>
  <c r="BL57" i="4" s="1"/>
  <c r="BH5" i="4"/>
  <c r="BH59" i="4"/>
  <c r="BL59" i="4" s="1"/>
  <c r="BC23" i="4"/>
  <c r="BC10" i="4" s="1"/>
  <c r="BC9" i="4" s="1"/>
  <c r="BC4" i="4" s="1"/>
  <c r="BG21" i="4"/>
  <c r="AX23" i="4"/>
  <c r="AX10" i="4" s="1"/>
  <c r="AX9" i="4" s="1"/>
  <c r="BB32" i="4"/>
  <c r="AX11" i="4"/>
  <c r="BB11" i="4" s="1"/>
  <c r="AW32" i="4"/>
  <c r="AW23" i="4"/>
  <c r="AS11" i="4"/>
  <c r="AW11" i="4" s="1"/>
  <c r="AW5" i="4"/>
  <c r="AS15" i="4"/>
  <c r="AS10" i="4" s="1"/>
  <c r="AS9" i="4" s="1"/>
  <c r="AS4" i="4" s="1"/>
  <c r="AN10" i="4"/>
  <c r="AN9" i="4" s="1"/>
  <c r="AR7" i="4"/>
  <c r="AN29" i="4"/>
  <c r="AN37" i="4" s="1"/>
  <c r="AN11" i="4"/>
  <c r="AR11" i="4" s="1"/>
  <c r="AM15" i="4"/>
  <c r="AI23" i="4"/>
  <c r="AI10" i="4" s="1"/>
  <c r="AI9" i="4" s="1"/>
  <c r="AI4" i="4" s="1"/>
  <c r="AM31" i="4"/>
  <c r="AM59" i="4"/>
  <c r="AM23" i="4"/>
  <c r="AD23" i="4"/>
  <c r="AD10" i="4" s="1"/>
  <c r="AD5" i="4"/>
  <c r="AH5" i="4" s="1"/>
  <c r="AD29" i="4"/>
  <c r="AD37" i="4" s="1"/>
  <c r="AD6" i="4"/>
  <c r="AD11" i="4"/>
  <c r="AH11" i="4" s="1"/>
  <c r="Y10" i="4"/>
  <c r="Y9" i="4" s="1"/>
  <c r="AC41" i="4"/>
  <c r="Y58" i="4"/>
  <c r="AC58" i="4" s="1"/>
  <c r="AC8" i="4"/>
  <c r="N24" i="4"/>
  <c r="T23" i="4"/>
  <c r="T10" i="4" s="1"/>
  <c r="T9" i="4" s="1"/>
  <c r="N21" i="4"/>
  <c r="X20" i="4"/>
  <c r="T29" i="4"/>
  <c r="T37" i="4" s="1"/>
  <c r="M36" i="4"/>
  <c r="N36" i="4"/>
  <c r="L23" i="4"/>
  <c r="O51" i="4"/>
  <c r="S6" i="4"/>
  <c r="Z77" i="4"/>
  <c r="AC29" i="4"/>
  <c r="AC31" i="4"/>
  <c r="AT97" i="4"/>
  <c r="AT105" i="4" s="1"/>
  <c r="AV103" i="4"/>
  <c r="BF15" i="4"/>
  <c r="AA37" i="4"/>
  <c r="AA54" i="4"/>
  <c r="M40" i="4"/>
  <c r="AG10" i="4"/>
  <c r="AR23" i="4"/>
  <c r="AQ23" i="4"/>
  <c r="S22" i="4"/>
  <c r="N22" i="4"/>
  <c r="O23" i="4"/>
  <c r="BU40" i="4"/>
  <c r="BL38" i="4"/>
  <c r="AX58" i="4"/>
  <c r="BB58" i="4" s="1"/>
  <c r="BB5" i="4"/>
  <c r="N17" i="4"/>
  <c r="BO55" i="4"/>
  <c r="AR6" i="4"/>
  <c r="BB17" i="4"/>
  <c r="AQ36" i="4"/>
  <c r="BC58" i="4"/>
  <c r="BB12" i="4"/>
  <c r="M17" i="4"/>
  <c r="BB28" i="4"/>
  <c r="AR36" i="4"/>
  <c r="AC56" i="4"/>
  <c r="BK74" i="4"/>
  <c r="BL74" i="4"/>
  <c r="BP91" i="4"/>
  <c r="S97" i="4"/>
  <c r="J100" i="4"/>
  <c r="BG100" i="4"/>
  <c r="AW6" i="4"/>
  <c r="BL15" i="4"/>
  <c r="AM16" i="4"/>
  <c r="I23" i="4"/>
  <c r="BC59" i="4"/>
  <c r="BG59" i="4" s="1"/>
  <c r="BG28" i="4"/>
  <c r="BE54" i="4"/>
  <c r="L54" i="4" s="1"/>
  <c r="BP30" i="4"/>
  <c r="BN29" i="4"/>
  <c r="BN4" i="4" s="1"/>
  <c r="AD75" i="4"/>
  <c r="AH75" i="4" s="1"/>
  <c r="AH76" i="4"/>
  <c r="BL84" i="4"/>
  <c r="BH88" i="4"/>
  <c r="BL88" i="4" s="1"/>
  <c r="I94" i="4"/>
  <c r="J99" i="4"/>
  <c r="N99" i="4" s="1"/>
  <c r="BC97" i="4"/>
  <c r="BC105" i="4" s="1"/>
  <c r="BG105" i="4" s="1"/>
  <c r="BG99" i="4"/>
  <c r="L6" i="4"/>
  <c r="BX6" i="4" s="1"/>
  <c r="N7" i="4"/>
  <c r="BB8" i="4"/>
  <c r="AR20" i="4"/>
  <c r="AR16" i="4"/>
  <c r="X27" i="4"/>
  <c r="BQ30" i="4"/>
  <c r="AO29" i="4"/>
  <c r="AQ29" i="4" s="1"/>
  <c r="AQ31" i="4"/>
  <c r="BD97" i="4"/>
  <c r="BF99" i="4"/>
  <c r="BG13" i="4"/>
  <c r="BV7" i="4"/>
  <c r="AM7" i="4"/>
  <c r="AM11" i="4"/>
  <c r="AL11" i="4"/>
  <c r="BV30" i="4"/>
  <c r="AF55" i="4"/>
  <c r="AH56" i="4"/>
  <c r="AK78" i="4"/>
  <c r="AL79" i="4"/>
  <c r="BM88" i="4"/>
  <c r="BQ88" i="4" s="1"/>
  <c r="BQ84" i="4"/>
  <c r="AB91" i="4"/>
  <c r="AA79" i="4"/>
  <c r="N13" i="4"/>
  <c r="S13" i="4"/>
  <c r="X49" i="4"/>
  <c r="AC3" i="4"/>
  <c r="AC6" i="4"/>
  <c r="BR59" i="4"/>
  <c r="BV59" i="4" s="1"/>
  <c r="BV28" i="4"/>
  <c r="AV42" i="4"/>
  <c r="AV56" i="4" s="1"/>
  <c r="Z29" i="4"/>
  <c r="AF54" i="4"/>
  <c r="BL11" i="4"/>
  <c r="AR28" i="4"/>
  <c r="BM75" i="4"/>
  <c r="BQ75" i="4" s="1"/>
  <c r="BQ76" i="4"/>
  <c r="BQ11" i="4"/>
  <c r="X18" i="4"/>
  <c r="X11" i="4"/>
  <c r="AK54" i="4"/>
  <c r="AM29" i="4"/>
  <c r="BM52" i="4"/>
  <c r="BQ52" i="4" s="1"/>
  <c r="BQ38" i="4"/>
  <c r="R23" i="4"/>
  <c r="AW20" i="4"/>
  <c r="N31" i="4"/>
  <c r="R35" i="4"/>
  <c r="BK51" i="4"/>
  <c r="BB82" i="4"/>
  <c r="BG11" i="4"/>
  <c r="BF11" i="4"/>
  <c r="BG38" i="4"/>
  <c r="AM75" i="4"/>
  <c r="AL75" i="4"/>
  <c r="BD53" i="4"/>
  <c r="BD7" i="4"/>
  <c r="AW17" i="4"/>
  <c r="BQ58" i="4"/>
  <c r="AA10" i="4"/>
  <c r="AC20" i="4"/>
  <c r="AB20" i="4"/>
  <c r="BQ7" i="4"/>
  <c r="N19" i="4"/>
  <c r="S19" i="4"/>
  <c r="N14" i="4"/>
  <c r="M21" i="4"/>
  <c r="K23" i="4"/>
  <c r="BL21" i="4"/>
  <c r="X25" i="4"/>
  <c r="N25" i="4"/>
  <c r="BL29" i="4"/>
  <c r="M31" i="4"/>
  <c r="AJ29" i="4"/>
  <c r="S35" i="4"/>
  <c r="AM39" i="4"/>
  <c r="AI57" i="4"/>
  <c r="AM57" i="4" s="1"/>
  <c r="BB51" i="4"/>
  <c r="AJ57" i="4"/>
  <c r="M83" i="4"/>
  <c r="BB20" i="4"/>
  <c r="BT73" i="4"/>
  <c r="AE8" i="4"/>
  <c r="AE53" i="4"/>
  <c r="AF53" i="4"/>
  <c r="N42" i="4"/>
  <c r="AQ39" i="4"/>
  <c r="AQ57" i="4" s="1"/>
  <c r="AO57" i="4"/>
  <c r="O52" i="4"/>
  <c r="S52" i="4" s="1"/>
  <c r="W29" i="4"/>
  <c r="U28" i="4"/>
  <c r="X74" i="4"/>
  <c r="BV15" i="4"/>
  <c r="BV12" i="4"/>
  <c r="X21" i="4"/>
  <c r="Q37" i="4"/>
  <c r="AN56" i="4"/>
  <c r="AR42" i="4"/>
  <c r="N43" i="4"/>
  <c r="R101" i="4"/>
  <c r="Q49" i="4"/>
  <c r="AO8" i="4"/>
  <c r="BG20" i="4"/>
  <c r="N18" i="4"/>
  <c r="W20" i="4"/>
  <c r="BK31" i="4"/>
  <c r="AG9" i="4"/>
  <c r="S38" i="4"/>
  <c r="U54" i="4"/>
  <c r="W30" i="4"/>
  <c r="K103" i="4"/>
  <c r="M103" i="4" s="1"/>
  <c r="O58" i="4"/>
  <c r="S58" i="4" s="1"/>
  <c r="O5" i="4"/>
  <c r="AC11" i="4"/>
  <c r="Q10" i="4"/>
  <c r="AH39" i="4"/>
  <c r="AD57" i="4"/>
  <c r="AH57" i="4" s="1"/>
  <c r="AO56" i="4"/>
  <c r="AQ42" i="4"/>
  <c r="AQ56" i="4" s="1"/>
  <c r="BA20" i="4"/>
  <c r="BU78" i="4"/>
  <c r="AN58" i="4"/>
  <c r="AR58" i="4" s="1"/>
  <c r="AR8" i="4"/>
  <c r="AN51" i="4"/>
  <c r="AR41" i="4"/>
  <c r="BV16" i="4"/>
  <c r="BV20" i="4"/>
  <c r="R49" i="4"/>
  <c r="N26" i="4"/>
  <c r="M38" i="4"/>
  <c r="AI54" i="4"/>
  <c r="BO105" i="4"/>
  <c r="T52" i="4"/>
  <c r="X52" i="4" s="1"/>
  <c r="X38" i="4"/>
  <c r="P97" i="4"/>
  <c r="R97" i="4" s="1"/>
  <c r="AG11" i="4"/>
  <c r="W37" i="4"/>
  <c r="BN8" i="4"/>
  <c r="X6" i="4"/>
  <c r="R20" i="4"/>
  <c r="AY10" i="4"/>
  <c r="AY9" i="4" s="1"/>
  <c r="AG51" i="4"/>
  <c r="AW7" i="4"/>
  <c r="BE58" i="4"/>
  <c r="BG8" i="4"/>
  <c r="BF8" i="4"/>
  <c r="BF58" i="4" s="1"/>
  <c r="BQ21" i="4"/>
  <c r="S56" i="4"/>
  <c r="BA42" i="4"/>
  <c r="BA56" i="4" s="1"/>
  <c r="AY56" i="4"/>
  <c r="BL5" i="4"/>
  <c r="BH58" i="4"/>
  <c r="BL58" i="4" s="1"/>
  <c r="BU11" i="4"/>
  <c r="BA23" i="4"/>
  <c r="P56" i="4"/>
  <c r="P43" i="4"/>
  <c r="R43" i="4" s="1"/>
  <c r="R42" i="4"/>
  <c r="R56" i="4" s="1"/>
  <c r="M56" i="4"/>
  <c r="AV52" i="4"/>
  <c r="Y52" i="4"/>
  <c r="AC38" i="4"/>
  <c r="BR52" i="4"/>
  <c r="BV38" i="4"/>
  <c r="Q78" i="4"/>
  <c r="R79" i="4"/>
  <c r="I11" i="4"/>
  <c r="M33" i="4"/>
  <c r="J103" i="4"/>
  <c r="N103" i="4" s="1"/>
  <c r="BV5" i="4"/>
  <c r="AT10" i="4"/>
  <c r="AT9" i="4" s="1"/>
  <c r="BS8" i="4"/>
  <c r="AP54" i="4"/>
  <c r="AT29" i="4"/>
  <c r="H40" i="4"/>
  <c r="I40" i="4" s="1"/>
  <c r="I39" i="4"/>
  <c r="I57" i="4" s="1"/>
  <c r="J90" i="4"/>
  <c r="N90" i="4" s="1"/>
  <c r="T91" i="4"/>
  <c r="X91" i="4" s="1"/>
  <c r="AW91" i="4"/>
  <c r="AV91" i="4"/>
  <c r="AU79" i="4"/>
  <c r="AV15" i="4"/>
  <c r="L20" i="4"/>
  <c r="BG16" i="4"/>
  <c r="BL23" i="4"/>
  <c r="BK23" i="4"/>
  <c r="AV30" i="4"/>
  <c r="M41" i="4"/>
  <c r="AH58" i="4"/>
  <c r="J77" i="4"/>
  <c r="N77" i="4" s="1"/>
  <c r="X77" i="4"/>
  <c r="BQ77" i="4"/>
  <c r="BM74" i="4"/>
  <c r="BQ74" i="4" s="1"/>
  <c r="BV90" i="4"/>
  <c r="BR91" i="4"/>
  <c r="N100" i="4"/>
  <c r="X8" i="4"/>
  <c r="L29" i="4"/>
  <c r="BW29" i="4" s="1"/>
  <c r="BK42" i="4"/>
  <c r="BK56" i="4" s="1"/>
  <c r="BI56" i="4"/>
  <c r="BI43" i="4"/>
  <c r="BK43" i="4" s="1"/>
  <c r="I100" i="4"/>
  <c r="AO100" i="4"/>
  <c r="AQ100" i="4" s="1"/>
  <c r="AJ100" i="4"/>
  <c r="AL100" i="4" s="1"/>
  <c r="AE100" i="4"/>
  <c r="AG100" i="4" s="1"/>
  <c r="Z100" i="4"/>
  <c r="AB100" i="4" s="1"/>
  <c r="U100" i="4"/>
  <c r="W100" i="4" s="1"/>
  <c r="BB6" i="4"/>
  <c r="BG7" i="4"/>
  <c r="BV8" i="4"/>
  <c r="AW15" i="4"/>
  <c r="M16" i="4"/>
  <c r="AM21" i="4"/>
  <c r="AC23" i="4"/>
  <c r="AB23" i="4"/>
  <c r="AI58" i="4"/>
  <c r="AM58" i="4" s="1"/>
  <c r="AR74" i="4"/>
  <c r="AQ74" i="4"/>
  <c r="L74" i="4"/>
  <c r="U79" i="4"/>
  <c r="BO79" i="4"/>
  <c r="AX91" i="4"/>
  <c r="BB91" i="4" s="1"/>
  <c r="BB89" i="4"/>
  <c r="X90" i="4"/>
  <c r="V10" i="4"/>
  <c r="X15" i="4"/>
  <c r="P29" i="4"/>
  <c r="R29" i="4" s="1"/>
  <c r="AC7" i="4"/>
  <c r="S12" i="4"/>
  <c r="O15" i="4"/>
  <c r="W15" i="4"/>
  <c r="S16" i="4"/>
  <c r="O20" i="4"/>
  <c r="BG22" i="4"/>
  <c r="H54" i="4"/>
  <c r="H59" i="4" s="1"/>
  <c r="H28" i="4"/>
  <c r="H37" i="4"/>
  <c r="R30" i="4"/>
  <c r="AY29" i="4"/>
  <c r="BA29" i="4" s="1"/>
  <c r="BQ39" i="4"/>
  <c r="BM57" i="4"/>
  <c r="BG56" i="4"/>
  <c r="AF78" i="4"/>
  <c r="W23" i="4"/>
  <c r="X28" i="4"/>
  <c r="T59" i="4"/>
  <c r="X59" i="4" s="1"/>
  <c r="BC57" i="4"/>
  <c r="BG39" i="4"/>
  <c r="AH6" i="4"/>
  <c r="BA11" i="4"/>
  <c r="BU20" i="4"/>
  <c r="AR21" i="4"/>
  <c r="X39" i="4"/>
  <c r="T57" i="4"/>
  <c r="BS56" i="4"/>
  <c r="BS43" i="4"/>
  <c r="BG51" i="4"/>
  <c r="T75" i="4"/>
  <c r="X75" i="4" s="1"/>
  <c r="AC77" i="4"/>
  <c r="AC83" i="4"/>
  <c r="AD91" i="4"/>
  <c r="AH91" i="4" s="1"/>
  <c r="AH90" i="4"/>
  <c r="BG6" i="4"/>
  <c r="BL20" i="4"/>
  <c r="BN56" i="4"/>
  <c r="BN43" i="4"/>
  <c r="BP43" i="4" s="1"/>
  <c r="BP42" i="4"/>
  <c r="BP56" i="4" s="1"/>
  <c r="AM8" i="4"/>
  <c r="M14" i="4"/>
  <c r="BU42" i="4"/>
  <c r="BU56" i="4" s="1"/>
  <c r="BL52" i="4"/>
  <c r="BJ55" i="4"/>
  <c r="BL56" i="4"/>
  <c r="AH88" i="4"/>
  <c r="BP10" i="4"/>
  <c r="BP15" i="4"/>
  <c r="AX57" i="4"/>
  <c r="BB57" i="4" s="1"/>
  <c r="BB39" i="4"/>
  <c r="AB51" i="4"/>
  <c r="J84" i="4"/>
  <c r="T88" i="4"/>
  <c r="X84" i="4"/>
  <c r="R100" i="4"/>
  <c r="M24" i="4"/>
  <c r="BQ15" i="4"/>
  <c r="AH16" i="4"/>
  <c r="R32" i="4"/>
  <c r="AY57" i="4"/>
  <c r="BA39" i="4"/>
  <c r="BA57" i="4" s="1"/>
  <c r="M42" i="4"/>
  <c r="AC51" i="4"/>
  <c r="BF51" i="4"/>
  <c r="BG52" i="4"/>
  <c r="BF52" i="4"/>
  <c r="S39" i="4"/>
  <c r="AS58" i="4"/>
  <c r="AX83" i="4"/>
  <c r="Q105" i="4"/>
  <c r="BQ20" i="4"/>
  <c r="BS29" i="4"/>
  <c r="BN40" i="4"/>
  <c r="BP40" i="4" s="1"/>
  <c r="BP39" i="4"/>
  <c r="BP57" i="4" s="1"/>
  <c r="BN57" i="4"/>
  <c r="AC57" i="4"/>
  <c r="BQ57" i="4"/>
  <c r="AV75" i="4"/>
  <c r="M81" i="4"/>
  <c r="J85" i="4"/>
  <c r="N85" i="4" s="1"/>
  <c r="AS88" i="4"/>
  <c r="AS79" i="4" s="1"/>
  <c r="AS78" i="4" s="1"/>
  <c r="AW86" i="4"/>
  <c r="I88" i="4"/>
  <c r="AL23" i="4"/>
  <c r="BU30" i="4"/>
  <c r="M34" i="4"/>
  <c r="AW38" i="4"/>
  <c r="AS52" i="4"/>
  <c r="AW52" i="4" s="1"/>
  <c r="AM51" i="4"/>
  <c r="AL51" i="4"/>
  <c r="AR59" i="4"/>
  <c r="J76" i="4"/>
  <c r="N76" i="4" s="1"/>
  <c r="BV76" i="4"/>
  <c r="BA79" i="4"/>
  <c r="AI83" i="4"/>
  <c r="AM80" i="4"/>
  <c r="N81" i="4"/>
  <c r="BJ79" i="4"/>
  <c r="N102" i="4"/>
  <c r="BA104" i="4"/>
  <c r="K104" i="4"/>
  <c r="S94" i="4"/>
  <c r="J94" i="4"/>
  <c r="N94" i="4" s="1"/>
  <c r="BV23" i="4"/>
  <c r="Z57" i="4"/>
  <c r="Z40" i="4"/>
  <c r="AB40" i="4" s="1"/>
  <c r="BL41" i="4"/>
  <c r="BH51" i="4"/>
  <c r="BL51" i="4" s="1"/>
  <c r="AM52" i="4"/>
  <c r="AL52" i="4"/>
  <c r="AZ78" i="4"/>
  <c r="P79" i="4"/>
  <c r="P78" i="4" s="1"/>
  <c r="BK83" i="4"/>
  <c r="AC85" i="4"/>
  <c r="M88" i="4"/>
  <c r="BF88" i="4"/>
  <c r="BB88" i="4"/>
  <c r="K20" i="4"/>
  <c r="AB39" i="4"/>
  <c r="AB57" i="4" s="1"/>
  <c r="BU39" i="4"/>
  <c r="BU57" i="4" s="1"/>
  <c r="T51" i="4"/>
  <c r="X41" i="4"/>
  <c r="AC76" i="4"/>
  <c r="BE78" i="4"/>
  <c r="BF79" i="4"/>
  <c r="AN79" i="4"/>
  <c r="AN78" i="4" s="1"/>
  <c r="AN73" i="4" s="1"/>
  <c r="S83" i="4"/>
  <c r="R83" i="4"/>
  <c r="BQ83" i="4"/>
  <c r="R102" i="4"/>
  <c r="BP51" i="4"/>
  <c r="BU79" i="4"/>
  <c r="R88" i="4"/>
  <c r="X105" i="4"/>
  <c r="BV105" i="4"/>
  <c r="BU105" i="4"/>
  <c r="BH97" i="4"/>
  <c r="BL98" i="4"/>
  <c r="J102" i="4"/>
  <c r="BB102" i="4"/>
  <c r="BV58" i="4"/>
  <c r="AM76" i="4"/>
  <c r="X88" i="4"/>
  <c r="AK55" i="4"/>
  <c r="AG75" i="4"/>
  <c r="G83" i="4"/>
  <c r="G79" i="4" s="1"/>
  <c r="M104" i="4"/>
  <c r="S51" i="4"/>
  <c r="BU75" i="4"/>
  <c r="J92" i="4"/>
  <c r="N92" i="4" s="1"/>
  <c r="AH92" i="4"/>
  <c r="M93" i="4"/>
  <c r="I99" i="4"/>
  <c r="AO99" i="4"/>
  <c r="AQ99" i="4" s="1"/>
  <c r="AJ99" i="4"/>
  <c r="AL99" i="4" s="1"/>
  <c r="AE99" i="4"/>
  <c r="AG99" i="4" s="1"/>
  <c r="BM55" i="4"/>
  <c r="BP52" i="4"/>
  <c r="BV75" i="4"/>
  <c r="BR74" i="4"/>
  <c r="BV74" i="4" s="1"/>
  <c r="BV77" i="4"/>
  <c r="M82" i="4"/>
  <c r="M91" i="4"/>
  <c r="BA91" i="4"/>
  <c r="AN105" i="4"/>
  <c r="AR105" i="4" s="1"/>
  <c r="AR97" i="4"/>
  <c r="AS97" i="4"/>
  <c r="AS105" i="4" s="1"/>
  <c r="AW103" i="4"/>
  <c r="BL16" i="4"/>
  <c r="U57" i="4"/>
  <c r="BU52" i="4"/>
  <c r="AW74" i="4"/>
  <c r="AV74" i="4"/>
  <c r="AD74" i="4"/>
  <c r="AH74" i="4" s="1"/>
  <c r="AH77" i="4"/>
  <c r="AW83" i="4"/>
  <c r="BG91" i="4"/>
  <c r="W39" i="4"/>
  <c r="W57" i="4" s="1"/>
  <c r="BQ42" i="4"/>
  <c r="AR52" i="4"/>
  <c r="AX55" i="4"/>
  <c r="Y88" i="4"/>
  <c r="AC88" i="4" s="1"/>
  <c r="AC84" i="4"/>
  <c r="N87" i="4"/>
  <c r="J89" i="4"/>
  <c r="J91" i="4" s="1"/>
  <c r="N91" i="4" s="1"/>
  <c r="BH91" i="4"/>
  <c r="BL91" i="4" s="1"/>
  <c r="J96" i="4"/>
  <c r="N96" i="4" s="1"/>
  <c r="S96" i="4"/>
  <c r="J101" i="4"/>
  <c r="N101" i="4" s="1"/>
  <c r="AX97" i="4"/>
  <c r="AX105" i="4" s="1"/>
  <c r="BB105" i="4" s="1"/>
  <c r="BB101" i="4"/>
  <c r="BH75" i="4"/>
  <c r="BL75" i="4" s="1"/>
  <c r="X82" i="4"/>
  <c r="T83" i="4"/>
  <c r="J86" i="4"/>
  <c r="N86" i="4" s="1"/>
  <c r="AU105" i="4"/>
  <c r="U99" i="4"/>
  <c r="AI88" i="4"/>
  <c r="AM88" i="4" s="1"/>
  <c r="J87" i="4"/>
  <c r="AQ83" i="4"/>
  <c r="AL88" i="4"/>
  <c r="Y91" i="4"/>
  <c r="AC91" i="4" s="1"/>
  <c r="AR83" i="4"/>
  <c r="BP83" i="4"/>
  <c r="AH84" i="4"/>
  <c r="BV84" i="4"/>
  <c r="X97" i="4"/>
  <c r="BU97" i="4"/>
  <c r="BV97" i="4"/>
  <c r="AO98" i="4"/>
  <c r="N80" i="4"/>
  <c r="Y83" i="4"/>
  <c r="BU83" i="4"/>
  <c r="M86" i="4"/>
  <c r="AY97" i="4"/>
  <c r="AY105" i="4" s="1"/>
  <c r="BA105" i="4" s="1"/>
  <c r="L79" i="4"/>
  <c r="AG91" i="4"/>
  <c r="M92" i="4"/>
  <c r="AC97" i="4"/>
  <c r="I98" i="4"/>
  <c r="AJ101" i="4"/>
  <c r="AL101" i="4" s="1"/>
  <c r="BU74" i="4"/>
  <c r="BG80" i="4"/>
  <c r="AB83" i="4"/>
  <c r="W88" i="4"/>
  <c r="BF91" i="4"/>
  <c r="J98" i="4"/>
  <c r="BR57" i="4"/>
  <c r="I84" i="4"/>
  <c r="AV88" i="4"/>
  <c r="AI91" i="4"/>
  <c r="AM91" i="4" s="1"/>
  <c r="BV95" i="4"/>
  <c r="AJ102" i="4"/>
  <c r="AL102" i="4" s="1"/>
  <c r="H97" i="4"/>
  <c r="AO101" i="4"/>
  <c r="AQ101" i="4" s="1"/>
  <c r="AX88" i="4"/>
  <c r="BQ56" i="4"/>
  <c r="AG83" i="4"/>
  <c r="M84" i="4"/>
  <c r="AB88" i="4"/>
  <c r="AR89" i="4"/>
  <c r="O91" i="4"/>
  <c r="S91" i="4" s="1"/>
  <c r="BK91" i="4"/>
  <c r="L97" i="4"/>
  <c r="BR6" i="2"/>
  <c r="G7" i="2"/>
  <c r="L34" i="2"/>
  <c r="BE55" i="4" l="1"/>
  <c r="L58" i="4"/>
  <c r="K10" i="4"/>
  <c r="K9" i="4" s="1"/>
  <c r="AF50" i="4"/>
  <c r="W54" i="4"/>
  <c r="BR4" i="4"/>
  <c r="BM4" i="4"/>
  <c r="BM54" i="4"/>
  <c r="BQ54" i="4" s="1"/>
  <c r="BQ29" i="4"/>
  <c r="BH4" i="4"/>
  <c r="BB29" i="4"/>
  <c r="N32" i="4"/>
  <c r="AR29" i="4"/>
  <c r="AD54" i="4"/>
  <c r="AH29" i="4"/>
  <c r="O37" i="4"/>
  <c r="O54" i="4"/>
  <c r="S54" i="4" s="1"/>
  <c r="H34" i="5"/>
  <c r="G34" i="4"/>
  <c r="I34" i="4" s="1"/>
  <c r="L10" i="4"/>
  <c r="L9" i="4" s="1"/>
  <c r="BW23" i="4"/>
  <c r="BW20" i="4"/>
  <c r="BW15" i="4"/>
  <c r="BW11" i="4"/>
  <c r="BM79" i="4"/>
  <c r="BM78" i="4" s="1"/>
  <c r="BM73" i="4" s="1"/>
  <c r="BR55" i="4"/>
  <c r="BV55" i="4" s="1"/>
  <c r="Y55" i="4"/>
  <c r="AC55" i="4" s="1"/>
  <c r="T4" i="4"/>
  <c r="BX42" i="4"/>
  <c r="BB55" i="4"/>
  <c r="H77" i="4"/>
  <c r="U4" i="4"/>
  <c r="AX4" i="4"/>
  <c r="BC79" i="4"/>
  <c r="N34" i="4"/>
  <c r="Y4" i="4"/>
  <c r="J5" i="4"/>
  <c r="K102" i="4"/>
  <c r="M102" i="4" s="1"/>
  <c r="AS73" i="4"/>
  <c r="N35" i="4"/>
  <c r="AJ4" i="4"/>
  <c r="BI4" i="4"/>
  <c r="J83" i="4"/>
  <c r="N83" i="4" s="1"/>
  <c r="BI53" i="4"/>
  <c r="BI50" i="4" s="1"/>
  <c r="BR79" i="4"/>
  <c r="BV79" i="4" s="1"/>
  <c r="U98" i="4"/>
  <c r="AJ98" i="4"/>
  <c r="AL98" i="4" s="1"/>
  <c r="AE98" i="4"/>
  <c r="AG98" i="4" s="1"/>
  <c r="Z98" i="4"/>
  <c r="BU10" i="4"/>
  <c r="BG83" i="4"/>
  <c r="J6" i="4"/>
  <c r="U8" i="4"/>
  <c r="AW97" i="4"/>
  <c r="BQ97" i="4"/>
  <c r="AQ79" i="4"/>
  <c r="BH55" i="4"/>
  <c r="BL55" i="4" s="1"/>
  <c r="AL10" i="4"/>
  <c r="M57" i="4"/>
  <c r="BX52" i="4"/>
  <c r="AO4" i="4"/>
  <c r="N33" i="4"/>
  <c r="BF10" i="4"/>
  <c r="K100" i="4"/>
  <c r="M100" i="4" s="1"/>
  <c r="BS7" i="4"/>
  <c r="BU7" i="4" s="1"/>
  <c r="O55" i="4"/>
  <c r="S55" i="4" s="1"/>
  <c r="BX51" i="4"/>
  <c r="N57" i="4"/>
  <c r="BG97" i="4"/>
  <c r="BX57" i="4"/>
  <c r="BZ23" i="4"/>
  <c r="BZ20" i="4"/>
  <c r="BZ11" i="4"/>
  <c r="BZ15" i="4"/>
  <c r="BZ29" i="4"/>
  <c r="M15" i="4"/>
  <c r="J9" i="5"/>
  <c r="I4" i="5"/>
  <c r="I8" i="5"/>
  <c r="I53" i="5"/>
  <c r="I56" i="5"/>
  <c r="J51" i="5"/>
  <c r="I50" i="5"/>
  <c r="J42" i="5"/>
  <c r="I43" i="5"/>
  <c r="J43" i="5" s="1"/>
  <c r="K8" i="5"/>
  <c r="BH8" i="5"/>
  <c r="BD58" i="5"/>
  <c r="AC37" i="5"/>
  <c r="AA54" i="5"/>
  <c r="AC29" i="5"/>
  <c r="BQ29" i="5"/>
  <c r="BB37" i="5"/>
  <c r="AZ54" i="5"/>
  <c r="BQ37" i="5"/>
  <c r="BJ50" i="5"/>
  <c r="BO54" i="5"/>
  <c r="BQ54" i="5" s="1"/>
  <c r="AH29" i="5"/>
  <c r="AH37" i="5"/>
  <c r="AF54" i="5"/>
  <c r="L28" i="5"/>
  <c r="L29" i="5"/>
  <c r="N29" i="5" s="1"/>
  <c r="V50" i="5"/>
  <c r="BT50" i="5"/>
  <c r="BL27" i="5"/>
  <c r="BJ59" i="5"/>
  <c r="BL28" i="5"/>
  <c r="BL59" i="5" s="1"/>
  <c r="BL5" i="5"/>
  <c r="BL8" i="5"/>
  <c r="BL58" i="5" s="1"/>
  <c r="BJ58" i="5"/>
  <c r="BJ55" i="5" s="1"/>
  <c r="BL55" i="5" s="1"/>
  <c r="S54" i="5"/>
  <c r="BC10" i="5"/>
  <c r="BH10" i="5"/>
  <c r="BC9" i="5"/>
  <c r="T10" i="5"/>
  <c r="X9" i="5"/>
  <c r="AJ50" i="5"/>
  <c r="BM79" i="5"/>
  <c r="AY53" i="5"/>
  <c r="Z50" i="5"/>
  <c r="BV8" i="5"/>
  <c r="BV58" i="5" s="1"/>
  <c r="U73" i="5"/>
  <c r="Y73" i="5" s="1"/>
  <c r="Y78" i="5"/>
  <c r="AX79" i="5"/>
  <c r="AP50" i="5"/>
  <c r="AO78" i="5"/>
  <c r="AS79" i="5"/>
  <c r="AD79" i="5"/>
  <c r="J79" i="5"/>
  <c r="AS10" i="5"/>
  <c r="S5" i="5"/>
  <c r="AL73" i="5"/>
  <c r="AN78" i="5"/>
  <c r="AM78" i="5"/>
  <c r="AU59" i="5"/>
  <c r="AU55" i="5" s="1"/>
  <c r="AW55" i="5" s="1"/>
  <c r="AW28" i="5"/>
  <c r="AW59" i="5" s="1"/>
  <c r="AW27" i="5"/>
  <c r="N7" i="5"/>
  <c r="BB78" i="5"/>
  <c r="BC78" i="5"/>
  <c r="BA73" i="5"/>
  <c r="V58" i="5"/>
  <c r="V55" i="5" s="1"/>
  <c r="X55" i="5" s="1"/>
  <c r="X8" i="5"/>
  <c r="X58" i="5" s="1"/>
  <c r="X5" i="5"/>
  <c r="AF3" i="5"/>
  <c r="AA49" i="5"/>
  <c r="AG3" i="5"/>
  <c r="AB49" i="5"/>
  <c r="O56" i="5"/>
  <c r="AG53" i="5"/>
  <c r="AI9" i="5"/>
  <c r="AH9" i="5"/>
  <c r="AA105" i="5"/>
  <c r="AC105" i="5" s="1"/>
  <c r="AA96" i="5"/>
  <c r="AA74" i="5" s="1"/>
  <c r="AC74" i="5" s="1"/>
  <c r="AC97" i="5"/>
  <c r="AW78" i="5"/>
  <c r="AX78" i="5"/>
  <c r="AV73" i="5"/>
  <c r="O105" i="5"/>
  <c r="Y10" i="5"/>
  <c r="M55" i="5"/>
  <c r="BD53" i="5"/>
  <c r="X27" i="5"/>
  <c r="X6" i="5"/>
  <c r="AE53" i="5"/>
  <c r="AE50" i="5" s="1"/>
  <c r="BP53" i="5"/>
  <c r="BR9" i="5"/>
  <c r="BQ9" i="5"/>
  <c r="AH7" i="5"/>
  <c r="AX10" i="5"/>
  <c r="BR10" i="5"/>
  <c r="X53" i="5"/>
  <c r="W50" i="5"/>
  <c r="AK50" i="5"/>
  <c r="AH97" i="5"/>
  <c r="AF105" i="5"/>
  <c r="AH105" i="5" s="1"/>
  <c r="AF73" i="5"/>
  <c r="AA73" i="5"/>
  <c r="R53" i="5"/>
  <c r="T9" i="5"/>
  <c r="S9" i="5"/>
  <c r="R4" i="5"/>
  <c r="AK105" i="5"/>
  <c r="AM105" i="5" s="1"/>
  <c r="AM97" i="5"/>
  <c r="AK73" i="5"/>
  <c r="AA76" i="5"/>
  <c r="AC77" i="5"/>
  <c r="BW10" i="5"/>
  <c r="AW53" i="5"/>
  <c r="AV50" i="5"/>
  <c r="AH78" i="5"/>
  <c r="AI78" i="5"/>
  <c r="AG73" i="5"/>
  <c r="BQ7" i="5"/>
  <c r="BE59" i="5"/>
  <c r="BG28" i="5"/>
  <c r="BG59" i="5" s="1"/>
  <c r="AE49" i="5"/>
  <c r="AJ3" i="5"/>
  <c r="AR97" i="5"/>
  <c r="AP105" i="5"/>
  <c r="AR105" i="5" s="1"/>
  <c r="AP73" i="5"/>
  <c r="AR73" i="5" s="1"/>
  <c r="BH78" i="5"/>
  <c r="BG78" i="5"/>
  <c r="BF73" i="5"/>
  <c r="O79" i="5"/>
  <c r="N10" i="5"/>
  <c r="M9" i="5"/>
  <c r="AK59" i="5"/>
  <c r="AK55" i="5" s="1"/>
  <c r="AM55" i="5" s="1"/>
  <c r="AM28" i="5"/>
  <c r="AM59" i="5" s="1"/>
  <c r="AM5" i="5"/>
  <c r="AN9" i="5"/>
  <c r="AM9" i="5"/>
  <c r="AL53" i="5"/>
  <c r="AW5" i="5"/>
  <c r="O78" i="5"/>
  <c r="N78" i="5"/>
  <c r="BI53" i="5"/>
  <c r="BI50" i="5" s="1"/>
  <c r="AW7" i="5"/>
  <c r="BL78" i="5"/>
  <c r="BK73" i="5"/>
  <c r="BM78" i="5"/>
  <c r="V96" i="5"/>
  <c r="V74" i="5" s="1"/>
  <c r="X74" i="5" s="1"/>
  <c r="V105" i="5"/>
  <c r="X105" i="5" s="1"/>
  <c r="X97" i="5"/>
  <c r="BV4" i="5"/>
  <c r="AR27" i="5"/>
  <c r="AR28" i="5"/>
  <c r="AR59" i="5" s="1"/>
  <c r="AP59" i="5"/>
  <c r="BE58" i="5"/>
  <c r="BG5" i="5"/>
  <c r="BG8" i="5"/>
  <c r="BG58" i="5" s="1"/>
  <c r="AH49" i="5"/>
  <c r="AM3" i="5"/>
  <c r="AC7" i="5"/>
  <c r="AI49" i="5"/>
  <c r="AN3" i="5"/>
  <c r="J78" i="5"/>
  <c r="H77" i="5"/>
  <c r="H73" i="5"/>
  <c r="J73" i="5" s="1"/>
  <c r="J96" i="5"/>
  <c r="H95" i="5"/>
  <c r="J95" i="5" s="1"/>
  <c r="S76" i="5"/>
  <c r="X77" i="5"/>
  <c r="AC53" i="5"/>
  <c r="AD53" i="5"/>
  <c r="AB50" i="5"/>
  <c r="S28" i="5"/>
  <c r="S59" i="5" s="1"/>
  <c r="Q27" i="5"/>
  <c r="Q6" i="5" s="1"/>
  <c r="S6" i="5" s="1"/>
  <c r="Q59" i="5"/>
  <c r="Q55" i="5" s="1"/>
  <c r="S55" i="5" s="1"/>
  <c r="BV27" i="5"/>
  <c r="L27" i="5"/>
  <c r="N27" i="5" s="1"/>
  <c r="L4" i="5"/>
  <c r="BT59" i="5"/>
  <c r="BT55" i="5" s="1"/>
  <c r="BV55" i="5" s="1"/>
  <c r="BV28" i="5"/>
  <c r="BV59" i="5" s="1"/>
  <c r="AP58" i="5"/>
  <c r="AR8" i="5"/>
  <c r="AR58" i="5" s="1"/>
  <c r="AR5" i="5"/>
  <c r="S77" i="5"/>
  <c r="L77" i="5"/>
  <c r="N77" i="5" s="1"/>
  <c r="BG6" i="5"/>
  <c r="BG7" i="5"/>
  <c r="P53" i="5"/>
  <c r="P50" i="5" s="1"/>
  <c r="P4" i="5"/>
  <c r="AD78" i="5"/>
  <c r="AB73" i="5"/>
  <c r="AC78" i="5"/>
  <c r="BN78" i="5"/>
  <c r="BR79" i="5"/>
  <c r="BE50" i="5"/>
  <c r="BF53" i="5"/>
  <c r="BH9" i="5"/>
  <c r="BG9" i="5"/>
  <c r="H6" i="5"/>
  <c r="BW79" i="5"/>
  <c r="S78" i="5"/>
  <c r="R73" i="5"/>
  <c r="T78" i="5"/>
  <c r="BN53" i="5"/>
  <c r="BN50" i="5" s="1"/>
  <c r="K10" i="5"/>
  <c r="K9" i="5" s="1"/>
  <c r="K53" i="5" s="1"/>
  <c r="BM10" i="5"/>
  <c r="BM9" i="5"/>
  <c r="BL9" i="5"/>
  <c r="BK53" i="5"/>
  <c r="BV53" i="5"/>
  <c r="BU50" i="5"/>
  <c r="AQ53" i="5"/>
  <c r="AS9" i="5"/>
  <c r="AR9" i="5"/>
  <c r="AW54" i="5"/>
  <c r="AU50" i="5"/>
  <c r="BU73" i="5"/>
  <c r="BW78" i="5"/>
  <c r="BV78" i="5"/>
  <c r="L8" i="5"/>
  <c r="AH23" i="4"/>
  <c r="BQ23" i="4"/>
  <c r="BG23" i="4"/>
  <c r="BB23" i="4"/>
  <c r="X23" i="4"/>
  <c r="S23" i="4"/>
  <c r="S20" i="4"/>
  <c r="S11" i="4"/>
  <c r="Z4" i="4"/>
  <c r="Z8" i="4"/>
  <c r="R8" i="4"/>
  <c r="R58" i="4" s="1"/>
  <c r="P58" i="4"/>
  <c r="P7" i="4"/>
  <c r="M11" i="4"/>
  <c r="BK29" i="4"/>
  <c r="BI37" i="4"/>
  <c r="BK37" i="4" s="1"/>
  <c r="K29" i="4"/>
  <c r="M29" i="4" s="1"/>
  <c r="BA97" i="4"/>
  <c r="BI28" i="4"/>
  <c r="BI59" i="4" s="1"/>
  <c r="AE4" i="4"/>
  <c r="AV97" i="4"/>
  <c r="BF29" i="4"/>
  <c r="AE28" i="4"/>
  <c r="AE59" i="4" s="1"/>
  <c r="AE54" i="4"/>
  <c r="AE50" i="4" s="1"/>
  <c r="AG50" i="4" s="1"/>
  <c r="BD54" i="4"/>
  <c r="BD50" i="4" s="1"/>
  <c r="BD27" i="4"/>
  <c r="BF27" i="4" s="1"/>
  <c r="BN105" i="4"/>
  <c r="BP105" i="4" s="1"/>
  <c r="BN73" i="4"/>
  <c r="BP97" i="4"/>
  <c r="BD28" i="4"/>
  <c r="BF28" i="4" s="1"/>
  <c r="BF59" i="4" s="1"/>
  <c r="AE37" i="4"/>
  <c r="AG37" i="4" s="1"/>
  <c r="BI105" i="4"/>
  <c r="BK105" i="4" s="1"/>
  <c r="BI73" i="4"/>
  <c r="BS73" i="4"/>
  <c r="BU73" i="4" s="1"/>
  <c r="M30" i="4"/>
  <c r="AL29" i="4"/>
  <c r="U50" i="4"/>
  <c r="BD4" i="4"/>
  <c r="AT73" i="4"/>
  <c r="M23" i="4"/>
  <c r="N27" i="4"/>
  <c r="AN4" i="4"/>
  <c r="AI55" i="4"/>
  <c r="AM55" i="4" s="1"/>
  <c r="AD9" i="4"/>
  <c r="AD53" i="4" s="1"/>
  <c r="AD50" i="4" s="1"/>
  <c r="AH50" i="4" s="1"/>
  <c r="AH10" i="4"/>
  <c r="J23" i="4"/>
  <c r="N23" i="4" s="1"/>
  <c r="N38" i="4"/>
  <c r="N41" i="4"/>
  <c r="G78" i="4"/>
  <c r="I79" i="4"/>
  <c r="AR15" i="4"/>
  <c r="X57" i="4"/>
  <c r="T55" i="4"/>
  <c r="X55" i="4" s="1"/>
  <c r="AT53" i="4"/>
  <c r="AT8" i="4"/>
  <c r="AT4" i="4"/>
  <c r="AM37" i="4"/>
  <c r="AH55" i="4"/>
  <c r="W8" i="4"/>
  <c r="W58" i="4" s="1"/>
  <c r="U5" i="4"/>
  <c r="W5" i="4" s="1"/>
  <c r="U58" i="4"/>
  <c r="N98" i="4"/>
  <c r="J97" i="4"/>
  <c r="J105" i="4" s="1"/>
  <c r="BQ10" i="4"/>
  <c r="M20" i="4"/>
  <c r="BQ105" i="4"/>
  <c r="AN55" i="4"/>
  <c r="AR55" i="4" s="1"/>
  <c r="AR56" i="4"/>
  <c r="BB15" i="4"/>
  <c r="BK79" i="4"/>
  <c r="BJ78" i="4"/>
  <c r="BR54" i="4"/>
  <c r="BV54" i="4" s="1"/>
  <c r="BV29" i="4"/>
  <c r="AJ97" i="4"/>
  <c r="BV57" i="4"/>
  <c r="O79" i="4"/>
  <c r="AM54" i="4"/>
  <c r="BK10" i="4"/>
  <c r="BC53" i="4"/>
  <c r="AI79" i="4"/>
  <c r="AM83" i="4"/>
  <c r="AD79" i="4"/>
  <c r="W49" i="4"/>
  <c r="AB3" i="4"/>
  <c r="AC15" i="4"/>
  <c r="U49" i="4"/>
  <c r="Z3" i="4"/>
  <c r="BH79" i="4"/>
  <c r="BH78" i="4" s="1"/>
  <c r="BH73" i="4" s="1"/>
  <c r="S105" i="4"/>
  <c r="J79" i="4"/>
  <c r="J78" i="4" s="1"/>
  <c r="J88" i="4"/>
  <c r="N88" i="4" s="1"/>
  <c r="AG78" i="4"/>
  <c r="AF73" i="4"/>
  <c r="M51" i="4"/>
  <c r="AC52" i="4"/>
  <c r="I83" i="4"/>
  <c r="AJ28" i="4"/>
  <c r="AJ37" i="4"/>
  <c r="AL37" i="4" s="1"/>
  <c r="AJ54" i="4"/>
  <c r="AL54" i="4" s="1"/>
  <c r="BQ55" i="4"/>
  <c r="BS37" i="4"/>
  <c r="BU37" i="4" s="1"/>
  <c r="BS27" i="4"/>
  <c r="BS54" i="4"/>
  <c r="BU54" i="4" s="1"/>
  <c r="BS28" i="4"/>
  <c r="BU29" i="4"/>
  <c r="BS4" i="4"/>
  <c r="L78" i="4"/>
  <c r="M79" i="4"/>
  <c r="BV52" i="4"/>
  <c r="AR79" i="4"/>
  <c r="BF78" i="4"/>
  <c r="BE73" i="4"/>
  <c r="BB83" i="4"/>
  <c r="AX79" i="4"/>
  <c r="P37" i="4"/>
  <c r="R37" i="4" s="1"/>
  <c r="P28" i="4"/>
  <c r="P54" i="4"/>
  <c r="P4" i="4"/>
  <c r="BP8" i="4"/>
  <c r="BP58" i="4" s="1"/>
  <c r="BN7" i="4"/>
  <c r="BN58" i="4"/>
  <c r="BV6" i="4"/>
  <c r="AO58" i="4"/>
  <c r="AQ8" i="4"/>
  <c r="AQ58" i="4" s="1"/>
  <c r="AO7" i="4"/>
  <c r="AG53" i="4"/>
  <c r="AH54" i="4"/>
  <c r="AB79" i="4"/>
  <c r="AA78" i="4"/>
  <c r="BF97" i="4"/>
  <c r="BD105" i="4"/>
  <c r="BF105" i="4" s="1"/>
  <c r="BD73" i="4"/>
  <c r="BK8" i="4"/>
  <c r="BK58" i="4" s="1"/>
  <c r="BI58" i="4"/>
  <c r="BI5" i="4"/>
  <c r="BK5" i="4" s="1"/>
  <c r="BI7" i="4"/>
  <c r="S15" i="4"/>
  <c r="N12" i="4"/>
  <c r="N11" i="4"/>
  <c r="J15" i="4"/>
  <c r="BV91" i="4"/>
  <c r="AA3" i="4"/>
  <c r="V49" i="4"/>
  <c r="Z37" i="4"/>
  <c r="AB37" i="4" s="1"/>
  <c r="Z54" i="4"/>
  <c r="Z50" i="4" s="1"/>
  <c r="Z28" i="4"/>
  <c r="Z5" i="4" s="1"/>
  <c r="AB5" i="4" s="1"/>
  <c r="W10" i="4"/>
  <c r="V9" i="4"/>
  <c r="BX58" i="4"/>
  <c r="N8" i="4"/>
  <c r="AE58" i="4"/>
  <c r="AG8" i="4"/>
  <c r="AG58" i="4" s="1"/>
  <c r="AE7" i="4"/>
  <c r="AE5" i="4"/>
  <c r="AG5" i="4" s="1"/>
  <c r="AO54" i="4"/>
  <c r="AO50" i="4" s="1"/>
  <c r="AO37" i="4"/>
  <c r="AQ37" i="4" s="1"/>
  <c r="AO28" i="4"/>
  <c r="BG55" i="4"/>
  <c r="S37" i="4"/>
  <c r="M52" i="4"/>
  <c r="AK53" i="4"/>
  <c r="AL9" i="4"/>
  <c r="AZ73" i="4"/>
  <c r="BA78" i="4"/>
  <c r="AH37" i="4"/>
  <c r="I97" i="4"/>
  <c r="H96" i="4"/>
  <c r="H74" i="4" s="1"/>
  <c r="I74" i="4" s="1"/>
  <c r="H105" i="4"/>
  <c r="I105" i="4" s="1"/>
  <c r="BV37" i="4"/>
  <c r="BH105" i="4"/>
  <c r="BL105" i="4" s="1"/>
  <c r="BL97" i="4"/>
  <c r="BB97" i="4"/>
  <c r="N39" i="4"/>
  <c r="AR37" i="4"/>
  <c r="K101" i="4"/>
  <c r="M101" i="4" s="1"/>
  <c r="J74" i="4"/>
  <c r="N74" i="4" s="1"/>
  <c r="J20" i="4"/>
  <c r="N20" i="4" s="1"/>
  <c r="N16" i="4"/>
  <c r="L37" i="4"/>
  <c r="AS53" i="4"/>
  <c r="AB77" i="4"/>
  <c r="Z76" i="4"/>
  <c r="R78" i="4"/>
  <c r="Q73" i="4"/>
  <c r="AW88" i="4"/>
  <c r="AW105" i="4"/>
  <c r="AV105" i="4"/>
  <c r="Y79" i="4"/>
  <c r="Y78" i="4" s="1"/>
  <c r="Y73" i="4" s="1"/>
  <c r="T79" i="4"/>
  <c r="X83" i="4"/>
  <c r="X29" i="4"/>
  <c r="T54" i="4"/>
  <c r="X54" i="4" s="1"/>
  <c r="X37" i="4"/>
  <c r="AY37" i="4"/>
  <c r="BA37" i="4" s="1"/>
  <c r="AY54" i="4"/>
  <c r="BA54" i="4" s="1"/>
  <c r="AY27" i="4"/>
  <c r="BA27" i="4" s="1"/>
  <c r="AY28" i="4"/>
  <c r="AN54" i="4"/>
  <c r="AR54" i="4" s="1"/>
  <c r="BG5" i="4"/>
  <c r="BX59" i="4"/>
  <c r="N28" i="4"/>
  <c r="N84" i="4"/>
  <c r="AD55" i="4"/>
  <c r="AW79" i="4"/>
  <c r="AU78" i="4"/>
  <c r="AV79" i="4"/>
  <c r="AB10" i="4"/>
  <c r="AA9" i="4"/>
  <c r="Q9" i="4"/>
  <c r="R10" i="4"/>
  <c r="J75" i="4"/>
  <c r="N75" i="4" s="1"/>
  <c r="I10" i="4"/>
  <c r="AR78" i="4"/>
  <c r="AQ78" i="4"/>
  <c r="AP73" i="4"/>
  <c r="AV29" i="4"/>
  <c r="AT37" i="4"/>
  <c r="AV37" i="4" s="1"/>
  <c r="AT54" i="4"/>
  <c r="AV54" i="4" s="1"/>
  <c r="AT28" i="4"/>
  <c r="S5" i="4"/>
  <c r="X51" i="4"/>
  <c r="I77" i="4"/>
  <c r="H76" i="4"/>
  <c r="AY73" i="4"/>
  <c r="BG37" i="4"/>
  <c r="BC54" i="4"/>
  <c r="BG54" i="4" s="1"/>
  <c r="BG29" i="4"/>
  <c r="AS54" i="4"/>
  <c r="AW54" i="4" s="1"/>
  <c r="AW37" i="4"/>
  <c r="AW29" i="4"/>
  <c r="AV10" i="4"/>
  <c r="AW10" i="4"/>
  <c r="P105" i="4"/>
  <c r="R105" i="4" s="1"/>
  <c r="P96" i="4"/>
  <c r="AB29" i="4"/>
  <c r="U59" i="4"/>
  <c r="W28" i="4"/>
  <c r="W59" i="4" s="1"/>
  <c r="U27" i="4"/>
  <c r="BA10" i="4"/>
  <c r="BB10" i="4"/>
  <c r="AH15" i="4"/>
  <c r="BG15" i="4"/>
  <c r="BN28" i="4"/>
  <c r="BN5" i="4" s="1"/>
  <c r="BP5" i="4" s="1"/>
  <c r="BP29" i="4"/>
  <c r="BN54" i="4"/>
  <c r="BN37" i="4"/>
  <c r="BP37" i="4" s="1"/>
  <c r="BL37" i="4"/>
  <c r="J29" i="4"/>
  <c r="N29" i="4" s="1"/>
  <c r="N30" i="4"/>
  <c r="AM20" i="4"/>
  <c r="N6" i="4"/>
  <c r="K99" i="4"/>
  <c r="M99" i="4" s="1"/>
  <c r="W99" i="4"/>
  <c r="AG4" i="4"/>
  <c r="BF7" i="4"/>
  <c r="AR51" i="4"/>
  <c r="BU43" i="4"/>
  <c r="M43" i="4"/>
  <c r="BB37" i="4"/>
  <c r="AX54" i="4"/>
  <c r="BB54" i="4" s="1"/>
  <c r="BS58" i="4"/>
  <c r="BU8" i="4"/>
  <c r="BU58" i="4" s="1"/>
  <c r="BG58" i="4"/>
  <c r="BH54" i="4"/>
  <c r="BL54" i="4" s="1"/>
  <c r="L105" i="4"/>
  <c r="P76" i="4"/>
  <c r="P77" i="4"/>
  <c r="P73" i="4"/>
  <c r="AY53" i="4"/>
  <c r="AY7" i="4"/>
  <c r="AY4" i="4"/>
  <c r="AY8" i="4"/>
  <c r="BP9" i="4"/>
  <c r="BO53" i="4"/>
  <c r="BQ9" i="4"/>
  <c r="AW58" i="4"/>
  <c r="AS55" i="4"/>
  <c r="AW55" i="4" s="1"/>
  <c r="T49" i="4"/>
  <c r="Y3" i="4"/>
  <c r="BT53" i="4"/>
  <c r="BU9" i="4"/>
  <c r="AR10" i="4"/>
  <c r="AQ10" i="4"/>
  <c r="BQ79" i="4"/>
  <c r="BP79" i="4"/>
  <c r="BO78" i="4"/>
  <c r="BG10" i="4"/>
  <c r="AE97" i="4"/>
  <c r="AL78" i="4"/>
  <c r="AK73" i="4"/>
  <c r="AC49" i="4"/>
  <c r="AH3" i="4"/>
  <c r="BC55" i="4"/>
  <c r="BG57" i="4"/>
  <c r="Z58" i="4"/>
  <c r="AB8" i="4"/>
  <c r="AB58" i="4" s="1"/>
  <c r="Z7" i="4"/>
  <c r="Y54" i="4"/>
  <c r="AC54" i="4" s="1"/>
  <c r="AC37" i="4"/>
  <c r="AQ98" i="4"/>
  <c r="AO97" i="4"/>
  <c r="N89" i="4"/>
  <c r="I28" i="4"/>
  <c r="I59" i="4" s="1"/>
  <c r="H27" i="4"/>
  <c r="I27" i="4" s="1"/>
  <c r="W79" i="4"/>
  <c r="U78" i="4"/>
  <c r="BE53" i="4"/>
  <c r="L53" i="4" s="1"/>
  <c r="BG9" i="4"/>
  <c r="BF9" i="4"/>
  <c r="BF37" i="4"/>
  <c r="K59" i="2"/>
  <c r="J59" i="2"/>
  <c r="K58" i="2"/>
  <c r="J58" i="2"/>
  <c r="K57" i="2"/>
  <c r="J57" i="2"/>
  <c r="K56" i="2"/>
  <c r="J56" i="2"/>
  <c r="K54" i="2"/>
  <c r="J54" i="2"/>
  <c r="K53" i="2"/>
  <c r="J53" i="2"/>
  <c r="K52" i="2"/>
  <c r="L52" i="2"/>
  <c r="J52" i="2"/>
  <c r="K51" i="2"/>
  <c r="L51" i="2"/>
  <c r="J51" i="2"/>
  <c r="Q102" i="5" l="1"/>
  <c r="J34" i="5"/>
  <c r="AZ102" i="5"/>
  <c r="BB102" i="5" s="1"/>
  <c r="BE102" i="5"/>
  <c r="BG102" i="5" s="1"/>
  <c r="AU102" i="5"/>
  <c r="AW102" i="5" s="1"/>
  <c r="BO102" i="5"/>
  <c r="BQ102" i="5" s="1"/>
  <c r="BJ102" i="5"/>
  <c r="BL102" i="5" s="1"/>
  <c r="BT102" i="5"/>
  <c r="BV102" i="5" s="1"/>
  <c r="N51" i="4"/>
  <c r="K37" i="4"/>
  <c r="M37" i="4" s="1"/>
  <c r="BX15" i="4"/>
  <c r="J10" i="4"/>
  <c r="J9" i="4" s="1"/>
  <c r="L55" i="4"/>
  <c r="BW10" i="4"/>
  <c r="W98" i="4"/>
  <c r="K98" i="4"/>
  <c r="U97" i="4"/>
  <c r="BR78" i="4"/>
  <c r="BI27" i="4"/>
  <c r="BK27" i="4" s="1"/>
  <c r="BK28" i="4"/>
  <c r="BK59" i="4" s="1"/>
  <c r="BX11" i="4"/>
  <c r="BX56" i="4"/>
  <c r="N56" i="4"/>
  <c r="BC78" i="4"/>
  <c r="BG79" i="4"/>
  <c r="N97" i="4"/>
  <c r="AE27" i="4"/>
  <c r="AG27" i="4" s="1"/>
  <c r="AB98" i="4"/>
  <c r="Z97" i="4"/>
  <c r="AG28" i="4"/>
  <c r="AG59" i="4" s="1"/>
  <c r="N52" i="4"/>
  <c r="K5" i="4"/>
  <c r="K4" i="4"/>
  <c r="BX20" i="4"/>
  <c r="BX29" i="4"/>
  <c r="BX23" i="4"/>
  <c r="BZ10" i="4"/>
  <c r="I58" i="5"/>
  <c r="J58" i="5" s="1"/>
  <c r="J53" i="5"/>
  <c r="J8" i="5"/>
  <c r="I7" i="5"/>
  <c r="I5" i="5"/>
  <c r="J5" i="5" s="1"/>
  <c r="J56" i="5"/>
  <c r="I55" i="5"/>
  <c r="BH58" i="5"/>
  <c r="K58" i="5"/>
  <c r="O8" i="5"/>
  <c r="L37" i="5"/>
  <c r="N37" i="5" s="1"/>
  <c r="BO50" i="5"/>
  <c r="AH54" i="5"/>
  <c r="AF50" i="5"/>
  <c r="L54" i="5"/>
  <c r="AC54" i="5"/>
  <c r="AA50" i="5"/>
  <c r="AC50" i="5" s="1"/>
  <c r="BB27" i="5"/>
  <c r="BB6" i="5"/>
  <c r="BQ28" i="5"/>
  <c r="BQ59" i="5" s="1"/>
  <c r="BO59" i="5"/>
  <c r="BO55" i="5" s="1"/>
  <c r="BQ55" i="5" s="1"/>
  <c r="BQ5" i="5"/>
  <c r="AA59" i="5"/>
  <c r="AA55" i="5" s="1"/>
  <c r="AC55" i="5" s="1"/>
  <c r="AC5" i="5"/>
  <c r="AC28" i="5"/>
  <c r="AC59" i="5" s="1"/>
  <c r="AH5" i="5"/>
  <c r="AH28" i="5"/>
  <c r="AH59" i="5" s="1"/>
  <c r="AF59" i="5"/>
  <c r="AF55" i="5" s="1"/>
  <c r="AH55" i="5" s="1"/>
  <c r="BB5" i="5"/>
  <c r="AZ59" i="5"/>
  <c r="AZ55" i="5" s="1"/>
  <c r="BB55" i="5" s="1"/>
  <c r="BB28" i="5"/>
  <c r="BB59" i="5" s="1"/>
  <c r="AZ50" i="5"/>
  <c r="BB50" i="5" s="1"/>
  <c r="BB54" i="5"/>
  <c r="BC53" i="5"/>
  <c r="AY50" i="5"/>
  <c r="BC50" i="5" s="1"/>
  <c r="L6" i="5"/>
  <c r="N6" i="5" s="1"/>
  <c r="AO73" i="5"/>
  <c r="AS73" i="5" s="1"/>
  <c r="AS78" i="5"/>
  <c r="BL7" i="5"/>
  <c r="BL6" i="5"/>
  <c r="AM49" i="5"/>
  <c r="AR3" i="5"/>
  <c r="T53" i="5"/>
  <c r="S53" i="5"/>
  <c r="R50" i="5"/>
  <c r="BN73" i="5"/>
  <c r="BR78" i="5"/>
  <c r="AG49" i="5"/>
  <c r="AL3" i="5"/>
  <c r="AS53" i="5"/>
  <c r="AR53" i="5"/>
  <c r="AQ50" i="5"/>
  <c r="AD73" i="5"/>
  <c r="AC73" i="5"/>
  <c r="AD50" i="5"/>
  <c r="BE55" i="5"/>
  <c r="BG55" i="5" s="1"/>
  <c r="AF49" i="5"/>
  <c r="AK3" i="5"/>
  <c r="AN53" i="5"/>
  <c r="AM53" i="5"/>
  <c r="AL50" i="5"/>
  <c r="AI73" i="5"/>
  <c r="AH73" i="5"/>
  <c r="AW50" i="5"/>
  <c r="BC73" i="5"/>
  <c r="AM27" i="5"/>
  <c r="AM6" i="5"/>
  <c r="X50" i="5"/>
  <c r="U53" i="5"/>
  <c r="Y9" i="5"/>
  <c r="O10" i="5"/>
  <c r="L59" i="5"/>
  <c r="N59" i="5" s="1"/>
  <c r="N28" i="5"/>
  <c r="AX73" i="5"/>
  <c r="BM4" i="5"/>
  <c r="BL4" i="5"/>
  <c r="BM53" i="5"/>
  <c r="BL53" i="5"/>
  <c r="BK50" i="5"/>
  <c r="BW4" i="5"/>
  <c r="BS53" i="5"/>
  <c r="BW9" i="5"/>
  <c r="AP55" i="5"/>
  <c r="AR55" i="5" s="1"/>
  <c r="AN73" i="5"/>
  <c r="AM73" i="5"/>
  <c r="AW6" i="5"/>
  <c r="M53" i="5"/>
  <c r="O9" i="5"/>
  <c r="N9" i="5"/>
  <c r="V95" i="5"/>
  <c r="X96" i="5"/>
  <c r="M73" i="5"/>
  <c r="T73" i="5"/>
  <c r="BH73" i="5"/>
  <c r="L58" i="5"/>
  <c r="N8" i="5"/>
  <c r="H74" i="5"/>
  <c r="J74" i="5" s="1"/>
  <c r="H76" i="5"/>
  <c r="J77" i="5"/>
  <c r="AC76" i="5"/>
  <c r="AA75" i="5"/>
  <c r="AC75" i="5" s="1"/>
  <c r="BR4" i="5"/>
  <c r="BQ4" i="5"/>
  <c r="AJ49" i="5"/>
  <c r="AO3" i="5"/>
  <c r="M4" i="5"/>
  <c r="S4" i="5"/>
  <c r="T4" i="5"/>
  <c r="AR6" i="5"/>
  <c r="AR7" i="5"/>
  <c r="BM73" i="5"/>
  <c r="AT53" i="5"/>
  <c r="AX9" i="5"/>
  <c r="AC96" i="5"/>
  <c r="AA95" i="5"/>
  <c r="AC95" i="5" s="1"/>
  <c r="BW73" i="5"/>
  <c r="AS3" i="5"/>
  <c r="AN49" i="5"/>
  <c r="AH53" i="5"/>
  <c r="AI53" i="5"/>
  <c r="AG50" i="5"/>
  <c r="BV50" i="5"/>
  <c r="BG53" i="5"/>
  <c r="BH53" i="5"/>
  <c r="BF50" i="5"/>
  <c r="BQ53" i="5"/>
  <c r="BR53" i="5"/>
  <c r="BP50" i="5"/>
  <c r="O9" i="4"/>
  <c r="O53" i="4" s="1"/>
  <c r="O50" i="4" s="1"/>
  <c r="R7" i="4"/>
  <c r="M7" i="4"/>
  <c r="BF54" i="4"/>
  <c r="BD5" i="4"/>
  <c r="BF5" i="4" s="1"/>
  <c r="BD59" i="4"/>
  <c r="BD55" i="4" s="1"/>
  <c r="BF55" i="4" s="1"/>
  <c r="U55" i="4"/>
  <c r="W55" i="4" s="1"/>
  <c r="AG54" i="4"/>
  <c r="BD6" i="4"/>
  <c r="BF6" i="4" s="1"/>
  <c r="AB54" i="4"/>
  <c r="AT50" i="4"/>
  <c r="BI55" i="4"/>
  <c r="BK55" i="4" s="1"/>
  <c r="M58" i="4"/>
  <c r="AS50" i="4"/>
  <c r="AH53" i="4"/>
  <c r="AD4" i="4"/>
  <c r="AH4" i="4" s="1"/>
  <c r="AH9" i="4"/>
  <c r="S10" i="4"/>
  <c r="AL97" i="4"/>
  <c r="AJ105" i="4"/>
  <c r="AL105" i="4" s="1"/>
  <c r="AJ73" i="4"/>
  <c r="BG4" i="4"/>
  <c r="BF4" i="4"/>
  <c r="AO27" i="4"/>
  <c r="AO59" i="4"/>
  <c r="AO55" i="4" s="1"/>
  <c r="AQ55" i="4" s="1"/>
  <c r="AQ28" i="4"/>
  <c r="AQ59" i="4" s="1"/>
  <c r="M10" i="4"/>
  <c r="BP4" i="4"/>
  <c r="AY58" i="4"/>
  <c r="AY5" i="4"/>
  <c r="BA5" i="4" s="1"/>
  <c r="BA8" i="4"/>
  <c r="BA58" i="4" s="1"/>
  <c r="AG3" i="4"/>
  <c r="AB49" i="4"/>
  <c r="AX53" i="4"/>
  <c r="AX50" i="4" s="1"/>
  <c r="U73" i="4"/>
  <c r="W73" i="4" s="1"/>
  <c r="W78" i="4"/>
  <c r="U77" i="4"/>
  <c r="AT7" i="4"/>
  <c r="AT58" i="4"/>
  <c r="AV8" i="4"/>
  <c r="AV58" i="4" s="1"/>
  <c r="AT5" i="4"/>
  <c r="AV5" i="4" s="1"/>
  <c r="P50" i="4"/>
  <c r="R54" i="4"/>
  <c r="R77" i="4"/>
  <c r="K77" i="4"/>
  <c r="M77" i="4" s="1"/>
  <c r="P74" i="4"/>
  <c r="AX78" i="4"/>
  <c r="BB79" i="4"/>
  <c r="AI78" i="4"/>
  <c r="AM79" i="4"/>
  <c r="T53" i="4"/>
  <c r="T50" i="4" s="1"/>
  <c r="X10" i="4"/>
  <c r="AN53" i="4"/>
  <c r="AN50" i="4" s="1"/>
  <c r="BF53" i="4"/>
  <c r="BG53" i="4"/>
  <c r="BE50" i="4"/>
  <c r="BS50" i="4"/>
  <c r="BF73" i="4"/>
  <c r="BU27" i="4"/>
  <c r="BP53" i="4"/>
  <c r="BO50" i="4"/>
  <c r="AA53" i="4"/>
  <c r="AC9" i="4"/>
  <c r="AB9" i="4"/>
  <c r="AA4" i="4"/>
  <c r="AE55" i="4"/>
  <c r="AG55" i="4" s="1"/>
  <c r="BL78" i="4"/>
  <c r="BK78" i="4"/>
  <c r="BJ73" i="4"/>
  <c r="L73" i="4" s="1"/>
  <c r="X79" i="4"/>
  <c r="T78" i="4"/>
  <c r="AD78" i="4"/>
  <c r="AH79" i="4"/>
  <c r="W27" i="4"/>
  <c r="U6" i="4"/>
  <c r="W6" i="4" s="1"/>
  <c r="N105" i="4"/>
  <c r="AM10" i="4"/>
  <c r="R96" i="4"/>
  <c r="P95" i="4"/>
  <c r="P75" i="4" s="1"/>
  <c r="R75" i="4" s="1"/>
  <c r="R73" i="4"/>
  <c r="Z59" i="4"/>
  <c r="Z55" i="4" s="1"/>
  <c r="AB55" i="4" s="1"/>
  <c r="AB28" i="4"/>
  <c r="AB59" i="4" s="1"/>
  <c r="Z27" i="4"/>
  <c r="AB27" i="4" s="1"/>
  <c r="BL10" i="4"/>
  <c r="G73" i="4"/>
  <c r="I73" i="4" s="1"/>
  <c r="I78" i="4"/>
  <c r="Z49" i="4"/>
  <c r="AE3" i="4"/>
  <c r="AE6" i="4"/>
  <c r="AG6" i="4" s="1"/>
  <c r="AG7" i="4"/>
  <c r="AY50" i="4"/>
  <c r="AR9" i="4"/>
  <c r="AQ9" i="4"/>
  <c r="AP53" i="4"/>
  <c r="BC50" i="4"/>
  <c r="AL53" i="4"/>
  <c r="AK50" i="4"/>
  <c r="AC79" i="4"/>
  <c r="BL9" i="4"/>
  <c r="BJ53" i="4"/>
  <c r="BK9" i="4"/>
  <c r="AQ7" i="4"/>
  <c r="H53" i="4"/>
  <c r="I9" i="4"/>
  <c r="I53" i="4" s="1"/>
  <c r="H4" i="4"/>
  <c r="H8" i="4"/>
  <c r="BS59" i="4"/>
  <c r="BS55" i="4" s="1"/>
  <c r="BU55" i="4" s="1"/>
  <c r="BU28" i="4"/>
  <c r="BU59" i="4" s="1"/>
  <c r="BH53" i="4"/>
  <c r="BH50" i="4" s="1"/>
  <c r="M54" i="4"/>
  <c r="BL79" i="4"/>
  <c r="AL4" i="4"/>
  <c r="BU4" i="4"/>
  <c r="AJ50" i="4"/>
  <c r="BP54" i="4"/>
  <c r="BN50" i="4"/>
  <c r="H95" i="4"/>
  <c r="I95" i="4" s="1"/>
  <c r="I96" i="4"/>
  <c r="BP7" i="4"/>
  <c r="BO73" i="4"/>
  <c r="BQ78" i="4"/>
  <c r="BP78" i="4"/>
  <c r="P27" i="4"/>
  <c r="P6" i="4" s="1"/>
  <c r="R6" i="4" s="1"/>
  <c r="P59" i="4"/>
  <c r="P55" i="4" s="1"/>
  <c r="R55" i="4" s="1"/>
  <c r="R28" i="4"/>
  <c r="R59" i="4" s="1"/>
  <c r="P5" i="4"/>
  <c r="N54" i="4"/>
  <c r="J37" i="4"/>
  <c r="N37" i="4" s="1"/>
  <c r="AV9" i="4"/>
  <c r="AW9" i="4"/>
  <c r="AU53" i="4"/>
  <c r="N59" i="4"/>
  <c r="J55" i="4"/>
  <c r="AB76" i="4"/>
  <c r="BV10" i="4"/>
  <c r="BX10" i="4"/>
  <c r="N15" i="4"/>
  <c r="AL73" i="4"/>
  <c r="I76" i="4"/>
  <c r="AG97" i="4"/>
  <c r="AE105" i="4"/>
  <c r="AG105" i="4" s="1"/>
  <c r="AE73" i="4"/>
  <c r="AG73" i="4" s="1"/>
  <c r="BI6" i="4"/>
  <c r="BK6" i="4" s="1"/>
  <c r="BK7" i="4"/>
  <c r="AY6" i="4"/>
  <c r="BA6" i="4" s="1"/>
  <c r="BA7" i="4"/>
  <c r="BS6" i="4"/>
  <c r="BU6" i="4" s="1"/>
  <c r="V53" i="4"/>
  <c r="W9" i="4"/>
  <c r="V4" i="4"/>
  <c r="X9" i="4"/>
  <c r="AA73" i="4"/>
  <c r="AC78" i="4"/>
  <c r="AB78" i="4"/>
  <c r="AR73" i="4"/>
  <c r="AF3" i="4"/>
  <c r="AA49" i="4"/>
  <c r="BQ4" i="4"/>
  <c r="BM53" i="4"/>
  <c r="BM50" i="4" s="1"/>
  <c r="BA28" i="4"/>
  <c r="BA59" i="4" s="1"/>
  <c r="AY59" i="4"/>
  <c r="Q4" i="4"/>
  <c r="Q53" i="4"/>
  <c r="R9" i="4"/>
  <c r="BP28" i="4"/>
  <c r="BP59" i="4" s="1"/>
  <c r="BN59" i="4"/>
  <c r="BN55" i="4" s="1"/>
  <c r="BP55" i="4" s="1"/>
  <c r="BN27" i="4"/>
  <c r="BP27" i="4" s="1"/>
  <c r="AU73" i="4"/>
  <c r="AW78" i="4"/>
  <c r="AV78" i="4"/>
  <c r="BA73" i="4"/>
  <c r="AT27" i="4"/>
  <c r="AV27" i="4" s="1"/>
  <c r="AT59" i="4"/>
  <c r="AV28" i="4"/>
  <c r="AV59" i="4" s="1"/>
  <c r="AQ54" i="4"/>
  <c r="AH49" i="4"/>
  <c r="AM3" i="4"/>
  <c r="BU53" i="4"/>
  <c r="BT50" i="4"/>
  <c r="N79" i="4"/>
  <c r="BR73" i="4"/>
  <c r="BV73" i="4" s="1"/>
  <c r="BV78" i="4"/>
  <c r="Y53" i="4"/>
  <c r="Y50" i="4" s="1"/>
  <c r="AC10" i="4"/>
  <c r="M8" i="4"/>
  <c r="AZ53" i="4"/>
  <c r="BA9" i="4"/>
  <c r="BB9" i="4"/>
  <c r="AJ59" i="4"/>
  <c r="AJ55" i="4" s="1"/>
  <c r="AL55" i="4" s="1"/>
  <c r="AL28" i="4"/>
  <c r="AL59" i="4" s="1"/>
  <c r="AJ5" i="4"/>
  <c r="AL5" i="4" s="1"/>
  <c r="AJ27" i="4"/>
  <c r="AO105" i="4"/>
  <c r="AQ105" i="4" s="1"/>
  <c r="AQ97" i="4"/>
  <c r="AO73" i="4"/>
  <c r="AQ73" i="4" s="1"/>
  <c r="N58" i="4"/>
  <c r="R76" i="4"/>
  <c r="AB7" i="4"/>
  <c r="Y49" i="4"/>
  <c r="AD3" i="4"/>
  <c r="AI3" i="4" s="1"/>
  <c r="BS5" i="4"/>
  <c r="BU5" i="4" s="1"/>
  <c r="AO5" i="4"/>
  <c r="AQ5" i="4" s="1"/>
  <c r="M78" i="4"/>
  <c r="N78" i="4"/>
  <c r="O78" i="4"/>
  <c r="S79" i="4"/>
  <c r="L42" i="2"/>
  <c r="L56" i="2" s="1"/>
  <c r="K42" i="2"/>
  <c r="J42" i="2"/>
  <c r="L39" i="2"/>
  <c r="L57" i="2" s="1"/>
  <c r="M57" i="2" s="1"/>
  <c r="K39" i="2"/>
  <c r="J39" i="2"/>
  <c r="L28" i="2"/>
  <c r="L59" i="2" s="1"/>
  <c r="N59" i="2" s="1"/>
  <c r="K28" i="2"/>
  <c r="J28" i="2"/>
  <c r="J12" i="2"/>
  <c r="L8" i="2"/>
  <c r="L58" i="2" s="1"/>
  <c r="K8" i="2"/>
  <c r="J8" i="2"/>
  <c r="L104" i="2"/>
  <c r="M104" i="2" s="1"/>
  <c r="K104" i="2"/>
  <c r="J104" i="2"/>
  <c r="L103" i="2"/>
  <c r="N103" i="2" s="1"/>
  <c r="K103" i="2"/>
  <c r="J103" i="2"/>
  <c r="L102" i="2"/>
  <c r="M102" i="2" s="1"/>
  <c r="K102" i="2"/>
  <c r="J102" i="2"/>
  <c r="L101" i="2"/>
  <c r="K101" i="2"/>
  <c r="K97" i="2" s="1"/>
  <c r="K105" i="2" s="1"/>
  <c r="J101" i="2"/>
  <c r="L100" i="2"/>
  <c r="N100" i="2" s="1"/>
  <c r="K100" i="2"/>
  <c r="J100" i="2"/>
  <c r="L99" i="2"/>
  <c r="M99" i="2" s="1"/>
  <c r="K99" i="2"/>
  <c r="J99" i="2"/>
  <c r="L98" i="2"/>
  <c r="M98" i="2" s="1"/>
  <c r="K98" i="2"/>
  <c r="J98" i="2"/>
  <c r="J97" i="2"/>
  <c r="J105" i="2" s="1"/>
  <c r="L96" i="2"/>
  <c r="N96" i="2" s="1"/>
  <c r="K96" i="2"/>
  <c r="J96" i="2"/>
  <c r="L95" i="2"/>
  <c r="N95" i="2" s="1"/>
  <c r="K95" i="2"/>
  <c r="J95" i="2"/>
  <c r="L94" i="2"/>
  <c r="N94" i="2" s="1"/>
  <c r="K94" i="2"/>
  <c r="J94" i="2"/>
  <c r="L93" i="2"/>
  <c r="N93" i="2" s="1"/>
  <c r="K93" i="2"/>
  <c r="J93" i="2"/>
  <c r="L92" i="2"/>
  <c r="N92" i="2" s="1"/>
  <c r="K92" i="2"/>
  <c r="J92" i="2"/>
  <c r="J91" i="2"/>
  <c r="L90" i="2"/>
  <c r="L91" i="2" s="1"/>
  <c r="K90" i="2"/>
  <c r="K91" i="2" s="1"/>
  <c r="J90" i="2"/>
  <c r="L89" i="2"/>
  <c r="M89" i="2" s="1"/>
  <c r="K89" i="2"/>
  <c r="J89" i="2"/>
  <c r="L87" i="2"/>
  <c r="N87" i="2" s="1"/>
  <c r="K87" i="2"/>
  <c r="J87" i="2"/>
  <c r="L86" i="2"/>
  <c r="N86" i="2" s="1"/>
  <c r="K86" i="2"/>
  <c r="K88" i="2" s="1"/>
  <c r="J86" i="2"/>
  <c r="J88" i="2" s="1"/>
  <c r="L85" i="2"/>
  <c r="L88" i="2" s="1"/>
  <c r="K85" i="2"/>
  <c r="J85" i="2"/>
  <c r="L84" i="2"/>
  <c r="N84" i="2" s="1"/>
  <c r="K84" i="2"/>
  <c r="K79" i="2" s="1"/>
  <c r="K78" i="2" s="1"/>
  <c r="J84" i="2"/>
  <c r="J79" i="2" s="1"/>
  <c r="J78" i="2" s="1"/>
  <c r="L82" i="2"/>
  <c r="M82" i="2" s="1"/>
  <c r="K82" i="2"/>
  <c r="J82" i="2"/>
  <c r="L81" i="2"/>
  <c r="L83" i="2" s="1"/>
  <c r="K81" i="2"/>
  <c r="K83" i="2" s="1"/>
  <c r="J81" i="2"/>
  <c r="J83" i="2" s="1"/>
  <c r="N80" i="2"/>
  <c r="M80" i="2"/>
  <c r="L80" i="2"/>
  <c r="K80" i="2"/>
  <c r="J80" i="2"/>
  <c r="L77" i="2"/>
  <c r="N77" i="2" s="1"/>
  <c r="K77" i="2"/>
  <c r="J77" i="2"/>
  <c r="L76" i="2"/>
  <c r="N76" i="2" s="1"/>
  <c r="K76" i="2"/>
  <c r="J76" i="2"/>
  <c r="K75" i="2"/>
  <c r="J75" i="2"/>
  <c r="L74" i="2"/>
  <c r="M74" i="2" s="1"/>
  <c r="K74" i="2"/>
  <c r="J74" i="2"/>
  <c r="K73" i="2"/>
  <c r="J73" i="2"/>
  <c r="K5" i="2"/>
  <c r="J5" i="2"/>
  <c r="K4" i="2"/>
  <c r="J4" i="2"/>
  <c r="L41" i="2"/>
  <c r="K41" i="2"/>
  <c r="J41" i="2"/>
  <c r="L38" i="2"/>
  <c r="K38" i="2"/>
  <c r="J38" i="2"/>
  <c r="L36" i="2"/>
  <c r="K36" i="2"/>
  <c r="J36" i="2"/>
  <c r="L35" i="2"/>
  <c r="K35" i="2"/>
  <c r="J35" i="2"/>
  <c r="K34" i="2"/>
  <c r="J34" i="2"/>
  <c r="L33" i="2"/>
  <c r="K33" i="2"/>
  <c r="J33" i="2"/>
  <c r="L32" i="2"/>
  <c r="K32" i="2"/>
  <c r="J32" i="2"/>
  <c r="L31" i="2"/>
  <c r="K31" i="2"/>
  <c r="J31" i="2"/>
  <c r="L30" i="2"/>
  <c r="K30" i="2"/>
  <c r="J30" i="2"/>
  <c r="L26" i="2"/>
  <c r="K26" i="2"/>
  <c r="J26" i="2"/>
  <c r="L25" i="2"/>
  <c r="K25" i="2"/>
  <c r="J25" i="2"/>
  <c r="L24" i="2"/>
  <c r="K24" i="2"/>
  <c r="J24" i="2"/>
  <c r="L22" i="2"/>
  <c r="K22" i="2"/>
  <c r="J22" i="2"/>
  <c r="L21" i="2"/>
  <c r="K21" i="2"/>
  <c r="J21" i="2"/>
  <c r="L19" i="2"/>
  <c r="K19" i="2"/>
  <c r="J19" i="2"/>
  <c r="L18" i="2"/>
  <c r="K18" i="2"/>
  <c r="J18" i="2"/>
  <c r="L17" i="2"/>
  <c r="K17" i="2"/>
  <c r="J17" i="2"/>
  <c r="L16" i="2"/>
  <c r="K16" i="2"/>
  <c r="J16" i="2"/>
  <c r="L14" i="2"/>
  <c r="K14" i="2"/>
  <c r="J14" i="2"/>
  <c r="L13" i="2"/>
  <c r="K13" i="2"/>
  <c r="J13" i="2"/>
  <c r="L12" i="2"/>
  <c r="K12" i="2"/>
  <c r="L43" i="2"/>
  <c r="K43" i="2"/>
  <c r="L40" i="2"/>
  <c r="K40" i="2"/>
  <c r="L27" i="2"/>
  <c r="K27" i="2"/>
  <c r="J27" i="2"/>
  <c r="L7" i="2"/>
  <c r="K7" i="2"/>
  <c r="J7" i="2"/>
  <c r="BS43" i="2"/>
  <c r="BS40" i="2"/>
  <c r="BS28" i="2"/>
  <c r="BS27" i="2"/>
  <c r="BS7" i="2"/>
  <c r="BS8" i="2"/>
  <c r="N58" i="2"/>
  <c r="N56" i="2"/>
  <c r="M56" i="2"/>
  <c r="N52" i="2"/>
  <c r="M51" i="2"/>
  <c r="N55" i="4" l="1"/>
  <c r="H36" i="5"/>
  <c r="G36" i="4"/>
  <c r="I36" i="4" s="1"/>
  <c r="H35" i="5"/>
  <c r="G35" i="4"/>
  <c r="I35" i="4" s="1"/>
  <c r="S102" i="5"/>
  <c r="L102" i="5"/>
  <c r="N102" i="5" s="1"/>
  <c r="H30" i="5"/>
  <c r="G30" i="4"/>
  <c r="I30" i="4" s="1"/>
  <c r="H32" i="5"/>
  <c r="G32" i="4"/>
  <c r="I32" i="4" s="1"/>
  <c r="H31" i="5"/>
  <c r="G31" i="4"/>
  <c r="I31" i="4" s="1"/>
  <c r="H33" i="5"/>
  <c r="G33" i="4"/>
  <c r="I33" i="4" s="1"/>
  <c r="BZ9" i="4"/>
  <c r="BC73" i="4"/>
  <c r="BG73" i="4" s="1"/>
  <c r="BG78" i="4"/>
  <c r="AQ27" i="4"/>
  <c r="Z73" i="4"/>
  <c r="AB73" i="4" s="1"/>
  <c r="AB97" i="4"/>
  <c r="Z105" i="4"/>
  <c r="AB105" i="4" s="1"/>
  <c r="Z96" i="4"/>
  <c r="S9" i="4"/>
  <c r="U96" i="4"/>
  <c r="U105" i="4"/>
  <c r="W105" i="4" s="1"/>
  <c r="W97" i="4"/>
  <c r="O4" i="4"/>
  <c r="S4" i="4" s="1"/>
  <c r="H75" i="4"/>
  <c r="I75" i="4" s="1"/>
  <c r="K97" i="4"/>
  <c r="M98" i="4"/>
  <c r="BW9" i="4"/>
  <c r="L4" i="4"/>
  <c r="BX37" i="4"/>
  <c r="BX54" i="4"/>
  <c r="BX55" i="4"/>
  <c r="K50" i="4"/>
  <c r="J4" i="4"/>
  <c r="N5" i="4"/>
  <c r="I6" i="5"/>
  <c r="J6" i="5" s="1"/>
  <c r="J7" i="5"/>
  <c r="O58" i="5"/>
  <c r="AC27" i="5"/>
  <c r="AC6" i="5"/>
  <c r="BQ27" i="5"/>
  <c r="BQ6" i="5"/>
  <c r="L50" i="5"/>
  <c r="N54" i="5"/>
  <c r="L5" i="5"/>
  <c r="N5" i="5" s="1"/>
  <c r="AH27" i="5"/>
  <c r="AH6" i="5"/>
  <c r="AN50" i="5"/>
  <c r="AM50" i="5"/>
  <c r="AT50" i="5"/>
  <c r="AX50" i="5" s="1"/>
  <c r="AX53" i="5"/>
  <c r="BQ50" i="5"/>
  <c r="BR50" i="5"/>
  <c r="AK49" i="5"/>
  <c r="AP3" i="5"/>
  <c r="O53" i="5"/>
  <c r="N53" i="5"/>
  <c r="M50" i="5"/>
  <c r="U50" i="5"/>
  <c r="Y50" i="5" s="1"/>
  <c r="Y53" i="5"/>
  <c r="V75" i="5"/>
  <c r="X75" i="5" s="1"/>
  <c r="X95" i="5"/>
  <c r="BG50" i="5"/>
  <c r="AH50" i="5"/>
  <c r="AI50" i="5"/>
  <c r="N4" i="5"/>
  <c r="AS50" i="5"/>
  <c r="AR50" i="5"/>
  <c r="AL49" i="5"/>
  <c r="AQ3" i="5"/>
  <c r="AS49" i="5"/>
  <c r="AX3" i="5"/>
  <c r="BS50" i="5"/>
  <c r="BW50" i="5" s="1"/>
  <c r="BW53" i="5"/>
  <c r="BR73" i="5"/>
  <c r="K73" i="5"/>
  <c r="O73" i="5" s="1"/>
  <c r="S50" i="5"/>
  <c r="T50" i="5"/>
  <c r="H75" i="5"/>
  <c r="J75" i="5" s="1"/>
  <c r="J76" i="5"/>
  <c r="BM50" i="5"/>
  <c r="BL50" i="5"/>
  <c r="AR49" i="5"/>
  <c r="AW3" i="5"/>
  <c r="AO49" i="5"/>
  <c r="AT3" i="5"/>
  <c r="L55" i="5"/>
  <c r="N55" i="5" s="1"/>
  <c r="N58" i="5"/>
  <c r="K4" i="5"/>
  <c r="O4" i="5" s="1"/>
  <c r="AO6" i="4"/>
  <c r="AQ6" i="4" s="1"/>
  <c r="BN6" i="4"/>
  <c r="BP6" i="4" s="1"/>
  <c r="N10" i="4"/>
  <c r="AL3" i="4"/>
  <c r="AG49" i="4"/>
  <c r="BK4" i="4"/>
  <c r="BL4" i="4"/>
  <c r="R74" i="4"/>
  <c r="X78" i="4"/>
  <c r="T73" i="4"/>
  <c r="X73" i="4" s="1"/>
  <c r="H58" i="4"/>
  <c r="H55" i="4" s="1"/>
  <c r="I55" i="4" s="1"/>
  <c r="H50" i="4"/>
  <c r="I50" i="4" s="1"/>
  <c r="BR53" i="4"/>
  <c r="BV4" i="4"/>
  <c r="BV9" i="4"/>
  <c r="BL53" i="4"/>
  <c r="BK53" i="4"/>
  <c r="BJ50" i="4"/>
  <c r="AC53" i="4"/>
  <c r="AB53" i="4"/>
  <c r="AA50" i="4"/>
  <c r="M9" i="4"/>
  <c r="BA4" i="4"/>
  <c r="BB4" i="4"/>
  <c r="BP50" i="4"/>
  <c r="BQ50" i="4"/>
  <c r="BB53" i="4"/>
  <c r="BA53" i="4"/>
  <c r="AZ50" i="4"/>
  <c r="AW73" i="4"/>
  <c r="AV73" i="4"/>
  <c r="AC73" i="4"/>
  <c r="AL50" i="4"/>
  <c r="AD73" i="4"/>
  <c r="AH73" i="4" s="1"/>
  <c r="AH78" i="4"/>
  <c r="AC4" i="4"/>
  <c r="AB4" i="4"/>
  <c r="AT55" i="4"/>
  <c r="AV55" i="4" s="1"/>
  <c r="BL73" i="4"/>
  <c r="BK73" i="4"/>
  <c r="O73" i="4"/>
  <c r="S78" i="4"/>
  <c r="V50" i="4"/>
  <c r="X53" i="4"/>
  <c r="W53" i="4"/>
  <c r="AR4" i="4"/>
  <c r="AQ4" i="4"/>
  <c r="AM4" i="4"/>
  <c r="AI53" i="4"/>
  <c r="AM9" i="4"/>
  <c r="AT6" i="4"/>
  <c r="AV6" i="4" s="1"/>
  <c r="AV7" i="4"/>
  <c r="AF49" i="4"/>
  <c r="AK3" i="4"/>
  <c r="AR53" i="4"/>
  <c r="AQ53" i="4"/>
  <c r="AP50" i="4"/>
  <c r="W77" i="4"/>
  <c r="AE49" i="4"/>
  <c r="AJ3" i="4"/>
  <c r="AI73" i="4"/>
  <c r="AM73" i="4" s="1"/>
  <c r="AM78" i="4"/>
  <c r="AX73" i="4"/>
  <c r="BB73" i="4" s="1"/>
  <c r="BB78" i="4"/>
  <c r="AW53" i="4"/>
  <c r="AV53" i="4"/>
  <c r="AU50" i="4"/>
  <c r="AD49" i="4"/>
  <c r="K73" i="4"/>
  <c r="M73" i="4" s="1"/>
  <c r="BG50" i="4"/>
  <c r="BF50" i="4"/>
  <c r="BQ73" i="4"/>
  <c r="BP73" i="4"/>
  <c r="AY55" i="4"/>
  <c r="BA55" i="4" s="1"/>
  <c r="AL27" i="4"/>
  <c r="AJ6" i="4"/>
  <c r="AL6" i="4" s="1"/>
  <c r="H5" i="4"/>
  <c r="I5" i="4" s="1"/>
  <c r="I8" i="4"/>
  <c r="I58" i="4" s="1"/>
  <c r="H7" i="4"/>
  <c r="BQ53" i="4"/>
  <c r="X4" i="4"/>
  <c r="W4" i="4"/>
  <c r="Q50" i="4"/>
  <c r="S53" i="4"/>
  <c r="R53" i="4"/>
  <c r="Z6" i="4"/>
  <c r="AB6" i="4" s="1"/>
  <c r="R4" i="4"/>
  <c r="M5" i="4"/>
  <c r="R5" i="4"/>
  <c r="BU50" i="4"/>
  <c r="M28" i="4"/>
  <c r="AM49" i="4"/>
  <c r="AR3" i="4"/>
  <c r="AW4" i="4"/>
  <c r="AV4" i="4"/>
  <c r="L97" i="2"/>
  <c r="L105" i="2" s="1"/>
  <c r="M101" i="2"/>
  <c r="N101" i="2"/>
  <c r="M103" i="2"/>
  <c r="N99" i="2"/>
  <c r="L75" i="2"/>
  <c r="N75" i="2" s="1"/>
  <c r="M96" i="2"/>
  <c r="N104" i="2"/>
  <c r="M95" i="2"/>
  <c r="N98" i="2"/>
  <c r="M100" i="2"/>
  <c r="N102" i="2"/>
  <c r="N88" i="2"/>
  <c r="M88" i="2"/>
  <c r="M91" i="2"/>
  <c r="N91" i="2"/>
  <c r="N83" i="2"/>
  <c r="M83" i="2"/>
  <c r="M85" i="2"/>
  <c r="N85" i="2"/>
  <c r="M81" i="2"/>
  <c r="M86" i="2"/>
  <c r="M90" i="2"/>
  <c r="N81" i="2"/>
  <c r="N82" i="2"/>
  <c r="M87" i="2"/>
  <c r="M92" i="2"/>
  <c r="M93" i="2"/>
  <c r="M84" i="2"/>
  <c r="N89" i="2"/>
  <c r="M94" i="2"/>
  <c r="N90" i="2"/>
  <c r="L79" i="2"/>
  <c r="M79" i="2"/>
  <c r="N74" i="2"/>
  <c r="M75" i="2"/>
  <c r="M76" i="2"/>
  <c r="M77" i="2"/>
  <c r="N57" i="2"/>
  <c r="M58" i="2"/>
  <c r="M59" i="2"/>
  <c r="N51" i="2"/>
  <c r="M52" i="2"/>
  <c r="BN42" i="2"/>
  <c r="BN43" i="2" s="1"/>
  <c r="BN39" i="2"/>
  <c r="BN40" i="2" s="1"/>
  <c r="BN28" i="2"/>
  <c r="BN27" i="2"/>
  <c r="BN8" i="2"/>
  <c r="BN7" i="2"/>
  <c r="BE104" i="5" l="1"/>
  <c r="BG104" i="5" s="1"/>
  <c r="J36" i="5"/>
  <c r="BT104" i="5"/>
  <c r="BV104" i="5" s="1"/>
  <c r="BJ104" i="5"/>
  <c r="BL104" i="5" s="1"/>
  <c r="BO104" i="5"/>
  <c r="BQ104" i="5" s="1"/>
  <c r="AZ104" i="5"/>
  <c r="Q103" i="5"/>
  <c r="J35" i="5"/>
  <c r="BJ103" i="5"/>
  <c r="BL103" i="5" s="1"/>
  <c r="AU103" i="5"/>
  <c r="AW103" i="5" s="1"/>
  <c r="BO103" i="5"/>
  <c r="BQ103" i="5" s="1"/>
  <c r="BE103" i="5"/>
  <c r="BG103" i="5" s="1"/>
  <c r="AZ103" i="5"/>
  <c r="BB103" i="5" s="1"/>
  <c r="BT103" i="5"/>
  <c r="BV103" i="5" s="1"/>
  <c r="BB32" i="5"/>
  <c r="J32" i="5"/>
  <c r="BE100" i="5"/>
  <c r="BG100" i="5" s="1"/>
  <c r="AU100" i="5"/>
  <c r="AW100" i="5" s="1"/>
  <c r="Q100" i="5"/>
  <c r="AZ100" i="5"/>
  <c r="BB100" i="5" s="1"/>
  <c r="BT100" i="5"/>
  <c r="BV100" i="5" s="1"/>
  <c r="BJ100" i="5"/>
  <c r="BL100" i="5" s="1"/>
  <c r="BO100" i="5"/>
  <c r="BQ100" i="5" s="1"/>
  <c r="Q101" i="5"/>
  <c r="J33" i="5"/>
  <c r="BE101" i="5"/>
  <c r="BG101" i="5" s="1"/>
  <c r="AZ101" i="5"/>
  <c r="BB101" i="5" s="1"/>
  <c r="BJ101" i="5"/>
  <c r="BL101" i="5" s="1"/>
  <c r="AU101" i="5"/>
  <c r="AW101" i="5" s="1"/>
  <c r="BO101" i="5"/>
  <c r="BQ101" i="5" s="1"/>
  <c r="BT101" i="5"/>
  <c r="BV101" i="5" s="1"/>
  <c r="Q99" i="5"/>
  <c r="J31" i="5"/>
  <c r="AZ99" i="5"/>
  <c r="BB99" i="5" s="1"/>
  <c r="AU99" i="5"/>
  <c r="AW99" i="5" s="1"/>
  <c r="BO99" i="5"/>
  <c r="BQ99" i="5" s="1"/>
  <c r="BJ99" i="5"/>
  <c r="BL99" i="5" s="1"/>
  <c r="BT99" i="5"/>
  <c r="BV99" i="5" s="1"/>
  <c r="BE99" i="5"/>
  <c r="BG99" i="5" s="1"/>
  <c r="Q98" i="5"/>
  <c r="J30" i="5"/>
  <c r="AU98" i="5"/>
  <c r="BO98" i="5"/>
  <c r="BE98" i="5"/>
  <c r="AZ98" i="5"/>
  <c r="BT98" i="5"/>
  <c r="BJ98" i="5"/>
  <c r="H29" i="5"/>
  <c r="W96" i="4"/>
  <c r="U95" i="4"/>
  <c r="K96" i="4"/>
  <c r="Z74" i="4"/>
  <c r="AB74" i="4" s="1"/>
  <c r="AB96" i="4"/>
  <c r="Z95" i="4"/>
  <c r="K105" i="4"/>
  <c r="M105" i="4" s="1"/>
  <c r="M97" i="4"/>
  <c r="J50" i="4"/>
  <c r="U74" i="4"/>
  <c r="W74" i="4" s="1"/>
  <c r="M27" i="4"/>
  <c r="K6" i="4"/>
  <c r="M6" i="4" s="1"/>
  <c r="N9" i="4"/>
  <c r="BX9" i="4"/>
  <c r="BX53" i="4"/>
  <c r="BX4" i="4"/>
  <c r="BX5" i="4"/>
  <c r="AT49" i="5"/>
  <c r="AY3" i="5"/>
  <c r="AP49" i="5"/>
  <c r="AU3" i="5"/>
  <c r="AW49" i="5"/>
  <c r="BB3" i="5"/>
  <c r="N50" i="5"/>
  <c r="AQ49" i="5"/>
  <c r="AV3" i="5"/>
  <c r="AX49" i="5"/>
  <c r="BC3" i="5"/>
  <c r="AB50" i="4"/>
  <c r="AC50" i="4"/>
  <c r="R50" i="4"/>
  <c r="S50" i="4"/>
  <c r="J73" i="4"/>
  <c r="N73" i="4" s="1"/>
  <c r="S73" i="4"/>
  <c r="N53" i="4"/>
  <c r="M53" i="4"/>
  <c r="L50" i="4"/>
  <c r="I7" i="4"/>
  <c r="H6" i="4"/>
  <c r="I6" i="4" s="1"/>
  <c r="W50" i="4"/>
  <c r="X50" i="4"/>
  <c r="AI50" i="4"/>
  <c r="AM50" i="4" s="1"/>
  <c r="AM53" i="4"/>
  <c r="AR50" i="4"/>
  <c r="AQ50" i="4"/>
  <c r="AJ49" i="4"/>
  <c r="AO3" i="4"/>
  <c r="BK50" i="4"/>
  <c r="BL50" i="4"/>
  <c r="BR50" i="4"/>
  <c r="BV50" i="4" s="1"/>
  <c r="BV53" i="4"/>
  <c r="AR49" i="4"/>
  <c r="AW3" i="4"/>
  <c r="M59" i="4"/>
  <c r="K55" i="4"/>
  <c r="M55" i="4" s="1"/>
  <c r="AI49" i="4"/>
  <c r="AN3" i="4"/>
  <c r="AL49" i="4"/>
  <c r="AQ3" i="4"/>
  <c r="AK49" i="4"/>
  <c r="AP3" i="4"/>
  <c r="M4" i="4"/>
  <c r="N4" i="4"/>
  <c r="BB50" i="4"/>
  <c r="BA50" i="4"/>
  <c r="AV50" i="4"/>
  <c r="AW50" i="4"/>
  <c r="N97" i="2"/>
  <c r="M97" i="2"/>
  <c r="N105" i="2"/>
  <c r="M105" i="2"/>
  <c r="N79" i="2"/>
  <c r="L78" i="2"/>
  <c r="BO29" i="2"/>
  <c r="BJ7" i="2"/>
  <c r="BI40" i="2"/>
  <c r="BI43" i="2"/>
  <c r="BI28" i="2"/>
  <c r="BI27" i="2" s="1"/>
  <c r="BI7" i="2"/>
  <c r="BI8" i="2"/>
  <c r="BB104" i="5" l="1"/>
  <c r="L104" i="5"/>
  <c r="N104" i="5" s="1"/>
  <c r="S103" i="5"/>
  <c r="L103" i="5"/>
  <c r="N103" i="5" s="1"/>
  <c r="S101" i="5"/>
  <c r="L101" i="5"/>
  <c r="N101" i="5" s="1"/>
  <c r="BG98" i="5"/>
  <c r="BE97" i="5"/>
  <c r="H54" i="5"/>
  <c r="J29" i="5"/>
  <c r="H37" i="5"/>
  <c r="J37" i="5" s="1"/>
  <c r="H4" i="5"/>
  <c r="J4" i="5" s="1"/>
  <c r="BB98" i="5"/>
  <c r="AZ97" i="5"/>
  <c r="BO97" i="5"/>
  <c r="BQ98" i="5"/>
  <c r="S100" i="5"/>
  <c r="L100" i="5"/>
  <c r="N100" i="5" s="1"/>
  <c r="AW98" i="5"/>
  <c r="AU97" i="5"/>
  <c r="BV98" i="5"/>
  <c r="BT97" i="5"/>
  <c r="S98" i="5"/>
  <c r="Q97" i="5"/>
  <c r="L98" i="5"/>
  <c r="S99" i="5"/>
  <c r="L99" i="5"/>
  <c r="N99" i="5" s="1"/>
  <c r="BJ97" i="5"/>
  <c r="BL98" i="5"/>
  <c r="BX50" i="4"/>
  <c r="AB95" i="4"/>
  <c r="Z75" i="4"/>
  <c r="AB75" i="4" s="1"/>
  <c r="K75" i="4"/>
  <c r="M75" i="4" s="1"/>
  <c r="M96" i="4"/>
  <c r="K74" i="4"/>
  <c r="M74" i="4" s="1"/>
  <c r="W95" i="4"/>
  <c r="U75" i="4"/>
  <c r="W75" i="4" s="1"/>
  <c r="BH3" i="5"/>
  <c r="BC49" i="5"/>
  <c r="AV49" i="5"/>
  <c r="BA3" i="5"/>
  <c r="AY49" i="5"/>
  <c r="BB49" i="5"/>
  <c r="BG3" i="5"/>
  <c r="AZ3" i="5"/>
  <c r="AU49" i="5"/>
  <c r="AP49" i="4"/>
  <c r="AU3" i="4"/>
  <c r="M50" i="4"/>
  <c r="N50" i="4"/>
  <c r="AO49" i="4"/>
  <c r="AT3" i="4"/>
  <c r="BB3" i="4"/>
  <c r="AW49" i="4"/>
  <c r="AQ49" i="4"/>
  <c r="AV3" i="4"/>
  <c r="AN49" i="4"/>
  <c r="AS3" i="4"/>
  <c r="N78" i="2"/>
  <c r="M78" i="2"/>
  <c r="BE8" i="2"/>
  <c r="BE7" i="2"/>
  <c r="N98" i="5" l="1"/>
  <c r="L97" i="5"/>
  <c r="BV97" i="5"/>
  <c r="BT105" i="5"/>
  <c r="BV105" i="5" s="1"/>
  <c r="BT73" i="5"/>
  <c r="BV73" i="5" s="1"/>
  <c r="AZ73" i="5"/>
  <c r="BB73" i="5" s="1"/>
  <c r="BB97" i="5"/>
  <c r="AZ105" i="5"/>
  <c r="BB105" i="5" s="1"/>
  <c r="BQ97" i="5"/>
  <c r="BO73" i="5"/>
  <c r="BQ73" i="5" s="1"/>
  <c r="BO105" i="5"/>
  <c r="BQ105" i="5" s="1"/>
  <c r="BJ105" i="5"/>
  <c r="BL105" i="5" s="1"/>
  <c r="BL97" i="5"/>
  <c r="BJ73" i="5"/>
  <c r="BL73" i="5" s="1"/>
  <c r="Q96" i="5"/>
  <c r="Q73" i="5"/>
  <c r="Q105" i="5"/>
  <c r="S105" i="5" s="1"/>
  <c r="S97" i="5"/>
  <c r="AU105" i="5"/>
  <c r="AW105" i="5" s="1"/>
  <c r="AW97" i="5"/>
  <c r="AU73" i="5"/>
  <c r="AW73" i="5" s="1"/>
  <c r="H59" i="5"/>
  <c r="J54" i="5"/>
  <c r="H50" i="5"/>
  <c r="J50" i="5" s="1"/>
  <c r="BG97" i="5"/>
  <c r="BE73" i="5"/>
  <c r="BG73" i="5" s="1"/>
  <c r="BE105" i="5"/>
  <c r="BG105" i="5" s="1"/>
  <c r="BG49" i="5"/>
  <c r="BL3" i="5"/>
  <c r="BA49" i="5"/>
  <c r="BF3" i="5"/>
  <c r="BE3" i="5"/>
  <c r="AZ49" i="5"/>
  <c r="BH49" i="5"/>
  <c r="BM3" i="5"/>
  <c r="BA3" i="4"/>
  <c r="AV49" i="4"/>
  <c r="BB49" i="4"/>
  <c r="BG3" i="4"/>
  <c r="AX3" i="4"/>
  <c r="AS49" i="4"/>
  <c r="AY3" i="4"/>
  <c r="AT49" i="4"/>
  <c r="AZ3" i="4"/>
  <c r="AU49" i="4"/>
  <c r="AY43" i="2"/>
  <c r="AY40" i="2"/>
  <c r="BD40" i="2"/>
  <c r="BD43" i="2"/>
  <c r="AY7" i="2"/>
  <c r="BD7" i="2"/>
  <c r="BD27" i="2"/>
  <c r="AY27" i="2"/>
  <c r="S96" i="5" l="1"/>
  <c r="Q95" i="5"/>
  <c r="Q75" i="5" s="1"/>
  <c r="S75" i="5" s="1"/>
  <c r="Q74" i="5"/>
  <c r="L96" i="5"/>
  <c r="L73" i="5"/>
  <c r="N73" i="5" s="1"/>
  <c r="S73" i="5"/>
  <c r="N97" i="5"/>
  <c r="L105" i="5"/>
  <c r="N105" i="5" s="1"/>
  <c r="J59" i="5"/>
  <c r="H55" i="5"/>
  <c r="J55" i="5" s="1"/>
  <c r="BJ3" i="5"/>
  <c r="BE49" i="5"/>
  <c r="BQ3" i="5"/>
  <c r="BL49" i="5"/>
  <c r="BM49" i="5"/>
  <c r="BR3" i="5"/>
  <c r="BK3" i="5"/>
  <c r="BF49" i="5"/>
  <c r="AZ49" i="4"/>
  <c r="BE3" i="4"/>
  <c r="BD3" i="4"/>
  <c r="AY49" i="4"/>
  <c r="AX49" i="4"/>
  <c r="BC3" i="4"/>
  <c r="BG49" i="4"/>
  <c r="BL3" i="4"/>
  <c r="BA49" i="4"/>
  <c r="BF3" i="4"/>
  <c r="AY8" i="2"/>
  <c r="BD8" i="2"/>
  <c r="BD28" i="2"/>
  <c r="AY28" i="2"/>
  <c r="L75" i="5" l="1"/>
  <c r="N75" i="5" s="1"/>
  <c r="N96" i="5"/>
  <c r="L74" i="5"/>
  <c r="N74" i="5" s="1"/>
  <c r="S74" i="5"/>
  <c r="BP3" i="5"/>
  <c r="BK49" i="5"/>
  <c r="BW3" i="5"/>
  <c r="BW49" i="5" s="1"/>
  <c r="BR49" i="5"/>
  <c r="BQ49" i="5"/>
  <c r="BV3" i="5"/>
  <c r="BV49" i="5" s="1"/>
  <c r="BJ49" i="5"/>
  <c r="BO3" i="5"/>
  <c r="BF49" i="4"/>
  <c r="BK3" i="4"/>
  <c r="BC49" i="4"/>
  <c r="BH3" i="4"/>
  <c r="BQ3" i="4"/>
  <c r="BL49" i="4"/>
  <c r="BJ3" i="4"/>
  <c r="BE49" i="4"/>
  <c r="BD49" i="4"/>
  <c r="BI3" i="4"/>
  <c r="AZ7" i="2"/>
  <c r="BO49" i="5" l="1"/>
  <c r="BT3" i="5"/>
  <c r="BT49" i="5" s="1"/>
  <c r="BP49" i="5"/>
  <c r="BU3" i="5"/>
  <c r="BU49" i="5" s="1"/>
  <c r="BI49" i="4"/>
  <c r="BN3" i="4"/>
  <c r="BJ49" i="4"/>
  <c r="BO3" i="4"/>
  <c r="BV3" i="4"/>
  <c r="BV49" i="4" s="1"/>
  <c r="BQ49" i="4"/>
  <c r="BH49" i="4"/>
  <c r="BM3" i="4"/>
  <c r="BK49" i="4"/>
  <c r="BP3" i="4"/>
  <c r="AT43" i="2"/>
  <c r="AT40" i="2"/>
  <c r="AT28" i="2"/>
  <c r="AT27" i="2" s="1"/>
  <c r="AT7" i="2"/>
  <c r="AT8" i="2"/>
  <c r="BP49" i="4" l="1"/>
  <c r="BU3" i="4"/>
  <c r="BU49" i="4" s="1"/>
  <c r="BO49" i="4"/>
  <c r="BT3" i="4"/>
  <c r="BT49" i="4" s="1"/>
  <c r="BR3" i="4"/>
  <c r="BR49" i="4" s="1"/>
  <c r="BM49" i="4"/>
  <c r="BN49" i="4"/>
  <c r="BS3" i="4"/>
  <c r="BS49" i="4" s="1"/>
  <c r="AU7" i="2"/>
  <c r="AP7" i="2" l="1"/>
  <c r="AO43" i="2" l="1"/>
  <c r="AN40" i="2"/>
  <c r="K11" i="2" l="1"/>
  <c r="L11" i="2" l="1"/>
  <c r="AJ7" i="2"/>
  <c r="AJ43" i="2"/>
  <c r="AE43" i="2" l="1"/>
  <c r="AE40" i="2"/>
  <c r="G11" i="1" l="1"/>
  <c r="H11" i="1" s="1"/>
  <c r="F11" i="1"/>
  <c r="BS11" i="1"/>
  <c r="BU11" i="1" s="1"/>
  <c r="BR11" i="1"/>
  <c r="BQ11" i="1"/>
  <c r="BN11" i="1"/>
  <c r="BO11" i="1" s="1"/>
  <c r="BM11" i="1"/>
  <c r="BL11" i="1"/>
  <c r="BI11" i="1"/>
  <c r="BJ11" i="1" s="1"/>
  <c r="BH11" i="1"/>
  <c r="BG11" i="1"/>
  <c r="BD11" i="1"/>
  <c r="BE11" i="1" s="1"/>
  <c r="BC11" i="1"/>
  <c r="BB11" i="1"/>
  <c r="AY11" i="1"/>
  <c r="BA11" i="1" s="1"/>
  <c r="AX11" i="1"/>
  <c r="AW11" i="1"/>
  <c r="AT11" i="1"/>
  <c r="AV11" i="1" s="1"/>
  <c r="AS11" i="1"/>
  <c r="AR11" i="1"/>
  <c r="AO11" i="1"/>
  <c r="AP11" i="1" s="1"/>
  <c r="AN11" i="1"/>
  <c r="AM11" i="1"/>
  <c r="AJ11" i="1"/>
  <c r="AL11" i="1" s="1"/>
  <c r="AI11" i="1"/>
  <c r="AH11" i="1"/>
  <c r="AE11" i="1"/>
  <c r="AG11" i="1" s="1"/>
  <c r="AD11" i="1"/>
  <c r="AC11" i="1"/>
  <c r="AA11" i="1"/>
  <c r="Z11" i="1"/>
  <c r="AB11" i="1" s="1"/>
  <c r="Y11" i="1"/>
  <c r="X11" i="1"/>
  <c r="U11" i="1"/>
  <c r="W11" i="1" s="1"/>
  <c r="T11" i="1"/>
  <c r="S11" i="1"/>
  <c r="P11" i="1"/>
  <c r="R11" i="1" s="1"/>
  <c r="O11" i="1"/>
  <c r="N11" i="1"/>
  <c r="K11" i="1"/>
  <c r="L11" i="1" s="1"/>
  <c r="J11" i="1"/>
  <c r="I11" i="1"/>
  <c r="BT11" i="2"/>
  <c r="BS11" i="2"/>
  <c r="BO11" i="2"/>
  <c r="BN11" i="2"/>
  <c r="BJ11" i="2"/>
  <c r="BI11" i="2"/>
  <c r="BE11" i="2"/>
  <c r="BD11" i="2"/>
  <c r="AZ11" i="2"/>
  <c r="AY11" i="2"/>
  <c r="AU11" i="2"/>
  <c r="AT11" i="2"/>
  <c r="AP11" i="2"/>
  <c r="AO11" i="2"/>
  <c r="AK11" i="2"/>
  <c r="AJ11" i="2"/>
  <c r="AF11" i="2"/>
  <c r="AE11" i="2"/>
  <c r="AA11" i="2"/>
  <c r="Z11" i="2"/>
  <c r="V11" i="2"/>
  <c r="U11" i="2"/>
  <c r="Q11" i="2"/>
  <c r="P11" i="2"/>
  <c r="H11" i="2"/>
  <c r="BS104" i="2"/>
  <c r="BS103" i="2"/>
  <c r="BS102" i="2"/>
  <c r="BS101" i="2"/>
  <c r="BS100" i="2"/>
  <c r="BS99" i="2"/>
  <c r="BS98" i="2"/>
  <c r="BN104" i="2"/>
  <c r="BN103" i="2"/>
  <c r="BN102" i="2"/>
  <c r="BN101" i="2"/>
  <c r="BN100" i="2"/>
  <c r="BN99" i="2"/>
  <c r="BN98" i="2"/>
  <c r="BI104" i="2"/>
  <c r="BI103" i="2"/>
  <c r="BI102" i="2"/>
  <c r="BI101" i="2"/>
  <c r="BI100" i="2"/>
  <c r="BI99" i="2"/>
  <c r="BI98" i="2"/>
  <c r="BD104" i="2"/>
  <c r="BD103" i="2"/>
  <c r="BD102" i="2"/>
  <c r="BD101" i="2"/>
  <c r="BD100" i="2"/>
  <c r="BD99" i="2"/>
  <c r="BD98" i="2"/>
  <c r="AY104" i="2"/>
  <c r="AY103" i="2"/>
  <c r="AY102" i="2"/>
  <c r="AY101" i="2"/>
  <c r="AY100" i="2"/>
  <c r="AY99" i="2"/>
  <c r="AY98" i="2"/>
  <c r="AT103" i="2"/>
  <c r="AT102" i="2"/>
  <c r="AT101" i="2"/>
  <c r="AT100" i="2"/>
  <c r="AT99" i="2"/>
  <c r="AT98" i="2"/>
  <c r="P103" i="2"/>
  <c r="P102" i="2"/>
  <c r="P101" i="2"/>
  <c r="P100" i="2"/>
  <c r="P99" i="2"/>
  <c r="P98" i="2"/>
  <c r="M11" i="2" l="1"/>
  <c r="AZ11" i="1"/>
  <c r="AF11" i="1"/>
  <c r="BF11" i="1"/>
  <c r="BK11" i="1"/>
  <c r="AQ11" i="1"/>
  <c r="BP11" i="1"/>
  <c r="Q11" i="1"/>
  <c r="V11" i="1"/>
  <c r="AK11" i="1"/>
  <c r="AU11" i="1"/>
  <c r="M11" i="1"/>
  <c r="BT11" i="1"/>
  <c r="BU11" i="2"/>
  <c r="BP11" i="2"/>
  <c r="BK11" i="2"/>
  <c r="BF11" i="2"/>
  <c r="BA11" i="2"/>
  <c r="AV11" i="2"/>
  <c r="AQ11" i="2"/>
  <c r="AL11" i="2"/>
  <c r="AG11" i="2"/>
  <c r="AB11" i="2"/>
  <c r="W11" i="2"/>
  <c r="R11" i="2"/>
  <c r="AC29" i="1" l="1"/>
  <c r="AD29" i="1"/>
  <c r="X29" i="1"/>
  <c r="Y29" i="1"/>
  <c r="S29" i="1"/>
  <c r="T29" i="1"/>
  <c r="N29" i="1"/>
  <c r="O29" i="1"/>
  <c r="AH29" i="1"/>
  <c r="AI29" i="1"/>
  <c r="AM29" i="1"/>
  <c r="AN29" i="1"/>
  <c r="AR29" i="1"/>
  <c r="AS29" i="1"/>
  <c r="AW29" i="1"/>
  <c r="AX29" i="1"/>
  <c r="BB29" i="1"/>
  <c r="BC29" i="1"/>
  <c r="BG29" i="1"/>
  <c r="BH29" i="1"/>
  <c r="BL29" i="1"/>
  <c r="BM29" i="1"/>
  <c r="BQ29" i="1"/>
  <c r="BR29" i="1"/>
  <c r="BU104" i="2" l="1"/>
  <c r="BR104" i="2"/>
  <c r="BV104" i="2" s="1"/>
  <c r="BP104" i="2"/>
  <c r="BM104" i="2"/>
  <c r="BQ104" i="2" s="1"/>
  <c r="BK104" i="2"/>
  <c r="BH104" i="2"/>
  <c r="BL104" i="2" s="1"/>
  <c r="BF104" i="2"/>
  <c r="BC104" i="2"/>
  <c r="BG104" i="2" s="1"/>
  <c r="BA104" i="2"/>
  <c r="AX104" i="2"/>
  <c r="BB104" i="2" s="1"/>
  <c r="AV104" i="2"/>
  <c r="AW104" i="2"/>
  <c r="BU103" i="2"/>
  <c r="BR103" i="2"/>
  <c r="BV103" i="2" s="1"/>
  <c r="BP103" i="2"/>
  <c r="BM103" i="2"/>
  <c r="BQ103" i="2" s="1"/>
  <c r="BK103" i="2"/>
  <c r="BH103" i="2"/>
  <c r="BL103" i="2" s="1"/>
  <c r="BF103" i="2"/>
  <c r="BC103" i="2"/>
  <c r="BG103" i="2" s="1"/>
  <c r="BA103" i="2"/>
  <c r="AX103" i="2"/>
  <c r="BB103" i="2" s="1"/>
  <c r="AV103" i="2"/>
  <c r="AS103" i="2"/>
  <c r="AW103" i="2" s="1"/>
  <c r="AR103" i="2"/>
  <c r="AM103" i="2"/>
  <c r="AH103" i="2"/>
  <c r="X103" i="2"/>
  <c r="BU102" i="2"/>
  <c r="BR102" i="2"/>
  <c r="BV102" i="2" s="1"/>
  <c r="BP102" i="2"/>
  <c r="BM102" i="2"/>
  <c r="BQ102" i="2" s="1"/>
  <c r="BK102" i="2"/>
  <c r="BH102" i="2"/>
  <c r="BL102" i="2" s="1"/>
  <c r="BF102" i="2"/>
  <c r="BC102" i="2"/>
  <c r="BG102" i="2" s="1"/>
  <c r="BA102" i="2"/>
  <c r="AX102" i="2"/>
  <c r="BB102" i="2" s="1"/>
  <c r="AV102" i="2"/>
  <c r="AS102" i="2"/>
  <c r="AW102" i="2" s="1"/>
  <c r="AR102" i="2"/>
  <c r="AM102" i="2"/>
  <c r="AH102" i="2"/>
  <c r="AC102" i="2"/>
  <c r="X102" i="2"/>
  <c r="BU101" i="2"/>
  <c r="BR101" i="2"/>
  <c r="BV101" i="2" s="1"/>
  <c r="BP101" i="2"/>
  <c r="BM101" i="2"/>
  <c r="BQ101" i="2" s="1"/>
  <c r="BK101" i="2"/>
  <c r="BH101" i="2"/>
  <c r="BL101" i="2" s="1"/>
  <c r="BF101" i="2"/>
  <c r="BC101" i="2"/>
  <c r="BG101" i="2" s="1"/>
  <c r="BA101" i="2"/>
  <c r="AX101" i="2"/>
  <c r="BB101" i="2" s="1"/>
  <c r="AV101" i="2"/>
  <c r="AS101" i="2"/>
  <c r="AW101" i="2" s="1"/>
  <c r="AR101" i="2"/>
  <c r="AM101" i="2"/>
  <c r="AH101" i="2"/>
  <c r="AC101" i="2"/>
  <c r="X101" i="2"/>
  <c r="BU100" i="2"/>
  <c r="BR100" i="2"/>
  <c r="BV100" i="2" s="1"/>
  <c r="BP100" i="2"/>
  <c r="BM100" i="2"/>
  <c r="BQ100" i="2" s="1"/>
  <c r="BK100" i="2"/>
  <c r="BH100" i="2"/>
  <c r="BD97" i="2"/>
  <c r="BC100" i="2"/>
  <c r="BG100" i="2" s="1"/>
  <c r="BA100" i="2"/>
  <c r="AX100" i="2"/>
  <c r="BB100" i="2" s="1"/>
  <c r="AV100" i="2"/>
  <c r="AS100" i="2"/>
  <c r="AW100" i="2" s="1"/>
  <c r="AR100" i="2"/>
  <c r="AM100" i="2"/>
  <c r="AH100" i="2"/>
  <c r="X100" i="2"/>
  <c r="BU99" i="2"/>
  <c r="BR99" i="2"/>
  <c r="BN97" i="2"/>
  <c r="BN105" i="2" s="1"/>
  <c r="BM99" i="2"/>
  <c r="BK99" i="2"/>
  <c r="BH99" i="2"/>
  <c r="BL99" i="2" s="1"/>
  <c r="BF99" i="2"/>
  <c r="BC99" i="2"/>
  <c r="BG99" i="2" s="1"/>
  <c r="BA99" i="2"/>
  <c r="AX99" i="2"/>
  <c r="BB99" i="2" s="1"/>
  <c r="AV99" i="2"/>
  <c r="AS99" i="2"/>
  <c r="AW99" i="2" s="1"/>
  <c r="AR99" i="2"/>
  <c r="AM99" i="2"/>
  <c r="AH99" i="2"/>
  <c r="AC99" i="2"/>
  <c r="X99" i="2"/>
  <c r="BU98" i="2"/>
  <c r="BS97" i="2"/>
  <c r="BS105" i="2" s="1"/>
  <c r="BR98" i="2"/>
  <c r="BV98" i="2" s="1"/>
  <c r="BP98" i="2"/>
  <c r="BM98" i="2"/>
  <c r="BQ98" i="2" s="1"/>
  <c r="BK98" i="2"/>
  <c r="BH98" i="2"/>
  <c r="BL98" i="2" s="1"/>
  <c r="BF98" i="2"/>
  <c r="BC98" i="2"/>
  <c r="BA98" i="2"/>
  <c r="AY97" i="2"/>
  <c r="AY105" i="2" s="1"/>
  <c r="AX98" i="2"/>
  <c r="AT97" i="2"/>
  <c r="AS98" i="2"/>
  <c r="AW98" i="2" s="1"/>
  <c r="AR98" i="2"/>
  <c r="AM98" i="2"/>
  <c r="BT97" i="2"/>
  <c r="BT105" i="2" s="1"/>
  <c r="BO97" i="2"/>
  <c r="BO105" i="2" s="1"/>
  <c r="BJ97" i="2"/>
  <c r="BI97" i="2"/>
  <c r="BI105" i="2" s="1"/>
  <c r="BE97" i="2"/>
  <c r="BE105" i="2" s="1"/>
  <c r="AZ97" i="2"/>
  <c r="AZ105" i="2" s="1"/>
  <c r="AU97" i="2"/>
  <c r="AU105" i="2" s="1"/>
  <c r="AP97" i="2"/>
  <c r="AK97" i="2"/>
  <c r="AK105" i="2" s="1"/>
  <c r="AF97" i="2"/>
  <c r="AF105" i="2" s="1"/>
  <c r="AA97" i="2"/>
  <c r="AA105" i="2" s="1"/>
  <c r="V97" i="2"/>
  <c r="V105" i="2" s="1"/>
  <c r="BU96" i="2"/>
  <c r="BR96" i="2"/>
  <c r="BV96" i="2" s="1"/>
  <c r="BP96" i="2"/>
  <c r="BM96" i="2"/>
  <c r="BQ96" i="2" s="1"/>
  <c r="BK96" i="2"/>
  <c r="BH96" i="2"/>
  <c r="BL96" i="2" s="1"/>
  <c r="BF96" i="2"/>
  <c r="BC96" i="2"/>
  <c r="BA96" i="2"/>
  <c r="AX96" i="2"/>
  <c r="BB96" i="2" s="1"/>
  <c r="AV96" i="2"/>
  <c r="AS96" i="2"/>
  <c r="AW96" i="2" s="1"/>
  <c r="AQ96" i="2"/>
  <c r="AN96" i="2"/>
  <c r="AR96" i="2" s="1"/>
  <c r="AL96" i="2"/>
  <c r="AI96" i="2"/>
  <c r="AM96" i="2" s="1"/>
  <c r="AG96" i="2"/>
  <c r="AD96" i="2"/>
  <c r="AH96" i="2" s="1"/>
  <c r="Y96" i="2"/>
  <c r="AC96" i="2" s="1"/>
  <c r="T96" i="2"/>
  <c r="X96" i="2" s="1"/>
  <c r="O96" i="2"/>
  <c r="S96" i="2" s="1"/>
  <c r="BU95" i="2"/>
  <c r="BR95" i="2"/>
  <c r="BV95" i="2" s="1"/>
  <c r="BP95" i="2"/>
  <c r="BM95" i="2"/>
  <c r="BQ95" i="2" s="1"/>
  <c r="BK95" i="2"/>
  <c r="BH95" i="2"/>
  <c r="BL95" i="2" s="1"/>
  <c r="BF95" i="2"/>
  <c r="BC95" i="2"/>
  <c r="BG95" i="2" s="1"/>
  <c r="BA95" i="2"/>
  <c r="AX95" i="2"/>
  <c r="BB95" i="2" s="1"/>
  <c r="AV95" i="2"/>
  <c r="AS95" i="2"/>
  <c r="AW95" i="2" s="1"/>
  <c r="AQ95" i="2"/>
  <c r="AN95" i="2"/>
  <c r="AR95" i="2" s="1"/>
  <c r="AL95" i="2"/>
  <c r="AI95" i="2"/>
  <c r="AM95" i="2" s="1"/>
  <c r="AG95" i="2"/>
  <c r="AD95" i="2"/>
  <c r="AH95" i="2" s="1"/>
  <c r="Y95" i="2"/>
  <c r="AC95" i="2" s="1"/>
  <c r="T95" i="2"/>
  <c r="X95" i="2" s="1"/>
  <c r="O95" i="2"/>
  <c r="S95" i="2" s="1"/>
  <c r="BU94" i="2"/>
  <c r="BR94" i="2"/>
  <c r="BV94" i="2" s="1"/>
  <c r="BP94" i="2"/>
  <c r="BM94" i="2"/>
  <c r="BQ94" i="2" s="1"/>
  <c r="BK94" i="2"/>
  <c r="BH94" i="2"/>
  <c r="BL94" i="2" s="1"/>
  <c r="BF94" i="2"/>
  <c r="BC94" i="2"/>
  <c r="BG94" i="2" s="1"/>
  <c r="BA94" i="2"/>
  <c r="AX94" i="2"/>
  <c r="BB94" i="2" s="1"/>
  <c r="AV94" i="2"/>
  <c r="AS94" i="2"/>
  <c r="AW94" i="2" s="1"/>
  <c r="AQ94" i="2"/>
  <c r="AN94" i="2"/>
  <c r="AR94" i="2" s="1"/>
  <c r="AL94" i="2"/>
  <c r="AI94" i="2"/>
  <c r="AM94" i="2" s="1"/>
  <c r="AG94" i="2"/>
  <c r="AD94" i="2"/>
  <c r="AH94" i="2" s="1"/>
  <c r="AB94" i="2"/>
  <c r="Y94" i="2"/>
  <c r="AC94" i="2" s="1"/>
  <c r="W94" i="2"/>
  <c r="T94" i="2"/>
  <c r="X94" i="2" s="1"/>
  <c r="R94" i="2"/>
  <c r="O94" i="2"/>
  <c r="S94" i="2" s="1"/>
  <c r="G94" i="2"/>
  <c r="I94" i="2" s="1"/>
  <c r="F94" i="2"/>
  <c r="BU93" i="2"/>
  <c r="BR93" i="2"/>
  <c r="BV93" i="2" s="1"/>
  <c r="BP93" i="2"/>
  <c r="BM93" i="2"/>
  <c r="BQ93" i="2" s="1"/>
  <c r="BK93" i="2"/>
  <c r="BH93" i="2"/>
  <c r="BL93" i="2" s="1"/>
  <c r="BF93" i="2"/>
  <c r="BC93" i="2"/>
  <c r="BG93" i="2" s="1"/>
  <c r="BA93" i="2"/>
  <c r="AX93" i="2"/>
  <c r="BB93" i="2" s="1"/>
  <c r="AV93" i="2"/>
  <c r="AS93" i="2"/>
  <c r="AW93" i="2" s="1"/>
  <c r="AQ93" i="2"/>
  <c r="AN93" i="2"/>
  <c r="AR93" i="2" s="1"/>
  <c r="AL93" i="2"/>
  <c r="AI93" i="2"/>
  <c r="AM93" i="2" s="1"/>
  <c r="AG93" i="2"/>
  <c r="AD93" i="2"/>
  <c r="AH93" i="2" s="1"/>
  <c r="AB93" i="2"/>
  <c r="Y93" i="2"/>
  <c r="W93" i="2"/>
  <c r="T93" i="2"/>
  <c r="X93" i="2" s="1"/>
  <c r="R93" i="2"/>
  <c r="O93" i="2"/>
  <c r="G93" i="2"/>
  <c r="I93" i="2" s="1"/>
  <c r="F93" i="2"/>
  <c r="BU92" i="2"/>
  <c r="BR92" i="2"/>
  <c r="BV92" i="2" s="1"/>
  <c r="BP92" i="2"/>
  <c r="BM92" i="2"/>
  <c r="BQ92" i="2" s="1"/>
  <c r="BK92" i="2"/>
  <c r="BH92" i="2"/>
  <c r="BL92" i="2" s="1"/>
  <c r="BF92" i="2"/>
  <c r="BC92" i="2"/>
  <c r="BG92" i="2" s="1"/>
  <c r="BA92" i="2"/>
  <c r="AX92" i="2"/>
  <c r="BB92" i="2" s="1"/>
  <c r="AV92" i="2"/>
  <c r="AS92" i="2"/>
  <c r="AW92" i="2" s="1"/>
  <c r="AQ92" i="2"/>
  <c r="AN92" i="2"/>
  <c r="AR92" i="2" s="1"/>
  <c r="AL92" i="2"/>
  <c r="AI92" i="2"/>
  <c r="AM92" i="2" s="1"/>
  <c r="AG92" i="2"/>
  <c r="AD92" i="2"/>
  <c r="AH92" i="2" s="1"/>
  <c r="AB92" i="2"/>
  <c r="Y92" i="2"/>
  <c r="AC92" i="2" s="1"/>
  <c r="W92" i="2"/>
  <c r="T92" i="2"/>
  <c r="R92" i="2"/>
  <c r="O92" i="2"/>
  <c r="G92" i="2"/>
  <c r="I92" i="2" s="1"/>
  <c r="F92" i="2"/>
  <c r="BT91" i="2"/>
  <c r="BU91" i="2" s="1"/>
  <c r="BS91" i="2"/>
  <c r="BO91" i="2"/>
  <c r="BN91" i="2"/>
  <c r="BJ91" i="2"/>
  <c r="BI91" i="2"/>
  <c r="BE91" i="2"/>
  <c r="BD91" i="2"/>
  <c r="BF91" i="2" s="1"/>
  <c r="AZ91" i="2"/>
  <c r="AY91" i="2"/>
  <c r="AU91" i="2"/>
  <c r="AT91" i="2"/>
  <c r="AP91" i="2"/>
  <c r="AO91" i="2"/>
  <c r="AK91" i="2"/>
  <c r="AJ91" i="2"/>
  <c r="AF91" i="2"/>
  <c r="AE91" i="2"/>
  <c r="AA91" i="2"/>
  <c r="AB91" i="2" s="1"/>
  <c r="Z91" i="2"/>
  <c r="V91" i="2"/>
  <c r="U91" i="2"/>
  <c r="Q91" i="2"/>
  <c r="P91" i="2"/>
  <c r="H91" i="2"/>
  <c r="BU90" i="2"/>
  <c r="BR90" i="2"/>
  <c r="BP90" i="2"/>
  <c r="BM90" i="2"/>
  <c r="BQ90" i="2" s="1"/>
  <c r="BK90" i="2"/>
  <c r="BH90" i="2"/>
  <c r="BL90" i="2" s="1"/>
  <c r="BF90" i="2"/>
  <c r="BC90" i="2"/>
  <c r="BG90" i="2" s="1"/>
  <c r="BA90" i="2"/>
  <c r="AX90" i="2"/>
  <c r="BB90" i="2" s="1"/>
  <c r="AV90" i="2"/>
  <c r="AS90" i="2"/>
  <c r="AW90" i="2" s="1"/>
  <c r="AQ90" i="2"/>
  <c r="AN90" i="2"/>
  <c r="AR90" i="2" s="1"/>
  <c r="AL90" i="2"/>
  <c r="AI90" i="2"/>
  <c r="AM90" i="2" s="1"/>
  <c r="AG90" i="2"/>
  <c r="AD90" i="2"/>
  <c r="AH90" i="2" s="1"/>
  <c r="AB90" i="2"/>
  <c r="Y90" i="2"/>
  <c r="AC90" i="2" s="1"/>
  <c r="W90" i="2"/>
  <c r="T90" i="2"/>
  <c r="X90" i="2" s="1"/>
  <c r="R90" i="2"/>
  <c r="O90" i="2"/>
  <c r="G90" i="2"/>
  <c r="I90" i="2" s="1"/>
  <c r="F90" i="2"/>
  <c r="BU89" i="2"/>
  <c r="BR89" i="2"/>
  <c r="BV89" i="2" s="1"/>
  <c r="BP89" i="2"/>
  <c r="BM89" i="2"/>
  <c r="BQ89" i="2" s="1"/>
  <c r="BK89" i="2"/>
  <c r="BH89" i="2"/>
  <c r="BF89" i="2"/>
  <c r="BC89" i="2"/>
  <c r="BA89" i="2"/>
  <c r="AX89" i="2"/>
  <c r="BB89" i="2" s="1"/>
  <c r="AV89" i="2"/>
  <c r="AS89" i="2"/>
  <c r="AW89" i="2" s="1"/>
  <c r="AQ89" i="2"/>
  <c r="AN89" i="2"/>
  <c r="AL89" i="2"/>
  <c r="AI89" i="2"/>
  <c r="AI91" i="2" s="1"/>
  <c r="AG89" i="2"/>
  <c r="AD89" i="2"/>
  <c r="AH89" i="2" s="1"/>
  <c r="AB89" i="2"/>
  <c r="Y89" i="2"/>
  <c r="AC89" i="2" s="1"/>
  <c r="W89" i="2"/>
  <c r="T89" i="2"/>
  <c r="R89" i="2"/>
  <c r="O89" i="2"/>
  <c r="G89" i="2"/>
  <c r="G91" i="2" s="1"/>
  <c r="F89" i="2"/>
  <c r="F91" i="2" s="1"/>
  <c r="BT88" i="2"/>
  <c r="BU88" i="2" s="1"/>
  <c r="BS88" i="2"/>
  <c r="BO88" i="2"/>
  <c r="BN88" i="2"/>
  <c r="BJ88" i="2"/>
  <c r="BI88" i="2"/>
  <c r="BE88" i="2"/>
  <c r="BD88" i="2"/>
  <c r="BF88" i="2" s="1"/>
  <c r="AZ88" i="2"/>
  <c r="AY88" i="2"/>
  <c r="AY79" i="2" s="1"/>
  <c r="AY78" i="2" s="1"/>
  <c r="AY73" i="2" s="1"/>
  <c r="AU88" i="2"/>
  <c r="AU79" i="2" s="1"/>
  <c r="AU78" i="2" s="1"/>
  <c r="AT88" i="2"/>
  <c r="AP88" i="2"/>
  <c r="AO88" i="2"/>
  <c r="AK88" i="2"/>
  <c r="AL88" i="2" s="1"/>
  <c r="AJ88" i="2"/>
  <c r="AF88" i="2"/>
  <c r="AG88" i="2" s="1"/>
  <c r="AE88" i="2"/>
  <c r="AA88" i="2"/>
  <c r="Z88" i="2"/>
  <c r="V88" i="2"/>
  <c r="U88" i="2"/>
  <c r="Q88" i="2"/>
  <c r="P88" i="2"/>
  <c r="H88" i="2"/>
  <c r="BU87" i="2"/>
  <c r="BR87" i="2"/>
  <c r="BV87" i="2" s="1"/>
  <c r="BP87" i="2"/>
  <c r="BM87" i="2"/>
  <c r="BQ87" i="2" s="1"/>
  <c r="BK87" i="2"/>
  <c r="BH87" i="2"/>
  <c r="BL87" i="2" s="1"/>
  <c r="BF87" i="2"/>
  <c r="BC87" i="2"/>
  <c r="BG87" i="2" s="1"/>
  <c r="BA87" i="2"/>
  <c r="AX87" i="2"/>
  <c r="BB87" i="2" s="1"/>
  <c r="AV87" i="2"/>
  <c r="AS87" i="2"/>
  <c r="AW87" i="2" s="1"/>
  <c r="AQ87" i="2"/>
  <c r="AN87" i="2"/>
  <c r="AR87" i="2" s="1"/>
  <c r="AL87" i="2"/>
  <c r="AI87" i="2"/>
  <c r="AM87" i="2" s="1"/>
  <c r="AG87" i="2"/>
  <c r="AD87" i="2"/>
  <c r="AH87" i="2" s="1"/>
  <c r="AB87" i="2"/>
  <c r="Y87" i="2"/>
  <c r="AC87" i="2" s="1"/>
  <c r="W87" i="2"/>
  <c r="T87" i="2"/>
  <c r="X87" i="2" s="1"/>
  <c r="R87" i="2"/>
  <c r="O87" i="2"/>
  <c r="G87" i="2"/>
  <c r="I87" i="2" s="1"/>
  <c r="F87" i="2"/>
  <c r="BU86" i="2"/>
  <c r="BR86" i="2"/>
  <c r="BV86" i="2" s="1"/>
  <c r="BP86" i="2"/>
  <c r="BM86" i="2"/>
  <c r="BQ86" i="2" s="1"/>
  <c r="BK86" i="2"/>
  <c r="BH86" i="2"/>
  <c r="BL86" i="2" s="1"/>
  <c r="BF86" i="2"/>
  <c r="BC86" i="2"/>
  <c r="BG86" i="2" s="1"/>
  <c r="BA86" i="2"/>
  <c r="AX86" i="2"/>
  <c r="BB86" i="2" s="1"/>
  <c r="AV86" i="2"/>
  <c r="AS86" i="2"/>
  <c r="AW86" i="2" s="1"/>
  <c r="AQ86" i="2"/>
  <c r="AN86" i="2"/>
  <c r="AR86" i="2" s="1"/>
  <c r="AL86" i="2"/>
  <c r="AI86" i="2"/>
  <c r="AM86" i="2" s="1"/>
  <c r="AG86" i="2"/>
  <c r="AD86" i="2"/>
  <c r="AH86" i="2" s="1"/>
  <c r="AB86" i="2"/>
  <c r="Y86" i="2"/>
  <c r="AC86" i="2" s="1"/>
  <c r="W86" i="2"/>
  <c r="T86" i="2"/>
  <c r="X86" i="2" s="1"/>
  <c r="R86" i="2"/>
  <c r="O86" i="2"/>
  <c r="S86" i="2" s="1"/>
  <c r="G86" i="2"/>
  <c r="I86" i="2" s="1"/>
  <c r="F86" i="2"/>
  <c r="BU85" i="2"/>
  <c r="BR85" i="2"/>
  <c r="BV85" i="2" s="1"/>
  <c r="BP85" i="2"/>
  <c r="BM85" i="2"/>
  <c r="BQ85" i="2" s="1"/>
  <c r="BK85" i="2"/>
  <c r="BH85" i="2"/>
  <c r="BL85" i="2" s="1"/>
  <c r="BF85" i="2"/>
  <c r="BC85" i="2"/>
  <c r="BG85" i="2" s="1"/>
  <c r="BA85" i="2"/>
  <c r="AX85" i="2"/>
  <c r="BB85" i="2" s="1"/>
  <c r="AV85" i="2"/>
  <c r="AS85" i="2"/>
  <c r="AW85" i="2" s="1"/>
  <c r="AQ85" i="2"/>
  <c r="AN85" i="2"/>
  <c r="AR85" i="2" s="1"/>
  <c r="AL85" i="2"/>
  <c r="AI85" i="2"/>
  <c r="AG85" i="2"/>
  <c r="AD85" i="2"/>
  <c r="AH85" i="2" s="1"/>
  <c r="AB85" i="2"/>
  <c r="Y85" i="2"/>
  <c r="W85" i="2"/>
  <c r="T85" i="2"/>
  <c r="X85" i="2" s="1"/>
  <c r="R85" i="2"/>
  <c r="O85" i="2"/>
  <c r="G85" i="2"/>
  <c r="I85" i="2" s="1"/>
  <c r="F85" i="2"/>
  <c r="BU84" i="2"/>
  <c r="BR84" i="2"/>
  <c r="BP84" i="2"/>
  <c r="BM84" i="2"/>
  <c r="BQ84" i="2" s="1"/>
  <c r="BK84" i="2"/>
  <c r="BH84" i="2"/>
  <c r="BF84" i="2"/>
  <c r="BC84" i="2"/>
  <c r="BG84" i="2" s="1"/>
  <c r="BA84" i="2"/>
  <c r="AX84" i="2"/>
  <c r="BB84" i="2" s="1"/>
  <c r="AV84" i="2"/>
  <c r="AS84" i="2"/>
  <c r="AW84" i="2" s="1"/>
  <c r="AQ84" i="2"/>
  <c r="AN84" i="2"/>
  <c r="AR84" i="2" s="1"/>
  <c r="AL84" i="2"/>
  <c r="AI84" i="2"/>
  <c r="AM84" i="2" s="1"/>
  <c r="AG84" i="2"/>
  <c r="AD84" i="2"/>
  <c r="AH84" i="2" s="1"/>
  <c r="AB84" i="2"/>
  <c r="Y84" i="2"/>
  <c r="AC84" i="2" s="1"/>
  <c r="W84" i="2"/>
  <c r="T84" i="2"/>
  <c r="R84" i="2"/>
  <c r="O84" i="2"/>
  <c r="G84" i="2"/>
  <c r="I84" i="2" s="1"/>
  <c r="F84" i="2"/>
  <c r="BT83" i="2"/>
  <c r="BS83" i="2"/>
  <c r="BO83" i="2"/>
  <c r="BN83" i="2"/>
  <c r="BJ83" i="2"/>
  <c r="BI83" i="2"/>
  <c r="BE83" i="2"/>
  <c r="BD83" i="2"/>
  <c r="AZ83" i="2"/>
  <c r="AY83" i="2"/>
  <c r="AU83" i="2"/>
  <c r="AT83" i="2"/>
  <c r="AP83" i="2"/>
  <c r="AO83" i="2"/>
  <c r="AK83" i="2"/>
  <c r="AJ83" i="2"/>
  <c r="AF83" i="2"/>
  <c r="AG83" i="2" s="1"/>
  <c r="AE83" i="2"/>
  <c r="AA83" i="2"/>
  <c r="Z83" i="2"/>
  <c r="AB83" i="2" s="1"/>
  <c r="V83" i="2"/>
  <c r="U83" i="2"/>
  <c r="Q83" i="2"/>
  <c r="P83" i="2"/>
  <c r="P79" i="2" s="1"/>
  <c r="P78" i="2" s="1"/>
  <c r="P76" i="2" s="1"/>
  <c r="H83" i="2"/>
  <c r="BU82" i="2"/>
  <c r="BR82" i="2"/>
  <c r="BV82" i="2" s="1"/>
  <c r="BP82" i="2"/>
  <c r="BM82" i="2"/>
  <c r="BQ82" i="2" s="1"/>
  <c r="BK82" i="2"/>
  <c r="BH82" i="2"/>
  <c r="BL82" i="2" s="1"/>
  <c r="BF82" i="2"/>
  <c r="BC82" i="2"/>
  <c r="BG82" i="2" s="1"/>
  <c r="BA82" i="2"/>
  <c r="AX82" i="2"/>
  <c r="BB82" i="2" s="1"/>
  <c r="AV82" i="2"/>
  <c r="AS82" i="2"/>
  <c r="AW82" i="2" s="1"/>
  <c r="AQ82" i="2"/>
  <c r="AN82" i="2"/>
  <c r="AR82" i="2" s="1"/>
  <c r="AL82" i="2"/>
  <c r="AI82" i="2"/>
  <c r="AM82" i="2" s="1"/>
  <c r="AG82" i="2"/>
  <c r="AD82" i="2"/>
  <c r="AH82" i="2" s="1"/>
  <c r="AB82" i="2"/>
  <c r="Y82" i="2"/>
  <c r="AC82" i="2" s="1"/>
  <c r="W82" i="2"/>
  <c r="T82" i="2"/>
  <c r="X82" i="2" s="1"/>
  <c r="R82" i="2"/>
  <c r="O82" i="2"/>
  <c r="S82" i="2" s="1"/>
  <c r="G82" i="2"/>
  <c r="I82" i="2" s="1"/>
  <c r="F82" i="2"/>
  <c r="BU81" i="2"/>
  <c r="BR81" i="2"/>
  <c r="BV81" i="2" s="1"/>
  <c r="BP81" i="2"/>
  <c r="BM81" i="2"/>
  <c r="BQ81" i="2" s="1"/>
  <c r="BK81" i="2"/>
  <c r="BH81" i="2"/>
  <c r="BL81" i="2" s="1"/>
  <c r="BF81" i="2"/>
  <c r="BC81" i="2"/>
  <c r="BG81" i="2" s="1"/>
  <c r="BA81" i="2"/>
  <c r="AX81" i="2"/>
  <c r="BB81" i="2" s="1"/>
  <c r="AV81" i="2"/>
  <c r="AS81" i="2"/>
  <c r="AW81" i="2" s="1"/>
  <c r="AQ81" i="2"/>
  <c r="AN81" i="2"/>
  <c r="AL81" i="2"/>
  <c r="AI81" i="2"/>
  <c r="AM81" i="2" s="1"/>
  <c r="AG81" i="2"/>
  <c r="AD81" i="2"/>
  <c r="AH81" i="2" s="1"/>
  <c r="AB81" i="2"/>
  <c r="Y81" i="2"/>
  <c r="AC81" i="2" s="1"/>
  <c r="W81" i="2"/>
  <c r="T81" i="2"/>
  <c r="X81" i="2" s="1"/>
  <c r="R81" i="2"/>
  <c r="O81" i="2"/>
  <c r="G81" i="2"/>
  <c r="I81" i="2" s="1"/>
  <c r="F81" i="2"/>
  <c r="BU80" i="2"/>
  <c r="BR80" i="2"/>
  <c r="BV80" i="2" s="1"/>
  <c r="BP80" i="2"/>
  <c r="BM80" i="2"/>
  <c r="BM83" i="2" s="1"/>
  <c r="BK80" i="2"/>
  <c r="BH80" i="2"/>
  <c r="BH83" i="2" s="1"/>
  <c r="BF80" i="2"/>
  <c r="BC80" i="2"/>
  <c r="BG80" i="2" s="1"/>
  <c r="BA80" i="2"/>
  <c r="AX80" i="2"/>
  <c r="AV80" i="2"/>
  <c r="AS80" i="2"/>
  <c r="AW80" i="2" s="1"/>
  <c r="AQ80" i="2"/>
  <c r="AN80" i="2"/>
  <c r="AR80" i="2" s="1"/>
  <c r="AL80" i="2"/>
  <c r="AI80" i="2"/>
  <c r="AM80" i="2" s="1"/>
  <c r="AG80" i="2"/>
  <c r="AD80" i="2"/>
  <c r="AB80" i="2"/>
  <c r="Y80" i="2"/>
  <c r="AC80" i="2" s="1"/>
  <c r="W80" i="2"/>
  <c r="T80" i="2"/>
  <c r="R80" i="2"/>
  <c r="O80" i="2"/>
  <c r="S80" i="2" s="1"/>
  <c r="G80" i="2"/>
  <c r="F80" i="2"/>
  <c r="BT79" i="2"/>
  <c r="BS79" i="2"/>
  <c r="BS78" i="2" s="1"/>
  <c r="BU77" i="2"/>
  <c r="BR77" i="2"/>
  <c r="BP77" i="2"/>
  <c r="BM77" i="2"/>
  <c r="BQ77" i="2" s="1"/>
  <c r="BK77" i="2"/>
  <c r="BH77" i="2"/>
  <c r="BF77" i="2"/>
  <c r="BC77" i="2"/>
  <c r="BG77" i="2" s="1"/>
  <c r="BA77" i="2"/>
  <c r="AX77" i="2"/>
  <c r="AV77" i="2"/>
  <c r="AS77" i="2"/>
  <c r="AQ77" i="2"/>
  <c r="AN77" i="2"/>
  <c r="AL77" i="2"/>
  <c r="AI77" i="2"/>
  <c r="AM77" i="2" s="1"/>
  <c r="AG77" i="2"/>
  <c r="AD77" i="2"/>
  <c r="AH77" i="2" s="1"/>
  <c r="Y77" i="2"/>
  <c r="T77" i="2"/>
  <c r="O77" i="2"/>
  <c r="S77" i="2" s="1"/>
  <c r="BU76" i="2"/>
  <c r="BR76" i="2"/>
  <c r="BV76" i="2" s="1"/>
  <c r="BP76" i="2"/>
  <c r="BM76" i="2"/>
  <c r="BQ76" i="2" s="1"/>
  <c r="BK76" i="2"/>
  <c r="BH76" i="2"/>
  <c r="BL76" i="2" s="1"/>
  <c r="BF76" i="2"/>
  <c r="BC76" i="2"/>
  <c r="BA76" i="2"/>
  <c r="AX76" i="2"/>
  <c r="AV76" i="2"/>
  <c r="AS76" i="2"/>
  <c r="AW76" i="2" s="1"/>
  <c r="AQ76" i="2"/>
  <c r="AN76" i="2"/>
  <c r="AR76" i="2" s="1"/>
  <c r="AL76" i="2"/>
  <c r="AI76" i="2"/>
  <c r="AM76" i="2" s="1"/>
  <c r="AG76" i="2"/>
  <c r="AD76" i="2"/>
  <c r="AH76" i="2" s="1"/>
  <c r="Y76" i="2"/>
  <c r="W76" i="2"/>
  <c r="T76" i="2"/>
  <c r="O76" i="2"/>
  <c r="BT75" i="2"/>
  <c r="BS75" i="2"/>
  <c r="BO75" i="2"/>
  <c r="BN75" i="2"/>
  <c r="BJ75" i="2"/>
  <c r="BI75" i="2"/>
  <c r="BE75" i="2"/>
  <c r="BD75" i="2"/>
  <c r="AZ75" i="2"/>
  <c r="AY75" i="2"/>
  <c r="AU75" i="2"/>
  <c r="AT75" i="2"/>
  <c r="AP75" i="2"/>
  <c r="AQ75" i="2" s="1"/>
  <c r="AO75" i="2"/>
  <c r="AK75" i="2"/>
  <c r="AJ75" i="2"/>
  <c r="AF75" i="2"/>
  <c r="AE75" i="2"/>
  <c r="AA75" i="2"/>
  <c r="V75" i="2"/>
  <c r="Q75" i="2"/>
  <c r="G75" i="2"/>
  <c r="F75" i="2"/>
  <c r="BT74" i="2"/>
  <c r="BS74" i="2"/>
  <c r="BU74" i="2" s="1"/>
  <c r="BO74" i="2"/>
  <c r="BN74" i="2"/>
  <c r="BJ74" i="2"/>
  <c r="BI74" i="2"/>
  <c r="BE74" i="2"/>
  <c r="BF74" i="2" s="1"/>
  <c r="BD74" i="2"/>
  <c r="AZ74" i="2"/>
  <c r="AY74" i="2"/>
  <c r="AU74" i="2"/>
  <c r="AT74" i="2"/>
  <c r="AP74" i="2"/>
  <c r="AO74" i="2"/>
  <c r="AK74" i="2"/>
  <c r="AJ74" i="2"/>
  <c r="AF74" i="2"/>
  <c r="AE74" i="2"/>
  <c r="AA74" i="2"/>
  <c r="V74" i="2"/>
  <c r="Q74" i="2"/>
  <c r="U72" i="2"/>
  <c r="Z72" i="2" s="1"/>
  <c r="AE72" i="2" s="1"/>
  <c r="AJ72" i="2" s="1"/>
  <c r="AO72" i="2" s="1"/>
  <c r="AT72" i="2" s="1"/>
  <c r="AY72" i="2" s="1"/>
  <c r="BD72" i="2" s="1"/>
  <c r="BI72" i="2" s="1"/>
  <c r="BN72" i="2" s="1"/>
  <c r="BS72" i="2" s="1"/>
  <c r="S72" i="2"/>
  <c r="X72" i="2" s="1"/>
  <c r="AC72" i="2" s="1"/>
  <c r="AH72" i="2" s="1"/>
  <c r="AM72" i="2" s="1"/>
  <c r="AR72" i="2" s="1"/>
  <c r="AW72" i="2" s="1"/>
  <c r="BB72" i="2" s="1"/>
  <c r="BG72" i="2" s="1"/>
  <c r="BL72" i="2" s="1"/>
  <c r="BQ72" i="2" s="1"/>
  <c r="BV72" i="2" s="1"/>
  <c r="R72" i="2"/>
  <c r="W72" i="2" s="1"/>
  <c r="AB72" i="2" s="1"/>
  <c r="AG72" i="2" s="1"/>
  <c r="AL72" i="2" s="1"/>
  <c r="AQ72" i="2" s="1"/>
  <c r="AV72" i="2" s="1"/>
  <c r="BA72" i="2" s="1"/>
  <c r="BF72" i="2" s="1"/>
  <c r="BK72" i="2" s="1"/>
  <c r="BP72" i="2" s="1"/>
  <c r="BU72" i="2" s="1"/>
  <c r="Q72" i="2"/>
  <c r="V72" i="2" s="1"/>
  <c r="AA72" i="2" s="1"/>
  <c r="AF72" i="2" s="1"/>
  <c r="AK72" i="2" s="1"/>
  <c r="AP72" i="2" s="1"/>
  <c r="AU72" i="2" s="1"/>
  <c r="AZ72" i="2" s="1"/>
  <c r="BE72" i="2" s="1"/>
  <c r="BJ72" i="2" s="1"/>
  <c r="BO72" i="2" s="1"/>
  <c r="BT72" i="2" s="1"/>
  <c r="P72" i="2"/>
  <c r="O72" i="2"/>
  <c r="T72" i="2" s="1"/>
  <c r="Y72" i="2" s="1"/>
  <c r="AD72" i="2" s="1"/>
  <c r="AI72" i="2" s="1"/>
  <c r="AN72" i="2" s="1"/>
  <c r="AS72" i="2" s="1"/>
  <c r="AX72" i="2" s="1"/>
  <c r="BC72" i="2" s="1"/>
  <c r="BH72" i="2" s="1"/>
  <c r="BM72" i="2" s="1"/>
  <c r="BR72" i="2" s="1"/>
  <c r="I98" i="1"/>
  <c r="BQ97" i="1"/>
  <c r="BQ105" i="1" s="1"/>
  <c r="BU105" i="1" s="1"/>
  <c r="BL97" i="1"/>
  <c r="BL105" i="1" s="1"/>
  <c r="BG97" i="1"/>
  <c r="BG105" i="1" s="1"/>
  <c r="BB97" i="1"/>
  <c r="BB105" i="1" s="1"/>
  <c r="AW97" i="1"/>
  <c r="AR97" i="1"/>
  <c r="AR105" i="1" s="1"/>
  <c r="AM97" i="1"/>
  <c r="AM105" i="1" s="1"/>
  <c r="AH97" i="1"/>
  <c r="AH105" i="1" s="1"/>
  <c r="AC97" i="1"/>
  <c r="AC105" i="1" s="1"/>
  <c r="X97" i="1"/>
  <c r="X105" i="1" s="1"/>
  <c r="Y97" i="1"/>
  <c r="Y105" i="1" s="1"/>
  <c r="S97" i="1"/>
  <c r="S105" i="1" s="1"/>
  <c r="T97" i="1"/>
  <c r="T105" i="1" s="1"/>
  <c r="N97" i="1"/>
  <c r="N105" i="1" s="1"/>
  <c r="O97" i="1"/>
  <c r="BU111" i="1"/>
  <c r="BP111" i="1"/>
  <c r="BK111" i="1"/>
  <c r="BF111" i="1"/>
  <c r="BA111" i="1"/>
  <c r="AV111" i="1"/>
  <c r="AQ111" i="1"/>
  <c r="AL111" i="1"/>
  <c r="AG111" i="1"/>
  <c r="AB111" i="1"/>
  <c r="W111" i="1"/>
  <c r="R111" i="1"/>
  <c r="K111" i="1"/>
  <c r="I111" i="1"/>
  <c r="G111" i="1"/>
  <c r="F111" i="1"/>
  <c r="BU110" i="1"/>
  <c r="BT110" i="1"/>
  <c r="BP110" i="1"/>
  <c r="BO110" i="1"/>
  <c r="BK110" i="1"/>
  <c r="BJ110" i="1"/>
  <c r="BF110" i="1"/>
  <c r="BE110" i="1"/>
  <c r="BA110" i="1"/>
  <c r="AZ110" i="1"/>
  <c r="AV110" i="1"/>
  <c r="AU110" i="1"/>
  <c r="AQ110" i="1"/>
  <c r="AP110" i="1"/>
  <c r="AL110" i="1"/>
  <c r="AK110" i="1"/>
  <c r="AG110" i="1"/>
  <c r="AF110" i="1"/>
  <c r="AB110" i="1"/>
  <c r="AA110" i="1"/>
  <c r="W110" i="1"/>
  <c r="V110" i="1"/>
  <c r="R110" i="1"/>
  <c r="Q110" i="1"/>
  <c r="K110" i="1"/>
  <c r="G110" i="1" s="1"/>
  <c r="J110" i="1"/>
  <c r="I110" i="1"/>
  <c r="F110" i="1" s="1"/>
  <c r="BU109" i="1"/>
  <c r="BT109" i="1"/>
  <c r="BP109" i="1"/>
  <c r="BO109" i="1"/>
  <c r="BK109" i="1"/>
  <c r="BJ109" i="1"/>
  <c r="BF109" i="1"/>
  <c r="BE109" i="1"/>
  <c r="BA109" i="1"/>
  <c r="AZ109" i="1"/>
  <c r="AV109" i="1"/>
  <c r="AU109" i="1"/>
  <c r="AQ109" i="1"/>
  <c r="AP109" i="1"/>
  <c r="AL109" i="1"/>
  <c r="AK109" i="1"/>
  <c r="AG109" i="1"/>
  <c r="AF109" i="1"/>
  <c r="AB109" i="1"/>
  <c r="AA109" i="1"/>
  <c r="W109" i="1"/>
  <c r="V109" i="1"/>
  <c r="R109" i="1"/>
  <c r="Q109" i="1"/>
  <c r="K109" i="1"/>
  <c r="J109" i="1"/>
  <c r="I109" i="1"/>
  <c r="BU108" i="1"/>
  <c r="BP108" i="1"/>
  <c r="BK108" i="1"/>
  <c r="BF108" i="1"/>
  <c r="BA108" i="1"/>
  <c r="AV108" i="1"/>
  <c r="AQ108" i="1"/>
  <c r="AL108" i="1"/>
  <c r="AG108" i="1"/>
  <c r="AB108" i="1"/>
  <c r="W108" i="1"/>
  <c r="R108" i="1"/>
  <c r="M108" i="1"/>
  <c r="L108" i="1"/>
  <c r="K108" i="1"/>
  <c r="G108" i="1" s="1"/>
  <c r="I108" i="1"/>
  <c r="F108" i="1"/>
  <c r="BU107" i="1"/>
  <c r="BT107" i="1"/>
  <c r="BP107" i="1"/>
  <c r="BO107" i="1"/>
  <c r="BK107" i="1"/>
  <c r="BJ107" i="1"/>
  <c r="BF107" i="1"/>
  <c r="BE107" i="1"/>
  <c r="BA107" i="1"/>
  <c r="AZ107" i="1"/>
  <c r="AV107" i="1"/>
  <c r="AU107" i="1"/>
  <c r="AQ107" i="1"/>
  <c r="AP107" i="1"/>
  <c r="AL107" i="1"/>
  <c r="AK107" i="1"/>
  <c r="AG107" i="1"/>
  <c r="AF107" i="1"/>
  <c r="AB107" i="1"/>
  <c r="AA107" i="1"/>
  <c r="W107" i="1"/>
  <c r="V107" i="1"/>
  <c r="R107" i="1"/>
  <c r="Q107" i="1"/>
  <c r="K107" i="1"/>
  <c r="J107" i="1"/>
  <c r="I107" i="1"/>
  <c r="F107" i="1" s="1"/>
  <c r="BU106" i="1"/>
  <c r="BT106" i="1"/>
  <c r="BO106" i="1"/>
  <c r="BL106" i="1"/>
  <c r="BP106" i="1" s="1"/>
  <c r="BK106" i="1"/>
  <c r="BJ106" i="1"/>
  <c r="BF106" i="1"/>
  <c r="BE106" i="1"/>
  <c r="BA106" i="1"/>
  <c r="AZ106" i="1"/>
  <c r="AU106" i="1"/>
  <c r="AR106" i="1"/>
  <c r="AV106" i="1" s="1"/>
  <c r="AQ106" i="1"/>
  <c r="AP106" i="1"/>
  <c r="AL106" i="1"/>
  <c r="AK106" i="1"/>
  <c r="AG106" i="1"/>
  <c r="AF106" i="1"/>
  <c r="AB106" i="1"/>
  <c r="AA106" i="1"/>
  <c r="W106" i="1"/>
  <c r="V106" i="1"/>
  <c r="R106" i="1"/>
  <c r="Q106" i="1"/>
  <c r="K106" i="1"/>
  <c r="J106" i="1"/>
  <c r="G106" i="1"/>
  <c r="H106" i="1" s="1"/>
  <c r="Z105" i="1"/>
  <c r="BU103" i="1"/>
  <c r="BT103" i="1"/>
  <c r="BP103" i="1"/>
  <c r="BO103" i="1"/>
  <c r="BK103" i="1"/>
  <c r="BJ103" i="1"/>
  <c r="BF103" i="1"/>
  <c r="BE103" i="1"/>
  <c r="BA103" i="1"/>
  <c r="AZ103" i="1"/>
  <c r="AV103" i="1"/>
  <c r="AU103" i="1"/>
  <c r="AQ103" i="1"/>
  <c r="AP103" i="1"/>
  <c r="AL103" i="1"/>
  <c r="AK103" i="1"/>
  <c r="AG103" i="1"/>
  <c r="AF103" i="1"/>
  <c r="AB103" i="1"/>
  <c r="AA103" i="1"/>
  <c r="W103" i="1"/>
  <c r="V103" i="1"/>
  <c r="R103" i="1"/>
  <c r="Q103" i="1"/>
  <c r="K103" i="1"/>
  <c r="G103" i="1" s="1"/>
  <c r="J103" i="1"/>
  <c r="I103" i="1"/>
  <c r="BU102" i="1"/>
  <c r="BT102" i="1"/>
  <c r="BP102" i="1"/>
  <c r="BO102" i="1"/>
  <c r="BK102" i="1"/>
  <c r="BJ102" i="1"/>
  <c r="BF102" i="1"/>
  <c r="BE102" i="1"/>
  <c r="BA102" i="1"/>
  <c r="AZ102" i="1"/>
  <c r="AV102" i="1"/>
  <c r="AU102" i="1"/>
  <c r="AQ102" i="1"/>
  <c r="AP102" i="1"/>
  <c r="AL102" i="1"/>
  <c r="AK102" i="1"/>
  <c r="AG102" i="1"/>
  <c r="AF102" i="1"/>
  <c r="AB102" i="1"/>
  <c r="AA102" i="1"/>
  <c r="W102" i="1"/>
  <c r="V102" i="1"/>
  <c r="R102" i="1"/>
  <c r="Q102" i="1"/>
  <c r="K102" i="1"/>
  <c r="J102" i="1"/>
  <c r="I102" i="1"/>
  <c r="BU101" i="1"/>
  <c r="BT101" i="1"/>
  <c r="BP101" i="1"/>
  <c r="BO101" i="1"/>
  <c r="BK101" i="1"/>
  <c r="BJ101" i="1"/>
  <c r="BF101" i="1"/>
  <c r="BE101" i="1"/>
  <c r="BA101" i="1"/>
  <c r="AZ101" i="1"/>
  <c r="AV101" i="1"/>
  <c r="AU101" i="1"/>
  <c r="AQ101" i="1"/>
  <c r="AP101" i="1"/>
  <c r="AL101" i="1"/>
  <c r="AK101" i="1"/>
  <c r="AG101" i="1"/>
  <c r="AF101" i="1"/>
  <c r="AB101" i="1"/>
  <c r="AA101" i="1"/>
  <c r="W101" i="1"/>
  <c r="V101" i="1"/>
  <c r="R101" i="1"/>
  <c r="Q101" i="1"/>
  <c r="K101" i="1"/>
  <c r="G101" i="1" s="1"/>
  <c r="J101" i="1"/>
  <c r="I101" i="1"/>
  <c r="BU100" i="1"/>
  <c r="BT100" i="1"/>
  <c r="BP100" i="1"/>
  <c r="BO100" i="1"/>
  <c r="BK100" i="1"/>
  <c r="BJ100" i="1"/>
  <c r="BF100" i="1"/>
  <c r="BE100" i="1"/>
  <c r="BA100" i="1"/>
  <c r="AZ100" i="1"/>
  <c r="AV100" i="1"/>
  <c r="AU100" i="1"/>
  <c r="AQ100" i="1"/>
  <c r="AP100" i="1"/>
  <c r="AL100" i="1"/>
  <c r="AK100" i="1"/>
  <c r="AG100" i="1"/>
  <c r="AF100" i="1"/>
  <c r="AB100" i="1"/>
  <c r="AA100" i="1"/>
  <c r="W100" i="1"/>
  <c r="V100" i="1"/>
  <c r="R100" i="1"/>
  <c r="Q100" i="1"/>
  <c r="K100" i="1"/>
  <c r="G100" i="1" s="1"/>
  <c r="J100" i="1"/>
  <c r="I100" i="1"/>
  <c r="BU99" i="1"/>
  <c r="BT99" i="1"/>
  <c r="BP99" i="1"/>
  <c r="BO99" i="1"/>
  <c r="BK99" i="1"/>
  <c r="BJ99" i="1"/>
  <c r="BF99" i="1"/>
  <c r="BE99" i="1"/>
  <c r="BA99" i="1"/>
  <c r="AZ99" i="1"/>
  <c r="AV99" i="1"/>
  <c r="AU99" i="1"/>
  <c r="AQ99" i="1"/>
  <c r="AP99" i="1"/>
  <c r="AL99" i="1"/>
  <c r="AK99" i="1"/>
  <c r="AG99" i="1"/>
  <c r="AF99" i="1"/>
  <c r="AB99" i="1"/>
  <c r="AA99" i="1"/>
  <c r="W99" i="1"/>
  <c r="V99" i="1"/>
  <c r="R99" i="1"/>
  <c r="Q99" i="1"/>
  <c r="K99" i="1"/>
  <c r="G99" i="1" s="1"/>
  <c r="J99" i="1"/>
  <c r="I99" i="1"/>
  <c r="BU98" i="1"/>
  <c r="BT98" i="1"/>
  <c r="BP98" i="1"/>
  <c r="BO98" i="1"/>
  <c r="BK98" i="1"/>
  <c r="BJ98" i="1"/>
  <c r="BF98" i="1"/>
  <c r="BE98" i="1"/>
  <c r="BA98" i="1"/>
  <c r="AZ98" i="1"/>
  <c r="AV98" i="1"/>
  <c r="AU98" i="1"/>
  <c r="AQ98" i="1"/>
  <c r="AP98" i="1"/>
  <c r="AL98" i="1"/>
  <c r="AK98" i="1"/>
  <c r="AG98" i="1"/>
  <c r="AF98" i="1"/>
  <c r="AB98" i="1"/>
  <c r="AA98" i="1"/>
  <c r="W98" i="1"/>
  <c r="V98" i="1"/>
  <c r="R98" i="1"/>
  <c r="Q98" i="1"/>
  <c r="K98" i="1"/>
  <c r="G98" i="1" s="1"/>
  <c r="J98" i="1"/>
  <c r="BS97" i="1"/>
  <c r="BS105" i="1" s="1"/>
  <c r="BT105" i="1" s="1"/>
  <c r="BR97" i="1"/>
  <c r="BR105" i="1" s="1"/>
  <c r="BN97" i="1"/>
  <c r="BM97" i="1"/>
  <c r="BM105" i="1" s="1"/>
  <c r="BI97" i="1"/>
  <c r="BH97" i="1"/>
  <c r="BH105" i="1" s="1"/>
  <c r="BD97" i="1"/>
  <c r="BC97" i="1"/>
  <c r="AY97" i="1"/>
  <c r="AX97" i="1"/>
  <c r="AT97" i="1"/>
  <c r="AT105" i="1" s="1"/>
  <c r="AS97" i="1"/>
  <c r="AS105" i="1" s="1"/>
  <c r="AO97" i="1"/>
  <c r="AO105" i="1" s="1"/>
  <c r="AN97" i="1"/>
  <c r="AN105" i="1" s="1"/>
  <c r="AJ97" i="1"/>
  <c r="AL97" i="1" s="1"/>
  <c r="AI97" i="1"/>
  <c r="AI105" i="1" s="1"/>
  <c r="AE97" i="1"/>
  <c r="AD97" i="1"/>
  <c r="AD105" i="1" s="1"/>
  <c r="Z97" i="1"/>
  <c r="U97" i="1"/>
  <c r="P97" i="1"/>
  <c r="O105" i="1"/>
  <c r="BU96" i="1"/>
  <c r="BT96" i="1"/>
  <c r="BP96" i="1"/>
  <c r="BO96" i="1"/>
  <c r="BK96" i="1"/>
  <c r="BJ96" i="1"/>
  <c r="BF96" i="1"/>
  <c r="BE96" i="1"/>
  <c r="BA96" i="1"/>
  <c r="AZ96" i="1"/>
  <c r="AV96" i="1"/>
  <c r="AU96" i="1"/>
  <c r="AQ96" i="1"/>
  <c r="AP96" i="1"/>
  <c r="AL96" i="1"/>
  <c r="AK96" i="1"/>
  <c r="AG96" i="1"/>
  <c r="AF96" i="1"/>
  <c r="AB96" i="1"/>
  <c r="AA96" i="1"/>
  <c r="W96" i="1"/>
  <c r="V96" i="1"/>
  <c r="R96" i="1"/>
  <c r="Q96" i="1"/>
  <c r="K96" i="1"/>
  <c r="J96" i="1"/>
  <c r="I96" i="1"/>
  <c r="H96" i="1"/>
  <c r="BU95" i="1"/>
  <c r="BT95" i="1"/>
  <c r="BP95" i="1"/>
  <c r="BO95" i="1"/>
  <c r="BK95" i="1"/>
  <c r="BJ95" i="1"/>
  <c r="BF95" i="1"/>
  <c r="BE95" i="1"/>
  <c r="BA95" i="1"/>
  <c r="AZ95" i="1"/>
  <c r="AV95" i="1"/>
  <c r="AU95" i="1"/>
  <c r="AQ95" i="1"/>
  <c r="AP95" i="1"/>
  <c r="AL95" i="1"/>
  <c r="AK95" i="1"/>
  <c r="AG95" i="1"/>
  <c r="AF95" i="1"/>
  <c r="AB95" i="1"/>
  <c r="AA95" i="1"/>
  <c r="W95" i="1"/>
  <c r="V95" i="1"/>
  <c r="R95" i="1"/>
  <c r="Q95" i="1"/>
  <c r="K95" i="1"/>
  <c r="I95" i="1"/>
  <c r="H95" i="1"/>
  <c r="BU94" i="1"/>
  <c r="BT94" i="1"/>
  <c r="BP94" i="1"/>
  <c r="BO94" i="1"/>
  <c r="BK94" i="1"/>
  <c r="BJ94" i="1"/>
  <c r="BF94" i="1"/>
  <c r="BE94" i="1"/>
  <c r="BA94" i="1"/>
  <c r="AZ94" i="1"/>
  <c r="AV94" i="1"/>
  <c r="AU94" i="1"/>
  <c r="AQ94" i="1"/>
  <c r="AP94" i="1"/>
  <c r="AL94" i="1"/>
  <c r="AK94" i="1"/>
  <c r="AG94" i="1"/>
  <c r="AF94" i="1"/>
  <c r="AB94" i="1"/>
  <c r="AA94" i="1"/>
  <c r="W94" i="1"/>
  <c r="V94" i="1"/>
  <c r="R94" i="1"/>
  <c r="Q94" i="1"/>
  <c r="M94" i="1"/>
  <c r="K94" i="1"/>
  <c r="J94" i="1"/>
  <c r="I94" i="1"/>
  <c r="H94" i="1"/>
  <c r="BU93" i="1"/>
  <c r="BT93" i="1"/>
  <c r="BP93" i="1"/>
  <c r="BO93" i="1"/>
  <c r="BK93" i="1"/>
  <c r="BJ93" i="1"/>
  <c r="BF93" i="1"/>
  <c r="BE93" i="1"/>
  <c r="BA93" i="1"/>
  <c r="AZ93" i="1"/>
  <c r="AV93" i="1"/>
  <c r="AU93" i="1"/>
  <c r="AQ93" i="1"/>
  <c r="AP93" i="1"/>
  <c r="AL93" i="1"/>
  <c r="AK93" i="1"/>
  <c r="AG93" i="1"/>
  <c r="AF93" i="1"/>
  <c r="AB93" i="1"/>
  <c r="AA93" i="1"/>
  <c r="W93" i="1"/>
  <c r="V93" i="1"/>
  <c r="R93" i="1"/>
  <c r="Q93" i="1"/>
  <c r="K93" i="1"/>
  <c r="J93" i="1"/>
  <c r="I93" i="1"/>
  <c r="H93" i="1"/>
  <c r="BU92" i="1"/>
  <c r="BT92" i="1"/>
  <c r="BP92" i="1"/>
  <c r="BO92" i="1"/>
  <c r="BK92" i="1"/>
  <c r="BJ92" i="1"/>
  <c r="BF92" i="1"/>
  <c r="BE92" i="1"/>
  <c r="BA92" i="1"/>
  <c r="AZ92" i="1"/>
  <c r="AV92" i="1"/>
  <c r="AU92" i="1"/>
  <c r="AQ92" i="1"/>
  <c r="AP92" i="1"/>
  <c r="AL92" i="1"/>
  <c r="AK92" i="1"/>
  <c r="AG92" i="1"/>
  <c r="AF92" i="1"/>
  <c r="AB92" i="1"/>
  <c r="AA92" i="1"/>
  <c r="W92" i="1"/>
  <c r="V92" i="1"/>
  <c r="R92" i="1"/>
  <c r="Q92" i="1"/>
  <c r="K92" i="1"/>
  <c r="J92" i="1"/>
  <c r="I92" i="1"/>
  <c r="H92" i="1"/>
  <c r="BS91" i="1"/>
  <c r="BU91" i="1" s="1"/>
  <c r="BR91" i="1"/>
  <c r="BQ91" i="1"/>
  <c r="BN91" i="1"/>
  <c r="BP91" i="1" s="1"/>
  <c r="BM91" i="1"/>
  <c r="BO91" i="1" s="1"/>
  <c r="BL91" i="1"/>
  <c r="BI91" i="1"/>
  <c r="BH91" i="1"/>
  <c r="BG91" i="1"/>
  <c r="BD91" i="1"/>
  <c r="BE91" i="1" s="1"/>
  <c r="BC91" i="1"/>
  <c r="BB91" i="1"/>
  <c r="AY91" i="1"/>
  <c r="AX91" i="1"/>
  <c r="AW91" i="1"/>
  <c r="AT91" i="1"/>
  <c r="AS91" i="1"/>
  <c r="AR91" i="1"/>
  <c r="AO91" i="1"/>
  <c r="AN91" i="1"/>
  <c r="AM91" i="1"/>
  <c r="AJ91" i="1"/>
  <c r="AL91" i="1" s="1"/>
  <c r="AI91" i="1"/>
  <c r="AH91" i="1"/>
  <c r="AE91" i="1"/>
  <c r="AD91" i="1"/>
  <c r="AC91" i="1"/>
  <c r="Z91" i="1"/>
  <c r="AA91" i="1" s="1"/>
  <c r="Y91" i="1"/>
  <c r="X91" i="1"/>
  <c r="U91" i="1"/>
  <c r="W91" i="1" s="1"/>
  <c r="T91" i="1"/>
  <c r="S91" i="1"/>
  <c r="P91" i="1"/>
  <c r="O91" i="1"/>
  <c r="N91" i="1"/>
  <c r="I91" i="1"/>
  <c r="G91" i="1"/>
  <c r="F91" i="1"/>
  <c r="BU90" i="1"/>
  <c r="BT90" i="1"/>
  <c r="BP90" i="1"/>
  <c r="BO90" i="1"/>
  <c r="BK90" i="1"/>
  <c r="BJ90" i="1"/>
  <c r="BF90" i="1"/>
  <c r="BE90" i="1"/>
  <c r="BA90" i="1"/>
  <c r="AZ90" i="1"/>
  <c r="AV90" i="1"/>
  <c r="AU90" i="1"/>
  <c r="AQ90" i="1"/>
  <c r="AP90" i="1"/>
  <c r="AL90" i="1"/>
  <c r="AK90" i="1"/>
  <c r="AG90" i="1"/>
  <c r="AF90" i="1"/>
  <c r="AB90" i="1"/>
  <c r="AA90" i="1"/>
  <c r="W90" i="1"/>
  <c r="V90" i="1"/>
  <c r="R90" i="1"/>
  <c r="Q90" i="1"/>
  <c r="K90" i="1"/>
  <c r="J90" i="1"/>
  <c r="J91" i="1" s="1"/>
  <c r="I90" i="1"/>
  <c r="H90" i="1"/>
  <c r="BU89" i="1"/>
  <c r="BT89" i="1"/>
  <c r="BP89" i="1"/>
  <c r="BO89" i="1"/>
  <c r="BK89" i="1"/>
  <c r="BJ89" i="1"/>
  <c r="BF89" i="1"/>
  <c r="BE89" i="1"/>
  <c r="BA89" i="1"/>
  <c r="AZ89" i="1"/>
  <c r="AV89" i="1"/>
  <c r="AU89" i="1"/>
  <c r="AQ89" i="1"/>
  <c r="AP89" i="1"/>
  <c r="AL89" i="1"/>
  <c r="AK89" i="1"/>
  <c r="AG89" i="1"/>
  <c r="AF89" i="1"/>
  <c r="AB89" i="1"/>
  <c r="AA89" i="1"/>
  <c r="W89" i="1"/>
  <c r="V89" i="1"/>
  <c r="R89" i="1"/>
  <c r="Q89" i="1"/>
  <c r="K89" i="1"/>
  <c r="L89" i="1" s="1"/>
  <c r="J89" i="1"/>
  <c r="I89" i="1"/>
  <c r="H89" i="1"/>
  <c r="BS88" i="1"/>
  <c r="BR88" i="1"/>
  <c r="BT88" i="1" s="1"/>
  <c r="BQ88" i="1"/>
  <c r="BU88" i="1" s="1"/>
  <c r="BN88" i="1"/>
  <c r="BM88" i="1"/>
  <c r="BL88" i="1"/>
  <c r="BI88" i="1"/>
  <c r="BH88" i="1"/>
  <c r="BG88" i="1"/>
  <c r="BD88" i="1"/>
  <c r="BC88" i="1"/>
  <c r="BB88" i="1"/>
  <c r="AY88" i="1"/>
  <c r="AX88" i="1"/>
  <c r="AW88" i="1"/>
  <c r="AT88" i="1"/>
  <c r="AV88" i="1" s="1"/>
  <c r="AS88" i="1"/>
  <c r="AR88" i="1"/>
  <c r="AO88" i="1"/>
  <c r="AQ88" i="1" s="1"/>
  <c r="AN88" i="1"/>
  <c r="AM88" i="1"/>
  <c r="AJ88" i="1"/>
  <c r="AI88" i="1"/>
  <c r="AH88" i="1"/>
  <c r="AE88" i="1"/>
  <c r="AD88" i="1"/>
  <c r="AF88" i="1" s="1"/>
  <c r="AC88" i="1"/>
  <c r="AG88" i="1" s="1"/>
  <c r="Z88" i="1"/>
  <c r="AB88" i="1" s="1"/>
  <c r="Y88" i="1"/>
  <c r="X88" i="1"/>
  <c r="U88" i="1"/>
  <c r="T88" i="1"/>
  <c r="T79" i="1" s="1"/>
  <c r="T78" i="1" s="1"/>
  <c r="S88" i="1"/>
  <c r="S79" i="1" s="1"/>
  <c r="S78" i="1" s="1"/>
  <c r="P88" i="1"/>
  <c r="O88" i="1"/>
  <c r="N88" i="1"/>
  <c r="K88" i="1"/>
  <c r="G88" i="1"/>
  <c r="F88" i="1"/>
  <c r="H88" i="1" s="1"/>
  <c r="BU87" i="1"/>
  <c r="BT87" i="1"/>
  <c r="BP87" i="1"/>
  <c r="BO87" i="1"/>
  <c r="BK87" i="1"/>
  <c r="BJ87" i="1"/>
  <c r="BF87" i="1"/>
  <c r="BE87" i="1"/>
  <c r="BA87" i="1"/>
  <c r="AZ87" i="1"/>
  <c r="AV87" i="1"/>
  <c r="AU87" i="1"/>
  <c r="AQ87" i="1"/>
  <c r="AP87" i="1"/>
  <c r="AL87" i="1"/>
  <c r="AK87" i="1"/>
  <c r="AG87" i="1"/>
  <c r="AF87" i="1"/>
  <c r="AB87" i="1"/>
  <c r="AA87" i="1"/>
  <c r="W87" i="1"/>
  <c r="V87" i="1"/>
  <c r="R87" i="1"/>
  <c r="Q87" i="1"/>
  <c r="K87" i="1"/>
  <c r="J87" i="1"/>
  <c r="I87" i="1"/>
  <c r="H87" i="1"/>
  <c r="BU86" i="1"/>
  <c r="BT86" i="1"/>
  <c r="BP86" i="1"/>
  <c r="BO86" i="1"/>
  <c r="BK86" i="1"/>
  <c r="BJ86" i="1"/>
  <c r="BF86" i="1"/>
  <c r="BE86" i="1"/>
  <c r="BA86" i="1"/>
  <c r="AZ86" i="1"/>
  <c r="AV86" i="1"/>
  <c r="AU86" i="1"/>
  <c r="AQ86" i="1"/>
  <c r="AP86" i="1"/>
  <c r="AL86" i="1"/>
  <c r="AK86" i="1"/>
  <c r="AG86" i="1"/>
  <c r="AF86" i="1"/>
  <c r="AB86" i="1"/>
  <c r="AA86" i="1"/>
  <c r="W86" i="1"/>
  <c r="V86" i="1"/>
  <c r="R86" i="1"/>
  <c r="Q86" i="1"/>
  <c r="K86" i="1"/>
  <c r="M86" i="1" s="1"/>
  <c r="J86" i="1"/>
  <c r="I86" i="1"/>
  <c r="H86" i="1"/>
  <c r="BU85" i="1"/>
  <c r="BT85" i="1"/>
  <c r="BP85" i="1"/>
  <c r="BO85" i="1"/>
  <c r="BK85" i="1"/>
  <c r="BJ85" i="1"/>
  <c r="BF85" i="1"/>
  <c r="BE85" i="1"/>
  <c r="BA85" i="1"/>
  <c r="AZ85" i="1"/>
  <c r="AV85" i="1"/>
  <c r="AU85" i="1"/>
  <c r="AQ85" i="1"/>
  <c r="AP85" i="1"/>
  <c r="AL85" i="1"/>
  <c r="AK85" i="1"/>
  <c r="AG85" i="1"/>
  <c r="AF85" i="1"/>
  <c r="AB85" i="1"/>
  <c r="AA85" i="1"/>
  <c r="W85" i="1"/>
  <c r="V85" i="1"/>
  <c r="R85" i="1"/>
  <c r="Q85" i="1"/>
  <c r="K85" i="1"/>
  <c r="J85" i="1"/>
  <c r="I85" i="1"/>
  <c r="H85" i="1"/>
  <c r="BU84" i="1"/>
  <c r="BT84" i="1"/>
  <c r="BP84" i="1"/>
  <c r="BO84" i="1"/>
  <c r="BK84" i="1"/>
  <c r="BJ84" i="1"/>
  <c r="BF84" i="1"/>
  <c r="BE84" i="1"/>
  <c r="BA84" i="1"/>
  <c r="AZ84" i="1"/>
  <c r="AV84" i="1"/>
  <c r="AU84" i="1"/>
  <c r="AQ84" i="1"/>
  <c r="AP84" i="1"/>
  <c r="AL84" i="1"/>
  <c r="AK84" i="1"/>
  <c r="AG84" i="1"/>
  <c r="AF84" i="1"/>
  <c r="AB84" i="1"/>
  <c r="AA84" i="1"/>
  <c r="W84" i="1"/>
  <c r="V84" i="1"/>
  <c r="R84" i="1"/>
  <c r="Q84" i="1"/>
  <c r="M84" i="1"/>
  <c r="K84" i="1"/>
  <c r="J84" i="1"/>
  <c r="I84" i="1"/>
  <c r="I88" i="1" s="1"/>
  <c r="H84" i="1"/>
  <c r="BS83" i="1"/>
  <c r="BR83" i="1"/>
  <c r="BR79" i="1" s="1"/>
  <c r="BR78" i="1" s="1"/>
  <c r="BR73" i="1" s="1"/>
  <c r="BQ83" i="1"/>
  <c r="BQ79" i="1" s="1"/>
  <c r="BQ78" i="1" s="1"/>
  <c r="BN83" i="1"/>
  <c r="BN79" i="1" s="1"/>
  <c r="BM83" i="1"/>
  <c r="BM79" i="1" s="1"/>
  <c r="BM78" i="1" s="1"/>
  <c r="BM73" i="1" s="1"/>
  <c r="BL83" i="1"/>
  <c r="BL79" i="1" s="1"/>
  <c r="BL78" i="1" s="1"/>
  <c r="BL73" i="1" s="1"/>
  <c r="BI83" i="1"/>
  <c r="BK83" i="1" s="1"/>
  <c r="BH83" i="1"/>
  <c r="BG83" i="1"/>
  <c r="BD83" i="1"/>
  <c r="BC83" i="1"/>
  <c r="BB83" i="1"/>
  <c r="AY83" i="1"/>
  <c r="AX83" i="1"/>
  <c r="AW83" i="1"/>
  <c r="BA83" i="1" s="1"/>
  <c r="AT83" i="1"/>
  <c r="AT79" i="1" s="1"/>
  <c r="AT78" i="1" s="1"/>
  <c r="AS83" i="1"/>
  <c r="AS79" i="1" s="1"/>
  <c r="AS78" i="1" s="1"/>
  <c r="AS73" i="1" s="1"/>
  <c r="AR83" i="1"/>
  <c r="AR79" i="1" s="1"/>
  <c r="AR78" i="1" s="1"/>
  <c r="AO83" i="1"/>
  <c r="AN83" i="1"/>
  <c r="AM83" i="1"/>
  <c r="AM79" i="1" s="1"/>
  <c r="AM78" i="1" s="1"/>
  <c r="AJ83" i="1"/>
  <c r="AJ79" i="1" s="1"/>
  <c r="AI83" i="1"/>
  <c r="AI79" i="1" s="1"/>
  <c r="AI78" i="1" s="1"/>
  <c r="AH83" i="1"/>
  <c r="AH79" i="1" s="1"/>
  <c r="AH78" i="1" s="1"/>
  <c r="AH73" i="1" s="1"/>
  <c r="AE83" i="1"/>
  <c r="AD83" i="1"/>
  <c r="AC83" i="1"/>
  <c r="Z83" i="1"/>
  <c r="AB83" i="1" s="1"/>
  <c r="Y83" i="1"/>
  <c r="Y79" i="1" s="1"/>
  <c r="Y78" i="1" s="1"/>
  <c r="Y73" i="1" s="1"/>
  <c r="X83" i="1"/>
  <c r="W83" i="1"/>
  <c r="U83" i="1"/>
  <c r="V83" i="1" s="1"/>
  <c r="T83" i="1"/>
  <c r="S83" i="1"/>
  <c r="P83" i="1"/>
  <c r="O83" i="1"/>
  <c r="N83" i="1"/>
  <c r="G83" i="1"/>
  <c r="F83" i="1"/>
  <c r="BU82" i="1"/>
  <c r="BT82" i="1"/>
  <c r="BP82" i="1"/>
  <c r="BO82" i="1"/>
  <c r="BK82" i="1"/>
  <c r="BJ82" i="1"/>
  <c r="BF82" i="1"/>
  <c r="BE82" i="1"/>
  <c r="BA82" i="1"/>
  <c r="AZ82" i="1"/>
  <c r="AV82" i="1"/>
  <c r="AU82" i="1"/>
  <c r="AQ82" i="1"/>
  <c r="AP82" i="1"/>
  <c r="AL82" i="1"/>
  <c r="AK82" i="1"/>
  <c r="AG82" i="1"/>
  <c r="AF82" i="1"/>
  <c r="AB82" i="1"/>
  <c r="AA82" i="1"/>
  <c r="W82" i="1"/>
  <c r="V82" i="1"/>
  <c r="R82" i="1"/>
  <c r="Q82" i="1"/>
  <c r="K82" i="1"/>
  <c r="J82" i="1"/>
  <c r="L82" i="1" s="1"/>
  <c r="I82" i="1"/>
  <c r="M82" i="1" s="1"/>
  <c r="H82" i="1"/>
  <c r="BU81" i="1"/>
  <c r="BT81" i="1"/>
  <c r="BP81" i="1"/>
  <c r="BO81" i="1"/>
  <c r="BK81" i="1"/>
  <c r="BJ81" i="1"/>
  <c r="BF81" i="1"/>
  <c r="BE81" i="1"/>
  <c r="BA81" i="1"/>
  <c r="AZ81" i="1"/>
  <c r="AV81" i="1"/>
  <c r="AU81" i="1"/>
  <c r="AQ81" i="1"/>
  <c r="AP81" i="1"/>
  <c r="AL81" i="1"/>
  <c r="AK81" i="1"/>
  <c r="AG81" i="1"/>
  <c r="AF81" i="1"/>
  <c r="AB81" i="1"/>
  <c r="AA81" i="1"/>
  <c r="W81" i="1"/>
  <c r="V81" i="1"/>
  <c r="R81" i="1"/>
  <c r="Q81" i="1"/>
  <c r="K81" i="1"/>
  <c r="M81" i="1" s="1"/>
  <c r="J81" i="1"/>
  <c r="I81" i="1"/>
  <c r="I83" i="1" s="1"/>
  <c r="H81" i="1"/>
  <c r="BU80" i="1"/>
  <c r="BT80" i="1"/>
  <c r="BP80" i="1"/>
  <c r="BO80" i="1"/>
  <c r="BK80" i="1"/>
  <c r="BJ80" i="1"/>
  <c r="BF80" i="1"/>
  <c r="BE80" i="1"/>
  <c r="BA80" i="1"/>
  <c r="AZ80" i="1"/>
  <c r="AV80" i="1"/>
  <c r="AU80" i="1"/>
  <c r="AQ80" i="1"/>
  <c r="AP80" i="1"/>
  <c r="AL80" i="1"/>
  <c r="AK80" i="1"/>
  <c r="AG80" i="1"/>
  <c r="AF80" i="1"/>
  <c r="AB80" i="1"/>
  <c r="AA80" i="1"/>
  <c r="W80" i="1"/>
  <c r="V80" i="1"/>
  <c r="R80" i="1"/>
  <c r="Q80" i="1"/>
  <c r="K80" i="1"/>
  <c r="M80" i="1" s="1"/>
  <c r="J80" i="1"/>
  <c r="J83" i="1" s="1"/>
  <c r="I80" i="1"/>
  <c r="H80" i="1"/>
  <c r="BA79" i="1"/>
  <c r="AZ79" i="1"/>
  <c r="X79" i="1"/>
  <c r="X78" i="1" s="1"/>
  <c r="AY78" i="1"/>
  <c r="AX78" i="1"/>
  <c r="AW78" i="1"/>
  <c r="BU77" i="1"/>
  <c r="BT77" i="1"/>
  <c r="BP77" i="1"/>
  <c r="BO77" i="1"/>
  <c r="BK77" i="1"/>
  <c r="BJ77" i="1"/>
  <c r="BF77" i="1"/>
  <c r="BE77" i="1"/>
  <c r="BA77" i="1"/>
  <c r="AZ77" i="1"/>
  <c r="AV77" i="1"/>
  <c r="AU77" i="1"/>
  <c r="AQ77" i="1"/>
  <c r="AP77" i="1"/>
  <c r="AL77" i="1"/>
  <c r="AK77" i="1"/>
  <c r="AG77" i="1"/>
  <c r="AF77" i="1"/>
  <c r="AB77" i="1"/>
  <c r="AA77" i="1"/>
  <c r="W77" i="1"/>
  <c r="V77" i="1"/>
  <c r="R77" i="1"/>
  <c r="Q77" i="1"/>
  <c r="K77" i="1"/>
  <c r="G77" i="2" s="1"/>
  <c r="G74" i="2" s="1"/>
  <c r="J77" i="1"/>
  <c r="F77" i="2" s="1"/>
  <c r="F74" i="2" s="1"/>
  <c r="I77" i="1"/>
  <c r="I74" i="1" s="1"/>
  <c r="G77" i="1"/>
  <c r="G74" i="1" s="1"/>
  <c r="H74" i="1" s="1"/>
  <c r="BU76" i="1"/>
  <c r="BT76" i="1"/>
  <c r="BP76" i="1"/>
  <c r="BO76" i="1"/>
  <c r="BK76" i="1"/>
  <c r="BJ76" i="1"/>
  <c r="BF76" i="1"/>
  <c r="BE76" i="1"/>
  <c r="BA76" i="1"/>
  <c r="AZ76" i="1"/>
  <c r="AV76" i="1"/>
  <c r="AU76" i="1"/>
  <c r="AQ76" i="1"/>
  <c r="AP76" i="1"/>
  <c r="AL76" i="1"/>
  <c r="AK76" i="1"/>
  <c r="AG76" i="1"/>
  <c r="AF76" i="1"/>
  <c r="AB76" i="1"/>
  <c r="AA76" i="1"/>
  <c r="W76" i="1"/>
  <c r="V76" i="1"/>
  <c r="R76" i="1"/>
  <c r="Q76" i="1"/>
  <c r="K76" i="1"/>
  <c r="M76" i="1" s="1"/>
  <c r="I76" i="1"/>
  <c r="G76" i="1"/>
  <c r="F76" i="1"/>
  <c r="F75" i="1" s="1"/>
  <c r="BS75" i="1"/>
  <c r="BU75" i="1" s="1"/>
  <c r="BR75" i="1"/>
  <c r="BQ75" i="1"/>
  <c r="BN75" i="1"/>
  <c r="BM75" i="1"/>
  <c r="BL75" i="1"/>
  <c r="BI75" i="1"/>
  <c r="BK75" i="1" s="1"/>
  <c r="BH75" i="1"/>
  <c r="BG75" i="1"/>
  <c r="BD75" i="1"/>
  <c r="BC75" i="1"/>
  <c r="BB75" i="1"/>
  <c r="AY75" i="1"/>
  <c r="AX75" i="1"/>
  <c r="AW75" i="1"/>
  <c r="AT75" i="1"/>
  <c r="AV75" i="1" s="1"/>
  <c r="AS75" i="1"/>
  <c r="AR75" i="1"/>
  <c r="AO75" i="1"/>
  <c r="AQ75" i="1" s="1"/>
  <c r="AN75" i="1"/>
  <c r="AM75" i="1"/>
  <c r="AJ75" i="1"/>
  <c r="AI75" i="1"/>
  <c r="AK75" i="1" s="1"/>
  <c r="AH75" i="1"/>
  <c r="AL75" i="1" s="1"/>
  <c r="AE75" i="1"/>
  <c r="AD75" i="1"/>
  <c r="AC75" i="1"/>
  <c r="Z75" i="1"/>
  <c r="Y75" i="1"/>
  <c r="X75" i="1"/>
  <c r="U75" i="1"/>
  <c r="T75" i="1"/>
  <c r="S75" i="1"/>
  <c r="W75" i="1" s="1"/>
  <c r="P75" i="1"/>
  <c r="O75" i="1"/>
  <c r="N75" i="1"/>
  <c r="J75" i="1"/>
  <c r="BS74" i="1"/>
  <c r="BR74" i="1"/>
  <c r="BQ74" i="1"/>
  <c r="BP74" i="1"/>
  <c r="BN74" i="1"/>
  <c r="BO74" i="1" s="1"/>
  <c r="BM74" i="1"/>
  <c r="BL74" i="1"/>
  <c r="BI74" i="1"/>
  <c r="BH74" i="1"/>
  <c r="BG74" i="1"/>
  <c r="BD74" i="1"/>
  <c r="BC74" i="1"/>
  <c r="BE74" i="1" s="1"/>
  <c r="BB74" i="1"/>
  <c r="BF74" i="1" s="1"/>
  <c r="AY74" i="1"/>
  <c r="AX74" i="1"/>
  <c r="AW74" i="1"/>
  <c r="AT74" i="1"/>
  <c r="AS74" i="1"/>
  <c r="AR74" i="1"/>
  <c r="AO74" i="1"/>
  <c r="AN74" i="1"/>
  <c r="AM74" i="1"/>
  <c r="AQ74" i="1" s="1"/>
  <c r="AJ74" i="1"/>
  <c r="AI74" i="1"/>
  <c r="AH74" i="1"/>
  <c r="AE74" i="1"/>
  <c r="AG74" i="1" s="1"/>
  <c r="AD74" i="1"/>
  <c r="AC74" i="1"/>
  <c r="Z74" i="1"/>
  <c r="AA74" i="1" s="1"/>
  <c r="Y74" i="1"/>
  <c r="X74" i="1"/>
  <c r="U74" i="1"/>
  <c r="T74" i="1"/>
  <c r="S74" i="1"/>
  <c r="P74" i="1"/>
  <c r="O74" i="1"/>
  <c r="Q74" i="1" s="1"/>
  <c r="N74" i="1"/>
  <c r="R74" i="1" s="1"/>
  <c r="F74" i="1"/>
  <c r="R72" i="1"/>
  <c r="W72" i="1" s="1"/>
  <c r="AB72" i="1" s="1"/>
  <c r="AG72" i="1" s="1"/>
  <c r="AL72" i="1" s="1"/>
  <c r="AQ72" i="1" s="1"/>
  <c r="AV72" i="1" s="1"/>
  <c r="BA72" i="1" s="1"/>
  <c r="BF72" i="1" s="1"/>
  <c r="BK72" i="1" s="1"/>
  <c r="BP72" i="1" s="1"/>
  <c r="BU72" i="1" s="1"/>
  <c r="Q72" i="1"/>
  <c r="V72" i="1" s="1"/>
  <c r="AA72" i="1" s="1"/>
  <c r="AF72" i="1" s="1"/>
  <c r="AK72" i="1" s="1"/>
  <c r="AP72" i="1" s="1"/>
  <c r="AU72" i="1" s="1"/>
  <c r="AZ72" i="1" s="1"/>
  <c r="BE72" i="1" s="1"/>
  <c r="BJ72" i="1" s="1"/>
  <c r="BO72" i="1" s="1"/>
  <c r="BT72" i="1" s="1"/>
  <c r="P72" i="1"/>
  <c r="U72" i="1" s="1"/>
  <c r="Z72" i="1" s="1"/>
  <c r="AE72" i="1" s="1"/>
  <c r="AJ72" i="1" s="1"/>
  <c r="AO72" i="1" s="1"/>
  <c r="AT72" i="1" s="1"/>
  <c r="AY72" i="1" s="1"/>
  <c r="BD72" i="1" s="1"/>
  <c r="BI72" i="1" s="1"/>
  <c r="BN72" i="1" s="1"/>
  <c r="BS72" i="1" s="1"/>
  <c r="O72" i="1"/>
  <c r="T72" i="1" s="1"/>
  <c r="Y72" i="1" s="1"/>
  <c r="AD72" i="1" s="1"/>
  <c r="AI72" i="1" s="1"/>
  <c r="AN72" i="1" s="1"/>
  <c r="AS72" i="1" s="1"/>
  <c r="AX72" i="1" s="1"/>
  <c r="BC72" i="1" s="1"/>
  <c r="BH72" i="1" s="1"/>
  <c r="BM72" i="1" s="1"/>
  <c r="BR72" i="1" s="1"/>
  <c r="N72" i="1"/>
  <c r="S72" i="1" s="1"/>
  <c r="X72" i="1" s="1"/>
  <c r="AC72" i="1" s="1"/>
  <c r="AH72" i="1" s="1"/>
  <c r="AM72" i="1" s="1"/>
  <c r="AR72" i="1" s="1"/>
  <c r="AW72" i="1" s="1"/>
  <c r="BB72" i="1" s="1"/>
  <c r="BG72" i="1" s="1"/>
  <c r="BL72" i="1" s="1"/>
  <c r="BQ72" i="1" s="1"/>
  <c r="T88" i="2" l="1"/>
  <c r="BA88" i="2"/>
  <c r="AO79" i="2"/>
  <c r="AO78" i="2" s="1"/>
  <c r="BR74" i="2"/>
  <c r="BV74" i="2" s="1"/>
  <c r="AJ79" i="2"/>
  <c r="AJ78" i="2" s="1"/>
  <c r="BD79" i="2"/>
  <c r="BD78" i="2" s="1"/>
  <c r="AQ88" i="2"/>
  <c r="AD74" i="2"/>
  <c r="W88" i="2"/>
  <c r="AT79" i="2"/>
  <c r="AV79" i="2" s="1"/>
  <c r="V79" i="2"/>
  <c r="V78" i="2" s="1"/>
  <c r="V73" i="2" s="1"/>
  <c r="AK79" i="2"/>
  <c r="AK78" i="2" s="1"/>
  <c r="AQ91" i="2"/>
  <c r="AP79" i="2"/>
  <c r="AQ79" i="2" s="1"/>
  <c r="AG75" i="2"/>
  <c r="Z79" i="2"/>
  <c r="Z78" i="2" s="1"/>
  <c r="Z77" i="2" s="1"/>
  <c r="AB77" i="2" s="1"/>
  <c r="BR91" i="2"/>
  <c r="BV91" i="2" s="1"/>
  <c r="BK75" i="2"/>
  <c r="T83" i="2"/>
  <c r="X83" i="2" s="1"/>
  <c r="AA79" i="2"/>
  <c r="AB79" i="2" s="1"/>
  <c r="AV75" i="2"/>
  <c r="BK74" i="2"/>
  <c r="AN75" i="2"/>
  <c r="AR75" i="2" s="1"/>
  <c r="BR75" i="2"/>
  <c r="BV75" i="2" s="1"/>
  <c r="AQ74" i="2"/>
  <c r="BE97" i="1"/>
  <c r="G100" i="2"/>
  <c r="G99" i="2"/>
  <c r="G101" i="2"/>
  <c r="H101" i="2" s="1"/>
  <c r="G103" i="2"/>
  <c r="H103" i="2" s="1"/>
  <c r="T73" i="1"/>
  <c r="AD75" i="2"/>
  <c r="AH75" i="2" s="1"/>
  <c r="T75" i="2"/>
  <c r="X75" i="2" s="1"/>
  <c r="AD88" i="2"/>
  <c r="AH88" i="2" s="1"/>
  <c r="AP91" i="1"/>
  <c r="AU75" i="1"/>
  <c r="AV91" i="1"/>
  <c r="BA75" i="1"/>
  <c r="BU83" i="1"/>
  <c r="L102" i="1"/>
  <c r="AP74" i="1"/>
  <c r="Q75" i="1"/>
  <c r="BA78" i="1"/>
  <c r="BF88" i="1"/>
  <c r="AX73" i="1"/>
  <c r="M107" i="1"/>
  <c r="AM73" i="1"/>
  <c r="W88" i="1"/>
  <c r="BE88" i="1"/>
  <c r="R91" i="1"/>
  <c r="BA91" i="1"/>
  <c r="AZ97" i="1"/>
  <c r="H111" i="1"/>
  <c r="AX88" i="2"/>
  <c r="BB88" i="2" s="1"/>
  <c r="AN91" i="2"/>
  <c r="AR91" i="2" s="1"/>
  <c r="BF75" i="1"/>
  <c r="AN79" i="1"/>
  <c r="AN78" i="1" s="1"/>
  <c r="AN73" i="1" s="1"/>
  <c r="J88" i="1"/>
  <c r="BB79" i="1"/>
  <c r="BB78" i="1" s="1"/>
  <c r="AW73" i="1"/>
  <c r="V75" i="1"/>
  <c r="U79" i="1"/>
  <c r="W79" i="1" s="1"/>
  <c r="AO79" i="1"/>
  <c r="AO78" i="1" s="1"/>
  <c r="AP78" i="1" s="1"/>
  <c r="L84" i="1"/>
  <c r="L94" i="1"/>
  <c r="H108" i="1"/>
  <c r="M111" i="1"/>
  <c r="Y74" i="2"/>
  <c r="AC74" i="2" s="1"/>
  <c r="AL74" i="1"/>
  <c r="BJ97" i="1"/>
  <c r="K83" i="1"/>
  <c r="AN74" i="2"/>
  <c r="AR74" i="2" s="1"/>
  <c r="AS91" i="2"/>
  <c r="AW91" i="2" s="1"/>
  <c r="O79" i="1"/>
  <c r="O78" i="1" s="1"/>
  <c r="O73" i="1" s="1"/>
  <c r="AZ83" i="1"/>
  <c r="J74" i="1"/>
  <c r="AQ91" i="1"/>
  <c r="L81" i="1"/>
  <c r="AA88" i="1"/>
  <c r="AZ74" i="1"/>
  <c r="Z79" i="1"/>
  <c r="AB79" i="1" s="1"/>
  <c r="AU83" i="1"/>
  <c r="BP88" i="1"/>
  <c r="BO97" i="1"/>
  <c r="AV83" i="1"/>
  <c r="AF91" i="1"/>
  <c r="AX105" i="1"/>
  <c r="G79" i="1"/>
  <c r="G78" i="1" s="1"/>
  <c r="BK91" i="1"/>
  <c r="M95" i="1"/>
  <c r="N79" i="1"/>
  <c r="N78" i="1" s="1"/>
  <c r="N73" i="1" s="1"/>
  <c r="AB91" i="1"/>
  <c r="AX75" i="2"/>
  <c r="BB75" i="2" s="1"/>
  <c r="W74" i="1"/>
  <c r="BK74" i="1"/>
  <c r="BT75" i="1"/>
  <c r="BC79" i="1"/>
  <c r="BC78" i="1" s="1"/>
  <c r="BC73" i="1" s="1"/>
  <c r="R97" i="1"/>
  <c r="BC105" i="1"/>
  <c r="BC75" i="2"/>
  <c r="BG75" i="2" s="1"/>
  <c r="AX74" i="2"/>
  <c r="BB74" i="2" s="1"/>
  <c r="AZ88" i="1"/>
  <c r="M93" i="1"/>
  <c r="BS79" i="1"/>
  <c r="BU79" i="1" s="1"/>
  <c r="BT91" i="1"/>
  <c r="V97" i="1"/>
  <c r="M92" i="1"/>
  <c r="BT74" i="1"/>
  <c r="M77" i="1"/>
  <c r="Q88" i="1"/>
  <c r="AI73" i="1"/>
  <c r="M85" i="1"/>
  <c r="P79" i="1"/>
  <c r="Q79" i="1" s="1"/>
  <c r="I106" i="1"/>
  <c r="H91" i="1"/>
  <c r="M106" i="1"/>
  <c r="M109" i="1"/>
  <c r="BO75" i="1"/>
  <c r="G88" i="2"/>
  <c r="I88" i="2" s="1"/>
  <c r="AG75" i="1"/>
  <c r="AS74" i="2"/>
  <c r="AW74" i="2" s="1"/>
  <c r="I75" i="1"/>
  <c r="L87" i="1"/>
  <c r="J97" i="1"/>
  <c r="J105" i="1" s="1"/>
  <c r="BL83" i="2"/>
  <c r="BM91" i="2"/>
  <c r="BQ91" i="2" s="1"/>
  <c r="AL75" i="2"/>
  <c r="S87" i="2"/>
  <c r="T74" i="2"/>
  <c r="X74" i="2" s="1"/>
  <c r="S81" i="2"/>
  <c r="S90" i="2"/>
  <c r="U79" i="2"/>
  <c r="U78" i="2" s="1"/>
  <c r="BH88" i="2"/>
  <c r="BH79" i="2" s="1"/>
  <c r="BH78" i="2" s="1"/>
  <c r="BA75" i="2"/>
  <c r="X77" i="2"/>
  <c r="AV88" i="2"/>
  <c r="BF75" i="2"/>
  <c r="AC77" i="2"/>
  <c r="AL83" i="2"/>
  <c r="BR88" i="2"/>
  <c r="BV88" i="2" s="1"/>
  <c r="AM89" i="2"/>
  <c r="BH97" i="2"/>
  <c r="BH105" i="2" s="1"/>
  <c r="AQ83" i="2"/>
  <c r="BV84" i="2"/>
  <c r="BV90" i="2"/>
  <c r="AD97" i="2"/>
  <c r="AD105" i="2" s="1"/>
  <c r="AH105" i="2" s="1"/>
  <c r="AI74" i="2"/>
  <c r="AM74" i="2" s="1"/>
  <c r="I91" i="2"/>
  <c r="BV77" i="2"/>
  <c r="BC88" i="2"/>
  <c r="BG88" i="2" s="1"/>
  <c r="AG74" i="2"/>
  <c r="BM75" i="2"/>
  <c r="BQ75" i="2" s="1"/>
  <c r="S93" i="2"/>
  <c r="AX83" i="2"/>
  <c r="AR89" i="2"/>
  <c r="AR77" i="2"/>
  <c r="AN83" i="2"/>
  <c r="AR83" i="2" s="1"/>
  <c r="BC83" i="2"/>
  <c r="BG83" i="2" s="1"/>
  <c r="BN79" i="2"/>
  <c r="BN78" i="2" s="1"/>
  <c r="BN73" i="2" s="1"/>
  <c r="BD73" i="2"/>
  <c r="Y91" i="2"/>
  <c r="AC91" i="2" s="1"/>
  <c r="AI75" i="2"/>
  <c r="AM75" i="2" s="1"/>
  <c r="AW77" i="2"/>
  <c r="BL80" i="2"/>
  <c r="O83" i="2"/>
  <c r="S83" i="2" s="1"/>
  <c r="I89" i="2"/>
  <c r="AC76" i="2"/>
  <c r="X80" i="2"/>
  <c r="S89" i="2"/>
  <c r="F88" i="2"/>
  <c r="AM91" i="2"/>
  <c r="Q79" i="2"/>
  <c r="BA83" i="2"/>
  <c r="AD91" i="2"/>
  <c r="AH91" i="2" s="1"/>
  <c r="BR83" i="2"/>
  <c r="BV83" i="2" s="1"/>
  <c r="AL91" i="2"/>
  <c r="S92" i="2"/>
  <c r="BK97" i="2"/>
  <c r="BQ73" i="1"/>
  <c r="BM97" i="2"/>
  <c r="BM105" i="2" s="1"/>
  <c r="BQ105" i="2" s="1"/>
  <c r="BB73" i="1"/>
  <c r="BF97" i="1"/>
  <c r="AY105" i="1"/>
  <c r="AW105" i="1"/>
  <c r="AR73" i="1"/>
  <c r="AI97" i="2"/>
  <c r="AI105" i="2" s="1"/>
  <c r="AM105" i="2" s="1"/>
  <c r="AH98" i="2"/>
  <c r="X73" i="1"/>
  <c r="AB97" i="1"/>
  <c r="S73" i="1"/>
  <c r="H99" i="2"/>
  <c r="H100" i="2"/>
  <c r="P105" i="1"/>
  <c r="Q105" i="1" s="1"/>
  <c r="G98" i="2"/>
  <c r="H98" i="2" s="1"/>
  <c r="H99" i="1"/>
  <c r="G102" i="1"/>
  <c r="M102" i="1"/>
  <c r="H103" i="1"/>
  <c r="H98" i="1"/>
  <c r="F97" i="1"/>
  <c r="F105" i="1" s="1"/>
  <c r="H100" i="1"/>
  <c r="H101" i="1"/>
  <c r="BG96" i="2"/>
  <c r="BC74" i="2"/>
  <c r="BG74" i="2" s="1"/>
  <c r="BD105" i="2"/>
  <c r="BF105" i="2" s="1"/>
  <c r="BF97" i="2"/>
  <c r="AZ79" i="2"/>
  <c r="BF100" i="2"/>
  <c r="BL77" i="2"/>
  <c r="BH74" i="2"/>
  <c r="BL74" i="2" s="1"/>
  <c r="AS97" i="2"/>
  <c r="BT78" i="2"/>
  <c r="AT105" i="2"/>
  <c r="AV105" i="2" s="1"/>
  <c r="AV97" i="2"/>
  <c r="BU79" i="2"/>
  <c r="AV98" i="2"/>
  <c r="X88" i="2"/>
  <c r="BA91" i="2"/>
  <c r="BG76" i="2"/>
  <c r="BC91" i="2"/>
  <c r="BG91" i="2" s="1"/>
  <c r="BG89" i="2"/>
  <c r="R79" i="2"/>
  <c r="Q78" i="2"/>
  <c r="BL89" i="2"/>
  <c r="BH91" i="2"/>
  <c r="BL91" i="2" s="1"/>
  <c r="R76" i="2"/>
  <c r="BE79" i="2"/>
  <c r="P77" i="2"/>
  <c r="BF83" i="2"/>
  <c r="X89" i="2"/>
  <c r="T91" i="2"/>
  <c r="R83" i="2"/>
  <c r="AM85" i="2"/>
  <c r="AI88" i="2"/>
  <c r="AM88" i="2" s="1"/>
  <c r="I80" i="2"/>
  <c r="G83" i="2"/>
  <c r="AX97" i="2"/>
  <c r="AX105" i="2" s="1"/>
  <c r="BB105" i="2" s="1"/>
  <c r="BB98" i="2"/>
  <c r="O88" i="2"/>
  <c r="S88" i="2" s="1"/>
  <c r="AV91" i="2"/>
  <c r="X92" i="2"/>
  <c r="BA74" i="2"/>
  <c r="BB76" i="2"/>
  <c r="O97" i="2"/>
  <c r="O105" i="2" s="1"/>
  <c r="S84" i="2"/>
  <c r="BL84" i="2"/>
  <c r="O91" i="2"/>
  <c r="S91" i="2" s="1"/>
  <c r="P97" i="2"/>
  <c r="P73" i="2" s="1"/>
  <c r="O75" i="2"/>
  <c r="S75" i="2" s="1"/>
  <c r="S76" i="2"/>
  <c r="X84" i="2"/>
  <c r="R91" i="2"/>
  <c r="W91" i="2"/>
  <c r="AP105" i="2"/>
  <c r="W83" i="2"/>
  <c r="T97" i="2"/>
  <c r="BC97" i="2"/>
  <c r="BI79" i="2"/>
  <c r="BI78" i="2" s="1"/>
  <c r="BI73" i="2" s="1"/>
  <c r="Z76" i="2"/>
  <c r="BK91" i="2"/>
  <c r="AC100" i="2"/>
  <c r="BL100" i="2"/>
  <c r="X76" i="2"/>
  <c r="Y83" i="2"/>
  <c r="BQ80" i="2"/>
  <c r="AR81" i="2"/>
  <c r="AE79" i="2"/>
  <c r="AE78" i="2" s="1"/>
  <c r="BJ79" i="2"/>
  <c r="AU73" i="2"/>
  <c r="AF79" i="2"/>
  <c r="BK83" i="2"/>
  <c r="AB88" i="2"/>
  <c r="X98" i="2"/>
  <c r="Y97" i="2"/>
  <c r="Y105" i="2" s="1"/>
  <c r="AC105" i="2" s="1"/>
  <c r="BK88" i="2"/>
  <c r="BH75" i="2"/>
  <c r="BL75" i="2" s="1"/>
  <c r="AD83" i="2"/>
  <c r="BP91" i="2"/>
  <c r="F83" i="2"/>
  <c r="AI83" i="2"/>
  <c r="BQ83" i="2"/>
  <c r="BP83" i="2"/>
  <c r="BP99" i="2"/>
  <c r="AH80" i="2"/>
  <c r="S85" i="2"/>
  <c r="BM88" i="2"/>
  <c r="BQ99" i="2"/>
  <c r="BA105" i="2"/>
  <c r="BJ105" i="2"/>
  <c r="BR97" i="2"/>
  <c r="BR105" i="2" s="1"/>
  <c r="BV105" i="2" s="1"/>
  <c r="BO79" i="2"/>
  <c r="AH74" i="2"/>
  <c r="BP74" i="2"/>
  <c r="BP75" i="2"/>
  <c r="O74" i="2"/>
  <c r="S74" i="2" s="1"/>
  <c r="BB77" i="2"/>
  <c r="AX91" i="2"/>
  <c r="BB91" i="2" s="1"/>
  <c r="BP105" i="2"/>
  <c r="AN97" i="2"/>
  <c r="AN105" i="2" s="1"/>
  <c r="H79" i="2"/>
  <c r="Y88" i="2"/>
  <c r="AC88" i="2" s="1"/>
  <c r="BV99" i="2"/>
  <c r="AC85" i="2"/>
  <c r="AC93" i="2"/>
  <c r="AC103" i="2"/>
  <c r="AL74" i="2"/>
  <c r="AS75" i="2"/>
  <c r="AW75" i="2" s="1"/>
  <c r="BS73" i="2"/>
  <c r="AS83" i="2"/>
  <c r="BU105" i="2"/>
  <c r="BP97" i="2"/>
  <c r="BM74" i="2"/>
  <c r="BQ74" i="2" s="1"/>
  <c r="AC98" i="2"/>
  <c r="BG98" i="2"/>
  <c r="AN88" i="2"/>
  <c r="AN79" i="2" s="1"/>
  <c r="AN78" i="2" s="1"/>
  <c r="R88" i="2"/>
  <c r="BU97" i="2"/>
  <c r="AV83" i="2"/>
  <c r="Y75" i="2"/>
  <c r="AC75" i="2" s="1"/>
  <c r="BU75" i="2"/>
  <c r="BB80" i="2"/>
  <c r="BU83" i="2"/>
  <c r="BP88" i="2"/>
  <c r="AS88" i="2"/>
  <c r="AW88" i="2" s="1"/>
  <c r="AV74" i="2"/>
  <c r="AG91" i="2"/>
  <c r="BA97" i="2"/>
  <c r="BD105" i="1"/>
  <c r="M98" i="1"/>
  <c r="AV105" i="1"/>
  <c r="L99" i="1"/>
  <c r="L98" i="1"/>
  <c r="L103" i="1"/>
  <c r="M99" i="1"/>
  <c r="M101" i="1"/>
  <c r="M103" i="1"/>
  <c r="J79" i="1"/>
  <c r="J78" i="1" s="1"/>
  <c r="AT73" i="1"/>
  <c r="AV78" i="1"/>
  <c r="AU78" i="1"/>
  <c r="K79" i="1"/>
  <c r="L100" i="1"/>
  <c r="I79" i="1"/>
  <c r="I78" i="1" s="1"/>
  <c r="H110" i="1"/>
  <c r="AG97" i="1"/>
  <c r="AE105" i="1"/>
  <c r="AF97" i="1"/>
  <c r="H76" i="1"/>
  <c r="H83" i="1"/>
  <c r="AL88" i="1"/>
  <c r="AK88" i="1"/>
  <c r="BF83" i="1"/>
  <c r="BE83" i="1"/>
  <c r="BD79" i="1"/>
  <c r="M96" i="1"/>
  <c r="L96" i="1"/>
  <c r="AJ78" i="1"/>
  <c r="AK79" i="1"/>
  <c r="AL79" i="1"/>
  <c r="BK97" i="1"/>
  <c r="BI105" i="1"/>
  <c r="AA75" i="1"/>
  <c r="M88" i="1"/>
  <c r="K91" i="1"/>
  <c r="M90" i="1"/>
  <c r="I97" i="1"/>
  <c r="I105" i="1" s="1"/>
  <c r="AB105" i="1"/>
  <c r="BG79" i="1"/>
  <c r="BG78" i="1" s="1"/>
  <c r="BG73" i="1" s="1"/>
  <c r="BH79" i="1"/>
  <c r="BH78" i="1" s="1"/>
  <c r="BH73" i="1" s="1"/>
  <c r="AG83" i="1"/>
  <c r="AE79" i="1"/>
  <c r="BP79" i="1"/>
  <c r="BO79" i="1"/>
  <c r="BN78" i="1"/>
  <c r="L88" i="1"/>
  <c r="L90" i="1"/>
  <c r="V74" i="1"/>
  <c r="AQ79" i="1"/>
  <c r="AZ91" i="1"/>
  <c r="AP105" i="1"/>
  <c r="AQ105" i="1"/>
  <c r="BK88" i="1"/>
  <c r="AU105" i="1"/>
  <c r="AO73" i="1"/>
  <c r="AU74" i="1"/>
  <c r="AV74" i="1"/>
  <c r="AF83" i="1"/>
  <c r="BJ88" i="1"/>
  <c r="AZ75" i="1"/>
  <c r="M100" i="1"/>
  <c r="AK83" i="1"/>
  <c r="AG91" i="1"/>
  <c r="BF91" i="1"/>
  <c r="BP97" i="1"/>
  <c r="AB74" i="1"/>
  <c r="AF75" i="1"/>
  <c r="BS78" i="1"/>
  <c r="AA79" i="1"/>
  <c r="H77" i="1"/>
  <c r="Q83" i="1"/>
  <c r="AK91" i="1"/>
  <c r="BT97" i="1"/>
  <c r="L101" i="1"/>
  <c r="BF105" i="1"/>
  <c r="L111" i="1"/>
  <c r="AY73" i="1"/>
  <c r="K75" i="1"/>
  <c r="AC79" i="1"/>
  <c r="AC78" i="1" s="1"/>
  <c r="AC73" i="1" s="1"/>
  <c r="R83" i="1"/>
  <c r="AP83" i="1"/>
  <c r="L86" i="1"/>
  <c r="V88" i="1"/>
  <c r="BJ91" i="1"/>
  <c r="AQ97" i="1"/>
  <c r="BU97" i="1"/>
  <c r="AF74" i="1"/>
  <c r="Z78" i="1"/>
  <c r="F79" i="1"/>
  <c r="F78" i="1" s="1"/>
  <c r="AD79" i="1"/>
  <c r="AD78" i="1" s="1"/>
  <c r="AD73" i="1" s="1"/>
  <c r="AQ83" i="1"/>
  <c r="BO83" i="1"/>
  <c r="AU88" i="1"/>
  <c r="AJ105" i="1"/>
  <c r="G107" i="1"/>
  <c r="H107" i="1" s="1"/>
  <c r="BU74" i="1"/>
  <c r="L83" i="1"/>
  <c r="L85" i="1"/>
  <c r="AV79" i="1"/>
  <c r="G75" i="1"/>
  <c r="H75" i="1" s="1"/>
  <c r="BJ83" i="1"/>
  <c r="AP88" i="1"/>
  <c r="BO88" i="1"/>
  <c r="BE75" i="1"/>
  <c r="L80" i="1"/>
  <c r="L93" i="1"/>
  <c r="K97" i="1"/>
  <c r="AP97" i="1"/>
  <c r="BP83" i="1"/>
  <c r="BJ75" i="1"/>
  <c r="L77" i="1"/>
  <c r="AZ78" i="1"/>
  <c r="Q91" i="1"/>
  <c r="Q97" i="1"/>
  <c r="AU97" i="1"/>
  <c r="G109" i="1"/>
  <c r="H109" i="1" s="1"/>
  <c r="L106" i="1"/>
  <c r="BA74" i="1"/>
  <c r="K74" i="1"/>
  <c r="AV97" i="1"/>
  <c r="AA105" i="1"/>
  <c r="L107" i="1"/>
  <c r="V91" i="1"/>
  <c r="W97" i="1"/>
  <c r="BA97" i="1"/>
  <c r="L109" i="1"/>
  <c r="BT79" i="1"/>
  <c r="R88" i="1"/>
  <c r="BI79" i="1"/>
  <c r="AK74" i="1"/>
  <c r="R75" i="1"/>
  <c r="BP75" i="1"/>
  <c r="AA83" i="1"/>
  <c r="M89" i="1"/>
  <c r="AU91" i="1"/>
  <c r="L95" i="1"/>
  <c r="L92" i="1"/>
  <c r="L110" i="1"/>
  <c r="AB75" i="1"/>
  <c r="M110" i="1"/>
  <c r="AU79" i="1"/>
  <c r="AK97" i="1"/>
  <c r="AL83" i="1"/>
  <c r="AP75" i="1"/>
  <c r="BN105" i="1"/>
  <c r="U105" i="1"/>
  <c r="V79" i="1"/>
  <c r="M83" i="1"/>
  <c r="BT83" i="1"/>
  <c r="M87" i="1"/>
  <c r="BA88" i="1"/>
  <c r="AA97" i="1"/>
  <c r="L76" i="1"/>
  <c r="BJ74" i="1"/>
  <c r="BR79" i="2" l="1"/>
  <c r="BR78" i="2" s="1"/>
  <c r="AA78" i="2"/>
  <c r="AR88" i="2"/>
  <c r="W78" i="2"/>
  <c r="AP78" i="2"/>
  <c r="AL79" i="2"/>
  <c r="AT78" i="2"/>
  <c r="AT73" i="2" s="1"/>
  <c r="AV73" i="2" s="1"/>
  <c r="BM79" i="2"/>
  <c r="BM78" i="2" s="1"/>
  <c r="T79" i="2"/>
  <c r="BH73" i="2"/>
  <c r="I101" i="2"/>
  <c r="AO101" i="2"/>
  <c r="AQ101" i="2" s="1"/>
  <c r="U101" i="2"/>
  <c r="W101" i="2" s="1"/>
  <c r="AJ101" i="2"/>
  <c r="AL101" i="2" s="1"/>
  <c r="AE101" i="2"/>
  <c r="Z101" i="2"/>
  <c r="AB101" i="2" s="1"/>
  <c r="I100" i="2"/>
  <c r="AO100" i="2"/>
  <c r="AQ100" i="2" s="1"/>
  <c r="U100" i="2"/>
  <c r="AJ100" i="2"/>
  <c r="AL100" i="2" s="1"/>
  <c r="AE100" i="2"/>
  <c r="AG100" i="2" s="1"/>
  <c r="Z100" i="2"/>
  <c r="AB100" i="2" s="1"/>
  <c r="I103" i="2"/>
  <c r="AO103" i="2"/>
  <c r="AQ103" i="2" s="1"/>
  <c r="U103" i="2"/>
  <c r="AJ103" i="2"/>
  <c r="AL103" i="2" s="1"/>
  <c r="AE103" i="2"/>
  <c r="AG103" i="2" s="1"/>
  <c r="Z103" i="2"/>
  <c r="AB103" i="2" s="1"/>
  <c r="I98" i="2"/>
  <c r="AO98" i="2"/>
  <c r="U98" i="2"/>
  <c r="AJ98" i="2"/>
  <c r="AE98" i="2"/>
  <c r="Z98" i="2"/>
  <c r="I99" i="2"/>
  <c r="AO99" i="2"/>
  <c r="AQ99" i="2" s="1"/>
  <c r="U99" i="2"/>
  <c r="AJ99" i="2"/>
  <c r="AL99" i="2" s="1"/>
  <c r="AE99" i="2"/>
  <c r="AG99" i="2" s="1"/>
  <c r="Z99" i="2"/>
  <c r="AB99" i="2" s="1"/>
  <c r="R105" i="1"/>
  <c r="G102" i="2"/>
  <c r="H102" i="2" s="1"/>
  <c r="BL97" i="2"/>
  <c r="J73" i="1"/>
  <c r="AZ105" i="1"/>
  <c r="BA105" i="1"/>
  <c r="AR79" i="2"/>
  <c r="R79" i="1"/>
  <c r="BE105" i="1"/>
  <c r="AP79" i="1"/>
  <c r="AQ78" i="1"/>
  <c r="P78" i="1"/>
  <c r="BV97" i="2"/>
  <c r="G79" i="2"/>
  <c r="G78" i="2" s="1"/>
  <c r="U78" i="1"/>
  <c r="V78" i="1" s="1"/>
  <c r="F79" i="2"/>
  <c r="F78" i="2" s="1"/>
  <c r="AX79" i="2"/>
  <c r="AX78" i="2" s="1"/>
  <c r="AX73" i="2" s="1"/>
  <c r="AR97" i="2"/>
  <c r="U77" i="2"/>
  <c r="AS79" i="2"/>
  <c r="AW79" i="2" s="1"/>
  <c r="W79" i="2"/>
  <c r="BL88" i="2"/>
  <c r="AM97" i="2"/>
  <c r="BB83" i="2"/>
  <c r="AW83" i="2"/>
  <c r="BV79" i="2"/>
  <c r="AH97" i="2"/>
  <c r="BQ97" i="2"/>
  <c r="BM73" i="2"/>
  <c r="BB97" i="2"/>
  <c r="F97" i="2"/>
  <c r="F105" i="2" s="1"/>
  <c r="F73" i="1"/>
  <c r="G97" i="1"/>
  <c r="G73" i="1" s="1"/>
  <c r="H102" i="1"/>
  <c r="T78" i="2"/>
  <c r="X79" i="2"/>
  <c r="AD79" i="2"/>
  <c r="AD78" i="2" s="1"/>
  <c r="AD73" i="2" s="1"/>
  <c r="AH83" i="2"/>
  <c r="R78" i="2"/>
  <c r="BV78" i="2"/>
  <c r="BT73" i="2"/>
  <c r="BU78" i="2"/>
  <c r="BP79" i="2"/>
  <c r="BO78" i="2"/>
  <c r="BK79" i="2"/>
  <c r="BL79" i="2"/>
  <c r="BJ78" i="2"/>
  <c r="R77" i="2"/>
  <c r="AC83" i="2"/>
  <c r="Y79" i="2"/>
  <c r="AR105" i="2"/>
  <c r="AS105" i="2"/>
  <c r="AW105" i="2" s="1"/>
  <c r="AW97" i="2"/>
  <c r="BK105" i="2"/>
  <c r="BL105" i="2"/>
  <c r="H78" i="2"/>
  <c r="X91" i="2"/>
  <c r="BE78" i="2"/>
  <c r="BF79" i="2"/>
  <c r="BR73" i="2"/>
  <c r="O79" i="2"/>
  <c r="BQ88" i="2"/>
  <c r="AF78" i="2"/>
  <c r="AG79" i="2"/>
  <c r="AB76" i="2"/>
  <c r="BC79" i="2"/>
  <c r="BC78" i="2" s="1"/>
  <c r="BC73" i="2" s="1"/>
  <c r="I83" i="2"/>
  <c r="P96" i="2"/>
  <c r="P74" i="2" s="1"/>
  <c r="R74" i="2" s="1"/>
  <c r="P105" i="2"/>
  <c r="AL78" i="2"/>
  <c r="AK73" i="2"/>
  <c r="AZ78" i="2"/>
  <c r="BA79" i="2"/>
  <c r="BC105" i="2"/>
  <c r="BG105" i="2" s="1"/>
  <c r="BG97" i="2"/>
  <c r="T105" i="2"/>
  <c r="X105" i="2" s="1"/>
  <c r="X97" i="2"/>
  <c r="AI79" i="2"/>
  <c r="AN73" i="2"/>
  <c r="AC97" i="2"/>
  <c r="AP73" i="2"/>
  <c r="AR78" i="2"/>
  <c r="AQ78" i="2"/>
  <c r="AM83" i="2"/>
  <c r="AB78" i="2"/>
  <c r="AA73" i="2"/>
  <c r="I73" i="1"/>
  <c r="AA78" i="1"/>
  <c r="AB78" i="1"/>
  <c r="Z73" i="1"/>
  <c r="BS73" i="1"/>
  <c r="BU78" i="1"/>
  <c r="BT78" i="1"/>
  <c r="AE78" i="1"/>
  <c r="AG79" i="1"/>
  <c r="AF79" i="1"/>
  <c r="BP78" i="1"/>
  <c r="BO78" i="1"/>
  <c r="BN73" i="1"/>
  <c r="BD78" i="1"/>
  <c r="BF79" i="1"/>
  <c r="BE79" i="1"/>
  <c r="H79" i="1"/>
  <c r="BI78" i="1"/>
  <c r="BK79" i="1"/>
  <c r="BJ79" i="1"/>
  <c r="U73" i="1"/>
  <c r="K105" i="1"/>
  <c r="M97" i="1"/>
  <c r="L97" i="1"/>
  <c r="H78" i="1"/>
  <c r="AG105" i="1"/>
  <c r="AF105" i="1"/>
  <c r="M75" i="1"/>
  <c r="L75" i="1"/>
  <c r="Q78" i="1"/>
  <c r="R78" i="1"/>
  <c r="P73" i="1"/>
  <c r="W105" i="1"/>
  <c r="V105" i="1"/>
  <c r="BA73" i="1"/>
  <c r="AZ73" i="1"/>
  <c r="M91" i="1"/>
  <c r="L91" i="1"/>
  <c r="BP105" i="1"/>
  <c r="BO105" i="1"/>
  <c r="AQ73" i="1"/>
  <c r="AP73" i="1"/>
  <c r="BK105" i="1"/>
  <c r="BJ105" i="1"/>
  <c r="K78" i="1"/>
  <c r="M79" i="1"/>
  <c r="L79" i="1"/>
  <c r="M74" i="1"/>
  <c r="L74" i="1"/>
  <c r="AL105" i="1"/>
  <c r="AK105" i="1"/>
  <c r="AK78" i="1"/>
  <c r="AJ73" i="1"/>
  <c r="AL78" i="1"/>
  <c r="AV73" i="1"/>
  <c r="AU73" i="1"/>
  <c r="I79" i="2" l="1"/>
  <c r="W77" i="2"/>
  <c r="AV78" i="2"/>
  <c r="BQ79" i="2"/>
  <c r="I102" i="2"/>
  <c r="AO102" i="2"/>
  <c r="AQ102" i="2" s="1"/>
  <c r="U102" i="2"/>
  <c r="AJ102" i="2"/>
  <c r="AL102" i="2" s="1"/>
  <c r="AE102" i="2"/>
  <c r="AG102" i="2" s="1"/>
  <c r="Z102" i="2"/>
  <c r="AB102" i="2" s="1"/>
  <c r="W103" i="2"/>
  <c r="AO97" i="2"/>
  <c r="AQ98" i="2"/>
  <c r="W98" i="2"/>
  <c r="U97" i="2"/>
  <c r="R100" i="2"/>
  <c r="S100" i="2"/>
  <c r="W100" i="2"/>
  <c r="AG101" i="2"/>
  <c r="R101" i="2"/>
  <c r="S101" i="2"/>
  <c r="R103" i="2"/>
  <c r="S103" i="2"/>
  <c r="G97" i="2"/>
  <c r="AB98" i="2"/>
  <c r="AE97" i="2"/>
  <c r="AG98" i="2"/>
  <c r="W99" i="2"/>
  <c r="Q97" i="2"/>
  <c r="R98" i="2"/>
  <c r="S98" i="2"/>
  <c r="R99" i="2"/>
  <c r="S99" i="2"/>
  <c r="AJ97" i="2"/>
  <c r="AL98" i="2"/>
  <c r="AS78" i="2"/>
  <c r="BB79" i="2"/>
  <c r="BG79" i="2"/>
  <c r="W78" i="1"/>
  <c r="AH79" i="2"/>
  <c r="H97" i="2"/>
  <c r="H96" i="2" s="1"/>
  <c r="F73" i="2"/>
  <c r="H73" i="1"/>
  <c r="G105" i="1"/>
  <c r="H105" i="1" s="1"/>
  <c r="H97" i="1"/>
  <c r="G105" i="2"/>
  <c r="G73" i="2"/>
  <c r="P95" i="2"/>
  <c r="P75" i="2" s="1"/>
  <c r="R75" i="2" s="1"/>
  <c r="R96" i="2"/>
  <c r="BJ73" i="2"/>
  <c r="BL78" i="2"/>
  <c r="BK78" i="2"/>
  <c r="AI78" i="2"/>
  <c r="AM79" i="2"/>
  <c r="BG78" i="2"/>
  <c r="BF78" i="2"/>
  <c r="BE73" i="2"/>
  <c r="BO73" i="2"/>
  <c r="BQ78" i="2"/>
  <c r="BP78" i="2"/>
  <c r="I78" i="2"/>
  <c r="H77" i="2"/>
  <c r="BV73" i="2"/>
  <c r="BU73" i="2"/>
  <c r="AR73" i="2"/>
  <c r="BB78" i="2"/>
  <c r="BA78" i="2"/>
  <c r="AZ73" i="2"/>
  <c r="AH78" i="2"/>
  <c r="AG78" i="2"/>
  <c r="AF73" i="2"/>
  <c r="Y78" i="2"/>
  <c r="AC79" i="2"/>
  <c r="AS73" i="2"/>
  <c r="AW73" i="2" s="1"/>
  <c r="AW78" i="2"/>
  <c r="O78" i="2"/>
  <c r="S79" i="2"/>
  <c r="T73" i="2"/>
  <c r="X73" i="2" s="1"/>
  <c r="X78" i="2"/>
  <c r="M78" i="1"/>
  <c r="L78" i="1"/>
  <c r="K73" i="1"/>
  <c r="M105" i="1"/>
  <c r="L105" i="1"/>
  <c r="W73" i="1"/>
  <c r="V73" i="1"/>
  <c r="BI73" i="1"/>
  <c r="BK78" i="1"/>
  <c r="BJ78" i="1"/>
  <c r="BE78" i="1"/>
  <c r="BF78" i="1"/>
  <c r="BD73" i="1"/>
  <c r="BP73" i="1"/>
  <c r="BO73" i="1"/>
  <c r="R73" i="1"/>
  <c r="Q73" i="1"/>
  <c r="AL73" i="1"/>
  <c r="AK73" i="1"/>
  <c r="AF78" i="1"/>
  <c r="AG78" i="1"/>
  <c r="AE73" i="1"/>
  <c r="BT73" i="1"/>
  <c r="BU73" i="1"/>
  <c r="AB73" i="1"/>
  <c r="AA73" i="1"/>
  <c r="Z97" i="2" l="1"/>
  <c r="AJ105" i="2"/>
  <c r="AL105" i="2" s="1"/>
  <c r="AJ73" i="2"/>
  <c r="AL73" i="2" s="1"/>
  <c r="AL97" i="2"/>
  <c r="AE105" i="2"/>
  <c r="AG105" i="2" s="1"/>
  <c r="AG97" i="2"/>
  <c r="AE73" i="2"/>
  <c r="AG73" i="2" s="1"/>
  <c r="W97" i="2"/>
  <c r="U105" i="2"/>
  <c r="W105" i="2" s="1"/>
  <c r="U96" i="2"/>
  <c r="U73" i="2"/>
  <c r="W73" i="2" s="1"/>
  <c r="AO105" i="2"/>
  <c r="AQ105" i="2" s="1"/>
  <c r="AO73" i="2"/>
  <c r="AQ73" i="2" s="1"/>
  <c r="AQ97" i="2"/>
  <c r="R102" i="2"/>
  <c r="S102" i="2"/>
  <c r="Q105" i="2"/>
  <c r="R97" i="2"/>
  <c r="S97" i="2"/>
  <c r="Q73" i="2"/>
  <c r="R73" i="2" s="1"/>
  <c r="W102" i="2"/>
  <c r="Z73" i="2"/>
  <c r="AB73" i="2" s="1"/>
  <c r="Z105" i="2"/>
  <c r="AB105" i="2" s="1"/>
  <c r="Z96" i="2"/>
  <c r="AB97" i="2"/>
  <c r="I97" i="2"/>
  <c r="H73" i="2"/>
  <c r="I73" i="2" s="1"/>
  <c r="H105" i="2"/>
  <c r="I105" i="2" s="1"/>
  <c r="I96" i="2"/>
  <c r="H95" i="2"/>
  <c r="I95" i="2" s="1"/>
  <c r="BG73" i="2"/>
  <c r="BF73" i="2"/>
  <c r="Y73" i="2"/>
  <c r="AC73" i="2" s="1"/>
  <c r="AC78" i="2"/>
  <c r="BQ73" i="2"/>
  <c r="BP73" i="2"/>
  <c r="AH73" i="2"/>
  <c r="AI73" i="2"/>
  <c r="AM73" i="2" s="1"/>
  <c r="AM78" i="2"/>
  <c r="BB73" i="2"/>
  <c r="BA73" i="2"/>
  <c r="BL73" i="2"/>
  <c r="BK73" i="2"/>
  <c r="O73" i="2"/>
  <c r="S78" i="2"/>
  <c r="I77" i="2"/>
  <c r="H76" i="2"/>
  <c r="H74" i="2"/>
  <c r="I74" i="2" s="1"/>
  <c r="AG73" i="1"/>
  <c r="AF73" i="1"/>
  <c r="BE73" i="1"/>
  <c r="BF73" i="1"/>
  <c r="BK73" i="1"/>
  <c r="BJ73" i="1"/>
  <c r="M73" i="1"/>
  <c r="L73" i="1"/>
  <c r="L73" i="2" l="1"/>
  <c r="N73" i="2" s="1"/>
  <c r="S73" i="2"/>
  <c r="W96" i="2"/>
  <c r="U74" i="2"/>
  <c r="W74" i="2" s="1"/>
  <c r="U95" i="2"/>
  <c r="S105" i="2"/>
  <c r="R105" i="2"/>
  <c r="Z74" i="2"/>
  <c r="AB74" i="2" s="1"/>
  <c r="AB96" i="2"/>
  <c r="Z95" i="2"/>
  <c r="I76" i="2"/>
  <c r="H75" i="2"/>
  <c r="I75" i="2" s="1"/>
  <c r="M73" i="2" l="1"/>
  <c r="Z75" i="2"/>
  <c r="AB75" i="2" s="1"/>
  <c r="AB95" i="2"/>
  <c r="U75" i="2"/>
  <c r="W75" i="2" s="1"/>
  <c r="W95" i="2"/>
  <c r="K23" i="2"/>
  <c r="K20" i="2"/>
  <c r="BL38" i="1"/>
  <c r="BP38" i="1" s="1"/>
  <c r="AR38" i="1"/>
  <c r="I38" i="1" s="1"/>
  <c r="M38" i="1" s="1"/>
  <c r="G38" i="1"/>
  <c r="G38" i="2" s="1"/>
  <c r="I38" i="2" s="1"/>
  <c r="I52" i="2" s="1"/>
  <c r="F51" i="1"/>
  <c r="F52" i="1"/>
  <c r="F57" i="1" s="1"/>
  <c r="F26" i="2"/>
  <c r="G26" i="2"/>
  <c r="I26" i="2" s="1"/>
  <c r="F6" i="2"/>
  <c r="F12" i="2"/>
  <c r="F13" i="2"/>
  <c r="F14" i="2"/>
  <c r="F16" i="2"/>
  <c r="F17" i="2"/>
  <c r="F18" i="2"/>
  <c r="F19" i="2"/>
  <c r="F21" i="2"/>
  <c r="F22" i="2"/>
  <c r="F24" i="2"/>
  <c r="F25" i="2"/>
  <c r="F36" i="2"/>
  <c r="F38" i="2"/>
  <c r="F41" i="2"/>
  <c r="F48" i="2"/>
  <c r="BS59" i="1"/>
  <c r="BU59" i="1" s="1"/>
  <c r="BR59" i="1"/>
  <c r="BQ59" i="1"/>
  <c r="BN59" i="1"/>
  <c r="BM59" i="1"/>
  <c r="BL59" i="1"/>
  <c r="BI59" i="1"/>
  <c r="BH59" i="1"/>
  <c r="BG59" i="1"/>
  <c r="BD59" i="1"/>
  <c r="BF59" i="1" s="1"/>
  <c r="BC59" i="1"/>
  <c r="BB59" i="1"/>
  <c r="AY59" i="1"/>
  <c r="BA59" i="1" s="1"/>
  <c r="AX59" i="1"/>
  <c r="AW59" i="1"/>
  <c r="AT59" i="1"/>
  <c r="AS59" i="1"/>
  <c r="AR59" i="1"/>
  <c r="AO59" i="1"/>
  <c r="AN59" i="1"/>
  <c r="AM59" i="1"/>
  <c r="AJ59" i="1"/>
  <c r="AI59" i="1"/>
  <c r="AH59" i="1"/>
  <c r="AE59" i="1"/>
  <c r="AD59" i="1"/>
  <c r="AC59" i="1"/>
  <c r="Z59" i="1"/>
  <c r="Y59" i="1"/>
  <c r="X59" i="1"/>
  <c r="U59" i="1"/>
  <c r="T59" i="1"/>
  <c r="S59" i="1"/>
  <c r="P59" i="1"/>
  <c r="O59" i="1"/>
  <c r="N59" i="1"/>
  <c r="BS58" i="1"/>
  <c r="BR58" i="1"/>
  <c r="BQ58" i="1"/>
  <c r="BU58" i="1" s="1"/>
  <c r="BN58" i="1"/>
  <c r="BP58" i="1" s="1"/>
  <c r="BM58" i="1"/>
  <c r="BL58" i="1"/>
  <c r="BI58" i="1"/>
  <c r="BH58" i="1"/>
  <c r="BG58" i="1"/>
  <c r="BD58" i="1"/>
  <c r="BC58" i="1"/>
  <c r="BB58" i="1"/>
  <c r="AY58" i="1"/>
  <c r="AX58" i="1"/>
  <c r="AW58" i="1"/>
  <c r="AT58" i="1"/>
  <c r="AS58" i="1"/>
  <c r="AR58" i="1"/>
  <c r="AO58" i="1"/>
  <c r="AN58" i="1"/>
  <c r="AM58" i="1"/>
  <c r="AJ58" i="1"/>
  <c r="AL58" i="1" s="1"/>
  <c r="AI58" i="1"/>
  <c r="AH58" i="1"/>
  <c r="AF58" i="1"/>
  <c r="AE58" i="1"/>
  <c r="AE55" i="1" s="1"/>
  <c r="AD58" i="1"/>
  <c r="AC58" i="1"/>
  <c r="Z58" i="1"/>
  <c r="Y58" i="1"/>
  <c r="X58" i="1"/>
  <c r="U58" i="1"/>
  <c r="W58" i="1" s="1"/>
  <c r="T58" i="1"/>
  <c r="S58" i="1"/>
  <c r="P58" i="1"/>
  <c r="O58" i="1"/>
  <c r="N58" i="1"/>
  <c r="I58" i="1"/>
  <c r="BT57" i="1"/>
  <c r="BS57" i="1"/>
  <c r="BR57" i="1"/>
  <c r="BQ57" i="1"/>
  <c r="BN57" i="1"/>
  <c r="BP57" i="1" s="1"/>
  <c r="BM57" i="1"/>
  <c r="BL57" i="1"/>
  <c r="BI57" i="1"/>
  <c r="BK57" i="1" s="1"/>
  <c r="BH57" i="1"/>
  <c r="BG57" i="1"/>
  <c r="BE57" i="1"/>
  <c r="BD57" i="1"/>
  <c r="BF57" i="1" s="1"/>
  <c r="BC57" i="1"/>
  <c r="BB57" i="1"/>
  <c r="AY57" i="1"/>
  <c r="BA57" i="1" s="1"/>
  <c r="AX57" i="1"/>
  <c r="AW57" i="1"/>
  <c r="AT57" i="1"/>
  <c r="AS57" i="1"/>
  <c r="AR57" i="1"/>
  <c r="AV57" i="1" s="1"/>
  <c r="AO57" i="1"/>
  <c r="AN57" i="1"/>
  <c r="AM57" i="1"/>
  <c r="AJ57" i="1"/>
  <c r="AI57" i="1"/>
  <c r="AH57" i="1"/>
  <c r="AE57" i="1"/>
  <c r="AG57" i="1" s="1"/>
  <c r="AD57" i="1"/>
  <c r="AC57" i="1"/>
  <c r="AA57" i="1"/>
  <c r="Z57" i="1"/>
  <c r="Y57" i="1"/>
  <c r="X57" i="1"/>
  <c r="U57" i="1"/>
  <c r="T57" i="1"/>
  <c r="S57" i="1"/>
  <c r="P57" i="1"/>
  <c r="O57" i="1"/>
  <c r="N57" i="1"/>
  <c r="BS56" i="1"/>
  <c r="BR56" i="1"/>
  <c r="BQ56" i="1"/>
  <c r="BO56" i="1"/>
  <c r="BN56" i="1"/>
  <c r="BM56" i="1"/>
  <c r="BL56" i="1"/>
  <c r="BL55" i="1" s="1"/>
  <c r="BK56" i="1"/>
  <c r="BI56" i="1"/>
  <c r="BH56" i="1"/>
  <c r="BG56" i="1"/>
  <c r="BE56" i="1"/>
  <c r="BD56" i="1"/>
  <c r="BD55" i="1" s="1"/>
  <c r="BC56" i="1"/>
  <c r="BB56" i="1"/>
  <c r="BF56" i="1" s="1"/>
  <c r="AY56" i="1"/>
  <c r="AY55" i="1" s="1"/>
  <c r="AX56" i="1"/>
  <c r="AW56" i="1"/>
  <c r="AT56" i="1"/>
  <c r="AS56" i="1"/>
  <c r="AR56" i="1"/>
  <c r="AO56" i="1"/>
  <c r="AN56" i="1"/>
  <c r="AM56" i="1"/>
  <c r="AJ56" i="1"/>
  <c r="AL56" i="1" s="1"/>
  <c r="AI56" i="1"/>
  <c r="AH56" i="1"/>
  <c r="AE56" i="1"/>
  <c r="AG56" i="1" s="1"/>
  <c r="AD56" i="1"/>
  <c r="AC56" i="1"/>
  <c r="Z56" i="1"/>
  <c r="Y56" i="1"/>
  <c r="X56" i="1"/>
  <c r="U56" i="1"/>
  <c r="T56" i="1"/>
  <c r="S56" i="1"/>
  <c r="P56" i="1"/>
  <c r="O56" i="1"/>
  <c r="N56" i="1"/>
  <c r="K56" i="1"/>
  <c r="P55" i="1"/>
  <c r="BR54" i="1"/>
  <c r="BQ54" i="1"/>
  <c r="BL54" i="1"/>
  <c r="BH54" i="1"/>
  <c r="BG54" i="1"/>
  <c r="BC54" i="1"/>
  <c r="BB54" i="1"/>
  <c r="AW54" i="1"/>
  <c r="AR54" i="1"/>
  <c r="AM54" i="1"/>
  <c r="AH54" i="1"/>
  <c r="AD54" i="1"/>
  <c r="AC54" i="1"/>
  <c r="X54" i="1"/>
  <c r="T54" i="1"/>
  <c r="S54" i="1"/>
  <c r="N54" i="1"/>
  <c r="BS52" i="1"/>
  <c r="BR52" i="1"/>
  <c r="BQ52" i="1"/>
  <c r="BU52" i="1" s="1"/>
  <c r="BN52" i="1"/>
  <c r="BO52" i="1" s="1"/>
  <c r="BM52" i="1"/>
  <c r="BI52" i="1"/>
  <c r="BH52" i="1"/>
  <c r="BG52" i="1"/>
  <c r="BD52" i="1"/>
  <c r="BC52" i="1"/>
  <c r="BE52" i="1" s="1"/>
  <c r="BB52" i="1"/>
  <c r="AY52" i="1"/>
  <c r="AX52" i="1"/>
  <c r="AW52" i="1"/>
  <c r="AT52" i="1"/>
  <c r="AS52" i="1"/>
  <c r="AO52" i="1"/>
  <c r="AN52" i="1"/>
  <c r="AP52" i="1" s="1"/>
  <c r="AM52" i="1"/>
  <c r="AJ52" i="1"/>
  <c r="AL52" i="1" s="1"/>
  <c r="AI52" i="1"/>
  <c r="AK52" i="1" s="1"/>
  <c r="AH52" i="1"/>
  <c r="AE52" i="1"/>
  <c r="AD52" i="1"/>
  <c r="AC52" i="1"/>
  <c r="Z52" i="1"/>
  <c r="AB52" i="1" s="1"/>
  <c r="Y52" i="1"/>
  <c r="X52" i="1"/>
  <c r="U52" i="1"/>
  <c r="T52" i="1"/>
  <c r="V52" i="1" s="1"/>
  <c r="S52" i="1"/>
  <c r="W52" i="1" s="1"/>
  <c r="P52" i="1"/>
  <c r="R52" i="1" s="1"/>
  <c r="O52" i="1"/>
  <c r="N52" i="1"/>
  <c r="BS51" i="1"/>
  <c r="BR51" i="1"/>
  <c r="BQ51" i="1"/>
  <c r="BN51" i="1"/>
  <c r="BM51" i="1"/>
  <c r="BL51" i="1"/>
  <c r="BI51" i="1"/>
  <c r="BH51" i="1"/>
  <c r="BJ51" i="1" s="1"/>
  <c r="BG51" i="1"/>
  <c r="BK51" i="1" s="1"/>
  <c r="BF51" i="1"/>
  <c r="BD51" i="1"/>
  <c r="BC51" i="1"/>
  <c r="BB51" i="1"/>
  <c r="AZ51" i="1"/>
  <c r="AY51" i="1"/>
  <c r="AX51" i="1"/>
  <c r="AW51" i="1"/>
  <c r="AT51" i="1"/>
  <c r="AS51" i="1"/>
  <c r="AR51" i="1"/>
  <c r="AQ51" i="1"/>
  <c r="AO51" i="1"/>
  <c r="AP51" i="1" s="1"/>
  <c r="AN51" i="1"/>
  <c r="AM51" i="1"/>
  <c r="AJ51" i="1"/>
  <c r="AL51" i="1" s="1"/>
  <c r="AI51" i="1"/>
  <c r="AH51" i="1"/>
  <c r="AE51" i="1"/>
  <c r="AD51" i="1"/>
  <c r="AC51" i="1"/>
  <c r="Z51" i="1"/>
  <c r="AB51" i="1" s="1"/>
  <c r="Y51" i="1"/>
  <c r="X51" i="1"/>
  <c r="U51" i="1"/>
  <c r="T51" i="1"/>
  <c r="S51" i="1"/>
  <c r="P51" i="1"/>
  <c r="R51" i="1" s="1"/>
  <c r="O51" i="1"/>
  <c r="N51" i="1"/>
  <c r="R49" i="1"/>
  <c r="Q49" i="1"/>
  <c r="M49" i="1"/>
  <c r="L49" i="1"/>
  <c r="K49" i="1"/>
  <c r="J49" i="1"/>
  <c r="I49" i="1"/>
  <c r="BQ48" i="1"/>
  <c r="BL48" i="1"/>
  <c r="BG48" i="1"/>
  <c r="BB48" i="1"/>
  <c r="AW48" i="1"/>
  <c r="AR48" i="1"/>
  <c r="AM48" i="1"/>
  <c r="AH48" i="1"/>
  <c r="AC48" i="1"/>
  <c r="X48" i="1"/>
  <c r="S48" i="1"/>
  <c r="N48" i="1"/>
  <c r="I48" i="1"/>
  <c r="G48" i="1"/>
  <c r="F48" i="1"/>
  <c r="E46" i="1"/>
  <c r="BS45" i="1"/>
  <c r="BN45" i="1"/>
  <c r="BI45" i="1"/>
  <c r="BD45" i="1"/>
  <c r="AY45" i="1"/>
  <c r="AT45" i="1"/>
  <c r="AO45" i="1"/>
  <c r="AJ45" i="1"/>
  <c r="AE45" i="1"/>
  <c r="Z45" i="1"/>
  <c r="U45" i="1"/>
  <c r="P45" i="1"/>
  <c r="BU43" i="1"/>
  <c r="BP43" i="1"/>
  <c r="BK43" i="1"/>
  <c r="BF43" i="1"/>
  <c r="BA43" i="1"/>
  <c r="AV43" i="1"/>
  <c r="AQ43" i="1"/>
  <c r="AL43" i="1"/>
  <c r="AG43" i="1"/>
  <c r="AB43" i="1"/>
  <c r="W43" i="1"/>
  <c r="R43" i="1"/>
  <c r="K43" i="1"/>
  <c r="I43" i="1"/>
  <c r="F43" i="1" s="1"/>
  <c r="F43" i="2" s="1"/>
  <c r="BU42" i="1"/>
  <c r="BT42" i="1"/>
  <c r="BT56" i="1" s="1"/>
  <c r="BP42" i="1"/>
  <c r="BO42" i="1"/>
  <c r="BK42" i="1"/>
  <c r="BJ42" i="1"/>
  <c r="BJ56" i="1" s="1"/>
  <c r="BF42" i="1"/>
  <c r="BE42" i="1"/>
  <c r="BA42" i="1"/>
  <c r="AZ42" i="1"/>
  <c r="AZ56" i="1" s="1"/>
  <c r="AV42" i="1"/>
  <c r="AU42" i="1"/>
  <c r="AU56" i="1" s="1"/>
  <c r="AQ42" i="1"/>
  <c r="AP42" i="1"/>
  <c r="AP56" i="1" s="1"/>
  <c r="AL42" i="1"/>
  <c r="AK42" i="1"/>
  <c r="AK56" i="1" s="1"/>
  <c r="AG42" i="1"/>
  <c r="AF42" i="1"/>
  <c r="AF56" i="1" s="1"/>
  <c r="AB42" i="1"/>
  <c r="AA42" i="1"/>
  <c r="AA56" i="1" s="1"/>
  <c r="W42" i="1"/>
  <c r="V42" i="1"/>
  <c r="V56" i="1" s="1"/>
  <c r="R42" i="1"/>
  <c r="Q42" i="1"/>
  <c r="Q56" i="1" s="1"/>
  <c r="K42" i="1"/>
  <c r="G42" i="1" s="1"/>
  <c r="J42" i="1"/>
  <c r="J56" i="1" s="1"/>
  <c r="I42" i="1"/>
  <c r="F42" i="1" s="1"/>
  <c r="F42" i="2" s="1"/>
  <c r="H42" i="1"/>
  <c r="H56" i="1" s="1"/>
  <c r="BU41" i="1"/>
  <c r="BT41" i="1"/>
  <c r="BP41" i="1"/>
  <c r="BO41" i="1"/>
  <c r="BK41" i="1"/>
  <c r="BJ41" i="1"/>
  <c r="BF41" i="1"/>
  <c r="BE41" i="1"/>
  <c r="BA41" i="1"/>
  <c r="AZ41" i="1"/>
  <c r="AV41" i="1"/>
  <c r="AU41" i="1"/>
  <c r="AQ41" i="1"/>
  <c r="AP41" i="1"/>
  <c r="AL41" i="1"/>
  <c r="AK41" i="1"/>
  <c r="AG41" i="1"/>
  <c r="AF41" i="1"/>
  <c r="AB41" i="1"/>
  <c r="AA41" i="1"/>
  <c r="W41" i="1"/>
  <c r="V41" i="1"/>
  <c r="R41" i="1"/>
  <c r="Q41" i="1"/>
  <c r="K41" i="1"/>
  <c r="M41" i="1" s="1"/>
  <c r="J41" i="1"/>
  <c r="J51" i="1" s="1"/>
  <c r="I41" i="1"/>
  <c r="I51" i="1" s="1"/>
  <c r="BU40" i="1"/>
  <c r="BP40" i="1"/>
  <c r="BK40" i="1"/>
  <c r="BF40" i="1"/>
  <c r="BA40" i="1"/>
  <c r="AV40" i="1"/>
  <c r="AQ40" i="1"/>
  <c r="AL40" i="1"/>
  <c r="AG40" i="1"/>
  <c r="AB40" i="1"/>
  <c r="W40" i="1"/>
  <c r="R40" i="1"/>
  <c r="K40" i="1"/>
  <c r="G40" i="1" s="1"/>
  <c r="H40" i="1" s="1"/>
  <c r="I40" i="1"/>
  <c r="F40" i="1" s="1"/>
  <c r="F40" i="2" s="1"/>
  <c r="BU39" i="1"/>
  <c r="BT39" i="1"/>
  <c r="BP39" i="1"/>
  <c r="BO39" i="1"/>
  <c r="BO57" i="1" s="1"/>
  <c r="BK39" i="1"/>
  <c r="BJ39" i="1"/>
  <c r="BJ57" i="1" s="1"/>
  <c r="BF39" i="1"/>
  <c r="BE39" i="1"/>
  <c r="BA39" i="1"/>
  <c r="AZ39" i="1"/>
  <c r="AZ57" i="1" s="1"/>
  <c r="AV39" i="1"/>
  <c r="AU39" i="1"/>
  <c r="AU57" i="1" s="1"/>
  <c r="AQ39" i="1"/>
  <c r="AP39" i="1"/>
  <c r="AP57" i="1" s="1"/>
  <c r="AL39" i="1"/>
  <c r="AK39" i="1"/>
  <c r="AK57" i="1" s="1"/>
  <c r="AG39" i="1"/>
  <c r="AF39" i="1"/>
  <c r="AF57" i="1" s="1"/>
  <c r="AB39" i="1"/>
  <c r="AA39" i="1"/>
  <c r="W39" i="1"/>
  <c r="V39" i="1"/>
  <c r="V57" i="1" s="1"/>
  <c r="R39" i="1"/>
  <c r="Q39" i="1"/>
  <c r="Q57" i="1" s="1"/>
  <c r="M39" i="1"/>
  <c r="K39" i="1"/>
  <c r="K57" i="1" s="1"/>
  <c r="J39" i="1"/>
  <c r="I39" i="1"/>
  <c r="BU38" i="1"/>
  <c r="BT38" i="1"/>
  <c r="BO38" i="1"/>
  <c r="BK38" i="1"/>
  <c r="BJ38" i="1"/>
  <c r="BF38" i="1"/>
  <c r="BE38" i="1"/>
  <c r="BA38" i="1"/>
  <c r="AZ38" i="1"/>
  <c r="AU38" i="1"/>
  <c r="AQ38" i="1"/>
  <c r="AP38" i="1"/>
  <c r="AL38" i="1"/>
  <c r="AK38" i="1"/>
  <c r="AG38" i="1"/>
  <c r="AF38" i="1"/>
  <c r="AB38" i="1"/>
  <c r="AA38" i="1"/>
  <c r="W38" i="1"/>
  <c r="V38" i="1"/>
  <c r="R38" i="1"/>
  <c r="Q38" i="1"/>
  <c r="K38" i="1"/>
  <c r="J38" i="1"/>
  <c r="J52" i="1" s="1"/>
  <c r="BQ37" i="1"/>
  <c r="BL37" i="1"/>
  <c r="BH37" i="1"/>
  <c r="BG37" i="1"/>
  <c r="BC37" i="1"/>
  <c r="BB37" i="1"/>
  <c r="AW37" i="1"/>
  <c r="AR37" i="1"/>
  <c r="AM37" i="1"/>
  <c r="AH37" i="1"/>
  <c r="AD37" i="1"/>
  <c r="AC37" i="1"/>
  <c r="Y37" i="1"/>
  <c r="X37" i="1"/>
  <c r="T37" i="1"/>
  <c r="S37" i="1"/>
  <c r="O37" i="1"/>
  <c r="N37" i="1"/>
  <c r="BU36" i="1"/>
  <c r="BT36" i="1"/>
  <c r="BP36" i="1"/>
  <c r="BO36" i="1"/>
  <c r="BK36" i="1"/>
  <c r="BJ36" i="1"/>
  <c r="BF36" i="1"/>
  <c r="BE36" i="1"/>
  <c r="BA36" i="1"/>
  <c r="AZ36" i="1"/>
  <c r="AV36" i="1"/>
  <c r="AU36" i="1"/>
  <c r="AQ36" i="1"/>
  <c r="AP36" i="1"/>
  <c r="AL36" i="1"/>
  <c r="AK36" i="1"/>
  <c r="AG36" i="1"/>
  <c r="AF36" i="1"/>
  <c r="AB36" i="1"/>
  <c r="AA36" i="1"/>
  <c r="W36" i="1"/>
  <c r="V36" i="1"/>
  <c r="R36" i="1"/>
  <c r="Q36" i="1"/>
  <c r="K36" i="1"/>
  <c r="J36" i="1"/>
  <c r="I36" i="1"/>
  <c r="F36" i="1" s="1"/>
  <c r="H36" i="1" s="1"/>
  <c r="BU35" i="1"/>
  <c r="BT35" i="1"/>
  <c r="BP35" i="1"/>
  <c r="BO35" i="1"/>
  <c r="BK35" i="1"/>
  <c r="BJ35" i="1"/>
  <c r="BF35" i="1"/>
  <c r="BE35" i="1"/>
  <c r="BA35" i="1"/>
  <c r="AZ35" i="1"/>
  <c r="AV35" i="1"/>
  <c r="AU35" i="1"/>
  <c r="AQ35" i="1"/>
  <c r="AP35" i="1"/>
  <c r="AL35" i="1"/>
  <c r="AK35" i="1"/>
  <c r="AG35" i="1"/>
  <c r="AF35" i="1"/>
  <c r="AB35" i="1"/>
  <c r="AA35" i="1"/>
  <c r="W35" i="1"/>
  <c r="V35" i="1"/>
  <c r="R35" i="1"/>
  <c r="Q35" i="1"/>
  <c r="K35" i="1"/>
  <c r="J35" i="1"/>
  <c r="I35" i="1"/>
  <c r="F35" i="1" s="1"/>
  <c r="F35" i="2" s="1"/>
  <c r="BU34" i="1"/>
  <c r="BT34" i="1"/>
  <c r="BP34" i="1"/>
  <c r="BO34" i="1"/>
  <c r="BK34" i="1"/>
  <c r="BJ34" i="1"/>
  <c r="BF34" i="1"/>
  <c r="BE34" i="1"/>
  <c r="BA34" i="1"/>
  <c r="AZ34" i="1"/>
  <c r="AV34" i="1"/>
  <c r="AU34" i="1"/>
  <c r="AQ34" i="1"/>
  <c r="AP34" i="1"/>
  <c r="AL34" i="1"/>
  <c r="AK34" i="1"/>
  <c r="AG34" i="1"/>
  <c r="AF34" i="1"/>
  <c r="AB34" i="1"/>
  <c r="AA34" i="1"/>
  <c r="W34" i="1"/>
  <c r="V34" i="1"/>
  <c r="R34" i="1"/>
  <c r="Q34" i="1"/>
  <c r="K34" i="1"/>
  <c r="J34" i="1"/>
  <c r="I34" i="1"/>
  <c r="F34" i="1" s="1"/>
  <c r="H34" i="1" s="1"/>
  <c r="BU33" i="1"/>
  <c r="BT33" i="1"/>
  <c r="BP33" i="1"/>
  <c r="BO33" i="1"/>
  <c r="BK33" i="1"/>
  <c r="BJ33" i="1"/>
  <c r="BF33" i="1"/>
  <c r="BE33" i="1"/>
  <c r="BA33" i="1"/>
  <c r="AZ33" i="1"/>
  <c r="AV33" i="1"/>
  <c r="AU33" i="1"/>
  <c r="AQ33" i="1"/>
  <c r="AP33" i="1"/>
  <c r="AL33" i="1"/>
  <c r="AK33" i="1"/>
  <c r="AG33" i="1"/>
  <c r="AF33" i="1"/>
  <c r="AB33" i="1"/>
  <c r="AA33" i="1"/>
  <c r="W33" i="1"/>
  <c r="V33" i="1"/>
  <c r="R33" i="1"/>
  <c r="Q33" i="1"/>
  <c r="K33" i="1"/>
  <c r="J33" i="1"/>
  <c r="I33" i="1"/>
  <c r="F33" i="1" s="1"/>
  <c r="F33" i="2" s="1"/>
  <c r="BU32" i="1"/>
  <c r="BT32" i="1"/>
  <c r="BP32" i="1"/>
  <c r="BO32" i="1"/>
  <c r="BK32" i="1"/>
  <c r="BJ32" i="1"/>
  <c r="BF32" i="1"/>
  <c r="BE32" i="1"/>
  <c r="BA32" i="1"/>
  <c r="AZ32" i="1"/>
  <c r="AV32" i="1"/>
  <c r="AU32" i="1"/>
  <c r="AQ32" i="1"/>
  <c r="AP32" i="1"/>
  <c r="AL32" i="1"/>
  <c r="AK32" i="1"/>
  <c r="AG32" i="1"/>
  <c r="AF32" i="1"/>
  <c r="AB32" i="1"/>
  <c r="AA32" i="1"/>
  <c r="W32" i="1"/>
  <c r="V32" i="1"/>
  <c r="R32" i="1"/>
  <c r="Q32" i="1"/>
  <c r="K32" i="1"/>
  <c r="J32" i="1"/>
  <c r="I32" i="1"/>
  <c r="F32" i="1" s="1"/>
  <c r="H32" i="1" s="1"/>
  <c r="BU31" i="1"/>
  <c r="BT31" i="1"/>
  <c r="BP31" i="1"/>
  <c r="BO31" i="1"/>
  <c r="BK31" i="1"/>
  <c r="BJ31" i="1"/>
  <c r="BF31" i="1"/>
  <c r="BE31" i="1"/>
  <c r="BA31" i="1"/>
  <c r="AZ31" i="1"/>
  <c r="AV31" i="1"/>
  <c r="AU31" i="1"/>
  <c r="AQ31" i="1"/>
  <c r="AP31" i="1"/>
  <c r="AL31" i="1"/>
  <c r="AK31" i="1"/>
  <c r="AG31" i="1"/>
  <c r="AF31" i="1"/>
  <c r="AB31" i="1"/>
  <c r="AA31" i="1"/>
  <c r="W31" i="1"/>
  <c r="V31" i="1"/>
  <c r="R31" i="1"/>
  <c r="Q31" i="1"/>
  <c r="K31" i="1"/>
  <c r="J31" i="1"/>
  <c r="I31" i="1"/>
  <c r="F31" i="1" s="1"/>
  <c r="H31" i="1" s="1"/>
  <c r="BU30" i="1"/>
  <c r="BT30" i="1"/>
  <c r="BP30" i="1"/>
  <c r="BO30" i="1"/>
  <c r="BK30" i="1"/>
  <c r="BJ30" i="1"/>
  <c r="BF30" i="1"/>
  <c r="BE30" i="1"/>
  <c r="BA30" i="1"/>
  <c r="AZ30" i="1"/>
  <c r="AV30" i="1"/>
  <c r="AU30" i="1"/>
  <c r="AQ30" i="1"/>
  <c r="AP30" i="1"/>
  <c r="AL30" i="1"/>
  <c r="AK30" i="1"/>
  <c r="AG30" i="1"/>
  <c r="AF30" i="1"/>
  <c r="AB30" i="1"/>
  <c r="AA30" i="1"/>
  <c r="W30" i="1"/>
  <c r="V30" i="1"/>
  <c r="R30" i="1"/>
  <c r="Q30" i="1"/>
  <c r="K30" i="1"/>
  <c r="L30" i="1" s="1"/>
  <c r="J30" i="1"/>
  <c r="I30" i="1"/>
  <c r="F30" i="1" s="1"/>
  <c r="H30" i="1" s="1"/>
  <c r="BS29" i="1"/>
  <c r="BR37" i="1"/>
  <c r="BN29" i="1"/>
  <c r="BP29" i="1" s="1"/>
  <c r="BI29" i="1"/>
  <c r="BJ29" i="1" s="1"/>
  <c r="BD29" i="1"/>
  <c r="BF29" i="1" s="1"/>
  <c r="AY29" i="1"/>
  <c r="BA29" i="1" s="1"/>
  <c r="AX37" i="1"/>
  <c r="AT29" i="1"/>
  <c r="AV29" i="1" s="1"/>
  <c r="AO29" i="1"/>
  <c r="AJ29" i="1"/>
  <c r="AL29" i="1" s="1"/>
  <c r="AE29" i="1"/>
  <c r="AF29" i="1" s="1"/>
  <c r="Z29" i="1"/>
  <c r="AB29" i="1" s="1"/>
  <c r="Y54" i="1"/>
  <c r="U29" i="1"/>
  <c r="U37" i="1" s="1"/>
  <c r="P29" i="1"/>
  <c r="O54" i="1"/>
  <c r="G29" i="1"/>
  <c r="G37" i="1" s="1"/>
  <c r="BU28" i="1"/>
  <c r="BT28" i="1"/>
  <c r="BT59" i="1" s="1"/>
  <c r="BP28" i="1"/>
  <c r="BO28" i="1"/>
  <c r="BO59" i="1" s="1"/>
  <c r="BK28" i="1"/>
  <c r="BJ28" i="1"/>
  <c r="BJ59" i="1" s="1"/>
  <c r="BF28" i="1"/>
  <c r="BE28" i="1"/>
  <c r="BE59" i="1" s="1"/>
  <c r="BA28" i="1"/>
  <c r="AZ28" i="1"/>
  <c r="AZ59" i="1" s="1"/>
  <c r="AV28" i="1"/>
  <c r="AU28" i="1"/>
  <c r="AU59" i="1" s="1"/>
  <c r="AQ28" i="1"/>
  <c r="AP28" i="1"/>
  <c r="AP59" i="1" s="1"/>
  <c r="AL28" i="1"/>
  <c r="AK28" i="1"/>
  <c r="AK59" i="1" s="1"/>
  <c r="AG28" i="1"/>
  <c r="AF28" i="1"/>
  <c r="AF59" i="1" s="1"/>
  <c r="AB28" i="1"/>
  <c r="AA28" i="1"/>
  <c r="AA59" i="1" s="1"/>
  <c r="W28" i="1"/>
  <c r="V28" i="1"/>
  <c r="V59" i="1" s="1"/>
  <c r="R28" i="1"/>
  <c r="Q28" i="1"/>
  <c r="Q59" i="1" s="1"/>
  <c r="K28" i="1"/>
  <c r="L28" i="1" s="1"/>
  <c r="L59" i="1" s="1"/>
  <c r="J28" i="1"/>
  <c r="J59" i="1" s="1"/>
  <c r="I28" i="1"/>
  <c r="I59" i="1" s="1"/>
  <c r="H28" i="1"/>
  <c r="H59" i="1" s="1"/>
  <c r="BU27" i="1"/>
  <c r="BT27" i="1"/>
  <c r="BP27" i="1"/>
  <c r="BO27" i="1"/>
  <c r="BK27" i="1"/>
  <c r="BJ27" i="1"/>
  <c r="BF27" i="1"/>
  <c r="BE27" i="1"/>
  <c r="BA27" i="1"/>
  <c r="AZ27" i="1"/>
  <c r="AV27" i="1"/>
  <c r="AU27" i="1"/>
  <c r="AQ27" i="1"/>
  <c r="AP27" i="1"/>
  <c r="AL27" i="1"/>
  <c r="AK27" i="1"/>
  <c r="AG27" i="1"/>
  <c r="AF27" i="1"/>
  <c r="AB27" i="1"/>
  <c r="AA27" i="1"/>
  <c r="W27" i="1"/>
  <c r="V27" i="1"/>
  <c r="R27" i="1"/>
  <c r="Q27" i="1"/>
  <c r="K27" i="1"/>
  <c r="I27" i="1"/>
  <c r="I6" i="1" s="1"/>
  <c r="H27" i="1"/>
  <c r="BU26" i="1"/>
  <c r="BT26" i="1"/>
  <c r="BP26" i="1"/>
  <c r="BO26" i="1"/>
  <c r="BK26" i="1"/>
  <c r="BJ26" i="1"/>
  <c r="BF26" i="1"/>
  <c r="BE26" i="1"/>
  <c r="BA26" i="1"/>
  <c r="AZ26" i="1"/>
  <c r="AV26" i="1"/>
  <c r="AU26" i="1"/>
  <c r="AQ26" i="1"/>
  <c r="AP26" i="1"/>
  <c r="AL26" i="1"/>
  <c r="AK26" i="1"/>
  <c r="AG26" i="1"/>
  <c r="AF26" i="1"/>
  <c r="AB26" i="1"/>
  <c r="AA26" i="1"/>
  <c r="W26" i="1"/>
  <c r="V26" i="1"/>
  <c r="R26" i="1"/>
  <c r="Q26" i="1"/>
  <c r="K26" i="1"/>
  <c r="J26" i="1"/>
  <c r="I26" i="1"/>
  <c r="H26" i="1"/>
  <c r="BU25" i="1"/>
  <c r="BT25" i="1"/>
  <c r="BP25" i="1"/>
  <c r="BO25" i="1"/>
  <c r="BK25" i="1"/>
  <c r="BJ25" i="1"/>
  <c r="BF25" i="1"/>
  <c r="BE25" i="1"/>
  <c r="BA25" i="1"/>
  <c r="AZ25" i="1"/>
  <c r="AV25" i="1"/>
  <c r="AU25" i="1"/>
  <c r="AQ25" i="1"/>
  <c r="AP25" i="1"/>
  <c r="AL25" i="1"/>
  <c r="AK25" i="1"/>
  <c r="AG25" i="1"/>
  <c r="AF25" i="1"/>
  <c r="AB25" i="1"/>
  <c r="AA25" i="1"/>
  <c r="W25" i="1"/>
  <c r="V25" i="1"/>
  <c r="R25" i="1"/>
  <c r="Q25" i="1"/>
  <c r="K25" i="1"/>
  <c r="J25" i="1"/>
  <c r="I25" i="1"/>
  <c r="H25" i="1"/>
  <c r="BU24" i="1"/>
  <c r="BT24" i="1"/>
  <c r="BP24" i="1"/>
  <c r="BO24" i="1"/>
  <c r="BK24" i="1"/>
  <c r="BJ24" i="1"/>
  <c r="BF24" i="1"/>
  <c r="BE24" i="1"/>
  <c r="BA24" i="1"/>
  <c r="AZ24" i="1"/>
  <c r="AV24" i="1"/>
  <c r="AU24" i="1"/>
  <c r="AQ24" i="1"/>
  <c r="AP24" i="1"/>
  <c r="AL24" i="1"/>
  <c r="AK24" i="1"/>
  <c r="AG24" i="1"/>
  <c r="AF24" i="1"/>
  <c r="AB24" i="1"/>
  <c r="AA24" i="1"/>
  <c r="W24" i="1"/>
  <c r="V24" i="1"/>
  <c r="R24" i="1"/>
  <c r="Q24" i="1"/>
  <c r="K24" i="1"/>
  <c r="J24" i="1"/>
  <c r="I24" i="1"/>
  <c r="H24" i="1"/>
  <c r="BS23" i="1"/>
  <c r="BR23" i="1"/>
  <c r="BQ23" i="1"/>
  <c r="BN23" i="1"/>
  <c r="BM23" i="1"/>
  <c r="BL23" i="1"/>
  <c r="BI23" i="1"/>
  <c r="BH23" i="1"/>
  <c r="BJ23" i="1" s="1"/>
  <c r="BG23" i="1"/>
  <c r="BD23" i="1"/>
  <c r="BC23" i="1"/>
  <c r="BB23" i="1"/>
  <c r="AY23" i="1"/>
  <c r="AX23" i="1"/>
  <c r="AW23" i="1"/>
  <c r="AT23" i="1"/>
  <c r="AS23" i="1"/>
  <c r="AR23" i="1"/>
  <c r="AO23" i="1"/>
  <c r="AN23" i="1"/>
  <c r="AM23" i="1"/>
  <c r="AJ23" i="1"/>
  <c r="AI23" i="1"/>
  <c r="AH23" i="1"/>
  <c r="AL23" i="1" s="1"/>
  <c r="AE23" i="1"/>
  <c r="AD23" i="1"/>
  <c r="AC23" i="1"/>
  <c r="Z23" i="1"/>
  <c r="AA23" i="1" s="1"/>
  <c r="Y23" i="1"/>
  <c r="X23" i="1"/>
  <c r="U23" i="1"/>
  <c r="T23" i="1"/>
  <c r="S23" i="1"/>
  <c r="P23" i="1"/>
  <c r="O23" i="1"/>
  <c r="N23" i="1"/>
  <c r="G23" i="1"/>
  <c r="F23" i="1"/>
  <c r="H23" i="1" s="1"/>
  <c r="BU22" i="1"/>
  <c r="BT22" i="1"/>
  <c r="BP22" i="1"/>
  <c r="BO22" i="1"/>
  <c r="BK22" i="1"/>
  <c r="BJ22" i="1"/>
  <c r="BF22" i="1"/>
  <c r="BE22" i="1"/>
  <c r="BA22" i="1"/>
  <c r="AZ22" i="1"/>
  <c r="AV22" i="1"/>
  <c r="AU22" i="1"/>
  <c r="AQ22" i="1"/>
  <c r="AP22" i="1"/>
  <c r="AL22" i="1"/>
  <c r="AK22" i="1"/>
  <c r="AG22" i="1"/>
  <c r="AF22" i="1"/>
  <c r="AB22" i="1"/>
  <c r="AA22" i="1"/>
  <c r="W22" i="1"/>
  <c r="V22" i="1"/>
  <c r="R22" i="1"/>
  <c r="Q22" i="1"/>
  <c r="K22" i="1"/>
  <c r="L22" i="1" s="1"/>
  <c r="J22" i="1"/>
  <c r="I22" i="1"/>
  <c r="H22" i="1"/>
  <c r="BU21" i="1"/>
  <c r="BT21" i="1"/>
  <c r="BP21" i="1"/>
  <c r="BO21" i="1"/>
  <c r="BK21" i="1"/>
  <c r="BJ21" i="1"/>
  <c r="BF21" i="1"/>
  <c r="BE21" i="1"/>
  <c r="BA21" i="1"/>
  <c r="AZ21" i="1"/>
  <c r="AV21" i="1"/>
  <c r="AU21" i="1"/>
  <c r="AQ21" i="1"/>
  <c r="AP21" i="1"/>
  <c r="AL21" i="1"/>
  <c r="AK21" i="1"/>
  <c r="AG21" i="1"/>
  <c r="AF21" i="1"/>
  <c r="AB21" i="1"/>
  <c r="AA21" i="1"/>
  <c r="W21" i="1"/>
  <c r="V21" i="1"/>
  <c r="R21" i="1"/>
  <c r="Q21" i="1"/>
  <c r="K21" i="1"/>
  <c r="J21" i="1"/>
  <c r="I21" i="1"/>
  <c r="H21" i="1"/>
  <c r="BS20" i="1"/>
  <c r="BR20" i="1"/>
  <c r="BQ20" i="1"/>
  <c r="BN20" i="1"/>
  <c r="BM20" i="1"/>
  <c r="BL20" i="1"/>
  <c r="BI20" i="1"/>
  <c r="BH20" i="1"/>
  <c r="BG20" i="1"/>
  <c r="BD20" i="1"/>
  <c r="BC20" i="1"/>
  <c r="BB20" i="1"/>
  <c r="AY20" i="1"/>
  <c r="AX20" i="1"/>
  <c r="AZ20" i="1" s="1"/>
  <c r="AW20" i="1"/>
  <c r="BA20" i="1" s="1"/>
  <c r="AT20" i="1"/>
  <c r="AS20" i="1"/>
  <c r="AR20" i="1"/>
  <c r="AO20" i="1"/>
  <c r="AQ20" i="1" s="1"/>
  <c r="AN20" i="1"/>
  <c r="AM20" i="1"/>
  <c r="AJ20" i="1"/>
  <c r="AI20" i="1"/>
  <c r="AK20" i="1" s="1"/>
  <c r="AH20" i="1"/>
  <c r="AL20" i="1" s="1"/>
  <c r="AE20" i="1"/>
  <c r="AF20" i="1" s="1"/>
  <c r="AD20" i="1"/>
  <c r="AC20" i="1"/>
  <c r="AG20" i="1" s="1"/>
  <c r="Z20" i="1"/>
  <c r="Y20" i="1"/>
  <c r="X20" i="1"/>
  <c r="U20" i="1"/>
  <c r="T20" i="1"/>
  <c r="S20" i="1"/>
  <c r="P20" i="1"/>
  <c r="O20" i="1"/>
  <c r="N20" i="1"/>
  <c r="R20" i="1" s="1"/>
  <c r="G20" i="1"/>
  <c r="F20" i="1"/>
  <c r="H20" i="1" s="1"/>
  <c r="BU19" i="1"/>
  <c r="BT19" i="1"/>
  <c r="BP19" i="1"/>
  <c r="BO19" i="1"/>
  <c r="BK19" i="1"/>
  <c r="BJ19" i="1"/>
  <c r="BF19" i="1"/>
  <c r="BE19" i="1"/>
  <c r="BA19" i="1"/>
  <c r="AZ19" i="1"/>
  <c r="AV19" i="1"/>
  <c r="AU19" i="1"/>
  <c r="AQ19" i="1"/>
  <c r="AP19" i="1"/>
  <c r="AL19" i="1"/>
  <c r="AK19" i="1"/>
  <c r="AG19" i="1"/>
  <c r="AF19" i="1"/>
  <c r="AB19" i="1"/>
  <c r="AA19" i="1"/>
  <c r="W19" i="1"/>
  <c r="V19" i="1"/>
  <c r="R19" i="1"/>
  <c r="Q19" i="1"/>
  <c r="K19" i="1"/>
  <c r="J19" i="1"/>
  <c r="I19" i="1"/>
  <c r="H19" i="1"/>
  <c r="BU18" i="1"/>
  <c r="BT18" i="1"/>
  <c r="BP18" i="1"/>
  <c r="BO18" i="1"/>
  <c r="BK18" i="1"/>
  <c r="BJ18" i="1"/>
  <c r="BF18" i="1"/>
  <c r="BE18" i="1"/>
  <c r="BA18" i="1"/>
  <c r="AZ18" i="1"/>
  <c r="AV18" i="1"/>
  <c r="AU18" i="1"/>
  <c r="AQ18" i="1"/>
  <c r="AP18" i="1"/>
  <c r="AL18" i="1"/>
  <c r="AK18" i="1"/>
  <c r="AG18" i="1"/>
  <c r="AF18" i="1"/>
  <c r="AB18" i="1"/>
  <c r="AA18" i="1"/>
  <c r="W18" i="1"/>
  <c r="V18" i="1"/>
  <c r="R18" i="1"/>
  <c r="Q18" i="1"/>
  <c r="K18" i="1"/>
  <c r="J18" i="1"/>
  <c r="I18" i="1"/>
  <c r="H18" i="1"/>
  <c r="BU17" i="1"/>
  <c r="BT17" i="1"/>
  <c r="BP17" i="1"/>
  <c r="BO17" i="1"/>
  <c r="BK17" i="1"/>
  <c r="BJ17" i="1"/>
  <c r="BF17" i="1"/>
  <c r="BE17" i="1"/>
  <c r="BA17" i="1"/>
  <c r="AZ17" i="1"/>
  <c r="AV17" i="1"/>
  <c r="AU17" i="1"/>
  <c r="AQ17" i="1"/>
  <c r="AP17" i="1"/>
  <c r="AL17" i="1"/>
  <c r="AK17" i="1"/>
  <c r="AG17" i="1"/>
  <c r="AF17" i="1"/>
  <c r="AB17" i="1"/>
  <c r="AA17" i="1"/>
  <c r="W17" i="1"/>
  <c r="V17" i="1"/>
  <c r="R17" i="1"/>
  <c r="Q17" i="1"/>
  <c r="K17" i="1"/>
  <c r="J17" i="1"/>
  <c r="I17" i="1"/>
  <c r="H17" i="1"/>
  <c r="BU16" i="1"/>
  <c r="BT16" i="1"/>
  <c r="BP16" i="1"/>
  <c r="BO16" i="1"/>
  <c r="BK16" i="1"/>
  <c r="BJ16" i="1"/>
  <c r="BF16" i="1"/>
  <c r="BE16" i="1"/>
  <c r="BA16" i="1"/>
  <c r="AZ16" i="1"/>
  <c r="AV16" i="1"/>
  <c r="AU16" i="1"/>
  <c r="AQ16" i="1"/>
  <c r="AP16" i="1"/>
  <c r="AL16" i="1"/>
  <c r="AK16" i="1"/>
  <c r="AG16" i="1"/>
  <c r="AF16" i="1"/>
  <c r="AB16" i="1"/>
  <c r="AA16" i="1"/>
  <c r="W16" i="1"/>
  <c r="V16" i="1"/>
  <c r="R16" i="1"/>
  <c r="Q16" i="1"/>
  <c r="K16" i="1"/>
  <c r="J16" i="1"/>
  <c r="I16" i="1"/>
  <c r="H16" i="1"/>
  <c r="BS15" i="1"/>
  <c r="BR15" i="1"/>
  <c r="BQ15" i="1"/>
  <c r="BN15" i="1"/>
  <c r="BP15" i="1" s="1"/>
  <c r="BM15" i="1"/>
  <c r="BM10" i="1" s="1"/>
  <c r="BM9" i="1" s="1"/>
  <c r="BM4" i="1" s="1"/>
  <c r="BL15" i="1"/>
  <c r="BI15" i="1"/>
  <c r="BH15" i="1"/>
  <c r="BG15" i="1"/>
  <c r="BK15" i="1" s="1"/>
  <c r="BD15" i="1"/>
  <c r="BC15" i="1"/>
  <c r="BC10" i="1" s="1"/>
  <c r="BC9" i="1" s="1"/>
  <c r="BB15" i="1"/>
  <c r="AY15" i="1"/>
  <c r="AX15" i="1"/>
  <c r="AW15" i="1"/>
  <c r="AT15" i="1"/>
  <c r="AS15" i="1"/>
  <c r="AR15" i="1"/>
  <c r="AO15" i="1"/>
  <c r="AN15" i="1"/>
  <c r="AM15" i="1"/>
  <c r="AJ15" i="1"/>
  <c r="AI15" i="1"/>
  <c r="AH15" i="1"/>
  <c r="AE15" i="1"/>
  <c r="AD15" i="1"/>
  <c r="AD10" i="1" s="1"/>
  <c r="AD9" i="1" s="1"/>
  <c r="AC15" i="1"/>
  <c r="Z15" i="1"/>
  <c r="Y15" i="1"/>
  <c r="Y10" i="1" s="1"/>
  <c r="Y9" i="1" s="1"/>
  <c r="X15" i="1"/>
  <c r="U15" i="1"/>
  <c r="T15" i="1"/>
  <c r="S15" i="1"/>
  <c r="W15" i="1" s="1"/>
  <c r="P15" i="1"/>
  <c r="Q15" i="1" s="1"/>
  <c r="O15" i="1"/>
  <c r="N15" i="1"/>
  <c r="G15" i="1"/>
  <c r="F15" i="1"/>
  <c r="BU14" i="1"/>
  <c r="BT14" i="1"/>
  <c r="BP14" i="1"/>
  <c r="BO14" i="1"/>
  <c r="BK14" i="1"/>
  <c r="BJ14" i="1"/>
  <c r="BF14" i="1"/>
  <c r="BE14" i="1"/>
  <c r="BA14" i="1"/>
  <c r="AZ14" i="1"/>
  <c r="AV14" i="1"/>
  <c r="AU14" i="1"/>
  <c r="AQ14" i="1"/>
  <c r="AP14" i="1"/>
  <c r="AL14" i="1"/>
  <c r="AK14" i="1"/>
  <c r="AG14" i="1"/>
  <c r="AF14" i="1"/>
  <c r="AB14" i="1"/>
  <c r="AA14" i="1"/>
  <c r="W14" i="1"/>
  <c r="V14" i="1"/>
  <c r="R14" i="1"/>
  <c r="Q14" i="1"/>
  <c r="K14" i="1"/>
  <c r="J14" i="1"/>
  <c r="I14" i="1"/>
  <c r="H14" i="1"/>
  <c r="BU13" i="1"/>
  <c r="BT13" i="1"/>
  <c r="BP13" i="1"/>
  <c r="BO13" i="1"/>
  <c r="BK13" i="1"/>
  <c r="BJ13" i="1"/>
  <c r="BF13" i="1"/>
  <c r="BE13" i="1"/>
  <c r="BA13" i="1"/>
  <c r="AZ13" i="1"/>
  <c r="AV13" i="1"/>
  <c r="AU13" i="1"/>
  <c r="AQ13" i="1"/>
  <c r="AP13" i="1"/>
  <c r="AL13" i="1"/>
  <c r="AK13" i="1"/>
  <c r="AG13" i="1"/>
  <c r="AF13" i="1"/>
  <c r="AB13" i="1"/>
  <c r="AA13" i="1"/>
  <c r="W13" i="1"/>
  <c r="V13" i="1"/>
  <c r="R13" i="1"/>
  <c r="Q13" i="1"/>
  <c r="K13" i="1"/>
  <c r="J13" i="1"/>
  <c r="I13" i="1"/>
  <c r="H13" i="1"/>
  <c r="BU12" i="1"/>
  <c r="BT12" i="1"/>
  <c r="BP12" i="1"/>
  <c r="BO12" i="1"/>
  <c r="BK12" i="1"/>
  <c r="BJ12" i="1"/>
  <c r="BF12" i="1"/>
  <c r="BE12" i="1"/>
  <c r="BA12" i="1"/>
  <c r="AZ12" i="1"/>
  <c r="AV12" i="1"/>
  <c r="AU12" i="1"/>
  <c r="AQ12" i="1"/>
  <c r="AP12" i="1"/>
  <c r="AL12" i="1"/>
  <c r="AK12" i="1"/>
  <c r="AG12" i="1"/>
  <c r="AF12" i="1"/>
  <c r="AB12" i="1"/>
  <c r="AA12" i="1"/>
  <c r="W12" i="1"/>
  <c r="V12" i="1"/>
  <c r="R12" i="1"/>
  <c r="Q12" i="1"/>
  <c r="K12" i="1"/>
  <c r="J12" i="1"/>
  <c r="J15" i="1" s="1"/>
  <c r="I12" i="1"/>
  <c r="H12" i="1"/>
  <c r="BH10" i="1"/>
  <c r="BH9" i="1" s="1"/>
  <c r="BH53" i="1" s="1"/>
  <c r="BG10" i="1"/>
  <c r="BG9" i="1" s="1"/>
  <c r="BA10" i="1"/>
  <c r="AZ10" i="1"/>
  <c r="AY9" i="1"/>
  <c r="AX9" i="1"/>
  <c r="AX53" i="1" s="1"/>
  <c r="AW9" i="1"/>
  <c r="AW53" i="1" s="1"/>
  <c r="BU8" i="1"/>
  <c r="BT8" i="1"/>
  <c r="BT58" i="1" s="1"/>
  <c r="BP8" i="1"/>
  <c r="BO8" i="1"/>
  <c r="BO58" i="1" s="1"/>
  <c r="BK8" i="1"/>
  <c r="BJ8" i="1"/>
  <c r="BJ58" i="1" s="1"/>
  <c r="BF8" i="1"/>
  <c r="BE8" i="1"/>
  <c r="BE58" i="1" s="1"/>
  <c r="BA8" i="1"/>
  <c r="AZ8" i="1"/>
  <c r="AZ58" i="1" s="1"/>
  <c r="AV8" i="1"/>
  <c r="AU8" i="1"/>
  <c r="AU58" i="1" s="1"/>
  <c r="AQ8" i="1"/>
  <c r="AP8" i="1"/>
  <c r="AP58" i="1" s="1"/>
  <c r="AL8" i="1"/>
  <c r="AK8" i="1"/>
  <c r="AK58" i="1" s="1"/>
  <c r="AG8" i="1"/>
  <c r="AF8" i="1"/>
  <c r="AB8" i="1"/>
  <c r="AA8" i="1"/>
  <c r="AA58" i="1" s="1"/>
  <c r="W8" i="1"/>
  <c r="V8" i="1"/>
  <c r="V58" i="1" s="1"/>
  <c r="R8" i="1"/>
  <c r="Q8" i="1"/>
  <c r="Q58" i="1" s="1"/>
  <c r="K8" i="1"/>
  <c r="J8" i="1"/>
  <c r="J58" i="1" s="1"/>
  <c r="I8" i="1"/>
  <c r="BU7" i="1"/>
  <c r="BT7" i="1"/>
  <c r="BP7" i="1"/>
  <c r="BO7" i="1"/>
  <c r="BK7" i="1"/>
  <c r="BJ7" i="1"/>
  <c r="BF7" i="1"/>
  <c r="BE7" i="1"/>
  <c r="BA7" i="1"/>
  <c r="AZ7" i="1"/>
  <c r="AV7" i="1"/>
  <c r="AU7" i="1"/>
  <c r="AQ7" i="1"/>
  <c r="AP7" i="1"/>
  <c r="AL7" i="1"/>
  <c r="AK7" i="1"/>
  <c r="AG7" i="1"/>
  <c r="AF7" i="1"/>
  <c r="AB7" i="1"/>
  <c r="AA7" i="1"/>
  <c r="W7" i="1"/>
  <c r="V7" i="1"/>
  <c r="R7" i="1"/>
  <c r="Q7" i="1"/>
  <c r="K7" i="1"/>
  <c r="I7" i="1"/>
  <c r="G7" i="1"/>
  <c r="H7" i="1" s="1"/>
  <c r="F7" i="1"/>
  <c r="F6" i="1" s="1"/>
  <c r="BS6" i="1"/>
  <c r="BR6" i="1"/>
  <c r="BQ6" i="1"/>
  <c r="BN6" i="1"/>
  <c r="BM6" i="1"/>
  <c r="BL6" i="1"/>
  <c r="BI6" i="1"/>
  <c r="BH6" i="1"/>
  <c r="BJ6" i="1" s="1"/>
  <c r="BG6" i="1"/>
  <c r="BK6" i="1" s="1"/>
  <c r="BD6" i="1"/>
  <c r="BC6" i="1"/>
  <c r="BB6" i="1"/>
  <c r="AY6" i="1"/>
  <c r="AX6" i="1"/>
  <c r="AW6" i="1"/>
  <c r="AT6" i="1"/>
  <c r="AV6" i="1" s="1"/>
  <c r="AS6" i="1"/>
  <c r="AR6" i="1"/>
  <c r="AP6" i="1"/>
  <c r="AO6" i="1"/>
  <c r="AQ6" i="1" s="1"/>
  <c r="AN6" i="1"/>
  <c r="AM6" i="1"/>
  <c r="AJ6" i="1"/>
  <c r="AI6" i="1"/>
  <c r="AH6" i="1"/>
  <c r="AE6" i="1"/>
  <c r="AD6" i="1"/>
  <c r="AC6" i="1"/>
  <c r="Z6" i="1"/>
  <c r="Y6" i="1"/>
  <c r="X6" i="1"/>
  <c r="U6" i="1"/>
  <c r="W6" i="1" s="1"/>
  <c r="T6" i="1"/>
  <c r="V6" i="1" s="1"/>
  <c r="S6" i="1"/>
  <c r="P6" i="1"/>
  <c r="O6" i="1"/>
  <c r="N6" i="1"/>
  <c r="J6" i="1"/>
  <c r="BS5" i="1"/>
  <c r="BR5" i="1"/>
  <c r="BQ5" i="1"/>
  <c r="BN5" i="1"/>
  <c r="BO5" i="1" s="1"/>
  <c r="BM5" i="1"/>
  <c r="BL5" i="1"/>
  <c r="BI5" i="1"/>
  <c r="BK5" i="1" s="1"/>
  <c r="BH5" i="1"/>
  <c r="BG5" i="1"/>
  <c r="BD5" i="1"/>
  <c r="BC5" i="1"/>
  <c r="BB5" i="1"/>
  <c r="AY5" i="1"/>
  <c r="AX5" i="1"/>
  <c r="AW5" i="1"/>
  <c r="AT5" i="1"/>
  <c r="AS5" i="1"/>
  <c r="AR5" i="1"/>
  <c r="AO5" i="1"/>
  <c r="AN5" i="1"/>
  <c r="AM5" i="1"/>
  <c r="AJ5" i="1"/>
  <c r="AK5" i="1" s="1"/>
  <c r="AI5" i="1"/>
  <c r="AH5" i="1"/>
  <c r="AE5" i="1"/>
  <c r="AD5" i="1"/>
  <c r="AC5" i="1"/>
  <c r="Z5" i="1"/>
  <c r="AB5" i="1" s="1"/>
  <c r="Y5" i="1"/>
  <c r="X5" i="1"/>
  <c r="U5" i="1"/>
  <c r="T5" i="1"/>
  <c r="S5" i="1"/>
  <c r="W5" i="1" s="1"/>
  <c r="P5" i="1"/>
  <c r="R5" i="1" s="1"/>
  <c r="O5" i="1"/>
  <c r="N5" i="1"/>
  <c r="F5" i="1"/>
  <c r="AW4" i="1"/>
  <c r="R3" i="1"/>
  <c r="W3" i="1" s="1"/>
  <c r="W49" i="1" s="1"/>
  <c r="Q3" i="1"/>
  <c r="V3" i="1" s="1"/>
  <c r="P3" i="1"/>
  <c r="O3" i="1"/>
  <c r="N3" i="1"/>
  <c r="N49" i="1" s="1"/>
  <c r="BT59" i="2"/>
  <c r="BS59" i="2"/>
  <c r="BO59" i="2"/>
  <c r="BN59" i="2"/>
  <c r="BJ59" i="2"/>
  <c r="BI59" i="2"/>
  <c r="BE59" i="2"/>
  <c r="BD59" i="2"/>
  <c r="AZ59" i="2"/>
  <c r="AY59" i="2"/>
  <c r="AU59" i="2"/>
  <c r="AT59" i="2"/>
  <c r="AP59" i="2"/>
  <c r="AK59" i="2"/>
  <c r="AF59" i="2"/>
  <c r="AA59" i="2"/>
  <c r="V59" i="2"/>
  <c r="Q59" i="2"/>
  <c r="BT58" i="2"/>
  <c r="BS58" i="2"/>
  <c r="BO58" i="2"/>
  <c r="BN58" i="2"/>
  <c r="BJ58" i="2"/>
  <c r="BI58" i="2"/>
  <c r="BE58" i="2"/>
  <c r="BD58" i="2"/>
  <c r="AZ58" i="2"/>
  <c r="AY58" i="2"/>
  <c r="AU58" i="2"/>
  <c r="AT58" i="2"/>
  <c r="AP58" i="2"/>
  <c r="AK58" i="2"/>
  <c r="AJ58" i="2"/>
  <c r="AF58" i="2"/>
  <c r="AA58" i="2"/>
  <c r="V58" i="2"/>
  <c r="Q58" i="2"/>
  <c r="BT57" i="2"/>
  <c r="BO57" i="2"/>
  <c r="BJ57" i="2"/>
  <c r="BE57" i="2"/>
  <c r="AZ57" i="2"/>
  <c r="AU57" i="2"/>
  <c r="AP57" i="2"/>
  <c r="AK57" i="2"/>
  <c r="AF57" i="2"/>
  <c r="AA57" i="2"/>
  <c r="V57" i="2"/>
  <c r="Q57" i="2"/>
  <c r="BT56" i="2"/>
  <c r="BS56" i="2"/>
  <c r="BO56" i="2"/>
  <c r="BJ56" i="2"/>
  <c r="BE56" i="2"/>
  <c r="AZ56" i="2"/>
  <c r="AU56" i="2"/>
  <c r="AP56" i="2"/>
  <c r="AL56" i="2"/>
  <c r="AK56" i="2"/>
  <c r="AK55" i="2" s="1"/>
  <c r="AF56" i="2"/>
  <c r="AA56" i="2"/>
  <c r="AA55" i="2" s="1"/>
  <c r="V56" i="2"/>
  <c r="Q56" i="2"/>
  <c r="BT52" i="2"/>
  <c r="BS52" i="2"/>
  <c r="BO52" i="2"/>
  <c r="BN52" i="2"/>
  <c r="BJ52" i="2"/>
  <c r="BI52" i="2"/>
  <c r="BE52" i="2"/>
  <c r="BD52" i="2"/>
  <c r="AZ52" i="2"/>
  <c r="AY52" i="2"/>
  <c r="AU52" i="2"/>
  <c r="AT52" i="2"/>
  <c r="AP52" i="2"/>
  <c r="AO52" i="2"/>
  <c r="AQ52" i="2" s="1"/>
  <c r="AK52" i="2"/>
  <c r="AJ52" i="2"/>
  <c r="AF52" i="2"/>
  <c r="AH52" i="2" s="1"/>
  <c r="AE52" i="2"/>
  <c r="AA52" i="2"/>
  <c r="Z52" i="2"/>
  <c r="V52" i="2"/>
  <c r="U52" i="2"/>
  <c r="Q52" i="2"/>
  <c r="P52" i="2"/>
  <c r="H52" i="2"/>
  <c r="H57" i="2" s="1"/>
  <c r="BT51" i="2"/>
  <c r="BS51" i="2"/>
  <c r="BO51" i="2"/>
  <c r="BN51" i="2"/>
  <c r="BJ51" i="2"/>
  <c r="BI51" i="2"/>
  <c r="BE51" i="2"/>
  <c r="BD51" i="2"/>
  <c r="AZ51" i="2"/>
  <c r="BA51" i="2" s="1"/>
  <c r="AY51" i="2"/>
  <c r="AU51" i="2"/>
  <c r="AT51" i="2"/>
  <c r="AP51" i="2"/>
  <c r="AO51" i="2"/>
  <c r="AK51" i="2"/>
  <c r="AJ51" i="2"/>
  <c r="AF51" i="2"/>
  <c r="AG51" i="2" s="1"/>
  <c r="AE51" i="2"/>
  <c r="AA51" i="2"/>
  <c r="Z51" i="2"/>
  <c r="V51" i="2"/>
  <c r="U51" i="2"/>
  <c r="Q51" i="2"/>
  <c r="P51" i="2"/>
  <c r="H51" i="2"/>
  <c r="H56" i="2" s="1"/>
  <c r="N49" i="2"/>
  <c r="M49" i="2"/>
  <c r="L49" i="2"/>
  <c r="K49" i="2"/>
  <c r="J49" i="2"/>
  <c r="BR48" i="2"/>
  <c r="BM48" i="2"/>
  <c r="BH48" i="2"/>
  <c r="BC48" i="2"/>
  <c r="AX48" i="2"/>
  <c r="AS48" i="2"/>
  <c r="AN48" i="2"/>
  <c r="AI48" i="2"/>
  <c r="AD48" i="2"/>
  <c r="Y48" i="2"/>
  <c r="T48" i="2"/>
  <c r="O48" i="2"/>
  <c r="J48" i="2"/>
  <c r="H48" i="2"/>
  <c r="G48" i="2"/>
  <c r="E46" i="2"/>
  <c r="BT45" i="2"/>
  <c r="BO45" i="2"/>
  <c r="BJ45" i="2"/>
  <c r="BE45" i="2"/>
  <c r="AZ45" i="2"/>
  <c r="AP45" i="2"/>
  <c r="AK45" i="2"/>
  <c r="AF45" i="2"/>
  <c r="AA45" i="2"/>
  <c r="V45" i="2"/>
  <c r="Q45" i="2"/>
  <c r="BU43" i="2"/>
  <c r="BR43" i="2"/>
  <c r="BP43" i="2"/>
  <c r="BM43" i="2"/>
  <c r="BQ43" i="2" s="1"/>
  <c r="BK43" i="2"/>
  <c r="BH43" i="2"/>
  <c r="BL43" i="2" s="1"/>
  <c r="BF43" i="2"/>
  <c r="BC43" i="2"/>
  <c r="BG43" i="2" s="1"/>
  <c r="BA43" i="2"/>
  <c r="AX43" i="2"/>
  <c r="BB43" i="2" s="1"/>
  <c r="AV43" i="2"/>
  <c r="AS43" i="2"/>
  <c r="AW43" i="2" s="1"/>
  <c r="AQ43" i="2"/>
  <c r="AN43" i="2"/>
  <c r="AR43" i="2" s="1"/>
  <c r="AL43" i="2"/>
  <c r="AI43" i="2"/>
  <c r="AG43" i="2"/>
  <c r="AD43" i="2"/>
  <c r="AH43" i="2" s="1"/>
  <c r="Y43" i="2"/>
  <c r="W43" i="2"/>
  <c r="T43" i="2"/>
  <c r="X43" i="2" s="1"/>
  <c r="O43" i="2"/>
  <c r="S43" i="2" s="1"/>
  <c r="BS42" i="2"/>
  <c r="BU42" i="2" s="1"/>
  <c r="BU56" i="2" s="1"/>
  <c r="BR42" i="2"/>
  <c r="BV42" i="2" s="1"/>
  <c r="BM42" i="2"/>
  <c r="BI42" i="2"/>
  <c r="BI56" i="2" s="1"/>
  <c r="BH42" i="2"/>
  <c r="BH56" i="2" s="1"/>
  <c r="BD42" i="2"/>
  <c r="BF42" i="2" s="1"/>
  <c r="BF56" i="2" s="1"/>
  <c r="BC42" i="2"/>
  <c r="BG42" i="2" s="1"/>
  <c r="AY42" i="2"/>
  <c r="AY56" i="2" s="1"/>
  <c r="AX42" i="2"/>
  <c r="AX56" i="2" s="1"/>
  <c r="AT42" i="2"/>
  <c r="AV42" i="2" s="1"/>
  <c r="AV56" i="2" s="1"/>
  <c r="AS42" i="2"/>
  <c r="AW42" i="2" s="1"/>
  <c r="AO42" i="2"/>
  <c r="AQ42" i="2" s="1"/>
  <c r="AQ56" i="2" s="1"/>
  <c r="AN42" i="2"/>
  <c r="AJ42" i="2"/>
  <c r="AL42" i="2" s="1"/>
  <c r="AI42" i="2"/>
  <c r="AE42" i="2"/>
  <c r="AE56" i="2" s="1"/>
  <c r="AD42" i="2"/>
  <c r="AD56" i="2" s="1"/>
  <c r="AH56" i="2" s="1"/>
  <c r="Z42" i="2"/>
  <c r="Z56" i="2" s="1"/>
  <c r="Y42" i="2"/>
  <c r="U42" i="2"/>
  <c r="U56" i="2" s="1"/>
  <c r="T42" i="2"/>
  <c r="X42" i="2" s="1"/>
  <c r="P42" i="2"/>
  <c r="O42" i="2"/>
  <c r="H42" i="2"/>
  <c r="H43" i="2" s="1"/>
  <c r="G42" i="2"/>
  <c r="BU41" i="2"/>
  <c r="BR41" i="2"/>
  <c r="BR51" i="2" s="1"/>
  <c r="BP41" i="2"/>
  <c r="BM41" i="2"/>
  <c r="BK41" i="2"/>
  <c r="BH41" i="2"/>
  <c r="BF41" i="2"/>
  <c r="BC41" i="2"/>
  <c r="BC51" i="2" s="1"/>
  <c r="BA41" i="2"/>
  <c r="AX41" i="2"/>
  <c r="AX51" i="2" s="1"/>
  <c r="AV41" i="2"/>
  <c r="AS41" i="2"/>
  <c r="AW41" i="2" s="1"/>
  <c r="AQ41" i="2"/>
  <c r="AN41" i="2"/>
  <c r="AR41" i="2" s="1"/>
  <c r="AL41" i="2"/>
  <c r="AI41" i="2"/>
  <c r="AM41" i="2" s="1"/>
  <c r="AG41" i="2"/>
  <c r="AD41" i="2"/>
  <c r="AH41" i="2" s="1"/>
  <c r="AB41" i="2"/>
  <c r="Y41" i="2"/>
  <c r="W41" i="2"/>
  <c r="T41" i="2"/>
  <c r="R41" i="2"/>
  <c r="O41" i="2"/>
  <c r="BU40" i="2"/>
  <c r="BR40" i="2"/>
  <c r="BP40" i="2"/>
  <c r="BM40" i="2"/>
  <c r="BQ40" i="2" s="1"/>
  <c r="BK40" i="2"/>
  <c r="BH40" i="2"/>
  <c r="BL40" i="2" s="1"/>
  <c r="BF40" i="2"/>
  <c r="BC40" i="2"/>
  <c r="BG40" i="2" s="1"/>
  <c r="BA40" i="2"/>
  <c r="AX40" i="2"/>
  <c r="BB40" i="2" s="1"/>
  <c r="AV40" i="2"/>
  <c r="AS40" i="2"/>
  <c r="AW40" i="2" s="1"/>
  <c r="AQ40" i="2"/>
  <c r="AR40" i="2"/>
  <c r="AL40" i="2"/>
  <c r="AI40" i="2"/>
  <c r="AG40" i="2"/>
  <c r="AD40" i="2"/>
  <c r="AH40" i="2" s="1"/>
  <c r="Y40" i="2"/>
  <c r="W40" i="2"/>
  <c r="T40" i="2"/>
  <c r="X40" i="2" s="1"/>
  <c r="O40" i="2"/>
  <c r="S40" i="2" s="1"/>
  <c r="BS39" i="2"/>
  <c r="BU39" i="2" s="1"/>
  <c r="BU57" i="2" s="1"/>
  <c r="BR39" i="2"/>
  <c r="BV39" i="2" s="1"/>
  <c r="BM39" i="2"/>
  <c r="BI39" i="2"/>
  <c r="BI57" i="2" s="1"/>
  <c r="BH39" i="2"/>
  <c r="BL39" i="2" s="1"/>
  <c r="BD39" i="2"/>
  <c r="BD57" i="2" s="1"/>
  <c r="BC39" i="2"/>
  <c r="AY39" i="2"/>
  <c r="BA39" i="2" s="1"/>
  <c r="BA57" i="2" s="1"/>
  <c r="AX39" i="2"/>
  <c r="BB39" i="2" s="1"/>
  <c r="AT39" i="2"/>
  <c r="AT57" i="2" s="1"/>
  <c r="AS39" i="2"/>
  <c r="AW39" i="2" s="1"/>
  <c r="AO39" i="2"/>
  <c r="AQ39" i="2" s="1"/>
  <c r="AQ57" i="2" s="1"/>
  <c r="AN39" i="2"/>
  <c r="AR39" i="2" s="1"/>
  <c r="AJ39" i="2"/>
  <c r="AL39" i="2" s="1"/>
  <c r="AL57" i="2" s="1"/>
  <c r="AI39" i="2"/>
  <c r="AM39" i="2" s="1"/>
  <c r="AE39" i="2"/>
  <c r="AD39" i="2"/>
  <c r="Z39" i="2"/>
  <c r="Z57" i="2" s="1"/>
  <c r="Y39" i="2"/>
  <c r="U39" i="2"/>
  <c r="U57" i="2" s="1"/>
  <c r="T39" i="2"/>
  <c r="P39" i="2"/>
  <c r="O39" i="2"/>
  <c r="H39" i="2"/>
  <c r="H40" i="2" s="1"/>
  <c r="BU38" i="2"/>
  <c r="BR38" i="2"/>
  <c r="BP38" i="2"/>
  <c r="BM38" i="2"/>
  <c r="BQ38" i="2" s="1"/>
  <c r="BK38" i="2"/>
  <c r="BH38" i="2"/>
  <c r="BL38" i="2" s="1"/>
  <c r="BF38" i="2"/>
  <c r="BC38" i="2"/>
  <c r="BC52" i="2" s="1"/>
  <c r="BA38" i="2"/>
  <c r="AX38" i="2"/>
  <c r="AV38" i="2"/>
  <c r="AS38" i="2"/>
  <c r="AQ38" i="2"/>
  <c r="AN38" i="2"/>
  <c r="AL38" i="2"/>
  <c r="AI38" i="2"/>
  <c r="AM38" i="2" s="1"/>
  <c r="AG38" i="2"/>
  <c r="AD38" i="2"/>
  <c r="AD52" i="2" s="1"/>
  <c r="AB38" i="2"/>
  <c r="Y38" i="2"/>
  <c r="AC38" i="2" s="1"/>
  <c r="W38" i="2"/>
  <c r="T38" i="2"/>
  <c r="T52" i="2" s="1"/>
  <c r="R38" i="2"/>
  <c r="O38" i="2"/>
  <c r="BS36" i="2"/>
  <c r="BU36" i="2" s="1"/>
  <c r="BR36" i="2"/>
  <c r="BV36" i="2" s="1"/>
  <c r="BN36" i="2"/>
  <c r="BP36" i="2" s="1"/>
  <c r="BM36" i="2"/>
  <c r="BQ36" i="2" s="1"/>
  <c r="BI36" i="2"/>
  <c r="BK36" i="2" s="1"/>
  <c r="BH36" i="2"/>
  <c r="BL36" i="2" s="1"/>
  <c r="BD36" i="2"/>
  <c r="BF36" i="2" s="1"/>
  <c r="BC36" i="2"/>
  <c r="BG36" i="2" s="1"/>
  <c r="AY36" i="2"/>
  <c r="BA36" i="2" s="1"/>
  <c r="AX36" i="2"/>
  <c r="BB36" i="2" s="1"/>
  <c r="AT36" i="2"/>
  <c r="AV36" i="2" s="1"/>
  <c r="AS36" i="2"/>
  <c r="AW36" i="2" s="1"/>
  <c r="AO36" i="2"/>
  <c r="AQ36" i="2" s="1"/>
  <c r="AN36" i="2"/>
  <c r="AR36" i="2" s="1"/>
  <c r="AJ36" i="2"/>
  <c r="AL36" i="2" s="1"/>
  <c r="AI36" i="2"/>
  <c r="AM36" i="2" s="1"/>
  <c r="AE36" i="2"/>
  <c r="AG36" i="2" s="1"/>
  <c r="AD36" i="2"/>
  <c r="AH36" i="2" s="1"/>
  <c r="Z36" i="2"/>
  <c r="AB36" i="2" s="1"/>
  <c r="Y36" i="2"/>
  <c r="AC36" i="2" s="1"/>
  <c r="U36" i="2"/>
  <c r="W36" i="2" s="1"/>
  <c r="T36" i="2"/>
  <c r="X36" i="2" s="1"/>
  <c r="P36" i="2"/>
  <c r="O36" i="2"/>
  <c r="G36" i="2"/>
  <c r="I36" i="2" s="1"/>
  <c r="BS35" i="2"/>
  <c r="BU35" i="2" s="1"/>
  <c r="BR35" i="2"/>
  <c r="BV35" i="2" s="1"/>
  <c r="BN35" i="2"/>
  <c r="BP35" i="2" s="1"/>
  <c r="BM35" i="2"/>
  <c r="BQ35" i="2" s="1"/>
  <c r="BI35" i="2"/>
  <c r="BK35" i="2" s="1"/>
  <c r="BH35" i="2"/>
  <c r="BL35" i="2" s="1"/>
  <c r="BD35" i="2"/>
  <c r="BF35" i="2" s="1"/>
  <c r="BC35" i="2"/>
  <c r="BG35" i="2" s="1"/>
  <c r="AY35" i="2"/>
  <c r="BA35" i="2" s="1"/>
  <c r="AX35" i="2"/>
  <c r="BB35" i="2" s="1"/>
  <c r="AT35" i="2"/>
  <c r="AV35" i="2" s="1"/>
  <c r="AS35" i="2"/>
  <c r="AW35" i="2" s="1"/>
  <c r="AO35" i="2"/>
  <c r="AQ35" i="2" s="1"/>
  <c r="AN35" i="2"/>
  <c r="AR35" i="2" s="1"/>
  <c r="AJ35" i="2"/>
  <c r="AL35" i="2" s="1"/>
  <c r="AI35" i="2"/>
  <c r="AM35" i="2" s="1"/>
  <c r="AE35" i="2"/>
  <c r="AG35" i="2" s="1"/>
  <c r="AD35" i="2"/>
  <c r="AH35" i="2" s="1"/>
  <c r="Z35" i="2"/>
  <c r="AB35" i="2" s="1"/>
  <c r="Y35" i="2"/>
  <c r="AC35" i="2" s="1"/>
  <c r="U35" i="2"/>
  <c r="W35" i="2" s="1"/>
  <c r="T35" i="2"/>
  <c r="P35" i="2"/>
  <c r="O35" i="2"/>
  <c r="G35" i="2"/>
  <c r="I35" i="2" s="1"/>
  <c r="BS34" i="2"/>
  <c r="BU34" i="2" s="1"/>
  <c r="BR34" i="2"/>
  <c r="BV34" i="2" s="1"/>
  <c r="BN34" i="2"/>
  <c r="BP34" i="2" s="1"/>
  <c r="BM34" i="2"/>
  <c r="BQ34" i="2" s="1"/>
  <c r="BI34" i="2"/>
  <c r="BK34" i="2" s="1"/>
  <c r="BH34" i="2"/>
  <c r="BL34" i="2" s="1"/>
  <c r="BD34" i="2"/>
  <c r="BF34" i="2" s="1"/>
  <c r="BC34" i="2"/>
  <c r="BG34" i="2" s="1"/>
  <c r="AY34" i="2"/>
  <c r="BA34" i="2" s="1"/>
  <c r="AX34" i="2"/>
  <c r="BB34" i="2" s="1"/>
  <c r="AT34" i="2"/>
  <c r="AV34" i="2" s="1"/>
  <c r="AS34" i="2"/>
  <c r="AW34" i="2" s="1"/>
  <c r="AO34" i="2"/>
  <c r="AQ34" i="2" s="1"/>
  <c r="AN34" i="2"/>
  <c r="AR34" i="2" s="1"/>
  <c r="AJ34" i="2"/>
  <c r="AL34" i="2" s="1"/>
  <c r="AI34" i="2"/>
  <c r="AM34" i="2" s="1"/>
  <c r="AE34" i="2"/>
  <c r="AG34" i="2" s="1"/>
  <c r="AD34" i="2"/>
  <c r="AH34" i="2" s="1"/>
  <c r="Z34" i="2"/>
  <c r="AB34" i="2" s="1"/>
  <c r="Y34" i="2"/>
  <c r="AC34" i="2" s="1"/>
  <c r="U34" i="2"/>
  <c r="W34" i="2" s="1"/>
  <c r="T34" i="2"/>
  <c r="P34" i="2"/>
  <c r="O34" i="2"/>
  <c r="G34" i="2"/>
  <c r="I34" i="2" s="1"/>
  <c r="BS33" i="2"/>
  <c r="BU33" i="2" s="1"/>
  <c r="BR33" i="2"/>
  <c r="BV33" i="2" s="1"/>
  <c r="BN33" i="2"/>
  <c r="BP33" i="2" s="1"/>
  <c r="BM33" i="2"/>
  <c r="BQ33" i="2" s="1"/>
  <c r="BI33" i="2"/>
  <c r="BK33" i="2" s="1"/>
  <c r="BH33" i="2"/>
  <c r="BL33" i="2" s="1"/>
  <c r="BD33" i="2"/>
  <c r="BF33" i="2" s="1"/>
  <c r="BC33" i="2"/>
  <c r="BG33" i="2" s="1"/>
  <c r="AY33" i="2"/>
  <c r="BA33" i="2" s="1"/>
  <c r="AX33" i="2"/>
  <c r="BB33" i="2" s="1"/>
  <c r="AT33" i="2"/>
  <c r="AV33" i="2" s="1"/>
  <c r="AS33" i="2"/>
  <c r="AW33" i="2" s="1"/>
  <c r="AO33" i="2"/>
  <c r="AQ33" i="2" s="1"/>
  <c r="AN33" i="2"/>
  <c r="AR33" i="2" s="1"/>
  <c r="AJ33" i="2"/>
  <c r="AL33" i="2" s="1"/>
  <c r="AI33" i="2"/>
  <c r="AM33" i="2" s="1"/>
  <c r="AE33" i="2"/>
  <c r="AG33" i="2" s="1"/>
  <c r="AD33" i="2"/>
  <c r="AH33" i="2" s="1"/>
  <c r="Z33" i="2"/>
  <c r="AB33" i="2" s="1"/>
  <c r="Y33" i="2"/>
  <c r="AC33" i="2" s="1"/>
  <c r="U33" i="2"/>
  <c r="W33" i="2" s="1"/>
  <c r="T33" i="2"/>
  <c r="X33" i="2" s="1"/>
  <c r="P33" i="2"/>
  <c r="O33" i="2"/>
  <c r="G33" i="2"/>
  <c r="I33" i="2" s="1"/>
  <c r="BS32" i="2"/>
  <c r="BU32" i="2" s="1"/>
  <c r="BR32" i="2"/>
  <c r="BV32" i="2" s="1"/>
  <c r="BN32" i="2"/>
  <c r="BP32" i="2" s="1"/>
  <c r="BM32" i="2"/>
  <c r="BQ32" i="2" s="1"/>
  <c r="BI32" i="2"/>
  <c r="BK32" i="2" s="1"/>
  <c r="BH32" i="2"/>
  <c r="BL32" i="2" s="1"/>
  <c r="BD32" i="2"/>
  <c r="BF32" i="2" s="1"/>
  <c r="BC32" i="2"/>
  <c r="BG32" i="2" s="1"/>
  <c r="AY32" i="2"/>
  <c r="BA32" i="2" s="1"/>
  <c r="AX32" i="2"/>
  <c r="BB32" i="2" s="1"/>
  <c r="AT32" i="2"/>
  <c r="AV32" i="2" s="1"/>
  <c r="AS32" i="2"/>
  <c r="AW32" i="2" s="1"/>
  <c r="AO32" i="2"/>
  <c r="AQ32" i="2" s="1"/>
  <c r="AN32" i="2"/>
  <c r="AR32" i="2" s="1"/>
  <c r="AJ32" i="2"/>
  <c r="AI32" i="2"/>
  <c r="AM32" i="2" s="1"/>
  <c r="AE32" i="2"/>
  <c r="AG32" i="2" s="1"/>
  <c r="AD32" i="2"/>
  <c r="Z32" i="2"/>
  <c r="AB32" i="2" s="1"/>
  <c r="Y32" i="2"/>
  <c r="AC32" i="2" s="1"/>
  <c r="U32" i="2"/>
  <c r="W32" i="2" s="1"/>
  <c r="T32" i="2"/>
  <c r="P32" i="2"/>
  <c r="O32" i="2"/>
  <c r="G32" i="2"/>
  <c r="I32" i="2" s="1"/>
  <c r="BS31" i="2"/>
  <c r="BU31" i="2" s="1"/>
  <c r="BR31" i="2"/>
  <c r="BV31" i="2" s="1"/>
  <c r="BN31" i="2"/>
  <c r="BP31" i="2" s="1"/>
  <c r="BM31" i="2"/>
  <c r="BI31" i="2"/>
  <c r="BK31" i="2" s="1"/>
  <c r="BH31" i="2"/>
  <c r="BL31" i="2" s="1"/>
  <c r="BD31" i="2"/>
  <c r="BF31" i="2" s="1"/>
  <c r="BC31" i="2"/>
  <c r="BG31" i="2" s="1"/>
  <c r="AY31" i="2"/>
  <c r="BA31" i="2" s="1"/>
  <c r="AX31" i="2"/>
  <c r="BB31" i="2" s="1"/>
  <c r="AT31" i="2"/>
  <c r="AV31" i="2" s="1"/>
  <c r="AS31" i="2"/>
  <c r="AO31" i="2"/>
  <c r="AN31" i="2"/>
  <c r="AR31" i="2" s="1"/>
  <c r="AJ31" i="2"/>
  <c r="AL31" i="2" s="1"/>
  <c r="AI31" i="2"/>
  <c r="AM31" i="2" s="1"/>
  <c r="AE31" i="2"/>
  <c r="AG31" i="2" s="1"/>
  <c r="AD31" i="2"/>
  <c r="AH31" i="2" s="1"/>
  <c r="Z31" i="2"/>
  <c r="AB31" i="2" s="1"/>
  <c r="Y31" i="2"/>
  <c r="AC31" i="2" s="1"/>
  <c r="U31" i="2"/>
  <c r="T31" i="2"/>
  <c r="X31" i="2" s="1"/>
  <c r="P31" i="2"/>
  <c r="O31" i="2"/>
  <c r="G31" i="2"/>
  <c r="I31" i="2" s="1"/>
  <c r="BS30" i="2"/>
  <c r="BU30" i="2" s="1"/>
  <c r="BR30" i="2"/>
  <c r="BV30" i="2" s="1"/>
  <c r="BN30" i="2"/>
  <c r="BM30" i="2"/>
  <c r="BQ30" i="2" s="1"/>
  <c r="BI30" i="2"/>
  <c r="BK30" i="2" s="1"/>
  <c r="BH30" i="2"/>
  <c r="BL30" i="2" s="1"/>
  <c r="BD30" i="2"/>
  <c r="BC30" i="2"/>
  <c r="AY30" i="2"/>
  <c r="BA30" i="2" s="1"/>
  <c r="AX30" i="2"/>
  <c r="BB30" i="2" s="1"/>
  <c r="AT30" i="2"/>
  <c r="AS30" i="2"/>
  <c r="AW30" i="2" s="1"/>
  <c r="AO30" i="2"/>
  <c r="AQ30" i="2" s="1"/>
  <c r="AN30" i="2"/>
  <c r="AR30" i="2" s="1"/>
  <c r="AJ30" i="2"/>
  <c r="AL30" i="2" s="1"/>
  <c r="AI30" i="2"/>
  <c r="AE30" i="2"/>
  <c r="AD30" i="2"/>
  <c r="AH30" i="2" s="1"/>
  <c r="Z30" i="2"/>
  <c r="AB30" i="2" s="1"/>
  <c r="Y30" i="2"/>
  <c r="AC30" i="2" s="1"/>
  <c r="U30" i="2"/>
  <c r="W30" i="2" s="1"/>
  <c r="T30" i="2"/>
  <c r="X30" i="2" s="1"/>
  <c r="P30" i="2"/>
  <c r="O30" i="2"/>
  <c r="G30" i="2"/>
  <c r="I30" i="2" s="1"/>
  <c r="BT29" i="2"/>
  <c r="BT54" i="2" s="1"/>
  <c r="BJ29" i="2"/>
  <c r="BJ37" i="2" s="1"/>
  <c r="BE29" i="2"/>
  <c r="AZ29" i="2"/>
  <c r="AZ37" i="2" s="1"/>
  <c r="AU29" i="2"/>
  <c r="AP29" i="2"/>
  <c r="AK29" i="2"/>
  <c r="AK37" i="2" s="1"/>
  <c r="AF29" i="2"/>
  <c r="AF54" i="2" s="1"/>
  <c r="AA29" i="2"/>
  <c r="AA54" i="2" s="1"/>
  <c r="V29" i="2"/>
  <c r="Q29" i="2"/>
  <c r="H29" i="2"/>
  <c r="H37" i="2" s="1"/>
  <c r="BU28" i="2"/>
  <c r="BU59" i="2" s="1"/>
  <c r="BR28" i="2"/>
  <c r="BP28" i="2"/>
  <c r="BP59" i="2" s="1"/>
  <c r="BM28" i="2"/>
  <c r="BQ28" i="2" s="1"/>
  <c r="BK28" i="2"/>
  <c r="BK59" i="2" s="1"/>
  <c r="BH28" i="2"/>
  <c r="BH59" i="2" s="1"/>
  <c r="BF28" i="2"/>
  <c r="BF59" i="2" s="1"/>
  <c r="BC28" i="2"/>
  <c r="BG28" i="2" s="1"/>
  <c r="BA28" i="2"/>
  <c r="BA59" i="2" s="1"/>
  <c r="AX28" i="2"/>
  <c r="AX59" i="2" s="1"/>
  <c r="AV28" i="2"/>
  <c r="AV59" i="2" s="1"/>
  <c r="AS28" i="2"/>
  <c r="AS59" i="2" s="1"/>
  <c r="AN28" i="2"/>
  <c r="AN59" i="2" s="1"/>
  <c r="AI28" i="2"/>
  <c r="AI59" i="2" s="1"/>
  <c r="AD28" i="2"/>
  <c r="Y28" i="2"/>
  <c r="T28" i="2"/>
  <c r="O28" i="2"/>
  <c r="BU27" i="2"/>
  <c r="BV27" i="2"/>
  <c r="BP27" i="2"/>
  <c r="BM27" i="2"/>
  <c r="BK27" i="2"/>
  <c r="BH27" i="2"/>
  <c r="BL27" i="2" s="1"/>
  <c r="BF27" i="2"/>
  <c r="BC27" i="2"/>
  <c r="BG27" i="2" s="1"/>
  <c r="BA27" i="2"/>
  <c r="AX27" i="2"/>
  <c r="BB27" i="2" s="1"/>
  <c r="AV27" i="2"/>
  <c r="AS27" i="2"/>
  <c r="AW27" i="2" s="1"/>
  <c r="AN27" i="2"/>
  <c r="AR27" i="2" s="1"/>
  <c r="AI27" i="2"/>
  <c r="AD27" i="2"/>
  <c r="Y27" i="2"/>
  <c r="T27" i="2"/>
  <c r="X27" i="2" s="1"/>
  <c r="O27" i="2"/>
  <c r="S27" i="2" s="1"/>
  <c r="BU26" i="2"/>
  <c r="BR26" i="2"/>
  <c r="BV26" i="2" s="1"/>
  <c r="BP26" i="2"/>
  <c r="BM26" i="2"/>
  <c r="BK26" i="2"/>
  <c r="BH26" i="2"/>
  <c r="BL26" i="2" s="1"/>
  <c r="BF26" i="2"/>
  <c r="BC26" i="2"/>
  <c r="BA26" i="2"/>
  <c r="AX26" i="2"/>
  <c r="BB26" i="2" s="1"/>
  <c r="AV26" i="2"/>
  <c r="AS26" i="2"/>
  <c r="AW26" i="2" s="1"/>
  <c r="AQ26" i="2"/>
  <c r="AN26" i="2"/>
  <c r="AR26" i="2" s="1"/>
  <c r="AL26" i="2"/>
  <c r="AI26" i="2"/>
  <c r="AM26" i="2" s="1"/>
  <c r="AG26" i="2"/>
  <c r="AD26" i="2"/>
  <c r="AH26" i="2" s="1"/>
  <c r="AB26" i="2"/>
  <c r="Y26" i="2"/>
  <c r="AC26" i="2" s="1"/>
  <c r="W26" i="2"/>
  <c r="T26" i="2"/>
  <c r="X26" i="2" s="1"/>
  <c r="R26" i="2"/>
  <c r="O26" i="2"/>
  <c r="BU25" i="2"/>
  <c r="BR25" i="2"/>
  <c r="BV25" i="2" s="1"/>
  <c r="BP25" i="2"/>
  <c r="BM25" i="2"/>
  <c r="BQ25" i="2" s="1"/>
  <c r="BK25" i="2"/>
  <c r="BH25" i="2"/>
  <c r="BL25" i="2" s="1"/>
  <c r="BF25" i="2"/>
  <c r="BC25" i="2"/>
  <c r="BG25" i="2" s="1"/>
  <c r="BA25" i="2"/>
  <c r="AX25" i="2"/>
  <c r="BB25" i="2" s="1"/>
  <c r="AV25" i="2"/>
  <c r="AS25" i="2"/>
  <c r="AW25" i="2" s="1"/>
  <c r="AQ25" i="2"/>
  <c r="AN25" i="2"/>
  <c r="AR25" i="2" s="1"/>
  <c r="AL25" i="2"/>
  <c r="AI25" i="2"/>
  <c r="AG25" i="2"/>
  <c r="AD25" i="2"/>
  <c r="AH25" i="2" s="1"/>
  <c r="AB25" i="2"/>
  <c r="Y25" i="2"/>
  <c r="W25" i="2"/>
  <c r="T25" i="2"/>
  <c r="X25" i="2" s="1"/>
  <c r="R25" i="2"/>
  <c r="O25" i="2"/>
  <c r="M25" i="2"/>
  <c r="G25" i="2"/>
  <c r="I25" i="2" s="1"/>
  <c r="BU24" i="2"/>
  <c r="BR24" i="2"/>
  <c r="BV24" i="2" s="1"/>
  <c r="BP24" i="2"/>
  <c r="BM24" i="2"/>
  <c r="BQ24" i="2" s="1"/>
  <c r="BK24" i="2"/>
  <c r="BH24" i="2"/>
  <c r="BL24" i="2" s="1"/>
  <c r="BF24" i="2"/>
  <c r="BC24" i="2"/>
  <c r="BG24" i="2" s="1"/>
  <c r="BA24" i="2"/>
  <c r="AX24" i="2"/>
  <c r="BB24" i="2" s="1"/>
  <c r="AV24" i="2"/>
  <c r="AS24" i="2"/>
  <c r="AW24" i="2" s="1"/>
  <c r="AQ24" i="2"/>
  <c r="AN24" i="2"/>
  <c r="AL24" i="2"/>
  <c r="AI24" i="2"/>
  <c r="AM24" i="2" s="1"/>
  <c r="AG24" i="2"/>
  <c r="AD24" i="2"/>
  <c r="AH24" i="2" s="1"/>
  <c r="AB24" i="2"/>
  <c r="Y24" i="2"/>
  <c r="AC24" i="2" s="1"/>
  <c r="W24" i="2"/>
  <c r="T24" i="2"/>
  <c r="R24" i="2"/>
  <c r="O24" i="2"/>
  <c r="M24" i="2"/>
  <c r="G24" i="2"/>
  <c r="I24" i="2" s="1"/>
  <c r="BT23" i="2"/>
  <c r="BS23" i="2"/>
  <c r="BO23" i="2"/>
  <c r="BN23" i="2"/>
  <c r="BJ23" i="2"/>
  <c r="BI23" i="2"/>
  <c r="BE23" i="2"/>
  <c r="BF23" i="2" s="1"/>
  <c r="BD23" i="2"/>
  <c r="AZ23" i="2"/>
  <c r="AY23" i="2"/>
  <c r="AU23" i="2"/>
  <c r="AT23" i="2"/>
  <c r="AP23" i="2"/>
  <c r="AO23" i="2"/>
  <c r="AK23" i="2"/>
  <c r="AJ23" i="2"/>
  <c r="AF23" i="2"/>
  <c r="AE23" i="2"/>
  <c r="AA23" i="2"/>
  <c r="Z23" i="2"/>
  <c r="V23" i="2"/>
  <c r="U23" i="2"/>
  <c r="R23" i="2"/>
  <c r="Q23" i="2"/>
  <c r="P23" i="2"/>
  <c r="H23" i="2"/>
  <c r="BU22" i="2"/>
  <c r="BR22" i="2"/>
  <c r="BV22" i="2" s="1"/>
  <c r="BP22" i="2"/>
  <c r="BM22" i="2"/>
  <c r="BQ22" i="2" s="1"/>
  <c r="BK22" i="2"/>
  <c r="BH22" i="2"/>
  <c r="BL22" i="2" s="1"/>
  <c r="BF22" i="2"/>
  <c r="BC22" i="2"/>
  <c r="BG22" i="2" s="1"/>
  <c r="BA22" i="2"/>
  <c r="AX22" i="2"/>
  <c r="BB22" i="2" s="1"/>
  <c r="AV22" i="2"/>
  <c r="AS22" i="2"/>
  <c r="AW22" i="2" s="1"/>
  <c r="AQ22" i="2"/>
  <c r="AN22" i="2"/>
  <c r="AL22" i="2"/>
  <c r="AI22" i="2"/>
  <c r="AM22" i="2" s="1"/>
  <c r="AG22" i="2"/>
  <c r="AD22" i="2"/>
  <c r="AH22" i="2" s="1"/>
  <c r="AB22" i="2"/>
  <c r="Y22" i="2"/>
  <c r="AC22" i="2" s="1"/>
  <c r="W22" i="2"/>
  <c r="T22" i="2"/>
  <c r="R22" i="2"/>
  <c r="O22" i="2"/>
  <c r="G22" i="2"/>
  <c r="I22" i="2" s="1"/>
  <c r="BU21" i="2"/>
  <c r="BR21" i="2"/>
  <c r="BV21" i="2" s="1"/>
  <c r="BP21" i="2"/>
  <c r="BM21" i="2"/>
  <c r="BQ21" i="2" s="1"/>
  <c r="BK21" i="2"/>
  <c r="BH21" i="2"/>
  <c r="BF21" i="2"/>
  <c r="BC21" i="2"/>
  <c r="BA21" i="2"/>
  <c r="AX21" i="2"/>
  <c r="AV21" i="2"/>
  <c r="AS21" i="2"/>
  <c r="AQ21" i="2"/>
  <c r="AN21" i="2"/>
  <c r="AR21" i="2" s="1"/>
  <c r="AL21" i="2"/>
  <c r="AI21" i="2"/>
  <c r="AG21" i="2"/>
  <c r="AD21" i="2"/>
  <c r="AH21" i="2" s="1"/>
  <c r="AB21" i="2"/>
  <c r="Y21" i="2"/>
  <c r="W21" i="2"/>
  <c r="T21" i="2"/>
  <c r="R21" i="2"/>
  <c r="O21" i="2"/>
  <c r="G21" i="2"/>
  <c r="BT20" i="2"/>
  <c r="BS20" i="2"/>
  <c r="BO20" i="2"/>
  <c r="BN20" i="2"/>
  <c r="BJ20" i="2"/>
  <c r="BI20" i="2"/>
  <c r="BE20" i="2"/>
  <c r="BD20" i="2"/>
  <c r="AZ20" i="2"/>
  <c r="AY20" i="2"/>
  <c r="AU20" i="2"/>
  <c r="AT20" i="2"/>
  <c r="AP20" i="2"/>
  <c r="AO20" i="2"/>
  <c r="AO10" i="2" s="1"/>
  <c r="AO9" i="2" s="1"/>
  <c r="AK20" i="2"/>
  <c r="AJ20" i="2"/>
  <c r="AF20" i="2"/>
  <c r="AE20" i="2"/>
  <c r="AA20" i="2"/>
  <c r="Z20" i="2"/>
  <c r="V20" i="2"/>
  <c r="U20" i="2"/>
  <c r="Q20" i="2"/>
  <c r="P20" i="2"/>
  <c r="H20" i="2"/>
  <c r="BU19" i="2"/>
  <c r="BR19" i="2"/>
  <c r="BV19" i="2" s="1"/>
  <c r="BP19" i="2"/>
  <c r="BM19" i="2"/>
  <c r="BQ19" i="2" s="1"/>
  <c r="BK19" i="2"/>
  <c r="BH19" i="2"/>
  <c r="BL19" i="2" s="1"/>
  <c r="BF19" i="2"/>
  <c r="BC19" i="2"/>
  <c r="BG19" i="2" s="1"/>
  <c r="BA19" i="2"/>
  <c r="AX19" i="2"/>
  <c r="BB19" i="2" s="1"/>
  <c r="AV19" i="2"/>
  <c r="AS19" i="2"/>
  <c r="AW19" i="2" s="1"/>
  <c r="AQ19" i="2"/>
  <c r="AN19" i="2"/>
  <c r="AR19" i="2" s="1"/>
  <c r="AL19" i="2"/>
  <c r="AI19" i="2"/>
  <c r="AM19" i="2" s="1"/>
  <c r="AG19" i="2"/>
  <c r="AD19" i="2"/>
  <c r="AH19" i="2" s="1"/>
  <c r="AB19" i="2"/>
  <c r="Y19" i="2"/>
  <c r="AC19" i="2" s="1"/>
  <c r="W19" i="2"/>
  <c r="T19" i="2"/>
  <c r="X19" i="2" s="1"/>
  <c r="R19" i="2"/>
  <c r="O19" i="2"/>
  <c r="G19" i="2"/>
  <c r="I19" i="2" s="1"/>
  <c r="BU18" i="2"/>
  <c r="BR18" i="2"/>
  <c r="BV18" i="2" s="1"/>
  <c r="BP18" i="2"/>
  <c r="BM18" i="2"/>
  <c r="BQ18" i="2" s="1"/>
  <c r="BK18" i="2"/>
  <c r="BH18" i="2"/>
  <c r="BL18" i="2" s="1"/>
  <c r="BF18" i="2"/>
  <c r="BC18" i="2"/>
  <c r="BG18" i="2" s="1"/>
  <c r="BA18" i="2"/>
  <c r="AX18" i="2"/>
  <c r="BB18" i="2" s="1"/>
  <c r="AV18" i="2"/>
  <c r="AS18" i="2"/>
  <c r="AQ18" i="2"/>
  <c r="AN18" i="2"/>
  <c r="AR18" i="2" s="1"/>
  <c r="AL18" i="2"/>
  <c r="AI18" i="2"/>
  <c r="AM18" i="2" s="1"/>
  <c r="AG18" i="2"/>
  <c r="AD18" i="2"/>
  <c r="AH18" i="2" s="1"/>
  <c r="AB18" i="2"/>
  <c r="Y18" i="2"/>
  <c r="AC18" i="2" s="1"/>
  <c r="W18" i="2"/>
  <c r="T18" i="2"/>
  <c r="X18" i="2" s="1"/>
  <c r="R18" i="2"/>
  <c r="O18" i="2"/>
  <c r="G18" i="2"/>
  <c r="I18" i="2" s="1"/>
  <c r="BU17" i="2"/>
  <c r="BR17" i="2"/>
  <c r="BV17" i="2" s="1"/>
  <c r="BP17" i="2"/>
  <c r="BM17" i="2"/>
  <c r="BQ17" i="2" s="1"/>
  <c r="BK17" i="2"/>
  <c r="BH17" i="2"/>
  <c r="BL17" i="2" s="1"/>
  <c r="BF17" i="2"/>
  <c r="BC17" i="2"/>
  <c r="BG17" i="2" s="1"/>
  <c r="BA17" i="2"/>
  <c r="AX17" i="2"/>
  <c r="BB17" i="2" s="1"/>
  <c r="AV17" i="2"/>
  <c r="AS17" i="2"/>
  <c r="AW17" i="2" s="1"/>
  <c r="AQ17" i="2"/>
  <c r="AN17" i="2"/>
  <c r="AR17" i="2" s="1"/>
  <c r="AL17" i="2"/>
  <c r="AI17" i="2"/>
  <c r="AM17" i="2" s="1"/>
  <c r="AG17" i="2"/>
  <c r="AD17" i="2"/>
  <c r="AH17" i="2" s="1"/>
  <c r="AB17" i="2"/>
  <c r="Y17" i="2"/>
  <c r="AC17" i="2" s="1"/>
  <c r="W17" i="2"/>
  <c r="T17" i="2"/>
  <c r="X17" i="2" s="1"/>
  <c r="R17" i="2"/>
  <c r="O17" i="2"/>
  <c r="G17" i="2"/>
  <c r="I17" i="2" s="1"/>
  <c r="BU16" i="2"/>
  <c r="BR16" i="2"/>
  <c r="BP16" i="2"/>
  <c r="BM16" i="2"/>
  <c r="BK16" i="2"/>
  <c r="BH16" i="2"/>
  <c r="BL16" i="2" s="1"/>
  <c r="BF16" i="2"/>
  <c r="BC16" i="2"/>
  <c r="BG16" i="2" s="1"/>
  <c r="BA16" i="2"/>
  <c r="AX16" i="2"/>
  <c r="AV16" i="2"/>
  <c r="AS16" i="2"/>
  <c r="AW16" i="2" s="1"/>
  <c r="AQ16" i="2"/>
  <c r="AN16" i="2"/>
  <c r="AR16" i="2" s="1"/>
  <c r="AL16" i="2"/>
  <c r="AI16" i="2"/>
  <c r="AM16" i="2" s="1"/>
  <c r="AG16" i="2"/>
  <c r="AD16" i="2"/>
  <c r="AB16" i="2"/>
  <c r="Y16" i="2"/>
  <c r="AC16" i="2" s="1"/>
  <c r="W16" i="2"/>
  <c r="T16" i="2"/>
  <c r="X16" i="2" s="1"/>
  <c r="R16" i="2"/>
  <c r="O16" i="2"/>
  <c r="G16" i="2"/>
  <c r="I16" i="2" s="1"/>
  <c r="BT15" i="2"/>
  <c r="BS15" i="2"/>
  <c r="BO15" i="2"/>
  <c r="BN15" i="2"/>
  <c r="BJ15" i="2"/>
  <c r="BI15" i="2"/>
  <c r="BE15" i="2"/>
  <c r="BD15" i="2"/>
  <c r="AZ15" i="2"/>
  <c r="AZ10" i="2" s="1"/>
  <c r="AY15" i="2"/>
  <c r="AU15" i="2"/>
  <c r="AT15" i="2"/>
  <c r="AP15" i="2"/>
  <c r="AO15" i="2"/>
  <c r="AK15" i="2"/>
  <c r="AJ15" i="2"/>
  <c r="AJ10" i="2" s="1"/>
  <c r="AJ9" i="2" s="1"/>
  <c r="AJ53" i="2" s="1"/>
  <c r="AF15" i="2"/>
  <c r="AE15" i="2"/>
  <c r="AA15" i="2"/>
  <c r="Z15" i="2"/>
  <c r="V15" i="2"/>
  <c r="U15" i="2"/>
  <c r="Q15" i="2"/>
  <c r="P15" i="2"/>
  <c r="H15" i="2"/>
  <c r="BU14" i="2"/>
  <c r="BR14" i="2"/>
  <c r="BV14" i="2" s="1"/>
  <c r="BP14" i="2"/>
  <c r="BM14" i="2"/>
  <c r="BQ14" i="2" s="1"/>
  <c r="BK14" i="2"/>
  <c r="BH14" i="2"/>
  <c r="BL14" i="2" s="1"/>
  <c r="BF14" i="2"/>
  <c r="BC14" i="2"/>
  <c r="BG14" i="2" s="1"/>
  <c r="BA14" i="2"/>
  <c r="AX14" i="2"/>
  <c r="AV14" i="2"/>
  <c r="AS14" i="2"/>
  <c r="AW14" i="2" s="1"/>
  <c r="AQ14" i="2"/>
  <c r="AN14" i="2"/>
  <c r="AR14" i="2" s="1"/>
  <c r="AL14" i="2"/>
  <c r="AI14" i="2"/>
  <c r="AM14" i="2" s="1"/>
  <c r="AG14" i="2"/>
  <c r="AD14" i="2"/>
  <c r="AH14" i="2" s="1"/>
  <c r="AB14" i="2"/>
  <c r="Y14" i="2"/>
  <c r="AC14" i="2" s="1"/>
  <c r="W14" i="2"/>
  <c r="T14" i="2"/>
  <c r="R14" i="2"/>
  <c r="O14" i="2"/>
  <c r="G14" i="2"/>
  <c r="I14" i="2" s="1"/>
  <c r="BU13" i="2"/>
  <c r="BR13" i="2"/>
  <c r="BV13" i="2" s="1"/>
  <c r="BP13" i="2"/>
  <c r="BM13" i="2"/>
  <c r="BQ13" i="2" s="1"/>
  <c r="BK13" i="2"/>
  <c r="BH13" i="2"/>
  <c r="BL13" i="2" s="1"/>
  <c r="BF13" i="2"/>
  <c r="BC13" i="2"/>
  <c r="BG13" i="2" s="1"/>
  <c r="BA13" i="2"/>
  <c r="AX13" i="2"/>
  <c r="BB13" i="2" s="1"/>
  <c r="AV13" i="2"/>
  <c r="AS13" i="2"/>
  <c r="AW13" i="2" s="1"/>
  <c r="AQ13" i="2"/>
  <c r="AN13" i="2"/>
  <c r="AL13" i="2"/>
  <c r="AI13" i="2"/>
  <c r="AG13" i="2"/>
  <c r="AD13" i="2"/>
  <c r="AH13" i="2" s="1"/>
  <c r="AB13" i="2"/>
  <c r="Y13" i="2"/>
  <c r="AC13" i="2" s="1"/>
  <c r="W13" i="2"/>
  <c r="T13" i="2"/>
  <c r="X13" i="2" s="1"/>
  <c r="R13" i="2"/>
  <c r="O13" i="2"/>
  <c r="G13" i="2"/>
  <c r="I13" i="2" s="1"/>
  <c r="BU12" i="2"/>
  <c r="BR12" i="2"/>
  <c r="BP12" i="2"/>
  <c r="BM12" i="2"/>
  <c r="BK12" i="2"/>
  <c r="BH12" i="2"/>
  <c r="BF12" i="2"/>
  <c r="BC12" i="2"/>
  <c r="BA12" i="2"/>
  <c r="AX12" i="2"/>
  <c r="AV12" i="2"/>
  <c r="AS12" i="2"/>
  <c r="AQ12" i="2"/>
  <c r="AN12" i="2"/>
  <c r="AL12" i="2"/>
  <c r="AI12" i="2"/>
  <c r="AG12" i="2"/>
  <c r="AD12" i="2"/>
  <c r="AB12" i="2"/>
  <c r="Y12" i="2"/>
  <c r="W12" i="2"/>
  <c r="T12" i="2"/>
  <c r="R12" i="2"/>
  <c r="O12" i="2"/>
  <c r="G12" i="2"/>
  <c r="BU8" i="2"/>
  <c r="BU58" i="2" s="1"/>
  <c r="BR8" i="2"/>
  <c r="BV8" i="2" s="1"/>
  <c r="BP8" i="2"/>
  <c r="BP58" i="2" s="1"/>
  <c r="BM8" i="2"/>
  <c r="BQ8" i="2" s="1"/>
  <c r="BK8" i="2"/>
  <c r="BK58" i="2" s="1"/>
  <c r="BH8" i="2"/>
  <c r="BF8" i="2"/>
  <c r="BF58" i="2" s="1"/>
  <c r="BC8" i="2"/>
  <c r="BG8" i="2" s="1"/>
  <c r="BA8" i="2"/>
  <c r="BA58" i="2" s="1"/>
  <c r="AX8" i="2"/>
  <c r="AV8" i="2"/>
  <c r="AV58" i="2" s="1"/>
  <c r="AS8" i="2"/>
  <c r="AS58" i="2" s="1"/>
  <c r="AN8" i="2"/>
  <c r="AL8" i="2"/>
  <c r="AL58" i="2" s="1"/>
  <c r="AI8" i="2"/>
  <c r="AD8" i="2"/>
  <c r="AH8" i="2" s="1"/>
  <c r="Y8" i="2"/>
  <c r="T8" i="2"/>
  <c r="X8" i="2" s="1"/>
  <c r="O8" i="2"/>
  <c r="BU7" i="2"/>
  <c r="BP7" i="2"/>
  <c r="BM7" i="2"/>
  <c r="BQ7" i="2" s="1"/>
  <c r="BK7" i="2"/>
  <c r="BH7" i="2"/>
  <c r="BF7" i="2"/>
  <c r="BC7" i="2"/>
  <c r="BA7" i="2"/>
  <c r="AX7" i="2"/>
  <c r="AV7" i="2"/>
  <c r="AS7" i="2"/>
  <c r="AW7" i="2" s="1"/>
  <c r="AN7" i="2"/>
  <c r="AL7" i="2"/>
  <c r="AI7" i="2"/>
  <c r="AD7" i="2"/>
  <c r="AH7" i="2" s="1"/>
  <c r="Y7" i="2"/>
  <c r="W7" i="2"/>
  <c r="T7" i="2"/>
  <c r="O7" i="2"/>
  <c r="BT6" i="2"/>
  <c r="BS6" i="2"/>
  <c r="BO6" i="2"/>
  <c r="BN6" i="2"/>
  <c r="BP6" i="2" s="1"/>
  <c r="BJ6" i="2"/>
  <c r="BI6" i="2"/>
  <c r="BE6" i="2"/>
  <c r="BD6" i="2"/>
  <c r="AZ6" i="2"/>
  <c r="AY6" i="2"/>
  <c r="AU6" i="2"/>
  <c r="AT6" i="2"/>
  <c r="AP6" i="2"/>
  <c r="AK6" i="2"/>
  <c r="AF6" i="2"/>
  <c r="AA6" i="2"/>
  <c r="V6" i="2"/>
  <c r="Q6" i="2"/>
  <c r="G6" i="2"/>
  <c r="BT5" i="2"/>
  <c r="L5" i="2" s="1"/>
  <c r="BS5" i="2"/>
  <c r="BO5" i="2"/>
  <c r="BN5" i="2"/>
  <c r="BJ5" i="2"/>
  <c r="BI5" i="2"/>
  <c r="BE5" i="2"/>
  <c r="BD5" i="2"/>
  <c r="AZ5" i="2"/>
  <c r="AY5" i="2"/>
  <c r="AU5" i="2"/>
  <c r="AT5" i="2"/>
  <c r="AP5" i="2"/>
  <c r="AK5" i="2"/>
  <c r="AF5" i="2"/>
  <c r="AA5" i="2"/>
  <c r="V5" i="2"/>
  <c r="Q5" i="2"/>
  <c r="S3" i="2"/>
  <c r="R3" i="2"/>
  <c r="Q3" i="2"/>
  <c r="P3" i="2"/>
  <c r="O3" i="2"/>
  <c r="BE37" i="2" l="1"/>
  <c r="BD37" i="5" s="1"/>
  <c r="BH37" i="5" s="1"/>
  <c r="BD29" i="5"/>
  <c r="G40" i="2"/>
  <c r="BV40" i="2"/>
  <c r="J40" i="2"/>
  <c r="BV43" i="2"/>
  <c r="J43" i="2"/>
  <c r="BO55" i="2"/>
  <c r="AZ55" i="2"/>
  <c r="AV6" i="2"/>
  <c r="AM7" i="2"/>
  <c r="BP23" i="2"/>
  <c r="R35" i="2"/>
  <c r="S39" i="2"/>
  <c r="AQ15" i="2"/>
  <c r="P57" i="2"/>
  <c r="P40" i="2"/>
  <c r="R40" i="2" s="1"/>
  <c r="O56" i="2"/>
  <c r="P43" i="2"/>
  <c r="R43" i="2" s="1"/>
  <c r="BF52" i="2"/>
  <c r="O57" i="2"/>
  <c r="BA15" i="2"/>
  <c r="BA6" i="2"/>
  <c r="AM43" i="2"/>
  <c r="S18" i="2"/>
  <c r="BI10" i="2"/>
  <c r="BI9" i="2" s="1"/>
  <c r="BI53" i="2" s="1"/>
  <c r="AM27" i="2"/>
  <c r="AO57" i="2"/>
  <c r="R51" i="2"/>
  <c r="AZ54" i="2"/>
  <c r="BJ55" i="2"/>
  <c r="BB51" i="2"/>
  <c r="R52" i="2"/>
  <c r="BE54" i="2"/>
  <c r="S21" i="2"/>
  <c r="N21" i="2"/>
  <c r="S26" i="2"/>
  <c r="N26" i="2"/>
  <c r="BO10" i="2"/>
  <c r="BO9" i="2" s="1"/>
  <c r="R34" i="2"/>
  <c r="AV15" i="2"/>
  <c r="BC6" i="2"/>
  <c r="AY10" i="2"/>
  <c r="AY9" i="2" s="1"/>
  <c r="AY53" i="2" s="1"/>
  <c r="X52" i="2"/>
  <c r="BI55" i="2"/>
  <c r="BK55" i="2" s="1"/>
  <c r="AT10" i="2"/>
  <c r="AT9" i="2" s="1"/>
  <c r="AT53" i="2" s="1"/>
  <c r="BF5" i="2"/>
  <c r="BU6" i="2"/>
  <c r="BK20" i="2"/>
  <c r="R31" i="2"/>
  <c r="M31" i="2"/>
  <c r="S32" i="2"/>
  <c r="S14" i="2"/>
  <c r="J15" i="2"/>
  <c r="N16" i="2"/>
  <c r="R32" i="2"/>
  <c r="M32" i="2"/>
  <c r="AL20" i="2"/>
  <c r="N43" i="2"/>
  <c r="AM40" i="2"/>
  <c r="R33" i="2"/>
  <c r="BS57" i="2"/>
  <c r="AO53" i="2"/>
  <c r="AO8" i="2"/>
  <c r="AP55" i="2"/>
  <c r="AP10" i="2"/>
  <c r="AP9" i="2" s="1"/>
  <c r="BA58" i="1"/>
  <c r="G8" i="1"/>
  <c r="AG52" i="2"/>
  <c r="BC53" i="1"/>
  <c r="BC4" i="1"/>
  <c r="AD53" i="1"/>
  <c r="AD4" i="1"/>
  <c r="M56" i="1"/>
  <c r="L52" i="1"/>
  <c r="AK6" i="1"/>
  <c r="AG58" i="1"/>
  <c r="S3" i="1"/>
  <c r="BU6" i="1"/>
  <c r="AG15" i="1"/>
  <c r="W20" i="1"/>
  <c r="R23" i="1"/>
  <c r="BF52" i="1"/>
  <c r="W51" i="1"/>
  <c r="BA51" i="1"/>
  <c r="AV59" i="1"/>
  <c r="AL5" i="1"/>
  <c r="V23" i="1"/>
  <c r="AW12" i="2"/>
  <c r="AS11" i="2"/>
  <c r="AW11" i="2" s="1"/>
  <c r="AW58" i="2"/>
  <c r="AQ5" i="1"/>
  <c r="G6" i="1"/>
  <c r="H6" i="1" s="1"/>
  <c r="J29" i="1"/>
  <c r="BL52" i="1"/>
  <c r="BP52" i="1" s="1"/>
  <c r="K59" i="1"/>
  <c r="M59" i="1" s="1"/>
  <c r="AN57" i="2"/>
  <c r="AX4" i="1"/>
  <c r="AP5" i="1"/>
  <c r="I5" i="1"/>
  <c r="AN10" i="1"/>
  <c r="AN9" i="1" s="1"/>
  <c r="AN53" i="1" s="1"/>
  <c r="J20" i="1"/>
  <c r="AB20" i="1"/>
  <c r="BE51" i="1"/>
  <c r="AL57" i="1"/>
  <c r="BU57" i="1"/>
  <c r="AQ58" i="1"/>
  <c r="R59" i="1"/>
  <c r="AD11" i="2"/>
  <c r="AH11" i="2" s="1"/>
  <c r="K5" i="1"/>
  <c r="BT52" i="1"/>
  <c r="BN55" i="1"/>
  <c r="BP55" i="1" s="1"/>
  <c r="M8" i="1"/>
  <c r="L17" i="1"/>
  <c r="W59" i="1"/>
  <c r="G10" i="1"/>
  <c r="G9" i="1" s="1"/>
  <c r="BU20" i="1"/>
  <c r="G54" i="1"/>
  <c r="G59" i="1" s="1"/>
  <c r="I56" i="1"/>
  <c r="AM55" i="1"/>
  <c r="BQ55" i="1"/>
  <c r="AZ52" i="1"/>
  <c r="AM12" i="2"/>
  <c r="AI11" i="2"/>
  <c r="AM11" i="2" s="1"/>
  <c r="AA51" i="1"/>
  <c r="BC11" i="2"/>
  <c r="BG11" i="2" s="1"/>
  <c r="AX57" i="2"/>
  <c r="BB57" i="2" s="1"/>
  <c r="BQ12" i="2"/>
  <c r="BM11" i="2"/>
  <c r="BQ11" i="2" s="1"/>
  <c r="BM58" i="2"/>
  <c r="BQ58" i="2" s="1"/>
  <c r="AQ52" i="1"/>
  <c r="BR55" i="1"/>
  <c r="R58" i="1"/>
  <c r="BB55" i="1"/>
  <c r="BF55" i="1" s="1"/>
  <c r="BV41" i="2"/>
  <c r="BH57" i="2"/>
  <c r="BL57" i="2" s="1"/>
  <c r="AO55" i="1"/>
  <c r="AQ55" i="1" s="1"/>
  <c r="BS55" i="1"/>
  <c r="AB59" i="1"/>
  <c r="AQ57" i="1"/>
  <c r="AV5" i="1"/>
  <c r="AC55" i="1"/>
  <c r="F15" i="2"/>
  <c r="F11" i="2"/>
  <c r="AB57" i="1"/>
  <c r="Q51" i="1"/>
  <c r="M28" i="1"/>
  <c r="AN55" i="1"/>
  <c r="Q6" i="1"/>
  <c r="BN10" i="1"/>
  <c r="BL12" i="2"/>
  <c r="BH11" i="2"/>
  <c r="BL11" i="2" s="1"/>
  <c r="BC59" i="2"/>
  <c r="BG59" i="2" s="1"/>
  <c r="G11" i="2"/>
  <c r="I11" i="2" s="1"/>
  <c r="AS56" i="2"/>
  <c r="AW56" i="2" s="1"/>
  <c r="BE5" i="1"/>
  <c r="N55" i="1"/>
  <c r="R55" i="1" s="1"/>
  <c r="F8" i="2"/>
  <c r="F5" i="2" s="1"/>
  <c r="AC12" i="2"/>
  <c r="Y11" i="2"/>
  <c r="AC11" i="2" s="1"/>
  <c r="BO15" i="1"/>
  <c r="AQ59" i="1"/>
  <c r="BP5" i="1"/>
  <c r="BB12" i="2"/>
  <c r="AX11" i="2"/>
  <c r="BB11" i="2" s="1"/>
  <c r="J5" i="1"/>
  <c r="L8" i="1"/>
  <c r="L58" i="1" s="1"/>
  <c r="AD50" i="1"/>
  <c r="AS20" i="2"/>
  <c r="V5" i="1"/>
  <c r="BF5" i="1"/>
  <c r="AP20" i="1"/>
  <c r="L38" i="1"/>
  <c r="O55" i="1"/>
  <c r="Q55" i="1" s="1"/>
  <c r="R57" i="1"/>
  <c r="AG59" i="1"/>
  <c r="AU20" i="1"/>
  <c r="AZ23" i="1"/>
  <c r="BA52" i="1"/>
  <c r="AG5" i="1"/>
  <c r="AR12" i="2"/>
  <c r="AN11" i="2"/>
  <c r="AR11" i="2" s="1"/>
  <c r="AV38" i="1"/>
  <c r="AU6" i="1"/>
  <c r="AS57" i="2"/>
  <c r="AW57" i="2" s="1"/>
  <c r="AV58" i="1"/>
  <c r="BR11" i="2"/>
  <c r="BV11" i="2" s="1"/>
  <c r="G8" i="2"/>
  <c r="G5" i="2" s="1"/>
  <c r="T10" i="1"/>
  <c r="T9" i="1" s="1"/>
  <c r="K52" i="1"/>
  <c r="AU52" i="1"/>
  <c r="S55" i="1"/>
  <c r="BH55" i="1"/>
  <c r="BP59" i="1"/>
  <c r="L36" i="1"/>
  <c r="BA56" i="1"/>
  <c r="AL6" i="1"/>
  <c r="BI54" i="1"/>
  <c r="BK54" i="1" s="1"/>
  <c r="AJ55" i="1"/>
  <c r="AS5" i="2"/>
  <c r="AW5" i="2" s="1"/>
  <c r="AU15" i="1"/>
  <c r="O11" i="2"/>
  <c r="S11" i="2" s="1"/>
  <c r="X12" i="2"/>
  <c r="T11" i="2"/>
  <c r="X11" i="2" s="1"/>
  <c r="AD6" i="2"/>
  <c r="AH6" i="2" s="1"/>
  <c r="BJ5" i="1"/>
  <c r="BJ15" i="1"/>
  <c r="AV20" i="1"/>
  <c r="AV23" i="1"/>
  <c r="BC55" i="1"/>
  <c r="AB58" i="1"/>
  <c r="BK58" i="1"/>
  <c r="W15" i="2"/>
  <c r="AV20" i="2"/>
  <c r="AB51" i="2"/>
  <c r="BU5" i="2"/>
  <c r="Y15" i="2"/>
  <c r="BB56" i="2"/>
  <c r="AY57" i="2"/>
  <c r="AY55" i="2" s="1"/>
  <c r="N7" i="2"/>
  <c r="AW18" i="2"/>
  <c r="M22" i="2"/>
  <c r="AB23" i="2"/>
  <c r="Z10" i="2"/>
  <c r="Z9" i="2" s="1"/>
  <c r="BC56" i="2"/>
  <c r="BG56" i="2" s="1"/>
  <c r="AL23" i="2"/>
  <c r="W42" i="2"/>
  <c r="W56" i="2" s="1"/>
  <c r="BF20" i="2"/>
  <c r="AI51" i="2"/>
  <c r="AM51" i="2" s="1"/>
  <c r="BU52" i="2"/>
  <c r="BL42" i="2"/>
  <c r="T5" i="2"/>
  <c r="X5" i="2" s="1"/>
  <c r="O6" i="2"/>
  <c r="S6" i="2" s="1"/>
  <c r="AX23" i="2"/>
  <c r="BB23" i="2" s="1"/>
  <c r="BD56" i="2"/>
  <c r="BD55" i="2" s="1"/>
  <c r="BB21" i="2"/>
  <c r="AQ23" i="2"/>
  <c r="BG52" i="2"/>
  <c r="BL56" i="2"/>
  <c r="AW59" i="2"/>
  <c r="AR57" i="2"/>
  <c r="U10" i="2"/>
  <c r="U9" i="2" s="1"/>
  <c r="AM28" i="2"/>
  <c r="AS51" i="2"/>
  <c r="AW51" i="2" s="1"/>
  <c r="P10" i="2"/>
  <c r="P9" i="2" s="1"/>
  <c r="P7" i="2" s="1"/>
  <c r="R7" i="2" s="1"/>
  <c r="BU20" i="2"/>
  <c r="R36" i="2"/>
  <c r="AI52" i="2"/>
  <c r="AM52" i="2" s="1"/>
  <c r="T58" i="2"/>
  <c r="X58" i="2" s="1"/>
  <c r="BR58" i="2"/>
  <c r="BV58" i="2" s="1"/>
  <c r="BF39" i="2"/>
  <c r="BF57" i="2" s="1"/>
  <c r="Q55" i="2"/>
  <c r="H10" i="2"/>
  <c r="H9" i="2" s="1"/>
  <c r="H8" i="2" s="1"/>
  <c r="BB59" i="2"/>
  <c r="AH42" i="2"/>
  <c r="BD10" i="2"/>
  <c r="BD9" i="2" s="1"/>
  <c r="BD53" i="2" s="1"/>
  <c r="AI57" i="2"/>
  <c r="AM57" i="2" s="1"/>
  <c r="AV23" i="2"/>
  <c r="AV5" i="2"/>
  <c r="BA5" i="2"/>
  <c r="BE10" i="2"/>
  <c r="X38" i="2"/>
  <c r="AJ57" i="2"/>
  <c r="M35" i="2"/>
  <c r="BH15" i="2"/>
  <c r="BL15" i="2" s="1"/>
  <c r="Z40" i="2"/>
  <c r="BF6" i="2"/>
  <c r="BK5" i="2"/>
  <c r="AU10" i="2"/>
  <c r="BP20" i="2"/>
  <c r="AW8" i="2"/>
  <c r="AJ56" i="2"/>
  <c r="Z43" i="2"/>
  <c r="BC50" i="1"/>
  <c r="F31" i="2"/>
  <c r="F30" i="2"/>
  <c r="BH50" i="1"/>
  <c r="F29" i="1"/>
  <c r="H29" i="1" s="1"/>
  <c r="H54" i="1" s="1"/>
  <c r="H35" i="1"/>
  <c r="F34" i="2"/>
  <c r="F32" i="2"/>
  <c r="M32" i="1"/>
  <c r="H33" i="1"/>
  <c r="M35" i="1"/>
  <c r="BR29" i="2"/>
  <c r="BR37" i="2" s="1"/>
  <c r="BK29" i="1"/>
  <c r="BI37" i="1"/>
  <c r="BJ37" i="1" s="1"/>
  <c r="BD37" i="1"/>
  <c r="BF37" i="1" s="1"/>
  <c r="BD54" i="1"/>
  <c r="BF54" i="1" s="1"/>
  <c r="AY37" i="1"/>
  <c r="AZ37" i="1" s="1"/>
  <c r="AU29" i="1"/>
  <c r="AG29" i="1"/>
  <c r="AE54" i="1"/>
  <c r="AG54" i="1" s="1"/>
  <c r="AE37" i="1"/>
  <c r="Z54" i="1"/>
  <c r="Z37" i="1"/>
  <c r="AA37" i="1" s="1"/>
  <c r="W29" i="1"/>
  <c r="U54" i="1"/>
  <c r="W54" i="1" s="1"/>
  <c r="W37" i="1"/>
  <c r="S34" i="2"/>
  <c r="N34" i="2"/>
  <c r="L34" i="1"/>
  <c r="I29" i="1"/>
  <c r="I54" i="1" s="1"/>
  <c r="M36" i="1"/>
  <c r="Y4" i="1"/>
  <c r="Y53" i="1"/>
  <c r="Y50" i="1" s="1"/>
  <c r="J54" i="1"/>
  <c r="J37" i="1"/>
  <c r="AG55" i="1"/>
  <c r="S33" i="2"/>
  <c r="N33" i="2"/>
  <c r="BQ41" i="2"/>
  <c r="BM51" i="2"/>
  <c r="BQ51" i="2" s="1"/>
  <c r="AC8" i="2"/>
  <c r="Y58" i="2"/>
  <c r="AC58" i="2" s="1"/>
  <c r="AD57" i="2"/>
  <c r="AH39" i="2"/>
  <c r="BM54" i="1"/>
  <c r="BM37" i="1"/>
  <c r="AX54" i="1"/>
  <c r="AX50" i="1" s="1"/>
  <c r="BM55" i="1"/>
  <c r="T29" i="2"/>
  <c r="T54" i="2" s="1"/>
  <c r="N32" i="2"/>
  <c r="AX5" i="2"/>
  <c r="BB5" i="2" s="1"/>
  <c r="AR38" i="2"/>
  <c r="AN52" i="2"/>
  <c r="AN4" i="1"/>
  <c r="BP6" i="1"/>
  <c r="U10" i="1"/>
  <c r="U9" i="1" s="1"/>
  <c r="V15" i="1"/>
  <c r="BO55" i="1"/>
  <c r="BA6" i="1"/>
  <c r="AZ6" i="1"/>
  <c r="AG6" i="1"/>
  <c r="AF6" i="1"/>
  <c r="AG51" i="1"/>
  <c r="AF51" i="1"/>
  <c r="AS52" i="2"/>
  <c r="AW52" i="2" s="1"/>
  <c r="AW38" i="2"/>
  <c r="T51" i="2"/>
  <c r="X41" i="2"/>
  <c r="BA4" i="1"/>
  <c r="BP51" i="1"/>
  <c r="BO51" i="1"/>
  <c r="BP56" i="1"/>
  <c r="BM53" i="1"/>
  <c r="S35" i="2"/>
  <c r="U3" i="1"/>
  <c r="P49" i="1"/>
  <c r="BH4" i="1"/>
  <c r="Q20" i="1"/>
  <c r="BU51" i="1"/>
  <c r="BT51" i="1"/>
  <c r="AQ56" i="1"/>
  <c r="BU55" i="1"/>
  <c r="BT55" i="1"/>
  <c r="AS29" i="2"/>
  <c r="AS54" i="2" s="1"/>
  <c r="T3" i="1"/>
  <c r="O49" i="1"/>
  <c r="T23" i="2"/>
  <c r="X23" i="2" s="1"/>
  <c r="AR28" i="2"/>
  <c r="BH29" i="2"/>
  <c r="BH54" i="2" s="1"/>
  <c r="X34" i="2"/>
  <c r="V49" i="1"/>
  <c r="AA3" i="1"/>
  <c r="AR55" i="1"/>
  <c r="BU56" i="1"/>
  <c r="BK37" i="1"/>
  <c r="R56" i="1"/>
  <c r="AS55" i="1"/>
  <c r="BB16" i="2"/>
  <c r="AX20" i="2"/>
  <c r="BB20" i="2" s="1"/>
  <c r="X21" i="2"/>
  <c r="N22" i="2"/>
  <c r="AA15" i="1"/>
  <c r="Z10" i="1"/>
  <c r="AA10" i="1" s="1"/>
  <c r="AP55" i="1"/>
  <c r="AO37" i="1"/>
  <c r="AO54" i="1"/>
  <c r="AP29" i="1"/>
  <c r="S22" i="2"/>
  <c r="G5" i="1"/>
  <c r="H5" i="1" s="1"/>
  <c r="H8" i="1"/>
  <c r="H58" i="1" s="1"/>
  <c r="AQ29" i="1"/>
  <c r="BK59" i="1"/>
  <c r="X14" i="2"/>
  <c r="AB3" i="1"/>
  <c r="AS54" i="1"/>
  <c r="AS37" i="1"/>
  <c r="M31" i="1"/>
  <c r="BG7" i="2"/>
  <c r="AT37" i="1"/>
  <c r="AT54" i="1"/>
  <c r="AV51" i="1"/>
  <c r="J57" i="1"/>
  <c r="J55" i="1" s="1"/>
  <c r="L39" i="1"/>
  <c r="L57" i="1" s="1"/>
  <c r="AM42" i="2"/>
  <c r="AI56" i="2"/>
  <c r="T4" i="1"/>
  <c r="T53" i="1"/>
  <c r="T50" i="1" s="1"/>
  <c r="BF6" i="1"/>
  <c r="AZ29" i="1"/>
  <c r="L32" i="1"/>
  <c r="AD55" i="1"/>
  <c r="AF55" i="1" s="1"/>
  <c r="AL59" i="1"/>
  <c r="G53" i="1"/>
  <c r="G58" i="1" s="1"/>
  <c r="G4" i="1"/>
  <c r="AB54" i="1"/>
  <c r="AA54" i="1"/>
  <c r="BV7" i="2"/>
  <c r="BV6" i="2"/>
  <c r="AR42" i="2"/>
  <c r="AN56" i="2"/>
  <c r="AR56" i="2" s="1"/>
  <c r="AC43" i="2"/>
  <c r="AB6" i="1"/>
  <c r="K29" i="1"/>
  <c r="K37" i="1" s="1"/>
  <c r="AA6" i="1"/>
  <c r="AA52" i="1"/>
  <c r="S7" i="2"/>
  <c r="AL55" i="1"/>
  <c r="AZ9" i="1"/>
  <c r="AY4" i="1"/>
  <c r="AZ4" i="1" s="1"/>
  <c r="J23" i="1"/>
  <c r="J10" i="1" s="1"/>
  <c r="J9" i="1" s="1"/>
  <c r="P54" i="1"/>
  <c r="P37" i="1"/>
  <c r="Q37" i="1" s="1"/>
  <c r="R29" i="1"/>
  <c r="Q29" i="1"/>
  <c r="L33" i="1"/>
  <c r="M33" i="1"/>
  <c r="BK52" i="1"/>
  <c r="BJ52" i="1"/>
  <c r="BI55" i="1"/>
  <c r="BL7" i="2"/>
  <c r="BH6" i="2"/>
  <c r="BL6" i="2" s="1"/>
  <c r="AG52" i="1"/>
  <c r="AF52" i="1"/>
  <c r="AT55" i="1"/>
  <c r="AV56" i="1"/>
  <c r="AC7" i="2"/>
  <c r="Y6" i="2"/>
  <c r="AC6" i="2" s="1"/>
  <c r="N17" i="2"/>
  <c r="AR52" i="2"/>
  <c r="AI10" i="1"/>
  <c r="AI9" i="1" s="1"/>
  <c r="BR10" i="1"/>
  <c r="BR9" i="1" s="1"/>
  <c r="V54" i="1"/>
  <c r="T55" i="1"/>
  <c r="Y20" i="2"/>
  <c r="BU5" i="1"/>
  <c r="BT5" i="1"/>
  <c r="BO6" i="1"/>
  <c r="AW50" i="1"/>
  <c r="AK15" i="1"/>
  <c r="BU15" i="1"/>
  <c r="V20" i="1"/>
  <c r="L25" i="1"/>
  <c r="V37" i="1"/>
  <c r="U55" i="1"/>
  <c r="W56" i="1"/>
  <c r="AW55" i="1"/>
  <c r="BA55" i="1" s="1"/>
  <c r="S17" i="2"/>
  <c r="N18" i="2"/>
  <c r="N36" i="2"/>
  <c r="AX52" i="2"/>
  <c r="BB52" i="2" s="1"/>
  <c r="BB38" i="2"/>
  <c r="AC40" i="2"/>
  <c r="N40" i="2"/>
  <c r="Q5" i="1"/>
  <c r="AQ15" i="1"/>
  <c r="N10" i="1"/>
  <c r="BA23" i="1"/>
  <c r="V29" i="1"/>
  <c r="I57" i="1"/>
  <c r="I55" i="1" s="1"/>
  <c r="F39" i="1"/>
  <c r="F39" i="2" s="1"/>
  <c r="G41" i="1"/>
  <c r="K51" i="1"/>
  <c r="L41" i="1"/>
  <c r="AX55" i="1"/>
  <c r="AZ55" i="1" s="1"/>
  <c r="AU5" i="1"/>
  <c r="AA20" i="1"/>
  <c r="BF20" i="1"/>
  <c r="Q23" i="1"/>
  <c r="Z55" i="1"/>
  <c r="W57" i="1"/>
  <c r="G15" i="2"/>
  <c r="I15" i="2" s="1"/>
  <c r="AI20" i="2"/>
  <c r="AM20" i="2" s="1"/>
  <c r="S31" i="2"/>
  <c r="N31" i="2"/>
  <c r="BG38" i="2"/>
  <c r="S42" i="2"/>
  <c r="N42" i="2"/>
  <c r="BT6" i="1"/>
  <c r="AS10" i="1"/>
  <c r="AS9" i="1" s="1"/>
  <c r="AU51" i="1"/>
  <c r="X55" i="1"/>
  <c r="AN23" i="2"/>
  <c r="AR23" i="2" s="1"/>
  <c r="BS37" i="1"/>
  <c r="BT37" i="1" s="1"/>
  <c r="BT29" i="1"/>
  <c r="BS54" i="1"/>
  <c r="AN6" i="2"/>
  <c r="AR6" i="2" s="1"/>
  <c r="S28" i="2"/>
  <c r="AD58" i="2"/>
  <c r="BA5" i="1"/>
  <c r="AZ5" i="1"/>
  <c r="R6" i="1"/>
  <c r="H15" i="1"/>
  <c r="M27" i="1"/>
  <c r="L27" i="1"/>
  <c r="BU29" i="1"/>
  <c r="M34" i="1"/>
  <c r="L42" i="1"/>
  <c r="L56" i="1" s="1"/>
  <c r="BE55" i="1"/>
  <c r="AP15" i="1"/>
  <c r="AB37" i="1"/>
  <c r="AN5" i="2"/>
  <c r="AR5" i="2" s="1"/>
  <c r="BH52" i="2"/>
  <c r="BL52" i="2" s="1"/>
  <c r="AJ10" i="1"/>
  <c r="AI37" i="1"/>
  <c r="AI54" i="1"/>
  <c r="M42" i="1"/>
  <c r="V51" i="1"/>
  <c r="BG55" i="1"/>
  <c r="S13" i="2"/>
  <c r="X28" i="2"/>
  <c r="O52" i="2"/>
  <c r="T59" i="2"/>
  <c r="X59" i="2" s="1"/>
  <c r="AJ37" i="1"/>
  <c r="AL37" i="1" s="1"/>
  <c r="AK29" i="1"/>
  <c r="L40" i="1"/>
  <c r="Q52" i="1"/>
  <c r="AJ54" i="1"/>
  <c r="F56" i="1"/>
  <c r="BN54" i="1"/>
  <c r="BN37" i="1"/>
  <c r="BP37" i="1" s="1"/>
  <c r="BO29" i="1"/>
  <c r="Y55" i="1"/>
  <c r="K6" i="1"/>
  <c r="M7" i="1"/>
  <c r="AO10" i="1"/>
  <c r="AP10" i="1" s="1"/>
  <c r="O10" i="1"/>
  <c r="O9" i="1" s="1"/>
  <c r="M40" i="1"/>
  <c r="AH55" i="1"/>
  <c r="BF58" i="1"/>
  <c r="H38" i="1"/>
  <c r="H52" i="1" s="1"/>
  <c r="G52" i="1"/>
  <c r="G57" i="1" s="1"/>
  <c r="AX6" i="2"/>
  <c r="BB6" i="2" s="1"/>
  <c r="BB7" i="2"/>
  <c r="AC27" i="2"/>
  <c r="AI29" i="2"/>
  <c r="AM29" i="2" s="1"/>
  <c r="BM52" i="2"/>
  <c r="BQ52" i="2" s="1"/>
  <c r="AA5" i="1"/>
  <c r="L7" i="1"/>
  <c r="P10" i="1"/>
  <c r="P9" i="1" s="1"/>
  <c r="P4" i="1" s="1"/>
  <c r="AN37" i="1"/>
  <c r="AN54" i="1"/>
  <c r="AN50" i="1" s="1"/>
  <c r="M30" i="1"/>
  <c r="G43" i="1"/>
  <c r="M43" i="1"/>
  <c r="L43" i="1"/>
  <c r="AI55" i="1"/>
  <c r="AK55" i="1" s="1"/>
  <c r="AK23" i="1"/>
  <c r="R15" i="1"/>
  <c r="AR10" i="1"/>
  <c r="AR9" i="1" s="1"/>
  <c r="AR53" i="1" s="1"/>
  <c r="AR50" i="1" s="1"/>
  <c r="AY54" i="1"/>
  <c r="T6" i="2"/>
  <c r="X6" i="2" s="1"/>
  <c r="W23" i="1"/>
  <c r="G20" i="2"/>
  <c r="AB15" i="1"/>
  <c r="K58" i="1"/>
  <c r="M58" i="1" s="1"/>
  <c r="G39" i="1"/>
  <c r="BR56" i="2"/>
  <c r="BV56" i="2" s="1"/>
  <c r="X10" i="1"/>
  <c r="X9" i="1" s="1"/>
  <c r="X4" i="1" s="1"/>
  <c r="AR52" i="1"/>
  <c r="AV52" i="1" s="1"/>
  <c r="F23" i="2"/>
  <c r="G23" i="2"/>
  <c r="I23" i="2" s="1"/>
  <c r="BM6" i="2"/>
  <c r="BQ6" i="2" s="1"/>
  <c r="T56" i="2"/>
  <c r="X56" i="2" s="1"/>
  <c r="BE6" i="1"/>
  <c r="BK23" i="1"/>
  <c r="AA29" i="1"/>
  <c r="BE29" i="1"/>
  <c r="L31" i="1"/>
  <c r="L35" i="1"/>
  <c r="AK51" i="1"/>
  <c r="AB56" i="1"/>
  <c r="AI15" i="2"/>
  <c r="AM15" i="2" s="1"/>
  <c r="N30" i="2"/>
  <c r="AM10" i="1"/>
  <c r="AM9" i="1" s="1"/>
  <c r="AM4" i="1" s="1"/>
  <c r="BL10" i="1"/>
  <c r="BL9" i="1" s="1"/>
  <c r="BL53" i="1" s="1"/>
  <c r="BL50" i="1" s="1"/>
  <c r="T15" i="2"/>
  <c r="X15" i="2" s="1"/>
  <c r="AR59" i="2"/>
  <c r="AN15" i="2"/>
  <c r="AR15" i="2" s="1"/>
  <c r="AF15" i="1"/>
  <c r="F20" i="2"/>
  <c r="AI6" i="2"/>
  <c r="AM6" i="2" s="1"/>
  <c r="AF5" i="1"/>
  <c r="BR5" i="2"/>
  <c r="BV5" i="2" s="1"/>
  <c r="BV51" i="2"/>
  <c r="I52" i="1"/>
  <c r="M52" i="1" s="1"/>
  <c r="I40" i="2"/>
  <c r="H53" i="2"/>
  <c r="H58" i="2" s="1"/>
  <c r="AE57" i="2"/>
  <c r="AG39" i="2"/>
  <c r="AG57" i="2" s="1"/>
  <c r="BK51" i="2"/>
  <c r="BK42" i="2"/>
  <c r="BK56" i="2" s="1"/>
  <c r="Y56" i="2"/>
  <c r="AC42" i="2"/>
  <c r="S49" i="2"/>
  <c r="X3" i="2"/>
  <c r="U53" i="2"/>
  <c r="U8" i="2"/>
  <c r="AG42" i="2"/>
  <c r="AG56" i="2" s="1"/>
  <c r="BJ54" i="2"/>
  <c r="BU23" i="2"/>
  <c r="AZ9" i="2"/>
  <c r="BA10" i="2"/>
  <c r="BE55" i="2"/>
  <c r="AR7" i="2"/>
  <c r="BF15" i="2"/>
  <c r="AR22" i="2"/>
  <c r="O49" i="2"/>
  <c r="T3" i="2"/>
  <c r="AG23" i="2"/>
  <c r="AO29" i="2"/>
  <c r="AO28" i="2" s="1"/>
  <c r="AB42" i="2"/>
  <c r="AB56" i="2" s="1"/>
  <c r="Q49" i="2"/>
  <c r="V3" i="2"/>
  <c r="AS6" i="2"/>
  <c r="AW6" i="2" s="1"/>
  <c r="BK15" i="2"/>
  <c r="BJ10" i="2"/>
  <c r="AH27" i="2"/>
  <c r="X32" i="2"/>
  <c r="BV38" i="2"/>
  <c r="BR52" i="2"/>
  <c r="BV52" i="2" s="1"/>
  <c r="BB41" i="2"/>
  <c r="W3" i="2"/>
  <c r="R49" i="2"/>
  <c r="AQ20" i="2"/>
  <c r="Y59" i="2"/>
  <c r="AC59" i="2" s="1"/>
  <c r="Y5" i="2"/>
  <c r="AC5" i="2" s="1"/>
  <c r="AC28" i="2"/>
  <c r="BS10" i="2"/>
  <c r="BS9" i="2" s="1"/>
  <c r="BS53" i="2" s="1"/>
  <c r="AW31" i="2"/>
  <c r="BG41" i="2"/>
  <c r="BU15" i="2"/>
  <c r="S19" i="2"/>
  <c r="Y23" i="2"/>
  <c r="AC23" i="2" s="1"/>
  <c r="AC21" i="2"/>
  <c r="AX29" i="2"/>
  <c r="AH32" i="2"/>
  <c r="AD29" i="2"/>
  <c r="AD54" i="2" s="1"/>
  <c r="AH54" i="2" s="1"/>
  <c r="M41" i="2"/>
  <c r="BH51" i="2"/>
  <c r="BL51" i="2" s="1"/>
  <c r="BL41" i="2"/>
  <c r="AL51" i="2"/>
  <c r="AA10" i="2"/>
  <c r="AB15" i="2"/>
  <c r="AC15" i="2"/>
  <c r="O51" i="2"/>
  <c r="S41" i="2"/>
  <c r="AQ51" i="2"/>
  <c r="BK52" i="2"/>
  <c r="BH5" i="2"/>
  <c r="BL5" i="2" s="1"/>
  <c r="BL8" i="2"/>
  <c r="BH58" i="2"/>
  <c r="BL58" i="2" s="1"/>
  <c r="BG21" i="2"/>
  <c r="BC23" i="2"/>
  <c r="BG23" i="2" s="1"/>
  <c r="BP51" i="2"/>
  <c r="P49" i="2"/>
  <c r="U3" i="2"/>
  <c r="AD15" i="2"/>
  <c r="AH15" i="2" s="1"/>
  <c r="AP54" i="2"/>
  <c r="AP37" i="2"/>
  <c r="AK10" i="2"/>
  <c r="T20" i="2"/>
  <c r="AM30" i="2"/>
  <c r="X39" i="2"/>
  <c r="BP39" i="2"/>
  <c r="BP57" i="2" s="1"/>
  <c r="BN57" i="2"/>
  <c r="BL21" i="2"/>
  <c r="BH23" i="2"/>
  <c r="BL23" i="2" s="1"/>
  <c r="AN29" i="2"/>
  <c r="AN54" i="2" s="1"/>
  <c r="BQ39" i="2"/>
  <c r="BM57" i="2"/>
  <c r="BQ57" i="2" s="1"/>
  <c r="T57" i="2"/>
  <c r="X57" i="2" s="1"/>
  <c r="AH12" i="2"/>
  <c r="BQ31" i="2"/>
  <c r="BM29" i="2"/>
  <c r="BM54" i="2" s="1"/>
  <c r="AC39" i="2"/>
  <c r="Y57" i="2"/>
  <c r="AC57" i="2" s="1"/>
  <c r="BQ42" i="2"/>
  <c r="BM56" i="2"/>
  <c r="BQ56" i="2" s="1"/>
  <c r="BL28" i="2"/>
  <c r="M38" i="2"/>
  <c r="O58" i="2"/>
  <c r="S8" i="2"/>
  <c r="BK39" i="2"/>
  <c r="BK57" i="2" s="1"/>
  <c r="BA23" i="2"/>
  <c r="J6" i="2"/>
  <c r="BB8" i="2"/>
  <c r="AX58" i="2"/>
  <c r="BB58" i="2" s="1"/>
  <c r="O23" i="2"/>
  <c r="S23" i="2" s="1"/>
  <c r="AU54" i="2"/>
  <c r="AU37" i="2"/>
  <c r="AS55" i="2"/>
  <c r="BP42" i="2"/>
  <c r="BP56" i="2" s="1"/>
  <c r="BN56" i="2"/>
  <c r="AN20" i="2"/>
  <c r="O5" i="2"/>
  <c r="S5" i="2" s="1"/>
  <c r="I12" i="2"/>
  <c r="O59" i="2"/>
  <c r="S36" i="2"/>
  <c r="P8" i="2"/>
  <c r="M13" i="2"/>
  <c r="O20" i="2"/>
  <c r="S20" i="2" s="1"/>
  <c r="BK23" i="2"/>
  <c r="AB39" i="2"/>
  <c r="AB57" i="2" s="1"/>
  <c r="AL52" i="2"/>
  <c r="BA55" i="2"/>
  <c r="AT56" i="2"/>
  <c r="AT55" i="2" s="1"/>
  <c r="I21" i="2"/>
  <c r="BT37" i="2"/>
  <c r="BM5" i="2"/>
  <c r="BQ5" i="2" s="1"/>
  <c r="BM59" i="2"/>
  <c r="BQ59" i="2" s="1"/>
  <c r="V37" i="2"/>
  <c r="V54" i="2"/>
  <c r="AF10" i="2"/>
  <c r="AG15" i="2"/>
  <c r="BA20" i="2"/>
  <c r="W39" i="2"/>
  <c r="W57" i="2" s="1"/>
  <c r="BC5" i="2"/>
  <c r="BG5" i="2" s="1"/>
  <c r="BC58" i="2"/>
  <c r="BG58" i="2" s="1"/>
  <c r="AD20" i="2"/>
  <c r="AH20" i="2" s="1"/>
  <c r="AH16" i="2"/>
  <c r="AC20" i="2"/>
  <c r="AH57" i="2"/>
  <c r="AU55" i="2"/>
  <c r="L6" i="2"/>
  <c r="BN10" i="2"/>
  <c r="BN9" i="2" s="1"/>
  <c r="BN53" i="2" s="1"/>
  <c r="M26" i="2"/>
  <c r="AH28" i="2"/>
  <c r="AD5" i="2"/>
  <c r="AH5" i="2" s="1"/>
  <c r="AD59" i="2"/>
  <c r="AH59" i="2" s="1"/>
  <c r="BP52" i="2"/>
  <c r="V55" i="2"/>
  <c r="BV28" i="2"/>
  <c r="BR59" i="2"/>
  <c r="BV59" i="2" s="1"/>
  <c r="M33" i="2"/>
  <c r="AX15" i="2"/>
  <c r="BB15" i="2" s="1"/>
  <c r="BO37" i="2"/>
  <c r="BO54" i="2"/>
  <c r="S38" i="2"/>
  <c r="AE10" i="2"/>
  <c r="AE9" i="2" s="1"/>
  <c r="BP15" i="2"/>
  <c r="AW20" i="2"/>
  <c r="Y51" i="2"/>
  <c r="AC51" i="2" s="1"/>
  <c r="AC41" i="2"/>
  <c r="BL59" i="2"/>
  <c r="I42" i="2"/>
  <c r="I56" i="2" s="1"/>
  <c r="M12" i="2"/>
  <c r="AM59" i="2"/>
  <c r="O15" i="2"/>
  <c r="S15" i="2" s="1"/>
  <c r="O29" i="2"/>
  <c r="BC29" i="2"/>
  <c r="BC54" i="2" s="1"/>
  <c r="BG30" i="2"/>
  <c r="AA37" i="2"/>
  <c r="AH38" i="2"/>
  <c r="N39" i="2"/>
  <c r="P56" i="2"/>
  <c r="BA42" i="2"/>
  <c r="BA56" i="2" s="1"/>
  <c r="AK54" i="2"/>
  <c r="AM56" i="2"/>
  <c r="BS55" i="2"/>
  <c r="AN58" i="2"/>
  <c r="AR58" i="2" s="1"/>
  <c r="Y29" i="2"/>
  <c r="AC29" i="2" s="1"/>
  <c r="AI5" i="2"/>
  <c r="AM5" i="2" s="1"/>
  <c r="AI58" i="2"/>
  <c r="AM58" i="2" s="1"/>
  <c r="AV39" i="2"/>
  <c r="AV57" i="2" s="1"/>
  <c r="X51" i="2"/>
  <c r="S12" i="2"/>
  <c r="AR13" i="2"/>
  <c r="S16" i="2"/>
  <c r="BR20" i="2"/>
  <c r="BV20" i="2" s="1"/>
  <c r="AB20" i="2"/>
  <c r="BQ27" i="2"/>
  <c r="AW28" i="2"/>
  <c r="AF37" i="2"/>
  <c r="R42" i="2"/>
  <c r="R56" i="2" s="1"/>
  <c r="BB42" i="2"/>
  <c r="BF51" i="2"/>
  <c r="BT55" i="2"/>
  <c r="AV52" i="2"/>
  <c r="AM13" i="2"/>
  <c r="BG6" i="2"/>
  <c r="BM20" i="2"/>
  <c r="BQ20" i="2" s="1"/>
  <c r="N27" i="2"/>
  <c r="S52" i="2"/>
  <c r="AM8" i="2"/>
  <c r="BR15" i="2"/>
  <c r="BV12" i="2"/>
  <c r="X22" i="2"/>
  <c r="S30" i="2"/>
  <c r="AD51" i="2"/>
  <c r="AH51" i="2" s="1"/>
  <c r="BG51" i="2"/>
  <c r="W52" i="2"/>
  <c r="BC15" i="2"/>
  <c r="BG15" i="2" s="1"/>
  <c r="K15" i="2"/>
  <c r="K10" i="2" s="1"/>
  <c r="K9" i="2" s="1"/>
  <c r="G29" i="2"/>
  <c r="G37" i="2" s="1"/>
  <c r="I37" i="2" s="1"/>
  <c r="AL15" i="2"/>
  <c r="AF55" i="2"/>
  <c r="BP5" i="2"/>
  <c r="AR8" i="2"/>
  <c r="R39" i="2"/>
  <c r="R57" i="2" s="1"/>
  <c r="N19" i="2"/>
  <c r="AW21" i="2"/>
  <c r="AS23" i="2"/>
  <c r="AW23" i="2" s="1"/>
  <c r="X24" i="2"/>
  <c r="BB28" i="2"/>
  <c r="X35" i="2"/>
  <c r="BC57" i="2"/>
  <c r="BG57" i="2" s="1"/>
  <c r="BG39" i="2"/>
  <c r="Y52" i="2"/>
  <c r="AC52" i="2" s="1"/>
  <c r="V10" i="2"/>
  <c r="V9" i="2" s="1"/>
  <c r="V4" i="2" s="1"/>
  <c r="BM23" i="2"/>
  <c r="BQ23" i="2" s="1"/>
  <c r="AN51" i="2"/>
  <c r="AR51" i="2" s="1"/>
  <c r="AO56" i="2"/>
  <c r="BR57" i="2"/>
  <c r="BV57" i="2" s="1"/>
  <c r="BK6" i="2"/>
  <c r="W51" i="2"/>
  <c r="AB52" i="2"/>
  <c r="AV51" i="2"/>
  <c r="BA52" i="2"/>
  <c r="X7" i="2"/>
  <c r="AG20" i="2"/>
  <c r="N35" i="2"/>
  <c r="BU51" i="2"/>
  <c r="AI23" i="2"/>
  <c r="AM23" i="2" s="1"/>
  <c r="BT10" i="2"/>
  <c r="M34" i="2"/>
  <c r="F10" i="1"/>
  <c r="F9" i="1" s="1"/>
  <c r="F53" i="1" s="1"/>
  <c r="F58" i="1" s="1"/>
  <c r="H10" i="1"/>
  <c r="BU23" i="1"/>
  <c r="BQ10" i="1"/>
  <c r="BQ9" i="1" s="1"/>
  <c r="BQ4" i="1" s="1"/>
  <c r="BP23" i="1"/>
  <c r="BL4" i="1"/>
  <c r="BK20" i="1"/>
  <c r="BG53" i="1"/>
  <c r="BG50" i="1" s="1"/>
  <c r="BG4" i="1"/>
  <c r="BF23" i="1"/>
  <c r="BB10" i="1"/>
  <c r="BB9" i="1" s="1"/>
  <c r="BB53" i="1" s="1"/>
  <c r="BB50" i="1" s="1"/>
  <c r="BF15" i="1"/>
  <c r="BA9" i="1"/>
  <c r="BA15" i="1"/>
  <c r="AQ23" i="1"/>
  <c r="AM53" i="1"/>
  <c r="AM50" i="1" s="1"/>
  <c r="AH10" i="1"/>
  <c r="AH9" i="1" s="1"/>
  <c r="AH4" i="1" s="1"/>
  <c r="AL10" i="1"/>
  <c r="AL15" i="1"/>
  <c r="AG37" i="1"/>
  <c r="AG23" i="1"/>
  <c r="AC10" i="1"/>
  <c r="AC9" i="1" s="1"/>
  <c r="AB23" i="1"/>
  <c r="I23" i="1"/>
  <c r="I20" i="1"/>
  <c r="M18" i="1"/>
  <c r="S10" i="1"/>
  <c r="S9" i="1" s="1"/>
  <c r="M13" i="1"/>
  <c r="I15" i="1"/>
  <c r="M21" i="1"/>
  <c r="M19" i="1"/>
  <c r="M14" i="1"/>
  <c r="M12" i="1"/>
  <c r="W23" i="2"/>
  <c r="L23" i="2"/>
  <c r="W20" i="2"/>
  <c r="L20" i="2"/>
  <c r="L15" i="2"/>
  <c r="M14" i="2"/>
  <c r="Q10" i="2"/>
  <c r="Q9" i="2" s="1"/>
  <c r="M16" i="2"/>
  <c r="M18" i="2"/>
  <c r="M17" i="2"/>
  <c r="M21" i="2"/>
  <c r="M19" i="2"/>
  <c r="R20" i="2"/>
  <c r="N12" i="2"/>
  <c r="R15" i="2"/>
  <c r="M36" i="2"/>
  <c r="L29" i="2"/>
  <c r="Q37" i="2"/>
  <c r="Q54" i="2"/>
  <c r="BS29" i="2"/>
  <c r="BU29" i="2" s="1"/>
  <c r="AT29" i="2"/>
  <c r="AT37" i="2" s="1"/>
  <c r="P29" i="2"/>
  <c r="P54" i="2" s="1"/>
  <c r="AJ29" i="2"/>
  <c r="U29" i="2"/>
  <c r="U4" i="2" s="1"/>
  <c r="BD29" i="2"/>
  <c r="AL32" i="2"/>
  <c r="AQ29" i="2"/>
  <c r="AO54" i="2"/>
  <c r="AO50" i="2" s="1"/>
  <c r="AO4" i="2"/>
  <c r="AQ31" i="2"/>
  <c r="AY29" i="2"/>
  <c r="AY54" i="2" s="1"/>
  <c r="W31" i="2"/>
  <c r="H28" i="2"/>
  <c r="I28" i="2" s="1"/>
  <c r="I59" i="2" s="1"/>
  <c r="BI29" i="2"/>
  <c r="BI37" i="2" s="1"/>
  <c r="BK37" i="2" s="1"/>
  <c r="BN29" i="2"/>
  <c r="AE29" i="2"/>
  <c r="AV30" i="2"/>
  <c r="AG30" i="2"/>
  <c r="H54" i="2"/>
  <c r="Z29" i="2"/>
  <c r="Z28" i="2" s="1"/>
  <c r="BP30" i="2"/>
  <c r="AO37" i="2"/>
  <c r="R30" i="2"/>
  <c r="BF30" i="2"/>
  <c r="BQ26" i="2"/>
  <c r="BR23" i="2"/>
  <c r="BV23" i="2" s="1"/>
  <c r="BT23" i="1"/>
  <c r="BO23" i="1"/>
  <c r="BV16" i="2"/>
  <c r="BT20" i="1"/>
  <c r="BN9" i="1"/>
  <c r="BN53" i="1" s="1"/>
  <c r="BO10" i="1"/>
  <c r="BQ16" i="2"/>
  <c r="BO20" i="1"/>
  <c r="BP20" i="1"/>
  <c r="BH20" i="2"/>
  <c r="BL20" i="2" s="1"/>
  <c r="BJ20" i="1"/>
  <c r="BI10" i="1"/>
  <c r="BJ10" i="1" s="1"/>
  <c r="BS10" i="1"/>
  <c r="BT15" i="1"/>
  <c r="BM15" i="2"/>
  <c r="BE37" i="1"/>
  <c r="BG26" i="2"/>
  <c r="AY53" i="1"/>
  <c r="BE23" i="1"/>
  <c r="AU23" i="1"/>
  <c r="AT10" i="1"/>
  <c r="AU10" i="1" s="1"/>
  <c r="BC20" i="2"/>
  <c r="BG20" i="2" s="1"/>
  <c r="BE20" i="1"/>
  <c r="K20" i="1"/>
  <c r="L20" i="1" s="1"/>
  <c r="M16" i="1"/>
  <c r="L19" i="1"/>
  <c r="M17" i="1"/>
  <c r="L18" i="1"/>
  <c r="L16" i="1"/>
  <c r="K15" i="1"/>
  <c r="BG12" i="2"/>
  <c r="BD10" i="1"/>
  <c r="L13" i="1"/>
  <c r="L14" i="1"/>
  <c r="BE15" i="1"/>
  <c r="BB14" i="2"/>
  <c r="AZ15" i="1"/>
  <c r="AV15" i="1"/>
  <c r="AS15" i="2"/>
  <c r="L12" i="1"/>
  <c r="AE10" i="1"/>
  <c r="M22" i="1"/>
  <c r="AF23" i="1"/>
  <c r="AD23" i="2"/>
  <c r="AM21" i="2"/>
  <c r="L21" i="1"/>
  <c r="AJ9" i="1"/>
  <c r="AK9" i="1" s="1"/>
  <c r="K23" i="1"/>
  <c r="AP23" i="1"/>
  <c r="AR24" i="2"/>
  <c r="AK10" i="1"/>
  <c r="AM25" i="2"/>
  <c r="M25" i="1"/>
  <c r="AF37" i="1"/>
  <c r="AC25" i="2"/>
  <c r="U4" i="1"/>
  <c r="U53" i="1"/>
  <c r="V9" i="1"/>
  <c r="V10" i="1"/>
  <c r="L24" i="1"/>
  <c r="W10" i="1"/>
  <c r="M24" i="1"/>
  <c r="L26" i="1"/>
  <c r="M26" i="1"/>
  <c r="N25" i="2"/>
  <c r="P53" i="1"/>
  <c r="S25" i="2"/>
  <c r="N24" i="2"/>
  <c r="S24" i="2"/>
  <c r="BD28" i="5" l="1"/>
  <c r="BD54" i="5"/>
  <c r="BH29" i="5"/>
  <c r="L54" i="2"/>
  <c r="N54" i="2" s="1"/>
  <c r="G29" i="4"/>
  <c r="I29" i="4" s="1"/>
  <c r="I54" i="4" s="1"/>
  <c r="BE9" i="2"/>
  <c r="BE4" i="2" s="1"/>
  <c r="BF4" i="2" s="1"/>
  <c r="AQ10" i="2"/>
  <c r="AE53" i="2"/>
  <c r="AE8" i="2"/>
  <c r="S57" i="2"/>
  <c r="AE37" i="2"/>
  <c r="AG37" i="2" s="1"/>
  <c r="AE28" i="2"/>
  <c r="S56" i="2"/>
  <c r="S51" i="2"/>
  <c r="S59" i="2"/>
  <c r="H4" i="2"/>
  <c r="AR29" i="2"/>
  <c r="BL29" i="2"/>
  <c r="J11" i="2"/>
  <c r="N11" i="2" s="1"/>
  <c r="V53" i="2"/>
  <c r="V50" i="2" s="1"/>
  <c r="W50" i="2" s="1"/>
  <c r="BG54" i="2"/>
  <c r="W9" i="2"/>
  <c r="AO27" i="2"/>
  <c r="AQ27" i="2" s="1"/>
  <c r="AQ28" i="2"/>
  <c r="AQ59" i="2" s="1"/>
  <c r="AO59" i="2"/>
  <c r="AN37" i="2"/>
  <c r="AI10" i="2"/>
  <c r="BH37" i="2"/>
  <c r="BL37" i="2" s="1"/>
  <c r="BD4" i="2"/>
  <c r="P37" i="2"/>
  <c r="R37" i="2" s="1"/>
  <c r="AJ54" i="2"/>
  <c r="AJ50" i="2" s="1"/>
  <c r="AJ28" i="2"/>
  <c r="AO7" i="2"/>
  <c r="AO58" i="2"/>
  <c r="AO5" i="2"/>
  <c r="AQ5" i="2" s="1"/>
  <c r="AQ8" i="2"/>
  <c r="AQ58" i="2" s="1"/>
  <c r="L10" i="2"/>
  <c r="L9" i="2" s="1"/>
  <c r="L53" i="2" s="1"/>
  <c r="AR54" i="2"/>
  <c r="AM10" i="2"/>
  <c r="BP10" i="1"/>
  <c r="BQ53" i="1"/>
  <c r="BQ50" i="1" s="1"/>
  <c r="BC37" i="2"/>
  <c r="BG37" i="2" s="1"/>
  <c r="AB10" i="1"/>
  <c r="BU37" i="1"/>
  <c r="L37" i="1"/>
  <c r="AU37" i="1"/>
  <c r="M5" i="1"/>
  <c r="L5" i="1"/>
  <c r="BE54" i="1"/>
  <c r="F54" i="1"/>
  <c r="F59" i="1" s="1"/>
  <c r="F55" i="1" s="1"/>
  <c r="BJ54" i="1"/>
  <c r="BR10" i="2"/>
  <c r="BV10" i="2" s="1"/>
  <c r="AD55" i="2"/>
  <c r="AH55" i="2" s="1"/>
  <c r="F37" i="1"/>
  <c r="H37" i="1" s="1"/>
  <c r="S49" i="1"/>
  <c r="X3" i="1"/>
  <c r="Q9" i="1"/>
  <c r="I29" i="2"/>
  <c r="I54" i="2" s="1"/>
  <c r="BO37" i="1"/>
  <c r="M57" i="1"/>
  <c r="AP37" i="1"/>
  <c r="Z9" i="1"/>
  <c r="W9" i="1"/>
  <c r="BV37" i="2"/>
  <c r="AU9" i="2"/>
  <c r="AV10" i="2"/>
  <c r="BF10" i="2"/>
  <c r="AX55" i="2"/>
  <c r="BB55" i="2" s="1"/>
  <c r="G10" i="2"/>
  <c r="G9" i="2" s="1"/>
  <c r="G4" i="2" s="1"/>
  <c r="M40" i="2"/>
  <c r="AB40" i="2"/>
  <c r="BF9" i="2"/>
  <c r="Z53" i="2"/>
  <c r="Z8" i="2"/>
  <c r="T37" i="2"/>
  <c r="X37" i="2" s="1"/>
  <c r="AQ37" i="2"/>
  <c r="P53" i="2"/>
  <c r="P50" i="2" s="1"/>
  <c r="BR54" i="2"/>
  <c r="BV54" i="2" s="1"/>
  <c r="BS4" i="2"/>
  <c r="R29" i="2"/>
  <c r="AJ37" i="2"/>
  <c r="AL37" i="2" s="1"/>
  <c r="AN10" i="2"/>
  <c r="AR10" i="2" s="1"/>
  <c r="Z59" i="2"/>
  <c r="Z27" i="2"/>
  <c r="AB28" i="2"/>
  <c r="AB59" i="2" s="1"/>
  <c r="U54" i="2"/>
  <c r="U50" i="2" s="1"/>
  <c r="AB43" i="2"/>
  <c r="M43" i="2"/>
  <c r="T10" i="2"/>
  <c r="X10" i="2" s="1"/>
  <c r="X54" i="2"/>
  <c r="U37" i="2"/>
  <c r="W37" i="2" s="1"/>
  <c r="AJ4" i="2"/>
  <c r="BV15" i="2"/>
  <c r="U28" i="2"/>
  <c r="U27" i="2" s="1"/>
  <c r="P28" i="2"/>
  <c r="T55" i="2"/>
  <c r="X55" i="2" s="1"/>
  <c r="W29" i="2"/>
  <c r="N38" i="2"/>
  <c r="R9" i="2"/>
  <c r="N8" i="2"/>
  <c r="F10" i="2"/>
  <c r="F9" i="2" s="1"/>
  <c r="BS37" i="2"/>
  <c r="BU37" i="2" s="1"/>
  <c r="BS54" i="2"/>
  <c r="AR37" i="2"/>
  <c r="AL29" i="2"/>
  <c r="W10" i="2"/>
  <c r="BV29" i="2"/>
  <c r="F29" i="2"/>
  <c r="F37" i="2" s="1"/>
  <c r="BA37" i="1"/>
  <c r="AW29" i="2"/>
  <c r="AW54" i="2"/>
  <c r="AS37" i="2"/>
  <c r="AW37" i="2" s="1"/>
  <c r="AI37" i="2"/>
  <c r="AM37" i="2" s="1"/>
  <c r="AK37" i="1"/>
  <c r="AF54" i="1"/>
  <c r="J29" i="2"/>
  <c r="I37" i="1"/>
  <c r="M37" i="1" s="1"/>
  <c r="J53" i="1"/>
  <c r="J50" i="1" s="1"/>
  <c r="J4" i="1"/>
  <c r="AL54" i="1"/>
  <c r="AK54" i="1"/>
  <c r="BR4" i="1"/>
  <c r="BR53" i="1"/>
  <c r="BR50" i="1" s="1"/>
  <c r="AI54" i="2"/>
  <c r="AM54" i="2" s="1"/>
  <c r="AI4" i="1"/>
  <c r="AI53" i="1"/>
  <c r="AI50" i="1" s="1"/>
  <c r="AQ54" i="1"/>
  <c r="AP54" i="1"/>
  <c r="AQ10" i="1"/>
  <c r="O10" i="2"/>
  <c r="S10" i="2" s="1"/>
  <c r="X29" i="2"/>
  <c r="Y10" i="2"/>
  <c r="Y9" i="2" s="1"/>
  <c r="J23" i="2"/>
  <c r="N23" i="2" s="1"/>
  <c r="O4" i="1"/>
  <c r="O53" i="1"/>
  <c r="O50" i="1" s="1"/>
  <c r="I20" i="2"/>
  <c r="AV55" i="1"/>
  <c r="AU55" i="1"/>
  <c r="AH58" i="2"/>
  <c r="AO9" i="1"/>
  <c r="AQ9" i="1" s="1"/>
  <c r="N13" i="2"/>
  <c r="T49" i="1"/>
  <c r="Y3" i="1"/>
  <c r="AZ54" i="1"/>
  <c r="BA54" i="1"/>
  <c r="X53" i="1"/>
  <c r="X50" i="1" s="1"/>
  <c r="O55" i="2"/>
  <c r="S55" i="2" s="1"/>
  <c r="AH29" i="2"/>
  <c r="AB55" i="1"/>
  <c r="AA55" i="1"/>
  <c r="K54" i="1"/>
  <c r="L29" i="1"/>
  <c r="M29" i="1"/>
  <c r="R37" i="1"/>
  <c r="AU54" i="1"/>
  <c r="AV54" i="1"/>
  <c r="W55" i="1"/>
  <c r="V55" i="1"/>
  <c r="N28" i="2"/>
  <c r="AN55" i="2"/>
  <c r="AR55" i="2" s="1"/>
  <c r="BK55" i="1"/>
  <c r="BJ55" i="1"/>
  <c r="AV37" i="1"/>
  <c r="X20" i="2"/>
  <c r="BL54" i="2"/>
  <c r="H41" i="1"/>
  <c r="H51" i="1" s="1"/>
  <c r="G51" i="1"/>
  <c r="G41" i="2"/>
  <c r="I41" i="2" s="1"/>
  <c r="I51" i="2" s="1"/>
  <c r="BU54" i="1"/>
  <c r="BT54" i="1"/>
  <c r="M51" i="1"/>
  <c r="L51" i="1"/>
  <c r="N5" i="2"/>
  <c r="I4" i="2"/>
  <c r="G43" i="2"/>
  <c r="I43" i="2" s="1"/>
  <c r="H43" i="1"/>
  <c r="U49" i="1"/>
  <c r="Z3" i="1"/>
  <c r="BQ54" i="2"/>
  <c r="Q10" i="1"/>
  <c r="AQ37" i="1"/>
  <c r="BM37" i="2"/>
  <c r="BQ37" i="2" s="1"/>
  <c r="BO54" i="1"/>
  <c r="BP54" i="1"/>
  <c r="BM50" i="1"/>
  <c r="M6" i="1"/>
  <c r="L6" i="1"/>
  <c r="AB49" i="1"/>
  <c r="AG3" i="1"/>
  <c r="AD37" i="2"/>
  <c r="AH37" i="2" s="1"/>
  <c r="AR4" i="1"/>
  <c r="BC55" i="2"/>
  <c r="BG55" i="2" s="1"/>
  <c r="R10" i="1"/>
  <c r="AF3" i="1"/>
  <c r="AA49" i="1"/>
  <c r="N9" i="1"/>
  <c r="R9" i="1" s="1"/>
  <c r="H39" i="1"/>
  <c r="H57" i="1" s="1"/>
  <c r="G39" i="2"/>
  <c r="I39" i="2" s="1"/>
  <c r="I57" i="2" s="1"/>
  <c r="AS53" i="1"/>
  <c r="AS50" i="1" s="1"/>
  <c r="AS4" i="1"/>
  <c r="R54" i="1"/>
  <c r="Q54" i="1"/>
  <c r="K55" i="1"/>
  <c r="L55" i="2"/>
  <c r="N15" i="2"/>
  <c r="N6" i="2"/>
  <c r="BN55" i="2"/>
  <c r="BP55" i="2" s="1"/>
  <c r="W8" i="2"/>
  <c r="W58" i="2" s="1"/>
  <c r="U58" i="2"/>
  <c r="AQ54" i="2"/>
  <c r="BU10" i="2"/>
  <c r="BT9" i="2"/>
  <c r="S58" i="2"/>
  <c r="I10" i="2"/>
  <c r="AC3" i="2"/>
  <c r="X49" i="2"/>
  <c r="W54" i="2"/>
  <c r="M20" i="2"/>
  <c r="M42" i="2"/>
  <c r="AL10" i="2"/>
  <c r="AK9" i="2"/>
  <c r="AA3" i="2"/>
  <c r="V49" i="2"/>
  <c r="AX54" i="2"/>
  <c r="BB54" i="2" s="1"/>
  <c r="AX37" i="2"/>
  <c r="BB37" i="2" s="1"/>
  <c r="O37" i="2"/>
  <c r="S37" i="2" s="1"/>
  <c r="O54" i="2"/>
  <c r="BR55" i="2"/>
  <c r="BV55" i="2" s="1"/>
  <c r="AR20" i="2"/>
  <c r="M39" i="2"/>
  <c r="BU55" i="2"/>
  <c r="BH55" i="2"/>
  <c r="BL55" i="2" s="1"/>
  <c r="J20" i="2"/>
  <c r="BA9" i="2"/>
  <c r="AZ4" i="2"/>
  <c r="AZ53" i="2"/>
  <c r="N41" i="2"/>
  <c r="Y37" i="2"/>
  <c r="AC37" i="2" s="1"/>
  <c r="Y54" i="2"/>
  <c r="AC54" i="2" s="1"/>
  <c r="AI55" i="2"/>
  <c r="AM55" i="2" s="1"/>
  <c r="BB29" i="2"/>
  <c r="P4" i="2"/>
  <c r="BQ29" i="2"/>
  <c r="AG10" i="2"/>
  <c r="AF9" i="2"/>
  <c r="BF55" i="2"/>
  <c r="N14" i="2"/>
  <c r="BH10" i="2"/>
  <c r="BL10" i="2" s="1"/>
  <c r="BG29" i="2"/>
  <c r="BP10" i="2"/>
  <c r="AC10" i="2"/>
  <c r="AC56" i="2"/>
  <c r="Y55" i="2"/>
  <c r="AC55" i="2" s="1"/>
  <c r="U49" i="2"/>
  <c r="Z3" i="2"/>
  <c r="AQ9" i="2"/>
  <c r="AP4" i="2"/>
  <c r="AQ4" i="2" s="1"/>
  <c r="AP53" i="2"/>
  <c r="AB3" i="2"/>
  <c r="W49" i="2"/>
  <c r="BO53" i="2"/>
  <c r="BP9" i="2"/>
  <c r="BO4" i="2"/>
  <c r="BM55" i="2"/>
  <c r="BQ55" i="2" s="1"/>
  <c r="I9" i="2"/>
  <c r="I53" i="2" s="1"/>
  <c r="T49" i="2"/>
  <c r="Y3" i="2"/>
  <c r="AX10" i="2"/>
  <c r="BB10" i="2" s="1"/>
  <c r="BD54" i="2"/>
  <c r="BF54" i="2" s="1"/>
  <c r="M15" i="2"/>
  <c r="AV55" i="2"/>
  <c r="AW55" i="2"/>
  <c r="BK10" i="2"/>
  <c r="BJ9" i="2"/>
  <c r="H7" i="2"/>
  <c r="I7" i="2" s="1"/>
  <c r="I8" i="2"/>
  <c r="I58" i="2" s="1"/>
  <c r="AB10" i="2"/>
  <c r="AA9" i="2"/>
  <c r="AC9" i="2" s="1"/>
  <c r="W4" i="2"/>
  <c r="AV37" i="2"/>
  <c r="BN4" i="2"/>
  <c r="S29" i="2"/>
  <c r="P58" i="2"/>
  <c r="R8" i="2"/>
  <c r="R58" i="2" s="1"/>
  <c r="H9" i="1"/>
  <c r="H53" i="1" s="1"/>
  <c r="F4" i="1"/>
  <c r="H4" i="1" s="1"/>
  <c r="BB4" i="1"/>
  <c r="I10" i="1"/>
  <c r="I9" i="1" s="1"/>
  <c r="I4" i="1" s="1"/>
  <c r="AH53" i="1"/>
  <c r="AH50" i="1" s="1"/>
  <c r="M15" i="1"/>
  <c r="AC53" i="1"/>
  <c r="AC50" i="1" s="1"/>
  <c r="AC4" i="1"/>
  <c r="S53" i="1"/>
  <c r="S50" i="1" s="1"/>
  <c r="S4" i="1"/>
  <c r="W4" i="1" s="1"/>
  <c r="N53" i="1"/>
  <c r="N50" i="1" s="1"/>
  <c r="Q4" i="2"/>
  <c r="Q53" i="2"/>
  <c r="M23" i="2"/>
  <c r="R10" i="2"/>
  <c r="L37" i="2"/>
  <c r="G37" i="4" s="1"/>
  <c r="I37" i="4" s="1"/>
  <c r="AT54" i="2"/>
  <c r="AT50" i="2" s="1"/>
  <c r="AV29" i="2"/>
  <c r="AT4" i="2"/>
  <c r="BD37" i="2"/>
  <c r="BF37" i="2" s="1"/>
  <c r="BK29" i="2"/>
  <c r="H27" i="2"/>
  <c r="BF29" i="2"/>
  <c r="AY4" i="2"/>
  <c r="BA29" i="2"/>
  <c r="AY37" i="2"/>
  <c r="BA37" i="2" s="1"/>
  <c r="H5" i="2"/>
  <c r="I5" i="2" s="1"/>
  <c r="BI54" i="2"/>
  <c r="BK54" i="2" s="1"/>
  <c r="BI4" i="2"/>
  <c r="BN54" i="2"/>
  <c r="BN50" i="2" s="1"/>
  <c r="BN37" i="2"/>
  <c r="BP37" i="2" s="1"/>
  <c r="AE54" i="2"/>
  <c r="AG54" i="2" s="1"/>
  <c r="AE4" i="2"/>
  <c r="BP29" i="2"/>
  <c r="AG29" i="2"/>
  <c r="H50" i="2"/>
  <c r="I50" i="2" s="1"/>
  <c r="H59" i="2"/>
  <c r="H55" i="2" s="1"/>
  <c r="I55" i="2" s="1"/>
  <c r="R54" i="2"/>
  <c r="AY50" i="2"/>
  <c r="BA54" i="2"/>
  <c r="W28" i="2"/>
  <c r="W59" i="2" s="1"/>
  <c r="U59" i="2"/>
  <c r="U5" i="2"/>
  <c r="W5" i="2" s="1"/>
  <c r="BU54" i="2"/>
  <c r="BS50" i="2"/>
  <c r="M30" i="2"/>
  <c r="K29" i="2"/>
  <c r="Z4" i="2"/>
  <c r="Z54" i="2"/>
  <c r="Z37" i="2"/>
  <c r="AB37" i="2" s="1"/>
  <c r="AB29" i="2"/>
  <c r="BP9" i="1"/>
  <c r="BN4" i="1"/>
  <c r="BP4" i="1" s="1"/>
  <c r="BO9" i="1"/>
  <c r="BK10" i="1"/>
  <c r="BI9" i="1"/>
  <c r="BS9" i="1"/>
  <c r="BU10" i="1"/>
  <c r="BT10" i="1"/>
  <c r="BM10" i="2"/>
  <c r="BQ15" i="2"/>
  <c r="BO53" i="1"/>
  <c r="BP53" i="1"/>
  <c r="BN50" i="1"/>
  <c r="BA53" i="1"/>
  <c r="AZ53" i="1"/>
  <c r="AY50" i="1"/>
  <c r="AT9" i="1"/>
  <c r="AT53" i="1" s="1"/>
  <c r="AV10" i="1"/>
  <c r="BC10" i="2"/>
  <c r="BC9" i="2" s="1"/>
  <c r="M20" i="1"/>
  <c r="L15" i="1"/>
  <c r="BF10" i="1"/>
  <c r="BE10" i="1"/>
  <c r="BD9" i="1"/>
  <c r="K10" i="1"/>
  <c r="L10" i="1" s="1"/>
  <c r="AS10" i="2"/>
  <c r="AW15" i="2"/>
  <c r="AE9" i="1"/>
  <c r="AF10" i="1"/>
  <c r="AD10" i="2"/>
  <c r="AH23" i="2"/>
  <c r="AG10" i="1"/>
  <c r="AJ53" i="1"/>
  <c r="AJ50" i="1" s="1"/>
  <c r="AL9" i="1"/>
  <c r="AJ4" i="1"/>
  <c r="AL4" i="1" s="1"/>
  <c r="AI9" i="2"/>
  <c r="AI53" i="2" s="1"/>
  <c r="M23" i="1"/>
  <c r="L23" i="1"/>
  <c r="Z4" i="1"/>
  <c r="AB9" i="1"/>
  <c r="AA9" i="1"/>
  <c r="Z53" i="1"/>
  <c r="Y4" i="2"/>
  <c r="Y53" i="2"/>
  <c r="V4" i="1"/>
  <c r="T9" i="2"/>
  <c r="U50" i="1"/>
  <c r="V53" i="1"/>
  <c r="Q4" i="1"/>
  <c r="P50" i="1"/>
  <c r="BH54" i="5" l="1"/>
  <c r="BD50" i="5"/>
  <c r="BH50" i="5" s="1"/>
  <c r="BD59" i="5"/>
  <c r="BD36" i="5"/>
  <c r="BH28" i="5"/>
  <c r="K28" i="5"/>
  <c r="BD3" i="5"/>
  <c r="M54" i="2"/>
  <c r="M53" i="2"/>
  <c r="N53" i="2"/>
  <c r="BE53" i="2"/>
  <c r="J10" i="2"/>
  <c r="J9" i="2" s="1"/>
  <c r="AJ27" i="2"/>
  <c r="AJ59" i="2"/>
  <c r="AJ55" i="2" s="1"/>
  <c r="AL55" i="2" s="1"/>
  <c r="AJ5" i="2"/>
  <c r="AL5" i="2" s="1"/>
  <c r="AL28" i="2"/>
  <c r="AL59" i="2" s="1"/>
  <c r="AL54" i="2"/>
  <c r="AE27" i="2"/>
  <c r="AG27" i="2" s="1"/>
  <c r="AE59" i="2"/>
  <c r="AG28" i="2"/>
  <c r="AG59" i="2" s="1"/>
  <c r="BR9" i="2"/>
  <c r="BR4" i="2" s="1"/>
  <c r="BD50" i="2"/>
  <c r="M10" i="2"/>
  <c r="J55" i="2"/>
  <c r="N55" i="2" s="1"/>
  <c r="R53" i="2"/>
  <c r="W53" i="2"/>
  <c r="AE7" i="2"/>
  <c r="AG8" i="2"/>
  <c r="AG58" i="2" s="1"/>
  <c r="AE5" i="2"/>
  <c r="AG5" i="2" s="1"/>
  <c r="AE58" i="2"/>
  <c r="AE55" i="2" s="1"/>
  <c r="AG55" i="2" s="1"/>
  <c r="R4" i="2"/>
  <c r="S54" i="2"/>
  <c r="AQ7" i="2"/>
  <c r="AO6" i="2"/>
  <c r="AQ6" i="2" s="1"/>
  <c r="AO55" i="2"/>
  <c r="AQ55" i="2" s="1"/>
  <c r="J37" i="2"/>
  <c r="N37" i="2" s="1"/>
  <c r="F50" i="1"/>
  <c r="AC3" i="1"/>
  <c r="X49" i="1"/>
  <c r="AP9" i="1"/>
  <c r="AO4" i="1"/>
  <c r="AO53" i="1"/>
  <c r="AB27" i="2"/>
  <c r="AB8" i="2"/>
  <c r="AB58" i="2" s="1"/>
  <c r="Z7" i="2"/>
  <c r="Z58" i="2"/>
  <c r="Z55" i="2" s="1"/>
  <c r="AB55" i="2" s="1"/>
  <c r="Z5" i="2"/>
  <c r="AB5" i="2" s="1"/>
  <c r="BA4" i="2"/>
  <c r="AN9" i="2"/>
  <c r="AX9" i="2"/>
  <c r="AX4" i="2" s="1"/>
  <c r="BB4" i="2" s="1"/>
  <c r="P5" i="2"/>
  <c r="R5" i="2" s="1"/>
  <c r="R28" i="2"/>
  <c r="R59" i="2" s="1"/>
  <c r="BP54" i="2"/>
  <c r="N29" i="2"/>
  <c r="BP4" i="2"/>
  <c r="O9" i="2"/>
  <c r="P27" i="2"/>
  <c r="P6" i="2" s="1"/>
  <c r="R6" i="2" s="1"/>
  <c r="AV9" i="2"/>
  <c r="AU4" i="2"/>
  <c r="AU53" i="2"/>
  <c r="U6" i="2"/>
  <c r="W6" i="2" s="1"/>
  <c r="W27" i="2"/>
  <c r="AE50" i="2"/>
  <c r="AV4" i="2"/>
  <c r="P59" i="2"/>
  <c r="F4" i="2"/>
  <c r="W53" i="1"/>
  <c r="M55" i="1"/>
  <c r="L55" i="1"/>
  <c r="Z49" i="1"/>
  <c r="AE3" i="1"/>
  <c r="N4" i="1"/>
  <c r="R4" i="1" s="1"/>
  <c r="BH9" i="2"/>
  <c r="BH53" i="2" s="1"/>
  <c r="BH50" i="2" s="1"/>
  <c r="AK3" i="1"/>
  <c r="AF49" i="1"/>
  <c r="G50" i="1"/>
  <c r="H50" i="1" s="1"/>
  <c r="G56" i="1"/>
  <c r="G55" i="1" s="1"/>
  <c r="H55" i="1" s="1"/>
  <c r="AL3" i="1"/>
  <c r="AG49" i="1"/>
  <c r="AD3" i="1"/>
  <c r="Y49" i="1"/>
  <c r="BG10" i="2"/>
  <c r="M54" i="1"/>
  <c r="L54" i="1"/>
  <c r="Q53" i="1"/>
  <c r="R53" i="1"/>
  <c r="H6" i="2"/>
  <c r="I6" i="2" s="1"/>
  <c r="BU9" i="2"/>
  <c r="BT4" i="2"/>
  <c r="BT53" i="2"/>
  <c r="AD3" i="2"/>
  <c r="Y49" i="2"/>
  <c r="AE3" i="2"/>
  <c r="Z49" i="2"/>
  <c r="AH3" i="2"/>
  <c r="AC49" i="2"/>
  <c r="N10" i="2"/>
  <c r="M8" i="2"/>
  <c r="BP53" i="2"/>
  <c r="BO50" i="2"/>
  <c r="BP50" i="2" s="1"/>
  <c r="BJ4" i="2"/>
  <c r="BK4" i="2" s="1"/>
  <c r="BJ53" i="2"/>
  <c r="BK9" i="2"/>
  <c r="AG3" i="2"/>
  <c r="AB49" i="2"/>
  <c r="N20" i="2"/>
  <c r="Q50" i="2"/>
  <c r="R50" i="2" s="1"/>
  <c r="AV54" i="2"/>
  <c r="AF4" i="2"/>
  <c r="AG9" i="2"/>
  <c r="AF53" i="2"/>
  <c r="U55" i="2"/>
  <c r="W55" i="2" s="1"/>
  <c r="AA53" i="2"/>
  <c r="AC53" i="2" s="1"/>
  <c r="AB9" i="2"/>
  <c r="AA4" i="2"/>
  <c r="AQ53" i="2"/>
  <c r="AP50" i="2"/>
  <c r="AQ50" i="2" s="1"/>
  <c r="AF3" i="2"/>
  <c r="AA49" i="2"/>
  <c r="BA53" i="2"/>
  <c r="AZ50" i="2"/>
  <c r="BA50" i="2" s="1"/>
  <c r="AB4" i="2"/>
  <c r="AG4" i="2"/>
  <c r="AC4" i="2"/>
  <c r="AK4" i="2"/>
  <c r="AL4" i="2" s="1"/>
  <c r="AK53" i="2"/>
  <c r="AL9" i="2"/>
  <c r="I53" i="1"/>
  <c r="I50" i="1" s="1"/>
  <c r="I27" i="2"/>
  <c r="BI50" i="2"/>
  <c r="M5" i="2"/>
  <c r="M28" i="2"/>
  <c r="K37" i="2"/>
  <c r="M37" i="2" s="1"/>
  <c r="M29" i="2"/>
  <c r="AB54" i="2"/>
  <c r="Z50" i="2"/>
  <c r="BO4" i="1"/>
  <c r="BI53" i="1"/>
  <c r="BI4" i="1"/>
  <c r="BK9" i="1"/>
  <c r="BJ9" i="1"/>
  <c r="BS53" i="1"/>
  <c r="BT9" i="1"/>
  <c r="BS4" i="1"/>
  <c r="BU9" i="1"/>
  <c r="BP50" i="1"/>
  <c r="BO50" i="1"/>
  <c r="BM9" i="2"/>
  <c r="BQ10" i="2"/>
  <c r="BA50" i="1"/>
  <c r="AZ50" i="1"/>
  <c r="AT4" i="1"/>
  <c r="AV4" i="1" s="1"/>
  <c r="AU9" i="1"/>
  <c r="AV9" i="1"/>
  <c r="K9" i="1"/>
  <c r="M9" i="1" s="1"/>
  <c r="M10" i="1"/>
  <c r="BC4" i="2"/>
  <c r="BG4" i="2" s="1"/>
  <c r="BC53" i="2"/>
  <c r="BG9" i="2"/>
  <c r="BF9" i="1"/>
  <c r="BE9" i="1"/>
  <c r="BD4" i="1"/>
  <c r="BD53" i="1"/>
  <c r="AV53" i="1"/>
  <c r="AU53" i="1"/>
  <c r="AT50" i="1"/>
  <c r="AS9" i="2"/>
  <c r="AW10" i="2"/>
  <c r="AG9" i="1"/>
  <c r="AE4" i="1"/>
  <c r="AE53" i="1"/>
  <c r="AF9" i="1"/>
  <c r="AH10" i="2"/>
  <c r="AD9" i="2"/>
  <c r="AI4" i="2"/>
  <c r="AM9" i="2"/>
  <c r="AK53" i="1"/>
  <c r="AL53" i="1"/>
  <c r="AK4" i="1"/>
  <c r="AQ53" i="1"/>
  <c r="AP53" i="1"/>
  <c r="AO50" i="1"/>
  <c r="AQ4" i="1"/>
  <c r="AP4" i="1"/>
  <c r="AI50" i="2"/>
  <c r="AK50" i="1"/>
  <c r="AL50" i="1"/>
  <c r="Y50" i="2"/>
  <c r="AB53" i="1"/>
  <c r="AA53" i="1"/>
  <c r="Z50" i="1"/>
  <c r="AB4" i="1"/>
  <c r="AA4" i="1"/>
  <c r="W50" i="1"/>
  <c r="V50" i="1"/>
  <c r="T53" i="2"/>
  <c r="X9" i="2"/>
  <c r="T4" i="2"/>
  <c r="X4" i="2" s="1"/>
  <c r="R50" i="1"/>
  <c r="Q50" i="1"/>
  <c r="BI3" i="5" l="1"/>
  <c r="BD49" i="5"/>
  <c r="BH36" i="5"/>
  <c r="K36" i="5"/>
  <c r="BH59" i="5"/>
  <c r="BD55" i="5"/>
  <c r="BH55" i="5" s="1"/>
  <c r="K59" i="5"/>
  <c r="O28" i="5"/>
  <c r="BU4" i="2"/>
  <c r="L4" i="2"/>
  <c r="G4" i="4" s="1"/>
  <c r="I4" i="4" s="1"/>
  <c r="BE50" i="2"/>
  <c r="BF50" i="2" s="1"/>
  <c r="BF53" i="2"/>
  <c r="BL9" i="2"/>
  <c r="P55" i="2"/>
  <c r="R55" i="2" s="1"/>
  <c r="BH4" i="2"/>
  <c r="BR53" i="2"/>
  <c r="BV53" i="2" s="1"/>
  <c r="BV9" i="2"/>
  <c r="AJ6" i="2"/>
  <c r="AL6" i="2" s="1"/>
  <c r="AL27" i="2"/>
  <c r="AG7" i="2"/>
  <c r="AE6" i="2"/>
  <c r="AG6" i="2" s="1"/>
  <c r="AM4" i="2"/>
  <c r="AM53" i="2"/>
  <c r="AX53" i="2"/>
  <c r="BB53" i="2" s="1"/>
  <c r="AH3" i="1"/>
  <c r="AC49" i="1"/>
  <c r="BL53" i="2"/>
  <c r="BL4" i="2"/>
  <c r="O53" i="2"/>
  <c r="J50" i="2" s="1"/>
  <c r="O4" i="2"/>
  <c r="S4" i="2" s="1"/>
  <c r="S9" i="2"/>
  <c r="AN4" i="2"/>
  <c r="AR4" i="2" s="1"/>
  <c r="AR9" i="2"/>
  <c r="AN53" i="2"/>
  <c r="AV53" i="2"/>
  <c r="AU50" i="2"/>
  <c r="AV50" i="2" s="1"/>
  <c r="Z6" i="2"/>
  <c r="AB6" i="2" s="1"/>
  <c r="AB7" i="2"/>
  <c r="M7" i="2"/>
  <c r="BV4" i="2"/>
  <c r="K6" i="2"/>
  <c r="M6" i="2" s="1"/>
  <c r="M27" i="2"/>
  <c r="BB9" i="2"/>
  <c r="AI3" i="1"/>
  <c r="AD49" i="1"/>
  <c r="AQ3" i="1"/>
  <c r="AL49" i="1"/>
  <c r="AJ3" i="1"/>
  <c r="AE49" i="1"/>
  <c r="AP3" i="1"/>
  <c r="AK49" i="1"/>
  <c r="N9" i="2"/>
  <c r="AM3" i="2"/>
  <c r="AH49" i="2"/>
  <c r="AB53" i="2"/>
  <c r="AA50" i="2"/>
  <c r="AB50" i="2" s="1"/>
  <c r="AE49" i="2"/>
  <c r="AJ3" i="2"/>
  <c r="AI3" i="2"/>
  <c r="AD49" i="2"/>
  <c r="BK53" i="2"/>
  <c r="BJ50" i="2"/>
  <c r="BL50" i="2" s="1"/>
  <c r="AG53" i="2"/>
  <c r="AF50" i="2"/>
  <c r="AG50" i="2" s="1"/>
  <c r="BU53" i="2"/>
  <c r="BT50" i="2"/>
  <c r="BU50" i="2" s="1"/>
  <c r="AL53" i="2"/>
  <c r="AK50" i="2"/>
  <c r="AL50" i="2" s="1"/>
  <c r="AF49" i="2"/>
  <c r="AK3" i="2"/>
  <c r="K55" i="2"/>
  <c r="M55" i="2" s="1"/>
  <c r="M9" i="2"/>
  <c r="AG49" i="2"/>
  <c r="AL3" i="2"/>
  <c r="K50" i="2"/>
  <c r="BK4" i="1"/>
  <c r="BJ4" i="1"/>
  <c r="BJ53" i="1"/>
  <c r="BK53" i="1"/>
  <c r="BI50" i="1"/>
  <c r="BU4" i="1"/>
  <c r="BT4" i="1"/>
  <c r="BT53" i="1"/>
  <c r="BS50" i="1"/>
  <c r="BU53" i="1"/>
  <c r="BM53" i="2"/>
  <c r="BQ9" i="2"/>
  <c r="BM4" i="2"/>
  <c r="BQ4" i="2" s="1"/>
  <c r="AU4" i="1"/>
  <c r="L9" i="1"/>
  <c r="K4" i="1"/>
  <c r="K53" i="1"/>
  <c r="L53" i="1" s="1"/>
  <c r="BD50" i="1"/>
  <c r="BE53" i="1"/>
  <c r="BF53" i="1"/>
  <c r="BC50" i="2"/>
  <c r="BG53" i="2"/>
  <c r="BF4" i="1"/>
  <c r="BE4" i="1"/>
  <c r="AX50" i="2"/>
  <c r="BB50" i="2" s="1"/>
  <c r="AV50" i="1"/>
  <c r="AU50" i="1"/>
  <c r="AW9" i="2"/>
  <c r="AS53" i="2"/>
  <c r="AS4" i="2"/>
  <c r="AW4" i="2" s="1"/>
  <c r="AF4" i="1"/>
  <c r="AG4" i="1"/>
  <c r="AD53" i="2"/>
  <c r="AD4" i="2"/>
  <c r="AH4" i="2" s="1"/>
  <c r="AH9" i="2"/>
  <c r="AF53" i="1"/>
  <c r="AG53" i="1"/>
  <c r="AE50" i="1"/>
  <c r="AP50" i="1"/>
  <c r="AQ50" i="1"/>
  <c r="AB50" i="1"/>
  <c r="AA50" i="1"/>
  <c r="X53" i="2"/>
  <c r="T50" i="2"/>
  <c r="X50" i="2" s="1"/>
  <c r="O59" i="5" l="1"/>
  <c r="K55" i="5"/>
  <c r="O55" i="5" s="1"/>
  <c r="O36" i="5"/>
  <c r="K29" i="5"/>
  <c r="N4" i="2"/>
  <c r="BG50" i="2"/>
  <c r="BN3" i="5"/>
  <c r="BI49" i="5"/>
  <c r="BK50" i="2"/>
  <c r="BR50" i="2"/>
  <c r="AM3" i="1"/>
  <c r="AH49" i="1"/>
  <c r="AM50" i="2"/>
  <c r="AN50" i="2"/>
  <c r="AR50" i="2" s="1"/>
  <c r="AR53" i="2"/>
  <c r="S53" i="2"/>
  <c r="O50" i="2"/>
  <c r="S50" i="2" s="1"/>
  <c r="AC50" i="2"/>
  <c r="AP49" i="1"/>
  <c r="AU3" i="1"/>
  <c r="AO3" i="1"/>
  <c r="AJ49" i="1"/>
  <c r="AQ49" i="1"/>
  <c r="AV3" i="1"/>
  <c r="AN3" i="1"/>
  <c r="AI49" i="1"/>
  <c r="M4" i="2"/>
  <c r="BV50" i="2"/>
  <c r="AO3" i="2"/>
  <c r="AJ49" i="2"/>
  <c r="AR3" i="2"/>
  <c r="AM49" i="2"/>
  <c r="AN3" i="2"/>
  <c r="AI49" i="2"/>
  <c r="AP3" i="2"/>
  <c r="AK49" i="2"/>
  <c r="AL49" i="2"/>
  <c r="AQ3" i="2"/>
  <c r="L50" i="2"/>
  <c r="N50" i="2" s="1"/>
  <c r="BJ50" i="1"/>
  <c r="BK50" i="1"/>
  <c r="BU50" i="1"/>
  <c r="BT50" i="1"/>
  <c r="BM50" i="2"/>
  <c r="BQ50" i="2" s="1"/>
  <c r="BQ53" i="2"/>
  <c r="K50" i="1"/>
  <c r="M50" i="1" s="1"/>
  <c r="M53" i="1"/>
  <c r="M4" i="1"/>
  <c r="L4" i="1"/>
  <c r="BE50" i="1"/>
  <c r="BF50" i="1"/>
  <c r="AW53" i="2"/>
  <c r="AS50" i="2"/>
  <c r="AW50" i="2" s="1"/>
  <c r="AH53" i="2"/>
  <c r="AD50" i="2"/>
  <c r="AH50" i="2" s="1"/>
  <c r="AG50" i="1"/>
  <c r="AF50" i="1"/>
  <c r="O29" i="5" l="1"/>
  <c r="K54" i="5"/>
  <c r="K37" i="5"/>
  <c r="O37" i="5" s="1"/>
  <c r="BS3" i="5"/>
  <c r="BS49" i="5" s="1"/>
  <c r="BN49" i="5"/>
  <c r="AR3" i="1"/>
  <c r="AM49" i="1"/>
  <c r="AS3" i="1"/>
  <c r="AN49" i="1"/>
  <c r="AU49" i="1"/>
  <c r="AZ3" i="1"/>
  <c r="AV49" i="1"/>
  <c r="BA3" i="1"/>
  <c r="AT3" i="1"/>
  <c r="AO49" i="1"/>
  <c r="AV3" i="2"/>
  <c r="AQ49" i="2"/>
  <c r="M50" i="2"/>
  <c r="AU3" i="2"/>
  <c r="AP49" i="2"/>
  <c r="AO49" i="2"/>
  <c r="AT3" i="2"/>
  <c r="AS3" i="2"/>
  <c r="AN49" i="2"/>
  <c r="AR49" i="2"/>
  <c r="AW3" i="2"/>
  <c r="L50" i="1"/>
  <c r="O54" i="5" l="1"/>
  <c r="K50" i="5"/>
  <c r="O50" i="5" s="1"/>
  <c r="AR49" i="1"/>
  <c r="AW3" i="1"/>
  <c r="BA49" i="1"/>
  <c r="BF3" i="1"/>
  <c r="AT49" i="1"/>
  <c r="AY3" i="1"/>
  <c r="AZ49" i="1"/>
  <c r="BE3" i="1"/>
  <c r="AS49" i="1"/>
  <c r="AX3" i="1"/>
  <c r="BB3" i="2"/>
  <c r="AW49" i="2"/>
  <c r="AS49" i="2"/>
  <c r="AX3" i="2"/>
  <c r="AY3" i="2"/>
  <c r="AT49" i="2"/>
  <c r="AZ3" i="2"/>
  <c r="AU49" i="2"/>
  <c r="BA3" i="2"/>
  <c r="AV49" i="2"/>
  <c r="AW49" i="1" l="1"/>
  <c r="BB3" i="1"/>
  <c r="BJ3" i="1"/>
  <c r="BE49" i="1"/>
  <c r="AY49" i="1"/>
  <c r="BD3" i="1"/>
  <c r="BC3" i="1"/>
  <c r="AX49" i="1"/>
  <c r="BF49" i="1"/>
  <c r="BK3" i="1"/>
  <c r="BF3" i="2"/>
  <c r="BA49" i="2"/>
  <c r="BE3" i="2"/>
  <c r="AZ49" i="2"/>
  <c r="BD3" i="2"/>
  <c r="AY49" i="2"/>
  <c r="BC3" i="2"/>
  <c r="AX49" i="2"/>
  <c r="BG3" i="2"/>
  <c r="BB49" i="2"/>
  <c r="BB49" i="1" l="1"/>
  <c r="BG3" i="1"/>
  <c r="BC49" i="1"/>
  <c r="BH3" i="1"/>
  <c r="BP3" i="1"/>
  <c r="BK49" i="1"/>
  <c r="BI3" i="1"/>
  <c r="BD49" i="1"/>
  <c r="BO3" i="1"/>
  <c r="BJ49" i="1"/>
  <c r="BG49" i="2"/>
  <c r="BL3" i="2"/>
  <c r="BC49" i="2"/>
  <c r="BH3" i="2"/>
  <c r="BD49" i="2"/>
  <c r="BI3" i="2"/>
  <c r="BE49" i="2"/>
  <c r="BJ3" i="2"/>
  <c r="BK3" i="2"/>
  <c r="BF49" i="2"/>
  <c r="BG49" i="1" l="1"/>
  <c r="BL3" i="1"/>
  <c r="BO49" i="1"/>
  <c r="BT3" i="1"/>
  <c r="BT49" i="1" s="1"/>
  <c r="BN3" i="1"/>
  <c r="BI49" i="1"/>
  <c r="BP49" i="1"/>
  <c r="BU3" i="1"/>
  <c r="BU49" i="1" s="1"/>
  <c r="BM3" i="1"/>
  <c r="BH49" i="1"/>
  <c r="BO3" i="2"/>
  <c r="BJ49" i="2"/>
  <c r="BQ3" i="2"/>
  <c r="BL49" i="2"/>
  <c r="BP3" i="2"/>
  <c r="BK49" i="2"/>
  <c r="BN3" i="2"/>
  <c r="BI49" i="2"/>
  <c r="BH49" i="2"/>
  <c r="BM3" i="2"/>
  <c r="BQ3" i="1" l="1"/>
  <c r="BQ49" i="1" s="1"/>
  <c r="BL49" i="1"/>
  <c r="BR3" i="1"/>
  <c r="BR49" i="1" s="1"/>
  <c r="BM49" i="1"/>
  <c r="BN49" i="1"/>
  <c r="BS3" i="1"/>
  <c r="BS49" i="1" s="1"/>
  <c r="BT3" i="2"/>
  <c r="BT49" i="2" s="1"/>
  <c r="BO49" i="2"/>
  <c r="BS3" i="2"/>
  <c r="BS49" i="2" s="1"/>
  <c r="BN49" i="2"/>
  <c r="BQ49" i="2"/>
  <c r="BV3" i="2"/>
  <c r="BV49" i="2" s="1"/>
  <c r="BR3" i="2"/>
  <c r="BR49" i="2" s="1"/>
  <c r="BM49" i="2"/>
  <c r="BP49" i="2"/>
  <c r="BU3" i="2"/>
  <c r="BU49" i="2" s="1"/>
</calcChain>
</file>

<file path=xl/sharedStrings.xml><?xml version="1.0" encoding="utf-8"?>
<sst xmlns="http://schemas.openxmlformats.org/spreadsheetml/2006/main" count="646" uniqueCount="79">
  <si>
    <t>본부</t>
    <phoneticPr fontId="2" type="noConversion"/>
  </si>
  <si>
    <t>부문</t>
    <phoneticPr fontId="2" type="noConversion"/>
  </si>
  <si>
    <t>구분</t>
    <phoneticPr fontId="2" type="noConversion"/>
  </si>
  <si>
    <t>2023년 실적</t>
    <phoneticPr fontId="2" type="noConversion"/>
  </si>
  <si>
    <t>2024년 계획</t>
    <phoneticPr fontId="2" type="noConversion"/>
  </si>
  <si>
    <t>증감율</t>
    <phoneticPr fontId="2" type="noConversion"/>
  </si>
  <si>
    <t>누적</t>
    <phoneticPr fontId="2" type="noConversion"/>
  </si>
  <si>
    <t>1월</t>
    <phoneticPr fontId="2" type="noConversion"/>
  </si>
  <si>
    <t>2023년</t>
    <phoneticPr fontId="2" type="noConversion"/>
  </si>
  <si>
    <t>목표</t>
    <phoneticPr fontId="2" type="noConversion"/>
  </si>
  <si>
    <t>2024년</t>
    <phoneticPr fontId="2" type="noConversion"/>
  </si>
  <si>
    <t>달성율</t>
    <phoneticPr fontId="2" type="noConversion"/>
  </si>
  <si>
    <t>전년대비</t>
    <phoneticPr fontId="2" type="noConversion"/>
  </si>
  <si>
    <t>판매량</t>
    <phoneticPr fontId="2" type="noConversion"/>
  </si>
  <si>
    <t>sell-in</t>
  </si>
  <si>
    <t>재고</t>
  </si>
  <si>
    <t>B2C</t>
    <phoneticPr fontId="2" type="noConversion"/>
  </si>
  <si>
    <t>Auto</t>
    <phoneticPr fontId="2" type="noConversion"/>
  </si>
  <si>
    <t>AUTO 합계</t>
    <phoneticPr fontId="2" type="noConversion"/>
  </si>
  <si>
    <t>B2C 소계</t>
    <phoneticPr fontId="2" type="noConversion"/>
  </si>
  <si>
    <t>맥심팀</t>
    <phoneticPr fontId="2" type="noConversion"/>
  </si>
  <si>
    <t>솔개팀</t>
    <phoneticPr fontId="2" type="noConversion"/>
  </si>
  <si>
    <t>아리안팀</t>
    <phoneticPr fontId="2" type="noConversion"/>
  </si>
  <si>
    <t>미추홀팀</t>
    <phoneticPr fontId="2" type="noConversion"/>
  </si>
  <si>
    <t>랜더스팀</t>
    <phoneticPr fontId="2" type="noConversion"/>
  </si>
  <si>
    <t>클라쓰팀</t>
    <phoneticPr fontId="2" type="noConversion"/>
  </si>
  <si>
    <t>삼다도팀</t>
    <phoneticPr fontId="2" type="noConversion"/>
  </si>
  <si>
    <t>사무실</t>
    <phoneticPr fontId="2" type="noConversion"/>
  </si>
  <si>
    <t>남부지사</t>
    <phoneticPr fontId="2" type="noConversion"/>
  </si>
  <si>
    <t>B2B</t>
    <phoneticPr fontId="2" type="noConversion"/>
  </si>
  <si>
    <t>B2B Auto소계</t>
    <phoneticPr fontId="2" type="noConversion"/>
  </si>
  <si>
    <t>IL</t>
    <phoneticPr fontId="2" type="noConversion"/>
  </si>
  <si>
    <t>재고</t>
    <phoneticPr fontId="2" type="noConversion"/>
  </si>
  <si>
    <t>sell-in</t>
    <phoneticPr fontId="2" type="noConversion"/>
  </si>
  <si>
    <t>IL 합계</t>
    <phoneticPr fontId="2" type="noConversion"/>
  </si>
  <si>
    <t>산업1팀</t>
    <phoneticPr fontId="2" type="noConversion"/>
  </si>
  <si>
    <t>산업2팀</t>
  </si>
  <si>
    <t>산업3팀</t>
  </si>
  <si>
    <t>산업4팀</t>
  </si>
  <si>
    <t>산업 창원</t>
    <phoneticPr fontId="2" type="noConversion"/>
  </si>
  <si>
    <t>산업 부산</t>
    <phoneticPr fontId="2" type="noConversion"/>
  </si>
  <si>
    <t>기타(B2C)</t>
    <phoneticPr fontId="2" type="noConversion"/>
  </si>
  <si>
    <t>B2B 합계</t>
    <phoneticPr fontId="2" type="noConversion"/>
  </si>
  <si>
    <t>AVI 등</t>
    <phoneticPr fontId="2" type="noConversion"/>
  </si>
  <si>
    <t>MB</t>
    <phoneticPr fontId="2" type="noConversion"/>
  </si>
  <si>
    <t>* 목표량은 월별 표시가 안되있는 경우 1/n으로 산정하였음</t>
    <phoneticPr fontId="2" type="noConversion"/>
  </si>
  <si>
    <t>* AVI 는 2021년 목표를 전년과 판매실적을 목표로 잡았음</t>
    <phoneticPr fontId="2" type="noConversion"/>
  </si>
  <si>
    <t>매입매출 총괄표</t>
    <phoneticPr fontId="2" type="noConversion"/>
  </si>
  <si>
    <t>Sell-out</t>
    <phoneticPr fontId="2" type="noConversion"/>
  </si>
  <si>
    <t>총합계</t>
    <phoneticPr fontId="2" type="noConversion"/>
  </si>
  <si>
    <t>AUTO</t>
    <phoneticPr fontId="2" type="noConversion"/>
  </si>
  <si>
    <t>Sell-In</t>
    <phoneticPr fontId="2" type="noConversion"/>
  </si>
  <si>
    <t>동부지사</t>
    <phoneticPr fontId="2" type="noConversion"/>
  </si>
  <si>
    <t>소계</t>
    <phoneticPr fontId="2" type="noConversion"/>
  </si>
  <si>
    <t>서부지사</t>
    <phoneticPr fontId="2" type="noConversion"/>
  </si>
  <si>
    <t>중부</t>
    <phoneticPr fontId="2" type="noConversion"/>
  </si>
  <si>
    <t>제주</t>
    <phoneticPr fontId="2" type="noConversion"/>
  </si>
  <si>
    <t>Auto+IL</t>
    <phoneticPr fontId="2" type="noConversion"/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</si>
  <si>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</si>
  <si>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</si>
  <si>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</si>
  <si>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</si>
  <si>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</si>
  <si>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</si>
  <si>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</si>
  <si>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</si>
  <si>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</si>
  <si>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</si>
  <si>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</si>
  <si>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2022년 실적</t>
    <phoneticPr fontId="2" type="noConversion"/>
  </si>
  <si>
    <t>2022년</t>
    <phoneticPr fontId="2" type="noConversion"/>
  </si>
  <si>
    <t>2022년 실적</t>
  </si>
  <si>
    <t>B2C 팀 소계</t>
  </si>
  <si>
    <t>B2C 팀 소계</t>
    <phoneticPr fontId="2" type="noConversion"/>
  </si>
  <si>
    <t>2024년 실적</t>
    <phoneticPr fontId="2" type="noConversion"/>
  </si>
  <si>
    <t>2025년</t>
    <phoneticPr fontId="2" type="noConversion"/>
  </si>
  <si>
    <t>2025년(P)</t>
    <phoneticPr fontId="2" type="noConversion"/>
  </si>
  <si>
    <t>2025년 계획</t>
    <phoneticPr fontId="2" type="noConversion"/>
  </si>
  <si>
    <t>목표대비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</si>
</sst>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,"/>
    <numFmt numFmtId="177" formatCode="_-* #,##0,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412">
    <xf numFmtId="0" fontId="0" fillId="0" borderId="0" xfId="0">
      <alignment vertical="center"/>
    </xf>
    <xf numFmtId="176" fontId="3" fillId="3" borderId="1" xfId="1" applyNumberFormat="1" applyFont="1" applyFill="1" applyBorder="1">
      <alignment vertical="center"/>
    </xf>
    <xf numFmtId="9" fontId="3" fillId="3" borderId="3" xfId="2" applyFont="1" applyFill="1" applyBorder="1">
      <alignment vertical="center"/>
    </xf>
    <xf numFmtId="176" fontId="3" fillId="0" borderId="8" xfId="1" applyNumberFormat="1" applyFont="1" applyBorder="1">
      <alignment vertical="center"/>
    </xf>
    <xf numFmtId="9" fontId="3" fillId="0" borderId="10" xfId="2" applyFont="1" applyBorder="1">
      <alignment vertical="center"/>
    </xf>
    <xf numFmtId="176" fontId="0" fillId="0" borderId="11" xfId="1" applyNumberFormat="1" applyFont="1" applyBorder="1">
      <alignment vertical="center"/>
    </xf>
    <xf numFmtId="9" fontId="0" fillId="0" borderId="13" xfId="2" applyFont="1" applyBorder="1">
      <alignment vertical="center"/>
    </xf>
    <xf numFmtId="177" fontId="0" fillId="0" borderId="12" xfId="1" applyNumberFormat="1" applyFont="1" applyBorder="1">
      <alignment vertical="center"/>
    </xf>
    <xf numFmtId="176" fontId="0" fillId="0" borderId="1" xfId="1" applyNumberFormat="1" applyFont="1" applyBorder="1">
      <alignment vertical="center"/>
    </xf>
    <xf numFmtId="177" fontId="0" fillId="0" borderId="2" xfId="1" applyNumberFormat="1" applyFont="1" applyBorder="1">
      <alignment vertical="center"/>
    </xf>
    <xf numFmtId="9" fontId="0" fillId="0" borderId="3" xfId="2" applyFont="1" applyBorder="1">
      <alignment vertical="center"/>
    </xf>
    <xf numFmtId="176" fontId="3" fillId="2" borderId="1" xfId="1" applyNumberFormat="1" applyFont="1" applyFill="1" applyBorder="1">
      <alignment vertical="center"/>
    </xf>
    <xf numFmtId="9" fontId="3" fillId="2" borderId="3" xfId="2" applyFont="1" applyFill="1" applyBorder="1">
      <alignment vertical="center"/>
    </xf>
    <xf numFmtId="176" fontId="0" fillId="0" borderId="8" xfId="1" applyNumberFormat="1" applyFont="1" applyBorder="1">
      <alignment vertical="center"/>
    </xf>
    <xf numFmtId="177" fontId="0" fillId="0" borderId="9" xfId="1" applyNumberFormat="1" applyFont="1" applyBorder="1">
      <alignment vertical="center"/>
    </xf>
    <xf numFmtId="9" fontId="0" fillId="0" borderId="10" xfId="2" applyFont="1" applyBorder="1">
      <alignment vertical="center"/>
    </xf>
    <xf numFmtId="176" fontId="0" fillId="5" borderId="8" xfId="1" applyNumberFormat="1" applyFont="1" applyFill="1" applyBorder="1">
      <alignment vertical="center"/>
    </xf>
    <xf numFmtId="9" fontId="0" fillId="5" borderId="10" xfId="2" applyFont="1" applyFill="1" applyBorder="1">
      <alignment vertical="center"/>
    </xf>
    <xf numFmtId="176" fontId="0" fillId="4" borderId="1" xfId="1" applyNumberFormat="1" applyFont="1" applyFill="1" applyBorder="1">
      <alignment vertical="center"/>
    </xf>
    <xf numFmtId="9" fontId="0" fillId="4" borderId="3" xfId="2" applyFont="1" applyFill="1" applyBorder="1">
      <alignment vertical="center"/>
    </xf>
    <xf numFmtId="177" fontId="0" fillId="0" borderId="23" xfId="1" applyNumberFormat="1" applyFont="1" applyBorder="1">
      <alignment vertical="center"/>
    </xf>
    <xf numFmtId="176" fontId="0" fillId="0" borderId="26" xfId="1" applyNumberFormat="1" applyFont="1" applyBorder="1">
      <alignment vertical="center"/>
    </xf>
    <xf numFmtId="177" fontId="0" fillId="0" borderId="25" xfId="1" applyNumberFormat="1" applyFont="1" applyBorder="1">
      <alignment vertical="center"/>
    </xf>
    <xf numFmtId="9" fontId="0" fillId="0" borderId="24" xfId="2" applyFont="1" applyBorder="1">
      <alignment vertical="center"/>
    </xf>
    <xf numFmtId="176" fontId="0" fillId="0" borderId="5" xfId="1" applyNumberFormat="1" applyFont="1" applyBorder="1">
      <alignment vertical="center"/>
    </xf>
    <xf numFmtId="9" fontId="0" fillId="0" borderId="7" xfId="2" applyFont="1" applyBorder="1">
      <alignment vertical="center"/>
    </xf>
    <xf numFmtId="176" fontId="0" fillId="0" borderId="0" xfId="1" applyNumberFormat="1" applyFont="1" applyBorder="1">
      <alignment vertical="center"/>
    </xf>
    <xf numFmtId="9" fontId="0" fillId="0" borderId="0" xfId="2" applyFont="1" applyBorder="1">
      <alignment vertical="center"/>
    </xf>
    <xf numFmtId="177" fontId="3" fillId="0" borderId="9" xfId="1" applyNumberFormat="1" applyFont="1" applyBorder="1">
      <alignment vertical="center"/>
    </xf>
    <xf numFmtId="176" fontId="0" fillId="0" borderId="0" xfId="1" applyNumberFormat="1" applyFont="1">
      <alignment vertical="center"/>
    </xf>
    <xf numFmtId="9" fontId="0" fillId="0" borderId="0" xfId="2" applyFont="1">
      <alignment vertical="center"/>
    </xf>
    <xf numFmtId="9" fontId="0" fillId="2" borderId="13" xfId="2" applyFont="1" applyFill="1" applyBorder="1" applyAlignment="1">
      <alignment horizontal="center" vertical="center"/>
    </xf>
    <xf numFmtId="9" fontId="0" fillId="4" borderId="28" xfId="2" applyFont="1" applyFill="1" applyBorder="1">
      <alignment vertical="center"/>
    </xf>
    <xf numFmtId="9" fontId="0" fillId="0" borderId="29" xfId="2" applyFont="1" applyBorder="1">
      <alignment vertical="center"/>
    </xf>
    <xf numFmtId="177" fontId="0" fillId="0" borderId="11" xfId="1" applyNumberFormat="1" applyFont="1" applyBorder="1">
      <alignment vertical="center"/>
    </xf>
    <xf numFmtId="9" fontId="0" fillId="4" borderId="24" xfId="2" applyFont="1" applyFill="1" applyBorder="1">
      <alignment vertical="center"/>
    </xf>
    <xf numFmtId="9" fontId="0" fillId="4" borderId="30" xfId="2" applyFont="1" applyFill="1" applyBorder="1">
      <alignment vertical="center"/>
    </xf>
    <xf numFmtId="176" fontId="0" fillId="0" borderId="0" xfId="0" applyNumberFormat="1">
      <alignment vertical="center"/>
    </xf>
    <xf numFmtId="176" fontId="0" fillId="0" borderId="2" xfId="1" applyNumberFormat="1" applyFont="1" applyBorder="1">
      <alignment vertical="center"/>
    </xf>
    <xf numFmtId="176" fontId="0" fillId="0" borderId="9" xfId="1" applyNumberFormat="1" applyFont="1" applyBorder="1">
      <alignment vertical="center"/>
    </xf>
    <xf numFmtId="176" fontId="0" fillId="5" borderId="9" xfId="1" applyNumberFormat="1" applyFont="1" applyFill="1" applyBorder="1">
      <alignment vertical="center"/>
    </xf>
    <xf numFmtId="176" fontId="0" fillId="0" borderId="25" xfId="1" applyNumberFormat="1" applyFont="1" applyBorder="1">
      <alignment vertical="center"/>
    </xf>
    <xf numFmtId="176" fontId="0" fillId="0" borderId="6" xfId="1" applyNumberFormat="1" applyFont="1" applyBorder="1">
      <alignment vertical="center"/>
    </xf>
    <xf numFmtId="176" fontId="0" fillId="0" borderId="12" xfId="1" applyNumberFormat="1" applyFont="1" applyBorder="1">
      <alignment vertical="center"/>
    </xf>
    <xf numFmtId="176" fontId="0" fillId="4" borderId="2" xfId="1" applyNumberFormat="1" applyFont="1" applyFill="1" applyBorder="1">
      <alignment vertical="center"/>
    </xf>
    <xf numFmtId="176" fontId="0" fillId="0" borderId="19" xfId="1" applyNumberFormat="1" applyFont="1" applyBorder="1">
      <alignment vertical="center"/>
    </xf>
    <xf numFmtId="176" fontId="0" fillId="5" borderId="19" xfId="1" applyNumberFormat="1" applyFont="1" applyFill="1" applyBorder="1">
      <alignment vertical="center"/>
    </xf>
    <xf numFmtId="176" fontId="0" fillId="0" borderId="23" xfId="1" applyNumberFormat="1" applyFont="1" applyBorder="1">
      <alignment vertical="center"/>
    </xf>
    <xf numFmtId="176" fontId="0" fillId="7" borderId="8" xfId="1" applyNumberFormat="1" applyFont="1" applyFill="1" applyBorder="1">
      <alignment vertical="center"/>
    </xf>
    <xf numFmtId="9" fontId="0" fillId="7" borderId="10" xfId="2" applyFont="1" applyFill="1" applyBorder="1">
      <alignment vertical="center"/>
    </xf>
    <xf numFmtId="176" fontId="0" fillId="7" borderId="9" xfId="1" applyNumberFormat="1" applyFont="1" applyFill="1" applyBorder="1">
      <alignment vertical="center"/>
    </xf>
    <xf numFmtId="176" fontId="0" fillId="2" borderId="2" xfId="0" applyNumberFormat="1" applyFill="1" applyBorder="1" applyAlignment="1">
      <alignment horizontal="center" vertical="center"/>
    </xf>
    <xf numFmtId="176" fontId="0" fillId="0" borderId="14" xfId="1" applyNumberFormat="1" applyFont="1" applyBorder="1">
      <alignment vertical="center"/>
    </xf>
    <xf numFmtId="176" fontId="3" fillId="2" borderId="14" xfId="1" applyNumberFormat="1" applyFont="1" applyFill="1" applyBorder="1">
      <alignment vertical="center"/>
    </xf>
    <xf numFmtId="176" fontId="3" fillId="2" borderId="2" xfId="1" applyNumberFormat="1" applyFont="1" applyFill="1" applyBorder="1">
      <alignment vertical="center"/>
    </xf>
    <xf numFmtId="176" fontId="0" fillId="7" borderId="19" xfId="1" applyNumberFormat="1" applyFont="1" applyFill="1" applyBorder="1">
      <alignment vertical="center"/>
    </xf>
    <xf numFmtId="176" fontId="0" fillId="0" borderId="27" xfId="1" applyNumberFormat="1" applyFont="1" applyBorder="1">
      <alignment vertical="center"/>
    </xf>
    <xf numFmtId="176" fontId="0" fillId="0" borderId="15" xfId="1" applyNumberFormat="1" applyFont="1" applyBorder="1">
      <alignment vertical="center"/>
    </xf>
    <xf numFmtId="176" fontId="0" fillId="0" borderId="0" xfId="0" applyNumberFormat="1" applyAlignment="1">
      <alignment horizontal="left" vertical="center"/>
    </xf>
    <xf numFmtId="176" fontId="0" fillId="0" borderId="0" xfId="0" applyNumberFormat="1" applyAlignment="1">
      <alignment horizontal="center" vertical="center"/>
    </xf>
    <xf numFmtId="176" fontId="0" fillId="0" borderId="0" xfId="2" applyNumberFormat="1" applyFont="1" applyBorder="1">
      <alignment vertical="center"/>
    </xf>
    <xf numFmtId="176" fontId="0" fillId="0" borderId="0" xfId="1" applyNumberFormat="1" applyFont="1" applyBorder="1" applyAlignment="1">
      <alignment horizontal="center" vertical="center"/>
    </xf>
    <xf numFmtId="176" fontId="3" fillId="0" borderId="9" xfId="1" applyNumberFormat="1" applyFont="1" applyBorder="1">
      <alignment vertical="center"/>
    </xf>
    <xf numFmtId="176" fontId="0" fillId="0" borderId="0" xfId="2" applyNumberFormat="1" applyFont="1">
      <alignment vertical="center"/>
    </xf>
    <xf numFmtId="176" fontId="0" fillId="4" borderId="2" xfId="0" applyNumberFormat="1" applyFill="1" applyBorder="1">
      <alignment vertical="center"/>
    </xf>
    <xf numFmtId="176" fontId="0" fillId="0" borderId="9" xfId="0" applyNumberFormat="1" applyBorder="1">
      <alignment vertical="center"/>
    </xf>
    <xf numFmtId="176" fontId="0" fillId="5" borderId="9" xfId="0" applyNumberFormat="1" applyFill="1" applyBorder="1">
      <alignment vertical="center"/>
    </xf>
    <xf numFmtId="176" fontId="0" fillId="0" borderId="10" xfId="1" applyNumberFormat="1" applyFont="1" applyBorder="1">
      <alignment vertical="center"/>
    </xf>
    <xf numFmtId="176" fontId="0" fillId="0" borderId="12" xfId="0" applyNumberFormat="1" applyBorder="1">
      <alignment vertical="center"/>
    </xf>
    <xf numFmtId="176" fontId="0" fillId="4" borderId="25" xfId="0" applyNumberFormat="1" applyFill="1" applyBorder="1">
      <alignment vertical="center"/>
    </xf>
    <xf numFmtId="176" fontId="0" fillId="4" borderId="26" xfId="1" applyNumberFormat="1" applyFont="1" applyFill="1" applyBorder="1">
      <alignment vertical="center"/>
    </xf>
    <xf numFmtId="176" fontId="0" fillId="4" borderId="25" xfId="1" applyNumberFormat="1" applyFont="1" applyFill="1" applyBorder="1">
      <alignment vertical="center"/>
    </xf>
    <xf numFmtId="9" fontId="0" fillId="0" borderId="12" xfId="2" applyFont="1" applyBorder="1">
      <alignment vertical="center"/>
    </xf>
    <xf numFmtId="176" fontId="0" fillId="5" borderId="0" xfId="0" applyNumberFormat="1" applyFill="1">
      <alignment vertical="center"/>
    </xf>
    <xf numFmtId="9" fontId="3" fillId="3" borderId="28" xfId="2" applyFont="1" applyFill="1" applyBorder="1">
      <alignment vertical="center"/>
    </xf>
    <xf numFmtId="9" fontId="3" fillId="0" borderId="29" xfId="2" applyFont="1" applyBorder="1">
      <alignment vertical="center"/>
    </xf>
    <xf numFmtId="9" fontId="0" fillId="0" borderId="32" xfId="2" applyFont="1" applyBorder="1">
      <alignment vertical="center"/>
    </xf>
    <xf numFmtId="9" fontId="0" fillId="0" borderId="28" xfId="2" applyFont="1" applyBorder="1">
      <alignment vertical="center"/>
    </xf>
    <xf numFmtId="9" fontId="3" fillId="2" borderId="28" xfId="2" applyFont="1" applyFill="1" applyBorder="1">
      <alignment vertical="center"/>
    </xf>
    <xf numFmtId="9" fontId="0" fillId="7" borderId="29" xfId="2" applyFont="1" applyFill="1" applyBorder="1">
      <alignment vertical="center"/>
    </xf>
    <xf numFmtId="9" fontId="0" fillId="5" borderId="29" xfId="2" applyFont="1" applyFill="1" applyBorder="1">
      <alignment vertical="center"/>
    </xf>
    <xf numFmtId="9" fontId="0" fillId="0" borderId="30" xfId="2" applyFont="1" applyBorder="1">
      <alignment vertical="center"/>
    </xf>
    <xf numFmtId="9" fontId="0" fillId="0" borderId="31" xfId="2" applyFont="1" applyBorder="1">
      <alignment vertical="center"/>
    </xf>
    <xf numFmtId="176" fontId="3" fillId="3" borderId="14" xfId="1" applyNumberFormat="1" applyFont="1" applyFill="1" applyBorder="1">
      <alignment vertical="center"/>
    </xf>
    <xf numFmtId="176" fontId="3" fillId="0" borderId="19" xfId="1" applyNumberFormat="1" applyFont="1" applyBorder="1">
      <alignment vertical="center"/>
    </xf>
    <xf numFmtId="176" fontId="3" fillId="0" borderId="9" xfId="2" applyNumberFormat="1" applyFont="1" applyBorder="1">
      <alignment vertical="center"/>
    </xf>
    <xf numFmtId="9" fontId="3" fillId="0" borderId="9" xfId="2" applyFont="1" applyBorder="1">
      <alignment vertical="center"/>
    </xf>
    <xf numFmtId="176" fontId="0" fillId="0" borderId="9" xfId="2" applyNumberFormat="1" applyFont="1" applyBorder="1">
      <alignment vertical="center"/>
    </xf>
    <xf numFmtId="9" fontId="0" fillId="0" borderId="9" xfId="2" applyFont="1" applyBorder="1">
      <alignment vertical="center"/>
    </xf>
    <xf numFmtId="176" fontId="0" fillId="4" borderId="9" xfId="1" applyNumberFormat="1" applyFont="1" applyFill="1" applyBorder="1">
      <alignment vertical="center"/>
    </xf>
    <xf numFmtId="9" fontId="0" fillId="4" borderId="9" xfId="2" applyFont="1" applyFill="1" applyBorder="1">
      <alignment vertical="center"/>
    </xf>
    <xf numFmtId="9" fontId="0" fillId="7" borderId="9" xfId="2" applyFont="1" applyFill="1" applyBorder="1">
      <alignment vertical="center"/>
    </xf>
    <xf numFmtId="176" fontId="0" fillId="5" borderId="9" xfId="2" applyNumberFormat="1" applyFont="1" applyFill="1" applyBorder="1">
      <alignment vertical="center"/>
    </xf>
    <xf numFmtId="9" fontId="0" fillId="5" borderId="9" xfId="2" applyFont="1" applyFill="1" applyBorder="1">
      <alignment vertical="center"/>
    </xf>
    <xf numFmtId="9" fontId="0" fillId="4" borderId="10" xfId="2" applyFont="1" applyFill="1" applyBorder="1">
      <alignment vertical="center"/>
    </xf>
    <xf numFmtId="176" fontId="0" fillId="2" borderId="12" xfId="0" applyNumberFormat="1" applyFill="1" applyBorder="1" applyAlignment="1">
      <alignment horizontal="center" vertical="center"/>
    </xf>
    <xf numFmtId="176" fontId="0" fillId="2" borderId="12" xfId="2" applyNumberFormat="1" applyFont="1" applyFill="1" applyBorder="1" applyAlignment="1">
      <alignment horizontal="center" vertical="center"/>
    </xf>
    <xf numFmtId="176" fontId="0" fillId="2" borderId="12" xfId="1" applyNumberFormat="1" applyFont="1" applyFill="1" applyBorder="1">
      <alignment vertical="center"/>
    </xf>
    <xf numFmtId="9" fontId="0" fillId="2" borderId="12" xfId="2" applyFont="1" applyFill="1" applyBorder="1">
      <alignment vertical="center"/>
    </xf>
    <xf numFmtId="9" fontId="0" fillId="2" borderId="13" xfId="2" applyFont="1" applyFill="1" applyBorder="1">
      <alignment vertical="center"/>
    </xf>
    <xf numFmtId="176" fontId="0" fillId="4" borderId="19" xfId="1" applyNumberFormat="1" applyFont="1" applyFill="1" applyBorder="1">
      <alignment vertical="center"/>
    </xf>
    <xf numFmtId="176" fontId="0" fillId="7" borderId="10" xfId="1" applyNumberFormat="1" applyFont="1" applyFill="1" applyBorder="1">
      <alignment vertical="center"/>
    </xf>
    <xf numFmtId="176" fontId="0" fillId="5" borderId="10" xfId="1" applyNumberFormat="1" applyFont="1" applyFill="1" applyBorder="1">
      <alignment vertical="center"/>
    </xf>
    <xf numFmtId="176" fontId="0" fillId="2" borderId="23" xfId="1" applyNumberFormat="1" applyFont="1" applyFill="1" applyBorder="1">
      <alignment vertical="center"/>
    </xf>
    <xf numFmtId="176" fontId="0" fillId="2" borderId="11" xfId="2" applyNumberFormat="1" applyFont="1" applyFill="1" applyBorder="1" applyAlignment="1">
      <alignment horizontal="center" vertical="center"/>
    </xf>
    <xf numFmtId="176" fontId="3" fillId="0" borderId="8" xfId="2" applyNumberFormat="1" applyFont="1" applyBorder="1">
      <alignment vertical="center"/>
    </xf>
    <xf numFmtId="176" fontId="0" fillId="4" borderId="8" xfId="1" applyNumberFormat="1" applyFont="1" applyFill="1" applyBorder="1">
      <alignment vertical="center"/>
    </xf>
    <xf numFmtId="176" fontId="0" fillId="0" borderId="8" xfId="2" applyNumberFormat="1" applyFont="1" applyBorder="1">
      <alignment vertical="center"/>
    </xf>
    <xf numFmtId="176" fontId="0" fillId="5" borderId="8" xfId="2" applyNumberFormat="1" applyFont="1" applyFill="1" applyBorder="1">
      <alignment vertical="center"/>
    </xf>
    <xf numFmtId="9" fontId="0" fillId="2" borderId="32" xfId="2" applyFont="1" applyFill="1" applyBorder="1">
      <alignment vertical="center"/>
    </xf>
    <xf numFmtId="9" fontId="0" fillId="4" borderId="29" xfId="2" applyFont="1" applyFill="1" applyBorder="1">
      <alignment vertical="center"/>
    </xf>
    <xf numFmtId="176" fontId="0" fillId="2" borderId="11" xfId="1" applyNumberFormat="1" applyFont="1" applyFill="1" applyBorder="1">
      <alignment vertical="center"/>
    </xf>
    <xf numFmtId="9" fontId="0" fillId="0" borderId="25" xfId="2" applyFont="1" applyBorder="1">
      <alignment vertical="center"/>
    </xf>
    <xf numFmtId="176" fontId="3" fillId="3" borderId="2" xfId="1" applyNumberFormat="1" applyFont="1" applyFill="1" applyBorder="1">
      <alignment vertical="center"/>
    </xf>
    <xf numFmtId="9" fontId="3" fillId="3" borderId="2" xfId="2" applyFont="1" applyFill="1" applyBorder="1">
      <alignment vertical="center"/>
    </xf>
    <xf numFmtId="9" fontId="0" fillId="0" borderId="2" xfId="2" applyFont="1" applyBorder="1">
      <alignment vertical="center"/>
    </xf>
    <xf numFmtId="176" fontId="0" fillId="4" borderId="23" xfId="1" applyNumberFormat="1" applyFont="1" applyFill="1" applyBorder="1">
      <alignment vertical="center"/>
    </xf>
    <xf numFmtId="176" fontId="0" fillId="4" borderId="12" xfId="1" applyNumberFormat="1" applyFont="1" applyFill="1" applyBorder="1">
      <alignment vertical="center"/>
    </xf>
    <xf numFmtId="176" fontId="0" fillId="4" borderId="11" xfId="1" applyNumberFormat="1" applyFont="1" applyFill="1" applyBorder="1">
      <alignment vertical="center"/>
    </xf>
    <xf numFmtId="9" fontId="0" fillId="4" borderId="12" xfId="2" applyFont="1" applyFill="1" applyBorder="1">
      <alignment vertical="center"/>
    </xf>
    <xf numFmtId="9" fontId="0" fillId="4" borderId="13" xfId="2" applyFont="1" applyFill="1" applyBorder="1">
      <alignment vertical="center"/>
    </xf>
    <xf numFmtId="9" fontId="0" fillId="4" borderId="32" xfId="2" applyFont="1" applyFill="1" applyBorder="1">
      <alignment vertical="center"/>
    </xf>
    <xf numFmtId="176" fontId="0" fillId="5" borderId="8" xfId="0" applyNumberFormat="1" applyFill="1" applyBorder="1" applyAlignment="1">
      <alignment horizontal="center" vertical="center"/>
    </xf>
    <xf numFmtId="176" fontId="3" fillId="6" borderId="15" xfId="1" applyNumberFormat="1" applyFont="1" applyFill="1" applyBorder="1">
      <alignment vertical="center"/>
    </xf>
    <xf numFmtId="176" fontId="3" fillId="6" borderId="6" xfId="1" applyNumberFormat="1" applyFont="1" applyFill="1" applyBorder="1">
      <alignment vertical="center"/>
    </xf>
    <xf numFmtId="176" fontId="3" fillId="6" borderId="5" xfId="1" applyNumberFormat="1" applyFont="1" applyFill="1" applyBorder="1">
      <alignment vertical="center"/>
    </xf>
    <xf numFmtId="9" fontId="3" fillId="6" borderId="6" xfId="2" applyFont="1" applyFill="1" applyBorder="1">
      <alignment vertical="center"/>
    </xf>
    <xf numFmtId="9" fontId="3" fillId="6" borderId="7" xfId="2" applyFont="1" applyFill="1" applyBorder="1">
      <alignment vertical="center"/>
    </xf>
    <xf numFmtId="9" fontId="3" fillId="6" borderId="31" xfId="2" applyFont="1" applyFill="1" applyBorder="1">
      <alignment vertical="center"/>
    </xf>
    <xf numFmtId="176" fontId="0" fillId="0" borderId="26" xfId="2" applyNumberFormat="1" applyFont="1" applyBorder="1">
      <alignment vertical="center"/>
    </xf>
    <xf numFmtId="176" fontId="0" fillId="0" borderId="25" xfId="2" applyNumberFormat="1" applyFont="1" applyBorder="1">
      <alignment vertical="center"/>
    </xf>
    <xf numFmtId="176" fontId="0" fillId="0" borderId="1" xfId="2" applyNumberFormat="1" applyFont="1" applyBorder="1">
      <alignment vertical="center"/>
    </xf>
    <xf numFmtId="176" fontId="0" fillId="0" borderId="2" xfId="2" applyNumberFormat="1" applyFont="1" applyBorder="1">
      <alignment vertical="center"/>
    </xf>
    <xf numFmtId="9" fontId="3" fillId="2" borderId="2" xfId="2" applyFont="1" applyFill="1" applyBorder="1">
      <alignment vertical="center"/>
    </xf>
    <xf numFmtId="176" fontId="0" fillId="2" borderId="11" xfId="2" applyNumberFormat="1" applyFont="1" applyFill="1" applyBorder="1">
      <alignment vertical="center"/>
    </xf>
    <xf numFmtId="176" fontId="0" fillId="2" borderId="12" xfId="2" applyNumberFormat="1" applyFont="1" applyFill="1" applyBorder="1">
      <alignment vertical="center"/>
    </xf>
    <xf numFmtId="176" fontId="0" fillId="0" borderId="19" xfId="2" applyNumberFormat="1" applyFont="1" applyBorder="1">
      <alignment vertical="center"/>
    </xf>
    <xf numFmtId="176" fontId="0" fillId="5" borderId="19" xfId="2" applyNumberFormat="1" applyFont="1" applyFill="1" applyBorder="1">
      <alignment vertical="center"/>
    </xf>
    <xf numFmtId="176" fontId="0" fillId="0" borderId="23" xfId="2" applyNumberFormat="1" applyFont="1" applyBorder="1">
      <alignment vertical="center"/>
    </xf>
    <xf numFmtId="176" fontId="0" fillId="4" borderId="27" xfId="1" applyNumberFormat="1" applyFont="1" applyFill="1" applyBorder="1">
      <alignment vertical="center"/>
    </xf>
    <xf numFmtId="9" fontId="0" fillId="4" borderId="25" xfId="2" applyFont="1" applyFill="1" applyBorder="1">
      <alignment vertical="center"/>
    </xf>
    <xf numFmtId="176" fontId="0" fillId="2" borderId="23" xfId="2" applyNumberFormat="1" applyFont="1" applyFill="1" applyBorder="1" applyAlignment="1">
      <alignment horizontal="center" vertical="center"/>
    </xf>
    <xf numFmtId="9" fontId="0" fillId="2" borderId="12" xfId="2" applyFont="1" applyFill="1" applyBorder="1" applyAlignment="1">
      <alignment horizontal="center" vertical="center"/>
    </xf>
    <xf numFmtId="9" fontId="0" fillId="2" borderId="32" xfId="2" applyFont="1" applyFill="1" applyBorder="1" applyAlignment="1">
      <alignment horizontal="center" vertical="center"/>
    </xf>
    <xf numFmtId="176" fontId="0" fillId="0" borderId="6" xfId="0" applyNumberFormat="1" applyBorder="1">
      <alignment vertical="center"/>
    </xf>
    <xf numFmtId="176" fontId="0" fillId="0" borderId="15" xfId="2" applyNumberFormat="1" applyFont="1" applyBorder="1">
      <alignment vertical="center"/>
    </xf>
    <xf numFmtId="9" fontId="0" fillId="0" borderId="6" xfId="2" applyFont="1" applyBorder="1">
      <alignment vertical="center"/>
    </xf>
    <xf numFmtId="176" fontId="0" fillId="4" borderId="14" xfId="1" applyNumberFormat="1" applyFont="1" applyFill="1" applyBorder="1">
      <alignment vertical="center"/>
    </xf>
    <xf numFmtId="9" fontId="0" fillId="4" borderId="2" xfId="2" applyFont="1" applyFill="1" applyBorder="1">
      <alignment vertical="center"/>
    </xf>
    <xf numFmtId="9" fontId="0" fillId="6" borderId="31" xfId="2" applyFont="1" applyFill="1" applyBorder="1">
      <alignment vertical="center"/>
    </xf>
    <xf numFmtId="41" fontId="0" fillId="0" borderId="0" xfId="1" applyFont="1">
      <alignment vertical="center"/>
    </xf>
    <xf numFmtId="176" fontId="0" fillId="0" borderId="17" xfId="1" applyNumberFormat="1" applyFont="1" applyBorder="1">
      <alignment vertical="center"/>
    </xf>
    <xf numFmtId="176" fontId="0" fillId="5" borderId="17" xfId="1" applyNumberFormat="1" applyFont="1" applyFill="1" applyBorder="1">
      <alignment vertical="center"/>
    </xf>
    <xf numFmtId="176" fontId="0" fillId="4" borderId="33" xfId="1" applyNumberFormat="1" applyFont="1" applyFill="1" applyBorder="1">
      <alignment vertical="center"/>
    </xf>
    <xf numFmtId="176" fontId="0" fillId="0" borderId="20" xfId="1" applyNumberFormat="1" applyFont="1" applyBorder="1">
      <alignment vertical="center"/>
    </xf>
    <xf numFmtId="176" fontId="0" fillId="4" borderId="16" xfId="1" applyNumberFormat="1" applyFont="1" applyFill="1" applyBorder="1">
      <alignment vertical="center"/>
    </xf>
    <xf numFmtId="176" fontId="0" fillId="0" borderId="22" xfId="1" applyNumberFormat="1" applyFont="1" applyBorder="1">
      <alignment vertical="center"/>
    </xf>
    <xf numFmtId="176" fontId="0" fillId="0" borderId="36" xfId="1" applyNumberFormat="1" applyFont="1" applyBorder="1">
      <alignment vertical="center"/>
    </xf>
    <xf numFmtId="176" fontId="3" fillId="3" borderId="25" xfId="1" applyNumberFormat="1" applyFont="1" applyFill="1" applyBorder="1">
      <alignment vertical="center"/>
    </xf>
    <xf numFmtId="9" fontId="3" fillId="3" borderId="25" xfId="2" applyFont="1" applyFill="1" applyBorder="1">
      <alignment vertical="center"/>
    </xf>
    <xf numFmtId="9" fontId="3" fillId="3" borderId="24" xfId="2" applyFont="1" applyFill="1" applyBorder="1">
      <alignment vertical="center"/>
    </xf>
    <xf numFmtId="176" fontId="3" fillId="3" borderId="27" xfId="1" applyNumberFormat="1" applyFont="1" applyFill="1" applyBorder="1">
      <alignment vertical="center"/>
    </xf>
    <xf numFmtId="9" fontId="3" fillId="3" borderId="30" xfId="2" applyFont="1" applyFill="1" applyBorder="1">
      <alignment vertical="center"/>
    </xf>
    <xf numFmtId="176" fontId="3" fillId="3" borderId="26" xfId="1" applyNumberFormat="1" applyFont="1" applyFill="1" applyBorder="1">
      <alignment vertical="center"/>
    </xf>
    <xf numFmtId="176" fontId="3" fillId="0" borderId="15" xfId="1" applyNumberFormat="1" applyFont="1" applyBorder="1">
      <alignment vertical="center"/>
    </xf>
    <xf numFmtId="176" fontId="3" fillId="0" borderId="6" xfId="1" applyNumberFormat="1" applyFont="1" applyBorder="1">
      <alignment vertical="center"/>
    </xf>
    <xf numFmtId="9" fontId="3" fillId="0" borderId="6" xfId="2" applyFont="1" applyBorder="1">
      <alignment vertical="center"/>
    </xf>
    <xf numFmtId="9" fontId="3" fillId="0" borderId="7" xfId="2" applyFont="1" applyBorder="1">
      <alignment vertical="center"/>
    </xf>
    <xf numFmtId="176" fontId="3" fillId="0" borderId="5" xfId="1" applyNumberFormat="1" applyFont="1" applyBorder="1">
      <alignment vertical="center"/>
    </xf>
    <xf numFmtId="9" fontId="3" fillId="0" borderId="31" xfId="2" applyFont="1" applyBorder="1">
      <alignment vertical="center"/>
    </xf>
    <xf numFmtId="176" fontId="0" fillId="4" borderId="39" xfId="1" applyNumberFormat="1" applyFont="1" applyFill="1" applyBorder="1">
      <alignment vertical="center"/>
    </xf>
    <xf numFmtId="176" fontId="0" fillId="4" borderId="40" xfId="1" applyNumberFormat="1" applyFont="1" applyFill="1" applyBorder="1">
      <alignment vertical="center"/>
    </xf>
    <xf numFmtId="9" fontId="0" fillId="4" borderId="41" xfId="2" applyFont="1" applyFill="1" applyBorder="1">
      <alignment vertical="center"/>
    </xf>
    <xf numFmtId="176" fontId="0" fillId="4" borderId="36" xfId="1" applyNumberFormat="1" applyFont="1" applyFill="1" applyBorder="1">
      <alignment vertical="center"/>
    </xf>
    <xf numFmtId="9" fontId="0" fillId="4" borderId="40" xfId="2" applyFont="1" applyFill="1" applyBorder="1">
      <alignment vertical="center"/>
    </xf>
    <xf numFmtId="9" fontId="0" fillId="4" borderId="38" xfId="2" applyFont="1" applyFill="1" applyBorder="1">
      <alignment vertical="center"/>
    </xf>
    <xf numFmtId="176" fontId="0" fillId="0" borderId="5" xfId="2" applyNumberFormat="1" applyFont="1" applyBorder="1">
      <alignment vertical="center"/>
    </xf>
    <xf numFmtId="176" fontId="0" fillId="0" borderId="6" xfId="2" applyNumberFormat="1" applyFont="1" applyBorder="1">
      <alignment vertical="center"/>
    </xf>
    <xf numFmtId="176" fontId="3" fillId="6" borderId="39" xfId="1" applyNumberFormat="1" applyFont="1" applyFill="1" applyBorder="1">
      <alignment vertical="center"/>
    </xf>
    <xf numFmtId="176" fontId="3" fillId="6" borderId="40" xfId="1" applyNumberFormat="1" applyFont="1" applyFill="1" applyBorder="1">
      <alignment vertical="center"/>
    </xf>
    <xf numFmtId="9" fontId="0" fillId="6" borderId="41" xfId="2" applyFont="1" applyFill="1" applyBorder="1">
      <alignment vertical="center"/>
    </xf>
    <xf numFmtId="176" fontId="3" fillId="6" borderId="36" xfId="1" applyNumberFormat="1" applyFont="1" applyFill="1" applyBorder="1">
      <alignment vertical="center"/>
    </xf>
    <xf numFmtId="9" fontId="3" fillId="6" borderId="40" xfId="2" applyFont="1" applyFill="1" applyBorder="1">
      <alignment vertical="center"/>
    </xf>
    <xf numFmtId="9" fontId="3" fillId="6" borderId="38" xfId="2" applyFont="1" applyFill="1" applyBorder="1">
      <alignment vertical="center"/>
    </xf>
    <xf numFmtId="9" fontId="3" fillId="6" borderId="41" xfId="2" applyFont="1" applyFill="1" applyBorder="1">
      <alignment vertical="center"/>
    </xf>
    <xf numFmtId="176" fontId="3" fillId="2" borderId="46" xfId="1" applyNumberFormat="1" applyFont="1" applyFill="1" applyBorder="1">
      <alignment vertical="center"/>
    </xf>
    <xf numFmtId="176" fontId="3" fillId="2" borderId="34" xfId="1" applyNumberFormat="1" applyFont="1" applyFill="1" applyBorder="1">
      <alignment vertical="center"/>
    </xf>
    <xf numFmtId="9" fontId="3" fillId="2" borderId="35" xfId="2" applyFont="1" applyFill="1" applyBorder="1">
      <alignment vertical="center"/>
    </xf>
    <xf numFmtId="176" fontId="3" fillId="2" borderId="45" xfId="1" applyNumberFormat="1" applyFont="1" applyFill="1" applyBorder="1">
      <alignment vertical="center"/>
    </xf>
    <xf numFmtId="9" fontId="3" fillId="2" borderId="34" xfId="2" applyFont="1" applyFill="1" applyBorder="1">
      <alignment vertical="center"/>
    </xf>
    <xf numFmtId="9" fontId="3" fillId="2" borderId="21" xfId="2" applyFont="1" applyFill="1" applyBorder="1">
      <alignment vertical="center"/>
    </xf>
    <xf numFmtId="176" fontId="0" fillId="0" borderId="24" xfId="1" applyNumberFormat="1" applyFont="1" applyBorder="1">
      <alignment vertical="center"/>
    </xf>
    <xf numFmtId="176" fontId="0" fillId="0" borderId="3" xfId="1" applyNumberFormat="1" applyFont="1" applyBorder="1">
      <alignment vertical="center"/>
    </xf>
    <xf numFmtId="176" fontId="0" fillId="7" borderId="13" xfId="1" applyNumberFormat="1" applyFont="1" applyFill="1" applyBorder="1">
      <alignment vertical="center"/>
    </xf>
    <xf numFmtId="176" fontId="0" fillId="7" borderId="23" xfId="1" applyNumberFormat="1" applyFont="1" applyFill="1" applyBorder="1">
      <alignment vertical="center"/>
    </xf>
    <xf numFmtId="176" fontId="0" fillId="7" borderId="12" xfId="1" applyNumberFormat="1" applyFont="1" applyFill="1" applyBorder="1">
      <alignment vertical="center"/>
    </xf>
    <xf numFmtId="9" fontId="0" fillId="7" borderId="32" xfId="2" applyFont="1" applyFill="1" applyBorder="1">
      <alignment vertical="center"/>
    </xf>
    <xf numFmtId="176" fontId="0" fillId="7" borderId="11" xfId="1" applyNumberFormat="1" applyFont="1" applyFill="1" applyBorder="1">
      <alignment vertical="center"/>
    </xf>
    <xf numFmtId="9" fontId="0" fillId="7" borderId="12" xfId="2" applyFont="1" applyFill="1" applyBorder="1">
      <alignment vertical="center"/>
    </xf>
    <xf numFmtId="9" fontId="0" fillId="7" borderId="13" xfId="2" applyFont="1" applyFill="1" applyBorder="1">
      <alignment vertical="center"/>
    </xf>
    <xf numFmtId="176" fontId="0" fillId="7" borderId="7" xfId="1" applyNumberFormat="1" applyFont="1" applyFill="1" applyBorder="1">
      <alignment vertical="center"/>
    </xf>
    <xf numFmtId="176" fontId="0" fillId="7" borderId="15" xfId="1" applyNumberFormat="1" applyFont="1" applyFill="1" applyBorder="1">
      <alignment vertical="center"/>
    </xf>
    <xf numFmtId="176" fontId="0" fillId="7" borderId="6" xfId="1" applyNumberFormat="1" applyFont="1" applyFill="1" applyBorder="1">
      <alignment vertical="center"/>
    </xf>
    <xf numFmtId="9" fontId="0" fillId="7" borderId="31" xfId="2" applyFont="1" applyFill="1" applyBorder="1">
      <alignment vertical="center"/>
    </xf>
    <xf numFmtId="176" fontId="0" fillId="7" borderId="5" xfId="1" applyNumberFormat="1" applyFont="1" applyFill="1" applyBorder="1">
      <alignment vertical="center"/>
    </xf>
    <xf numFmtId="9" fontId="0" fillId="7" borderId="6" xfId="2" applyFont="1" applyFill="1" applyBorder="1">
      <alignment vertical="center"/>
    </xf>
    <xf numFmtId="9" fontId="0" fillId="7" borderId="7" xfId="2" applyFont="1" applyFill="1" applyBorder="1">
      <alignment vertical="center"/>
    </xf>
    <xf numFmtId="176" fontId="0" fillId="5" borderId="26" xfId="0" applyNumberFormat="1" applyFill="1" applyBorder="1" applyAlignment="1">
      <alignment horizontal="center" vertical="center"/>
    </xf>
    <xf numFmtId="176" fontId="0" fillId="5" borderId="24" xfId="1" applyNumberFormat="1" applyFont="1" applyFill="1" applyBorder="1">
      <alignment vertical="center"/>
    </xf>
    <xf numFmtId="176" fontId="0" fillId="5" borderId="27" xfId="1" applyNumberFormat="1" applyFont="1" applyFill="1" applyBorder="1">
      <alignment vertical="center"/>
    </xf>
    <xf numFmtId="176" fontId="0" fillId="5" borderId="25" xfId="1" applyNumberFormat="1" applyFont="1" applyFill="1" applyBorder="1">
      <alignment vertical="center"/>
    </xf>
    <xf numFmtId="9" fontId="0" fillId="5" borderId="30" xfId="2" applyFont="1" applyFill="1" applyBorder="1">
      <alignment vertical="center"/>
    </xf>
    <xf numFmtId="176" fontId="0" fillId="5" borderId="26" xfId="2" applyNumberFormat="1" applyFont="1" applyFill="1" applyBorder="1">
      <alignment vertical="center"/>
    </xf>
    <xf numFmtId="176" fontId="0" fillId="5" borderId="25" xfId="2" applyNumberFormat="1" applyFont="1" applyFill="1" applyBorder="1">
      <alignment vertical="center"/>
    </xf>
    <xf numFmtId="9" fontId="0" fillId="5" borderId="25" xfId="2" applyFont="1" applyFill="1" applyBorder="1">
      <alignment vertical="center"/>
    </xf>
    <xf numFmtId="9" fontId="0" fillId="5" borderId="24" xfId="2" applyFont="1" applyFill="1" applyBorder="1">
      <alignment vertical="center"/>
    </xf>
    <xf numFmtId="176" fontId="0" fillId="5" borderId="26" xfId="1" applyNumberFormat="1" applyFont="1" applyFill="1" applyBorder="1">
      <alignment vertical="center"/>
    </xf>
    <xf numFmtId="176" fontId="0" fillId="5" borderId="5" xfId="0" applyNumberFormat="1" applyFill="1" applyBorder="1" applyAlignment="1">
      <alignment horizontal="center" vertical="center"/>
    </xf>
    <xf numFmtId="176" fontId="0" fillId="5" borderId="7" xfId="1" applyNumberFormat="1" applyFont="1" applyFill="1" applyBorder="1">
      <alignment vertical="center"/>
    </xf>
    <xf numFmtId="176" fontId="0" fillId="5" borderId="15" xfId="1" applyNumberFormat="1" applyFont="1" applyFill="1" applyBorder="1">
      <alignment vertical="center"/>
    </xf>
    <xf numFmtId="176" fontId="0" fillId="5" borderId="6" xfId="1" applyNumberFormat="1" applyFont="1" applyFill="1" applyBorder="1">
      <alignment vertical="center"/>
    </xf>
    <xf numFmtId="9" fontId="0" fillId="5" borderId="31" xfId="2" applyFont="1" applyFill="1" applyBorder="1">
      <alignment vertical="center"/>
    </xf>
    <xf numFmtId="176" fontId="0" fillId="5" borderId="5" xfId="2" applyNumberFormat="1" applyFont="1" applyFill="1" applyBorder="1">
      <alignment vertical="center"/>
    </xf>
    <xf numFmtId="176" fontId="0" fillId="5" borderId="6" xfId="2" applyNumberFormat="1" applyFont="1" applyFill="1" applyBorder="1">
      <alignment vertical="center"/>
    </xf>
    <xf numFmtId="9" fontId="0" fillId="5" borderId="6" xfId="2" applyFont="1" applyFill="1" applyBorder="1">
      <alignment vertical="center"/>
    </xf>
    <xf numFmtId="9" fontId="0" fillId="5" borderId="7" xfId="2" applyFont="1" applyFill="1" applyBorder="1">
      <alignment vertical="center"/>
    </xf>
    <xf numFmtId="176" fontId="0" fillId="5" borderId="5" xfId="1" applyNumberFormat="1" applyFont="1" applyFill="1" applyBorder="1">
      <alignment vertical="center"/>
    </xf>
    <xf numFmtId="176" fontId="0" fillId="2" borderId="39" xfId="1" applyNumberFormat="1" applyFont="1" applyFill="1" applyBorder="1">
      <alignment vertical="center"/>
    </xf>
    <xf numFmtId="176" fontId="0" fillId="2" borderId="40" xfId="1" applyNumberFormat="1" applyFont="1" applyFill="1" applyBorder="1">
      <alignment vertical="center"/>
    </xf>
    <xf numFmtId="9" fontId="0" fillId="2" borderId="41" xfId="2" applyFont="1" applyFill="1" applyBorder="1">
      <alignment vertical="center"/>
    </xf>
    <xf numFmtId="176" fontId="0" fillId="2" borderId="36" xfId="2" applyNumberFormat="1" applyFont="1" applyFill="1" applyBorder="1">
      <alignment vertical="center"/>
    </xf>
    <xf numFmtId="176" fontId="0" fillId="2" borderId="40" xfId="2" applyNumberFormat="1" applyFont="1" applyFill="1" applyBorder="1">
      <alignment vertical="center"/>
    </xf>
    <xf numFmtId="9" fontId="0" fillId="2" borderId="40" xfId="2" applyFont="1" applyFill="1" applyBorder="1">
      <alignment vertical="center"/>
    </xf>
    <xf numFmtId="9" fontId="0" fillId="2" borderId="38" xfId="2" applyFont="1" applyFill="1" applyBorder="1">
      <alignment vertical="center"/>
    </xf>
    <xf numFmtId="176" fontId="0" fillId="2" borderId="36" xfId="1" applyNumberFormat="1" applyFont="1" applyFill="1" applyBorder="1">
      <alignment vertical="center"/>
    </xf>
    <xf numFmtId="176" fontId="0" fillId="0" borderId="39" xfId="1" applyNumberFormat="1" applyFont="1" applyBorder="1">
      <alignment vertical="center"/>
    </xf>
    <xf numFmtId="176" fontId="3" fillId="8" borderId="39" xfId="1" applyNumberFormat="1" applyFont="1" applyFill="1" applyBorder="1">
      <alignment vertical="center"/>
    </xf>
    <xf numFmtId="176" fontId="3" fillId="8" borderId="40" xfId="1" applyNumberFormat="1" applyFont="1" applyFill="1" applyBorder="1">
      <alignment vertical="center"/>
    </xf>
    <xf numFmtId="9" fontId="3" fillId="8" borderId="41" xfId="2" applyFont="1" applyFill="1" applyBorder="1">
      <alignment vertical="center"/>
    </xf>
    <xf numFmtId="176" fontId="3" fillId="8" borderId="36" xfId="1" applyNumberFormat="1" applyFont="1" applyFill="1" applyBorder="1">
      <alignment vertical="center"/>
    </xf>
    <xf numFmtId="9" fontId="3" fillId="8" borderId="40" xfId="2" applyFont="1" applyFill="1" applyBorder="1">
      <alignment vertical="center"/>
    </xf>
    <xf numFmtId="9" fontId="3" fillId="8" borderId="38" xfId="2" applyFont="1" applyFill="1" applyBorder="1">
      <alignment vertical="center"/>
    </xf>
    <xf numFmtId="176" fontId="3" fillId="8" borderId="27" xfId="1" applyNumberFormat="1" applyFont="1" applyFill="1" applyBorder="1">
      <alignment vertical="center"/>
    </xf>
    <xf numFmtId="176" fontId="3" fillId="8" borderId="25" xfId="1" applyNumberFormat="1" applyFont="1" applyFill="1" applyBorder="1">
      <alignment vertical="center"/>
    </xf>
    <xf numFmtId="9" fontId="3" fillId="8" borderId="30" xfId="2" applyFont="1" applyFill="1" applyBorder="1">
      <alignment vertical="center"/>
    </xf>
    <xf numFmtId="176" fontId="3" fillId="8" borderId="26" xfId="1" applyNumberFormat="1" applyFont="1" applyFill="1" applyBorder="1">
      <alignment vertical="center"/>
    </xf>
    <xf numFmtId="9" fontId="3" fillId="8" borderId="25" xfId="2" applyFont="1" applyFill="1" applyBorder="1">
      <alignment vertical="center"/>
    </xf>
    <xf numFmtId="9" fontId="3" fillId="8" borderId="24" xfId="2" applyFont="1" applyFill="1" applyBorder="1">
      <alignment vertical="center"/>
    </xf>
    <xf numFmtId="41" fontId="0" fillId="4" borderId="0" xfId="1" applyFont="1" applyFill="1">
      <alignment vertical="center"/>
    </xf>
    <xf numFmtId="176" fontId="0" fillId="2" borderId="28" xfId="1" applyNumberFormat="1" applyFont="1" applyFill="1" applyBorder="1" applyAlignment="1">
      <alignment horizontal="center" vertical="center"/>
    </xf>
    <xf numFmtId="176" fontId="0" fillId="2" borderId="32" xfId="1" applyNumberFormat="1" applyFont="1" applyFill="1" applyBorder="1" applyAlignment="1">
      <alignment horizontal="center" vertical="center"/>
    </xf>
    <xf numFmtId="176" fontId="3" fillId="3" borderId="30" xfId="1" applyNumberFormat="1" applyFont="1" applyFill="1" applyBorder="1">
      <alignment vertical="center"/>
    </xf>
    <xf numFmtId="176" fontId="3" fillId="0" borderId="29" xfId="1" applyNumberFormat="1" applyFont="1" applyBorder="1">
      <alignment vertical="center"/>
    </xf>
    <xf numFmtId="176" fontId="0" fillId="0" borderId="31" xfId="1" applyNumberFormat="1" applyFont="1" applyBorder="1">
      <alignment vertical="center"/>
    </xf>
    <xf numFmtId="176" fontId="0" fillId="0" borderId="28" xfId="1" applyNumberFormat="1" applyFont="1" applyBorder="1">
      <alignment vertical="center"/>
    </xf>
    <xf numFmtId="176" fontId="3" fillId="0" borderId="31" xfId="1" applyNumberFormat="1" applyFont="1" applyBorder="1">
      <alignment vertical="center"/>
    </xf>
    <xf numFmtId="176" fontId="0" fillId="4" borderId="41" xfId="1" applyNumberFormat="1" applyFont="1" applyFill="1" applyBorder="1">
      <alignment vertical="center"/>
    </xf>
    <xf numFmtId="176" fontId="3" fillId="2" borderId="35" xfId="1" applyNumberFormat="1" applyFont="1" applyFill="1" applyBorder="1">
      <alignment vertical="center"/>
    </xf>
    <xf numFmtId="176" fontId="0" fillId="0" borderId="29" xfId="1" applyNumberFormat="1" applyFont="1" applyBorder="1">
      <alignment vertical="center"/>
    </xf>
    <xf numFmtId="176" fontId="0" fillId="7" borderId="32" xfId="1" applyNumberFormat="1" applyFont="1" applyFill="1" applyBorder="1">
      <alignment vertical="center"/>
    </xf>
    <xf numFmtId="176" fontId="0" fillId="0" borderId="30" xfId="1" applyNumberFormat="1" applyFont="1" applyBorder="1">
      <alignment vertical="center"/>
    </xf>
    <xf numFmtId="176" fontId="0" fillId="7" borderId="31" xfId="1" applyNumberFormat="1" applyFont="1" applyFill="1" applyBorder="1">
      <alignment vertical="center"/>
    </xf>
    <xf numFmtId="176" fontId="0" fillId="5" borderId="30" xfId="1" applyNumberFormat="1" applyFont="1" applyFill="1" applyBorder="1">
      <alignment vertical="center"/>
    </xf>
    <xf numFmtId="176" fontId="0" fillId="5" borderId="31" xfId="1" applyNumberFormat="1" applyFont="1" applyFill="1" applyBorder="1">
      <alignment vertical="center"/>
    </xf>
    <xf numFmtId="176" fontId="0" fillId="2" borderId="41" xfId="1" applyNumberFormat="1" applyFont="1" applyFill="1" applyBorder="1">
      <alignment vertical="center"/>
    </xf>
    <xf numFmtId="176" fontId="3" fillId="6" borderId="41" xfId="1" applyNumberFormat="1" applyFont="1" applyFill="1" applyBorder="1">
      <alignment vertical="center"/>
    </xf>
    <xf numFmtId="176" fontId="0" fillId="0" borderId="61" xfId="2" applyNumberFormat="1" applyFont="1" applyBorder="1">
      <alignment vertical="center"/>
    </xf>
    <xf numFmtId="176" fontId="0" fillId="0" borderId="37" xfId="2" applyNumberFormat="1" applyFont="1" applyBorder="1">
      <alignment vertical="center"/>
    </xf>
    <xf numFmtId="9" fontId="0" fillId="0" borderId="27" xfId="2" applyFont="1" applyBorder="1">
      <alignment vertical="center"/>
    </xf>
    <xf numFmtId="9" fontId="0" fillId="0" borderId="19" xfId="2" applyFont="1" applyBorder="1">
      <alignment vertical="center"/>
    </xf>
    <xf numFmtId="9" fontId="0" fillId="0" borderId="23" xfId="2" applyFont="1" applyBorder="1">
      <alignment vertical="center"/>
    </xf>
    <xf numFmtId="176" fontId="0" fillId="0" borderId="3" xfId="2" applyNumberFormat="1" applyFont="1" applyBorder="1">
      <alignment vertical="center"/>
    </xf>
    <xf numFmtId="176" fontId="0" fillId="0" borderId="10" xfId="2" applyNumberFormat="1" applyFont="1" applyBorder="1">
      <alignment vertical="center"/>
    </xf>
    <xf numFmtId="176" fontId="0" fillId="0" borderId="13" xfId="1" applyNumberFormat="1" applyFont="1" applyBorder="1">
      <alignment vertical="center"/>
    </xf>
    <xf numFmtId="176" fontId="0" fillId="4" borderId="0" xfId="0" applyNumberFormat="1" applyFill="1">
      <alignment vertical="center"/>
    </xf>
    <xf numFmtId="0" fontId="0" fillId="6" borderId="0" xfId="0" applyFill="1">
      <alignment vertical="center"/>
    </xf>
    <xf numFmtId="176" fontId="0" fillId="6" borderId="0" xfId="0" applyNumberFormat="1" applyFill="1">
      <alignment vertical="center"/>
    </xf>
    <xf numFmtId="176" fontId="0" fillId="2" borderId="0" xfId="0" applyNumberFormat="1" applyFill="1">
      <alignment vertical="center"/>
    </xf>
    <xf numFmtId="176" fontId="0" fillId="8" borderId="0" xfId="0" applyNumberFormat="1" applyFill="1">
      <alignment vertical="center"/>
    </xf>
    <xf numFmtId="176" fontId="0" fillId="7" borderId="0" xfId="0" applyNumberFormat="1" applyFill="1">
      <alignment vertical="center"/>
    </xf>
    <xf numFmtId="0" fontId="0" fillId="3" borderId="0" xfId="0" applyFill="1">
      <alignment vertical="center"/>
    </xf>
    <xf numFmtId="176" fontId="0" fillId="3" borderId="0" xfId="0" applyNumberFormat="1" applyFill="1">
      <alignment vertical="center"/>
    </xf>
    <xf numFmtId="9" fontId="0" fillId="0" borderId="0" xfId="1" applyNumberFormat="1" applyFont="1">
      <alignment vertical="center"/>
    </xf>
    <xf numFmtId="176" fontId="4" fillId="0" borderId="63" xfId="0" applyNumberFormat="1" applyFont="1" applyBorder="1" applyAlignment="1"/>
    <xf numFmtId="176" fontId="0" fillId="0" borderId="8" xfId="1" applyNumberFormat="1" applyFont="1" applyBorder="1" applyAlignment="1">
      <alignment horizontal="center" vertical="center"/>
    </xf>
    <xf numFmtId="176" fontId="0" fillId="0" borderId="10" xfId="1" applyNumberFormat="1" applyFont="1" applyBorder="1" applyAlignment="1">
      <alignment horizontal="center" vertical="center"/>
    </xf>
    <xf numFmtId="176" fontId="0" fillId="0" borderId="11" xfId="1" applyNumberFormat="1" applyFont="1" applyBorder="1" applyAlignment="1">
      <alignment horizontal="center" vertical="center"/>
    </xf>
    <xf numFmtId="176" fontId="0" fillId="0" borderId="13" xfId="1" applyNumberFormat="1" applyFont="1" applyBorder="1" applyAlignment="1">
      <alignment horizontal="center" vertical="center"/>
    </xf>
    <xf numFmtId="176" fontId="0" fillId="0" borderId="54" xfId="0" applyNumberFormat="1" applyBorder="1" applyAlignment="1">
      <alignment horizontal="center" vertical="center" wrapText="1"/>
    </xf>
    <xf numFmtId="176" fontId="0" fillId="0" borderId="37" xfId="0" applyNumberFormat="1" applyBorder="1" applyAlignment="1">
      <alignment horizontal="center" vertical="center" wrapText="1"/>
    </xf>
    <xf numFmtId="176" fontId="0" fillId="0" borderId="56" xfId="0" applyNumberFormat="1" applyBorder="1" applyAlignment="1">
      <alignment horizontal="center" vertical="center" wrapText="1"/>
    </xf>
    <xf numFmtId="176" fontId="0" fillId="0" borderId="46" xfId="0" applyNumberFormat="1" applyBorder="1" applyAlignment="1">
      <alignment horizontal="center" vertical="center" wrapText="1"/>
    </xf>
    <xf numFmtId="176" fontId="0" fillId="0" borderId="55" xfId="0" applyNumberFormat="1" applyBorder="1" applyAlignment="1">
      <alignment horizontal="center" vertical="center" wrapText="1"/>
    </xf>
    <xf numFmtId="176" fontId="0" fillId="0" borderId="58" xfId="0" applyNumberFormat="1" applyBorder="1" applyAlignment="1">
      <alignment horizontal="center" vertical="center" wrapText="1"/>
    </xf>
    <xf numFmtId="176" fontId="3" fillId="3" borderId="28" xfId="0" applyNumberFormat="1" applyFont="1" applyFill="1" applyBorder="1" applyAlignment="1">
      <alignment horizontal="center" vertical="center"/>
    </xf>
    <xf numFmtId="176" fontId="3" fillId="3" borderId="47" xfId="0" applyNumberFormat="1" applyFont="1" applyFill="1" applyBorder="1" applyAlignment="1">
      <alignment horizontal="center" vertical="center"/>
    </xf>
    <xf numFmtId="176" fontId="3" fillId="0" borderId="29" xfId="0" applyNumberFormat="1" applyFont="1" applyBorder="1" applyAlignment="1">
      <alignment horizontal="center" vertical="center"/>
    </xf>
    <xf numFmtId="176" fontId="3" fillId="0" borderId="48" xfId="0" applyNumberFormat="1" applyFont="1" applyBorder="1" applyAlignment="1">
      <alignment horizontal="center" vertical="center"/>
    </xf>
    <xf numFmtId="176" fontId="0" fillId="0" borderId="32" xfId="0" applyNumberFormat="1" applyBorder="1" applyAlignment="1">
      <alignment horizontal="center" vertical="center"/>
    </xf>
    <xf numFmtId="176" fontId="0" fillId="0" borderId="49" xfId="0" applyNumberFormat="1" applyBorder="1" applyAlignment="1">
      <alignment horizontal="center" vertical="center"/>
    </xf>
    <xf numFmtId="176" fontId="0" fillId="0" borderId="43" xfId="0" applyNumberFormat="1" applyBorder="1" applyAlignment="1">
      <alignment horizontal="center" vertical="center"/>
    </xf>
    <xf numFmtId="176" fontId="0" fillId="0" borderId="44" xfId="0" applyNumberFormat="1" applyBorder="1" applyAlignment="1">
      <alignment horizontal="center" vertical="center"/>
    </xf>
    <xf numFmtId="176" fontId="0" fillId="0" borderId="42" xfId="0" applyNumberFormat="1" applyBorder="1" applyAlignment="1">
      <alignment horizontal="center" vertical="center"/>
    </xf>
    <xf numFmtId="176" fontId="0" fillId="0" borderId="1" xfId="1" applyNumberFormat="1" applyFont="1" applyBorder="1" applyAlignment="1">
      <alignment horizontal="center" vertical="center"/>
    </xf>
    <xf numFmtId="176" fontId="0" fillId="0" borderId="3" xfId="1" applyNumberFormat="1" applyFont="1" applyBorder="1" applyAlignment="1">
      <alignment horizontal="center" vertical="center"/>
    </xf>
    <xf numFmtId="176" fontId="3" fillId="0" borderId="5" xfId="1" applyNumberFormat="1" applyFont="1" applyBorder="1" applyAlignment="1">
      <alignment horizontal="center" vertical="center"/>
    </xf>
    <xf numFmtId="176" fontId="3" fillId="0" borderId="7" xfId="1" applyNumberFormat="1" applyFont="1" applyBorder="1" applyAlignment="1">
      <alignment horizontal="center" vertical="center"/>
    </xf>
    <xf numFmtId="176" fontId="0" fillId="4" borderId="36" xfId="1" applyNumberFormat="1" applyFont="1" applyFill="1" applyBorder="1" applyAlignment="1">
      <alignment horizontal="center" vertical="center"/>
    </xf>
    <xf numFmtId="176" fontId="0" fillId="4" borderId="38" xfId="1" applyNumberFormat="1" applyFont="1" applyFill="1" applyBorder="1" applyAlignment="1">
      <alignment horizontal="center" vertical="center"/>
    </xf>
    <xf numFmtId="176" fontId="3" fillId="2" borderId="45" xfId="1" applyNumberFormat="1" applyFont="1" applyFill="1" applyBorder="1" applyAlignment="1">
      <alignment horizontal="center" vertical="center"/>
    </xf>
    <xf numFmtId="176" fontId="3" fillId="2" borderId="21" xfId="1" applyNumberFormat="1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0" borderId="26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2" borderId="36" xfId="1" applyNumberFormat="1" applyFont="1" applyFill="1" applyBorder="1" applyAlignment="1">
      <alignment horizontal="center" vertical="center"/>
    </xf>
    <xf numFmtId="176" fontId="0" fillId="2" borderId="38" xfId="1" applyNumberFormat="1" applyFont="1" applyFill="1" applyBorder="1" applyAlignment="1">
      <alignment horizontal="center" vertical="center"/>
    </xf>
    <xf numFmtId="176" fontId="0" fillId="0" borderId="30" xfId="0" applyNumberFormat="1" applyBorder="1" applyAlignment="1">
      <alignment horizontal="center" vertical="center"/>
    </xf>
    <xf numFmtId="176" fontId="0" fillId="0" borderId="29" xfId="0" applyNumberFormat="1" applyBorder="1" applyAlignment="1">
      <alignment horizontal="center" vertical="center"/>
    </xf>
    <xf numFmtId="176" fontId="0" fillId="0" borderId="31" xfId="0" applyNumberFormat="1" applyBorder="1" applyAlignment="1">
      <alignment horizontal="center" vertical="center"/>
    </xf>
    <xf numFmtId="176" fontId="0" fillId="0" borderId="26" xfId="1" applyNumberFormat="1" applyFont="1" applyBorder="1" applyAlignment="1">
      <alignment horizontal="center" vertical="center"/>
    </xf>
    <xf numFmtId="176" fontId="0" fillId="0" borderId="24" xfId="1" applyNumberFormat="1" applyFont="1" applyBorder="1" applyAlignment="1">
      <alignment horizontal="center" vertical="center"/>
    </xf>
    <xf numFmtId="176" fontId="3" fillId="6" borderId="36" xfId="0" applyNumberFormat="1" applyFont="1" applyFill="1" applyBorder="1" applyAlignment="1">
      <alignment horizontal="center" vertical="center"/>
    </xf>
    <xf numFmtId="176" fontId="3" fillId="6" borderId="40" xfId="0" applyNumberFormat="1" applyFont="1" applyFill="1" applyBorder="1" applyAlignment="1">
      <alignment horizontal="center" vertical="center"/>
    </xf>
    <xf numFmtId="176" fontId="3" fillId="6" borderId="38" xfId="0" applyNumberFormat="1" applyFont="1" applyFill="1" applyBorder="1" applyAlignment="1">
      <alignment horizontal="center" vertical="center"/>
    </xf>
    <xf numFmtId="176" fontId="0" fillId="2" borderId="1" xfId="1" applyNumberFormat="1" applyFont="1" applyFill="1" applyBorder="1" applyAlignment="1">
      <alignment horizontal="center" vertical="center"/>
    </xf>
    <xf numFmtId="176" fontId="0" fillId="2" borderId="2" xfId="1" applyNumberFormat="1" applyFont="1" applyFill="1" applyBorder="1" applyAlignment="1">
      <alignment horizontal="center" vertical="center"/>
    </xf>
    <xf numFmtId="176" fontId="0" fillId="2" borderId="3" xfId="1" applyNumberFormat="1" applyFont="1" applyFill="1" applyBorder="1" applyAlignment="1">
      <alignment horizontal="center" vertical="center"/>
    </xf>
    <xf numFmtId="176" fontId="0" fillId="2" borderId="14" xfId="1" applyNumberFormat="1" applyFont="1" applyFill="1" applyBorder="1" applyAlignment="1">
      <alignment horizontal="center" vertical="center"/>
    </xf>
    <xf numFmtId="176" fontId="0" fillId="2" borderId="28" xfId="1" applyNumberFormat="1" applyFont="1" applyFill="1" applyBorder="1" applyAlignment="1">
      <alignment horizontal="center" vertical="center"/>
    </xf>
    <xf numFmtId="176" fontId="0" fillId="2" borderId="54" xfId="1" applyNumberFormat="1" applyFont="1" applyFill="1" applyBorder="1" applyAlignment="1">
      <alignment horizontal="center" vertical="center"/>
    </xf>
    <xf numFmtId="176" fontId="0" fillId="2" borderId="50" xfId="1" applyNumberFormat="1" applyFont="1" applyFill="1" applyBorder="1" applyAlignment="1">
      <alignment horizontal="center" vertical="center"/>
    </xf>
    <xf numFmtId="176" fontId="0" fillId="2" borderId="51" xfId="1" applyNumberFormat="1" applyFont="1" applyFill="1" applyBorder="1" applyAlignment="1">
      <alignment horizontal="center" vertical="center"/>
    </xf>
    <xf numFmtId="176" fontId="0" fillId="2" borderId="55" xfId="1" applyNumberFormat="1" applyFont="1" applyFill="1" applyBorder="1" applyAlignment="1">
      <alignment horizontal="center" vertical="center"/>
    </xf>
    <xf numFmtId="176" fontId="0" fillId="2" borderId="52" xfId="1" applyNumberFormat="1" applyFont="1" applyFill="1" applyBorder="1" applyAlignment="1">
      <alignment horizontal="center" vertical="center"/>
    </xf>
    <xf numFmtId="176" fontId="0" fillId="2" borderId="53" xfId="1" applyNumberFormat="1" applyFont="1" applyFill="1" applyBorder="1" applyAlignment="1">
      <alignment horizontal="center" vertical="center"/>
    </xf>
    <xf numFmtId="176" fontId="0" fillId="2" borderId="23" xfId="1" applyNumberFormat="1" applyFont="1" applyFill="1" applyBorder="1" applyAlignment="1">
      <alignment horizontal="center" vertical="center"/>
    </xf>
    <xf numFmtId="176" fontId="0" fillId="2" borderId="12" xfId="1" applyNumberFormat="1" applyFont="1" applyFill="1" applyBorder="1" applyAlignment="1">
      <alignment horizontal="center" vertical="center"/>
    </xf>
    <xf numFmtId="9" fontId="0" fillId="2" borderId="28" xfId="2" applyFont="1" applyFill="1" applyBorder="1" applyAlignment="1">
      <alignment horizontal="center" vertical="center"/>
    </xf>
    <xf numFmtId="9" fontId="0" fillId="2" borderId="32" xfId="2" applyFont="1" applyFill="1" applyBorder="1" applyAlignment="1">
      <alignment horizontal="center" vertical="center"/>
    </xf>
    <xf numFmtId="176" fontId="0" fillId="0" borderId="54" xfId="0" applyNumberFormat="1" applyBorder="1" applyAlignment="1">
      <alignment horizontal="center" vertical="center"/>
    </xf>
    <xf numFmtId="176" fontId="0" fillId="0" borderId="51" xfId="0" applyNumberFormat="1" applyBorder="1" applyAlignment="1">
      <alignment horizontal="center" vertical="center"/>
    </xf>
    <xf numFmtId="176" fontId="0" fillId="0" borderId="56" xfId="0" applyNumberFormat="1" applyBorder="1" applyAlignment="1">
      <alignment horizontal="center" vertical="center"/>
    </xf>
    <xf numFmtId="176" fontId="0" fillId="0" borderId="57" xfId="0" applyNumberFormat="1" applyBorder="1" applyAlignment="1">
      <alignment horizontal="center" vertical="center"/>
    </xf>
    <xf numFmtId="176" fontId="0" fillId="0" borderId="55" xfId="0" applyNumberFormat="1" applyBorder="1" applyAlignment="1">
      <alignment horizontal="center" vertical="center"/>
    </xf>
    <xf numFmtId="176" fontId="0" fillId="0" borderId="53" xfId="0" applyNumberFormat="1" applyBorder="1" applyAlignment="1">
      <alignment horizontal="center" vertical="center"/>
    </xf>
    <xf numFmtId="176" fontId="0" fillId="4" borderId="43" xfId="0" applyNumberFormat="1" applyFill="1" applyBorder="1" applyAlignment="1">
      <alignment horizontal="center" vertical="center"/>
    </xf>
    <xf numFmtId="176" fontId="0" fillId="4" borderId="47" xfId="0" applyNumberFormat="1" applyFill="1" applyBorder="1" applyAlignment="1">
      <alignment horizontal="center" vertical="center"/>
    </xf>
    <xf numFmtId="176" fontId="0" fillId="0" borderId="48" xfId="0" applyNumberFormat="1" applyBorder="1" applyAlignment="1">
      <alignment horizontal="center" vertical="center"/>
    </xf>
    <xf numFmtId="176" fontId="0" fillId="5" borderId="44" xfId="0" applyNumberFormat="1" applyFill="1" applyBorder="1" applyAlignment="1">
      <alignment horizontal="center" vertical="center"/>
    </xf>
    <xf numFmtId="176" fontId="0" fillId="5" borderId="48" xfId="0" applyNumberFormat="1" applyFill="1" applyBorder="1" applyAlignment="1">
      <alignment horizontal="center" vertical="center"/>
    </xf>
    <xf numFmtId="9" fontId="0" fillId="2" borderId="3" xfId="2" applyFont="1" applyFill="1" applyBorder="1" applyAlignment="1">
      <alignment horizontal="center" vertical="center"/>
    </xf>
    <xf numFmtId="9" fontId="0" fillId="2" borderId="13" xfId="2" applyFont="1" applyFill="1" applyBorder="1" applyAlignment="1">
      <alignment horizontal="center" vertical="center"/>
    </xf>
    <xf numFmtId="176" fontId="3" fillId="5" borderId="25" xfId="0" applyNumberFormat="1" applyFont="1" applyFill="1" applyBorder="1" applyAlignment="1">
      <alignment horizontal="center" vertical="center"/>
    </xf>
    <xf numFmtId="176" fontId="3" fillId="5" borderId="24" xfId="0" applyNumberFormat="1" applyFont="1" applyFill="1" applyBorder="1" applyAlignment="1">
      <alignment horizontal="center" vertical="center"/>
    </xf>
    <xf numFmtId="176" fontId="3" fillId="0" borderId="9" xfId="0" applyNumberFormat="1" applyFont="1" applyBorder="1" applyAlignment="1">
      <alignment horizontal="center" vertical="center"/>
    </xf>
    <xf numFmtId="176" fontId="3" fillId="0" borderId="10" xfId="0" applyNumberFormat="1" applyFon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2" borderId="54" xfId="0" applyNumberFormat="1" applyFill="1" applyBorder="1" applyAlignment="1">
      <alignment horizontal="center" vertical="center"/>
    </xf>
    <xf numFmtId="176" fontId="0" fillId="2" borderId="50" xfId="0" applyNumberFormat="1" applyFill="1" applyBorder="1" applyAlignment="1">
      <alignment horizontal="center" vertical="center"/>
    </xf>
    <xf numFmtId="176" fontId="0" fillId="2" borderId="51" xfId="0" applyNumberFormat="1" applyFill="1" applyBorder="1" applyAlignment="1">
      <alignment horizontal="center" vertical="center"/>
    </xf>
    <xf numFmtId="176" fontId="0" fillId="2" borderId="55" xfId="0" applyNumberFormat="1" applyFill="1" applyBorder="1" applyAlignment="1">
      <alignment horizontal="center" vertical="center"/>
    </xf>
    <xf numFmtId="176" fontId="0" fillId="2" borderId="52" xfId="0" applyNumberFormat="1" applyFill="1" applyBorder="1" applyAlignment="1">
      <alignment horizontal="center" vertical="center"/>
    </xf>
    <xf numFmtId="176" fontId="0" fillId="2" borderId="53" xfId="0" applyNumberFormat="1" applyFill="1" applyBorder="1" applyAlignment="1">
      <alignment horizontal="center" vertical="center"/>
    </xf>
    <xf numFmtId="176" fontId="0" fillId="2" borderId="16" xfId="1" applyNumberFormat="1" applyFont="1" applyFill="1" applyBorder="1" applyAlignment="1">
      <alignment horizontal="center" vertical="center"/>
    </xf>
    <xf numFmtId="176" fontId="0" fillId="2" borderId="22" xfId="1" applyNumberFormat="1" applyFont="1" applyFill="1" applyBorder="1" applyAlignment="1">
      <alignment horizontal="center" vertical="center"/>
    </xf>
    <xf numFmtId="176" fontId="3" fillId="5" borderId="2" xfId="0" applyNumberFormat="1" applyFont="1" applyFill="1" applyBorder="1" applyAlignment="1">
      <alignment horizontal="center" vertical="center"/>
    </xf>
    <xf numFmtId="176" fontId="3" fillId="5" borderId="3" xfId="0" applyNumberFormat="1" applyFont="1" applyFill="1" applyBorder="1" applyAlignment="1">
      <alignment horizontal="center" vertical="center"/>
    </xf>
    <xf numFmtId="176" fontId="3" fillId="8" borderId="59" xfId="1" applyNumberFormat="1" applyFont="1" applyFill="1" applyBorder="1" applyAlignment="1">
      <alignment horizontal="center" vertical="center"/>
    </xf>
    <xf numFmtId="176" fontId="3" fillId="8" borderId="60" xfId="1" applyNumberFormat="1" applyFont="1" applyFill="1" applyBorder="1" applyAlignment="1">
      <alignment horizontal="center" vertical="center"/>
    </xf>
    <xf numFmtId="176" fontId="0" fillId="2" borderId="61" xfId="1" applyNumberFormat="1" applyFont="1" applyFill="1" applyBorder="1" applyAlignment="1">
      <alignment horizontal="center" vertical="center"/>
    </xf>
    <xf numFmtId="176" fontId="0" fillId="2" borderId="62" xfId="1" applyNumberFormat="1" applyFont="1" applyFill="1" applyBorder="1" applyAlignment="1">
      <alignment horizontal="center" vertical="center"/>
    </xf>
    <xf numFmtId="176" fontId="0" fillId="2" borderId="16" xfId="0" applyNumberFormat="1" applyFill="1" applyBorder="1" applyAlignment="1">
      <alignment horizontal="center" vertical="center"/>
    </xf>
    <xf numFmtId="176" fontId="0" fillId="2" borderId="22" xfId="0" applyNumberFormat="1" applyFill="1" applyBorder="1" applyAlignment="1">
      <alignment horizontal="center" vertical="center"/>
    </xf>
    <xf numFmtId="176" fontId="0" fillId="2" borderId="14" xfId="0" applyNumberFormat="1" applyFill="1" applyBorder="1" applyAlignment="1">
      <alignment horizontal="center" vertical="center"/>
    </xf>
    <xf numFmtId="176" fontId="0" fillId="2" borderId="23" xfId="0" applyNumberFormat="1" applyFill="1" applyBorder="1" applyAlignment="1">
      <alignment horizontal="center" vertical="center"/>
    </xf>
    <xf numFmtId="176" fontId="0" fillId="2" borderId="13" xfId="1" applyNumberFormat="1" applyFont="1" applyFill="1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176" fontId="0" fillId="0" borderId="17" xfId="0" applyNumberFormat="1" applyBorder="1" applyAlignment="1">
      <alignment horizontal="center" vertical="center"/>
    </xf>
    <xf numFmtId="176" fontId="0" fillId="0" borderId="22" xfId="0" applyNumberFormat="1" applyBorder="1" applyAlignment="1">
      <alignment horizontal="center" vertical="center"/>
    </xf>
    <xf numFmtId="176" fontId="3" fillId="5" borderId="14" xfId="0" applyNumberFormat="1" applyFont="1" applyFill="1" applyBorder="1" applyAlignment="1">
      <alignment horizontal="center" vertical="center"/>
    </xf>
    <xf numFmtId="176" fontId="3" fillId="0" borderId="19" xfId="0" applyNumberFormat="1" applyFont="1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176" fontId="3" fillId="0" borderId="8" xfId="1" applyNumberFormat="1" applyFont="1" applyBorder="1" applyAlignment="1">
      <alignment horizontal="center" vertical="center"/>
    </xf>
    <xf numFmtId="176" fontId="3" fillId="0" borderId="10" xfId="1" applyNumberFormat="1" applyFont="1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 wrapText="1"/>
    </xf>
    <xf numFmtId="176" fontId="3" fillId="3" borderId="14" xfId="0" applyNumberFormat="1" applyFont="1" applyFill="1" applyBorder="1" applyAlignment="1">
      <alignment horizontal="center" vertical="center"/>
    </xf>
    <xf numFmtId="176" fontId="3" fillId="3" borderId="2" xfId="0" applyNumberFormat="1" applyFont="1" applyFill="1" applyBorder="1" applyAlignment="1">
      <alignment horizontal="center" vertical="center"/>
    </xf>
    <xf numFmtId="176" fontId="3" fillId="3" borderId="3" xfId="0" applyNumberFormat="1" applyFont="1" applyFill="1" applyBorder="1" applyAlignment="1">
      <alignment horizontal="center" vertical="center"/>
    </xf>
    <xf numFmtId="176" fontId="3" fillId="8" borderId="44" xfId="1" applyNumberFormat="1" applyFont="1" applyFill="1" applyBorder="1" applyAlignment="1">
      <alignment horizontal="center" vertical="center"/>
    </xf>
    <xf numFmtId="176" fontId="3" fillId="8" borderId="48" xfId="1" applyNumberFormat="1" applyFont="1" applyFill="1" applyBorder="1" applyAlignment="1">
      <alignment horizontal="center" vertical="center"/>
    </xf>
    <xf numFmtId="176" fontId="0" fillId="4" borderId="11" xfId="1" applyNumberFormat="1" applyFont="1" applyFill="1" applyBorder="1" applyAlignment="1">
      <alignment horizontal="center" vertical="center"/>
    </xf>
    <xf numFmtId="176" fontId="0" fillId="4" borderId="13" xfId="1" applyNumberFormat="1" applyFont="1" applyFill="1" applyBorder="1" applyAlignment="1">
      <alignment horizontal="center" vertical="center"/>
    </xf>
    <xf numFmtId="176" fontId="3" fillId="2" borderId="1" xfId="1" applyNumberFormat="1" applyFont="1" applyFill="1" applyBorder="1" applyAlignment="1">
      <alignment horizontal="center" vertical="center"/>
    </xf>
    <xf numFmtId="176" fontId="3" fillId="2" borderId="3" xfId="1" applyNumberFormat="1" applyFont="1" applyFill="1" applyBorder="1" applyAlignment="1">
      <alignment horizontal="center" vertical="center"/>
    </xf>
    <xf numFmtId="176" fontId="0" fillId="2" borderId="11" xfId="1" applyNumberFormat="1" applyFont="1" applyFill="1" applyBorder="1" applyAlignment="1">
      <alignment horizontal="center" vertical="center"/>
    </xf>
    <xf numFmtId="176" fontId="0" fillId="0" borderId="33" xfId="0" applyNumberFormat="1" applyBorder="1" applyAlignment="1">
      <alignment horizontal="center" vertical="center"/>
    </xf>
    <xf numFmtId="176" fontId="3" fillId="5" borderId="27" xfId="0" applyNumberFormat="1" applyFont="1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76" fontId="0" fillId="2" borderId="11" xfId="0" applyNumberFormat="1" applyFill="1" applyBorder="1" applyAlignment="1">
      <alignment horizontal="center" vertical="center"/>
    </xf>
    <xf numFmtId="176" fontId="0" fillId="2" borderId="2" xfId="0" applyNumberFormat="1" applyFill="1" applyBorder="1" applyAlignment="1">
      <alignment horizontal="center" vertical="center"/>
    </xf>
    <xf numFmtId="176" fontId="0" fillId="2" borderId="12" xfId="0" applyNumberFormat="1" applyFill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18" xfId="0" applyNumberFormat="1" applyBorder="1" applyAlignment="1">
      <alignment horizontal="center" vertical="center"/>
    </xf>
    <xf numFmtId="176" fontId="0" fillId="0" borderId="20" xfId="0" applyNumberFormat="1" applyBorder="1" applyAlignment="1">
      <alignment horizontal="center" vertical="center"/>
    </xf>
    <xf numFmtId="176" fontId="3" fillId="6" borderId="15" xfId="0" applyNumberFormat="1" applyFont="1" applyFill="1" applyBorder="1" applyAlignment="1">
      <alignment horizontal="center" vertical="center"/>
    </xf>
    <xf numFmtId="176" fontId="3" fillId="6" borderId="34" xfId="0" applyNumberFormat="1" applyFont="1" applyFill="1" applyBorder="1" applyAlignment="1">
      <alignment horizontal="center" vertical="center"/>
    </xf>
    <xf numFmtId="176" fontId="3" fillId="6" borderId="21" xfId="0" applyNumberFormat="1" applyFont="1" applyFill="1" applyBorder="1" applyAlignment="1">
      <alignment horizontal="center" vertical="center"/>
    </xf>
    <xf numFmtId="176" fontId="0" fillId="4" borderId="8" xfId="1" applyNumberFormat="1" applyFont="1" applyFill="1" applyBorder="1" applyAlignment="1">
      <alignment horizontal="center" vertical="center"/>
    </xf>
    <xf numFmtId="176" fontId="0" fillId="4" borderId="10" xfId="1" applyNumberFormat="1" applyFont="1" applyFill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AF9BB-5A23-48AE-975D-6CDA144A4178}">
  <sheetPr>
    <pageSetUpPr fitToPage="1"/>
  </sheetPr>
  <dimension ref="B1:CA105"/>
  <sheetViews>
    <sheetView tabSelected="1" zoomScaleNormal="100" workbookViewId="0">
      <pane xSplit="14" ySplit="3" topLeftCell="BD4" activePane="bottomRight" state="frozen"/>
      <selection pane="topRight" activeCell="N1" sqref="N1"/>
      <selection pane="bottomLeft" activeCell="A4" sqref="A4"/>
      <selection pane="bottomRight" activeCell="BK14" sqref="BK14"/>
    </sheetView>
  </sheetViews>
  <sheetFormatPr defaultRowHeight="16.5" x14ac:dyDescent="0.3"/>
  <cols>
    <col min="1" max="1" width="3" customWidth="1"/>
    <col min="2" max="2" width="4.375" customWidth="1"/>
    <col min="3" max="3" width="4.5" customWidth="1"/>
    <col min="4" max="4" width="6" customWidth="1"/>
    <col min="5" max="5" width="8.625" customWidth="1"/>
    <col min="6" max="6" width="9" customWidth="1"/>
    <col min="7" max="7" width="8.125" style="37" customWidth="1"/>
    <col min="8" max="8" width="9.125" style="37" customWidth="1"/>
    <col min="9" max="9" width="9" style="30" customWidth="1"/>
    <col min="13" max="13" width="8.75" customWidth="1"/>
    <col min="14" max="14" width="9" customWidth="1"/>
    <col min="15" max="15" width="7.375" bestFit="1" customWidth="1"/>
    <col min="16" max="16" width="6.75" bestFit="1" customWidth="1"/>
    <col min="17" max="17" width="7.375" bestFit="1" customWidth="1"/>
    <col min="18" max="18" width="7.125" bestFit="1" customWidth="1"/>
    <col min="19" max="19" width="9" bestFit="1" customWidth="1"/>
    <col min="20" max="20" width="7.375" bestFit="1" customWidth="1"/>
    <col min="21" max="21" width="6.75" bestFit="1" customWidth="1"/>
    <col min="22" max="22" width="7.375" bestFit="1" customWidth="1"/>
    <col min="23" max="23" width="7.125" bestFit="1" customWidth="1"/>
    <col min="24" max="24" width="9" bestFit="1" customWidth="1"/>
    <col min="25" max="25" width="7.375" bestFit="1" customWidth="1"/>
    <col min="26" max="26" width="6.75" bestFit="1" customWidth="1"/>
    <col min="27" max="27" width="7.375" bestFit="1" customWidth="1"/>
    <col min="28" max="28" width="7.5" bestFit="1" customWidth="1"/>
    <col min="29" max="29" width="9" bestFit="1" customWidth="1"/>
    <col min="30" max="30" width="7.375" bestFit="1" customWidth="1"/>
    <col min="31" max="31" width="6.75" bestFit="1" customWidth="1"/>
    <col min="32" max="32" width="7.375" bestFit="1" customWidth="1"/>
    <col min="33" max="33" width="8.75" bestFit="1" customWidth="1"/>
    <col min="34" max="34" width="9" bestFit="1" customWidth="1"/>
    <col min="35" max="35" width="7.375" bestFit="1" customWidth="1"/>
    <col min="36" max="36" width="6.75" bestFit="1" customWidth="1"/>
    <col min="37" max="37" width="7.375" bestFit="1" customWidth="1"/>
    <col min="38" max="38" width="8.75" bestFit="1" customWidth="1"/>
    <col min="39" max="39" width="9" bestFit="1" customWidth="1"/>
    <col min="40" max="40" width="7.375" bestFit="1" customWidth="1"/>
    <col min="41" max="41" width="6.75" bestFit="1" customWidth="1"/>
    <col min="42" max="42" width="7.375" bestFit="1" customWidth="1"/>
    <col min="43" max="43" width="8.75" bestFit="1" customWidth="1"/>
    <col min="44" max="44" width="9" bestFit="1" customWidth="1"/>
    <col min="45" max="45" width="7.375" bestFit="1" customWidth="1"/>
    <col min="46" max="46" width="5.875" bestFit="1" customWidth="1"/>
    <col min="47" max="47" width="7.375" bestFit="1" customWidth="1"/>
    <col min="48" max="48" width="8.75" bestFit="1" customWidth="1"/>
    <col min="49" max="49" width="9" bestFit="1" customWidth="1"/>
    <col min="50" max="50" width="7.375" bestFit="1" customWidth="1"/>
    <col min="51" max="51" width="6.75" bestFit="1" customWidth="1"/>
    <col min="52" max="52" width="7.375" bestFit="1" customWidth="1"/>
    <col min="53" max="53" width="8.75" bestFit="1" customWidth="1"/>
    <col min="54" max="54" width="9" bestFit="1" customWidth="1"/>
    <col min="55" max="55" width="7.375" bestFit="1" customWidth="1"/>
    <col min="56" max="56" width="6.75" bestFit="1" customWidth="1"/>
    <col min="57" max="57" width="7.375" bestFit="1" customWidth="1"/>
    <col min="58" max="58" width="8.75" bestFit="1" customWidth="1"/>
    <col min="59" max="59" width="9" bestFit="1" customWidth="1"/>
    <col min="60" max="60" width="7.375" bestFit="1" customWidth="1"/>
    <col min="61" max="61" width="6.75" bestFit="1" customWidth="1"/>
    <col min="62" max="62" width="7.375" bestFit="1" customWidth="1"/>
    <col min="63" max="63" width="8.75" bestFit="1" customWidth="1"/>
    <col min="64" max="64" width="9" bestFit="1" customWidth="1"/>
    <col min="65" max="65" width="7.375" hidden="1" customWidth="1"/>
    <col min="66" max="66" width="6.75" hidden="1" customWidth="1"/>
    <col min="67" max="67" width="7.375" hidden="1" customWidth="1"/>
    <col min="68" max="68" width="8.75" hidden="1" customWidth="1"/>
    <col min="69" max="69" width="9" hidden="1" customWidth="1"/>
    <col min="70" max="70" width="7.375" hidden="1" customWidth="1"/>
    <col min="71" max="71" width="6.75" hidden="1" customWidth="1"/>
    <col min="72" max="72" width="7.375" hidden="1" customWidth="1"/>
    <col min="73" max="73" width="8.75" hidden="1" customWidth="1"/>
    <col min="74" max="74" width="9" hidden="1" customWidth="1"/>
    <col min="75" max="75" width="5.875" bestFit="1" customWidth="1"/>
    <col min="76" max="76" width="5.25" style="37" bestFit="1" customWidth="1"/>
    <col min="77" max="77" width="8.875" style="37" customWidth="1"/>
    <col min="78" max="78" width="10.875" style="150" bestFit="1" customWidth="1"/>
  </cols>
  <sheetData>
    <row r="1" spans="2:79" ht="17.25" thickBot="1" x14ac:dyDescent="0.35">
      <c r="BW1">
        <v>10</v>
      </c>
      <c r="BZ1" s="30">
        <f>BW1/12</f>
        <v>0.83333333333333337</v>
      </c>
    </row>
    <row r="2" spans="2:79" x14ac:dyDescent="0.3">
      <c r="B2" s="331" t="s">
        <v>2</v>
      </c>
      <c r="C2" s="332"/>
      <c r="D2" s="332"/>
      <c r="E2" s="333"/>
      <c r="F2" s="329" t="s">
        <v>3</v>
      </c>
      <c r="G2" s="327" t="s">
        <v>74</v>
      </c>
      <c r="H2" s="327" t="s">
        <v>76</v>
      </c>
      <c r="I2" s="339" t="s">
        <v>5</v>
      </c>
      <c r="J2" s="326" t="s">
        <v>6</v>
      </c>
      <c r="K2" s="327"/>
      <c r="L2" s="327"/>
      <c r="M2" s="327"/>
      <c r="N2" s="328"/>
      <c r="O2" s="326" t="s">
        <v>7</v>
      </c>
      <c r="P2" s="327"/>
      <c r="Q2" s="327"/>
      <c r="R2" s="327"/>
      <c r="S2" s="328"/>
      <c r="T2" s="329" t="s">
        <v>58</v>
      </c>
      <c r="U2" s="327"/>
      <c r="V2" s="327"/>
      <c r="W2" s="327"/>
      <c r="X2" s="330"/>
      <c r="Y2" s="326" t="s">
        <v>59</v>
      </c>
      <c r="Z2" s="327"/>
      <c r="AA2" s="327"/>
      <c r="AB2" s="327"/>
      <c r="AC2" s="328"/>
      <c r="AD2" s="329" t="s">
        <v>60</v>
      </c>
      <c r="AE2" s="327"/>
      <c r="AF2" s="327"/>
      <c r="AG2" s="327"/>
      <c r="AH2" s="330"/>
      <c r="AI2" s="326" t="s">
        <v>61</v>
      </c>
      <c r="AJ2" s="327"/>
      <c r="AK2" s="327"/>
      <c r="AL2" s="327"/>
      <c r="AM2" s="328"/>
      <c r="AN2" s="329" t="s">
        <v>62</v>
      </c>
      <c r="AO2" s="327"/>
      <c r="AP2" s="327"/>
      <c r="AQ2" s="327"/>
      <c r="AR2" s="330"/>
      <c r="AS2" s="326" t="s">
        <v>63</v>
      </c>
      <c r="AT2" s="327"/>
      <c r="AU2" s="327"/>
      <c r="AV2" s="327"/>
      <c r="AW2" s="328"/>
      <c r="AX2" s="329" t="s">
        <v>64</v>
      </c>
      <c r="AY2" s="327"/>
      <c r="AZ2" s="327"/>
      <c r="BA2" s="327"/>
      <c r="BB2" s="330"/>
      <c r="BC2" s="326" t="s">
        <v>65</v>
      </c>
      <c r="BD2" s="327"/>
      <c r="BE2" s="327"/>
      <c r="BF2" s="327"/>
      <c r="BG2" s="328"/>
      <c r="BH2" s="329" t="s">
        <v>66</v>
      </c>
      <c r="BI2" s="327"/>
      <c r="BJ2" s="327"/>
      <c r="BK2" s="327"/>
      <c r="BL2" s="330"/>
      <c r="BM2" s="326" t="s">
        <v>67</v>
      </c>
      <c r="BN2" s="327"/>
      <c r="BO2" s="327"/>
      <c r="BP2" s="327"/>
      <c r="BQ2" s="328"/>
      <c r="BR2" s="329" t="s">
        <v>68</v>
      </c>
      <c r="BS2" s="327"/>
      <c r="BT2" s="327"/>
      <c r="BU2" s="327"/>
      <c r="BV2" s="328"/>
    </row>
    <row r="3" spans="2:79" ht="17.25" thickBot="1" x14ac:dyDescent="0.35">
      <c r="B3" s="334"/>
      <c r="C3" s="335"/>
      <c r="D3" s="335"/>
      <c r="E3" s="336"/>
      <c r="F3" s="337"/>
      <c r="G3" s="338"/>
      <c r="H3" s="338"/>
      <c r="I3" s="340"/>
      <c r="J3" s="104" t="s">
        <v>10</v>
      </c>
      <c r="K3" s="97" t="s">
        <v>9</v>
      </c>
      <c r="L3" s="97" t="s">
        <v>75</v>
      </c>
      <c r="M3" s="98" t="s">
        <v>11</v>
      </c>
      <c r="N3" s="99" t="s">
        <v>12</v>
      </c>
      <c r="O3" s="111" t="str">
        <f>J3</f>
        <v>2024년</v>
      </c>
      <c r="P3" s="111" t="str">
        <f t="shared" ref="P3:S3" si="0">K3</f>
        <v>목표</v>
      </c>
      <c r="Q3" s="111" t="str">
        <f t="shared" si="0"/>
        <v>2025년</v>
      </c>
      <c r="R3" s="111" t="str">
        <f t="shared" si="0"/>
        <v>달성율</v>
      </c>
      <c r="S3" s="111" t="str">
        <f t="shared" si="0"/>
        <v>전년대비</v>
      </c>
      <c r="T3" s="111" t="str">
        <f>O3</f>
        <v>2024년</v>
      </c>
      <c r="U3" s="111" t="str">
        <f t="shared" ref="U3" si="1">P3</f>
        <v>목표</v>
      </c>
      <c r="V3" s="111" t="str">
        <f t="shared" ref="V3" si="2">Q3</f>
        <v>2025년</v>
      </c>
      <c r="W3" s="111" t="str">
        <f t="shared" ref="W3" si="3">R3</f>
        <v>달성율</v>
      </c>
      <c r="X3" s="111" t="str">
        <f t="shared" ref="X3" si="4">S3</f>
        <v>전년대비</v>
      </c>
      <c r="Y3" s="111" t="str">
        <f t="shared" ref="Y3:BV3" si="5">T3</f>
        <v>2024년</v>
      </c>
      <c r="Z3" s="97" t="str">
        <f t="shared" si="5"/>
        <v>목표</v>
      </c>
      <c r="AA3" s="97" t="str">
        <f t="shared" si="5"/>
        <v>2025년</v>
      </c>
      <c r="AB3" s="98" t="str">
        <f t="shared" si="5"/>
        <v>달성율</v>
      </c>
      <c r="AC3" s="99" t="str">
        <f t="shared" si="5"/>
        <v>전년대비</v>
      </c>
      <c r="AD3" s="103" t="str">
        <f t="shared" si="5"/>
        <v>2024년</v>
      </c>
      <c r="AE3" s="97" t="str">
        <f t="shared" si="5"/>
        <v>목표</v>
      </c>
      <c r="AF3" s="97" t="str">
        <f t="shared" si="5"/>
        <v>2025년</v>
      </c>
      <c r="AG3" s="98" t="str">
        <f t="shared" si="5"/>
        <v>달성율</v>
      </c>
      <c r="AH3" s="109" t="str">
        <f t="shared" si="5"/>
        <v>전년대비</v>
      </c>
      <c r="AI3" s="111" t="str">
        <f>AD3</f>
        <v>2024년</v>
      </c>
      <c r="AJ3" s="97" t="str">
        <f t="shared" si="5"/>
        <v>목표</v>
      </c>
      <c r="AK3" s="97" t="str">
        <f t="shared" si="5"/>
        <v>2025년</v>
      </c>
      <c r="AL3" s="98" t="str">
        <f t="shared" si="5"/>
        <v>달성율</v>
      </c>
      <c r="AM3" s="99" t="str">
        <f t="shared" si="5"/>
        <v>전년대비</v>
      </c>
      <c r="AN3" s="103" t="str">
        <f t="shared" si="5"/>
        <v>2024년</v>
      </c>
      <c r="AO3" s="97" t="str">
        <f t="shared" si="5"/>
        <v>목표</v>
      </c>
      <c r="AP3" s="97" t="str">
        <f t="shared" si="5"/>
        <v>2025년</v>
      </c>
      <c r="AQ3" s="98" t="str">
        <f t="shared" si="5"/>
        <v>달성율</v>
      </c>
      <c r="AR3" s="109" t="str">
        <f t="shared" si="5"/>
        <v>전년대비</v>
      </c>
      <c r="AS3" s="111" t="str">
        <f t="shared" si="5"/>
        <v>2024년</v>
      </c>
      <c r="AT3" s="97" t="str">
        <f t="shared" si="5"/>
        <v>목표</v>
      </c>
      <c r="AU3" s="97" t="str">
        <f t="shared" si="5"/>
        <v>2025년</v>
      </c>
      <c r="AV3" s="98" t="str">
        <f t="shared" si="5"/>
        <v>달성율</v>
      </c>
      <c r="AW3" s="99" t="str">
        <f t="shared" si="5"/>
        <v>전년대비</v>
      </c>
      <c r="AX3" s="103" t="str">
        <f t="shared" si="5"/>
        <v>2024년</v>
      </c>
      <c r="AY3" s="97" t="str">
        <f t="shared" si="5"/>
        <v>목표</v>
      </c>
      <c r="AZ3" s="97" t="str">
        <f t="shared" si="5"/>
        <v>2025년</v>
      </c>
      <c r="BA3" s="98" t="str">
        <f t="shared" si="5"/>
        <v>달성율</v>
      </c>
      <c r="BB3" s="109" t="str">
        <f t="shared" si="5"/>
        <v>전년대비</v>
      </c>
      <c r="BC3" s="111" t="str">
        <f t="shared" si="5"/>
        <v>2024년</v>
      </c>
      <c r="BD3" s="97" t="str">
        <f t="shared" si="5"/>
        <v>목표</v>
      </c>
      <c r="BE3" s="97" t="str">
        <f t="shared" si="5"/>
        <v>2025년</v>
      </c>
      <c r="BF3" s="98" t="str">
        <f t="shared" si="5"/>
        <v>달성율</v>
      </c>
      <c r="BG3" s="99" t="str">
        <f t="shared" si="5"/>
        <v>전년대비</v>
      </c>
      <c r="BH3" s="103" t="str">
        <f t="shared" si="5"/>
        <v>2024년</v>
      </c>
      <c r="BI3" s="97" t="str">
        <f t="shared" si="5"/>
        <v>목표</v>
      </c>
      <c r="BJ3" s="97" t="str">
        <f t="shared" si="5"/>
        <v>2025년</v>
      </c>
      <c r="BK3" s="98" t="str">
        <f t="shared" si="5"/>
        <v>달성율</v>
      </c>
      <c r="BL3" s="109" t="str">
        <f t="shared" si="5"/>
        <v>전년대비</v>
      </c>
      <c r="BM3" s="111" t="str">
        <f t="shared" si="5"/>
        <v>2024년</v>
      </c>
      <c r="BN3" s="97" t="str">
        <f t="shared" si="5"/>
        <v>목표</v>
      </c>
      <c r="BO3" s="97" t="str">
        <f t="shared" si="5"/>
        <v>2025년</v>
      </c>
      <c r="BP3" s="98" t="str">
        <f t="shared" si="5"/>
        <v>달성율</v>
      </c>
      <c r="BQ3" s="99" t="str">
        <f t="shared" si="5"/>
        <v>전년대비</v>
      </c>
      <c r="BR3" s="103" t="str">
        <f t="shared" si="5"/>
        <v>2024년</v>
      </c>
      <c r="BS3" s="97" t="str">
        <f t="shared" si="5"/>
        <v>목표</v>
      </c>
      <c r="BT3" s="97" t="str">
        <f t="shared" si="5"/>
        <v>2025년</v>
      </c>
      <c r="BU3" s="98" t="str">
        <f t="shared" si="5"/>
        <v>달성율</v>
      </c>
      <c r="BV3" s="99" t="str">
        <f t="shared" si="5"/>
        <v>전년대비</v>
      </c>
    </row>
    <row r="4" spans="2:79" ht="16.5" customHeight="1" x14ac:dyDescent="0.3">
      <c r="B4" s="288" t="s">
        <v>57</v>
      </c>
      <c r="C4" s="289"/>
      <c r="D4" s="294" t="s">
        <v>13</v>
      </c>
      <c r="E4" s="295"/>
      <c r="F4" s="161">
        <f>'2024년 실적'!G4</f>
        <v>10656512</v>
      </c>
      <c r="G4" s="158">
        <f>'2024년 실적'!L4</f>
        <v>10517294</v>
      </c>
      <c r="H4" s="158">
        <f>H9+H29</f>
        <v>11825000</v>
      </c>
      <c r="I4" s="162">
        <f>H4/G4-1</f>
        <v>0.12433863691554126</v>
      </c>
      <c r="J4" s="163">
        <f>J9+J29</f>
        <v>8489461</v>
      </c>
      <c r="K4" s="158">
        <f t="shared" ref="K4:L4" si="6">K9+K29</f>
        <v>9654680</v>
      </c>
      <c r="L4" s="158">
        <f t="shared" si="6"/>
        <v>8826715</v>
      </c>
      <c r="M4" s="159">
        <f>L4/K4-1</f>
        <v>-8.5757891509609885E-2</v>
      </c>
      <c r="N4" s="160">
        <f>L4/J4-1</f>
        <v>3.9726196987064366E-2</v>
      </c>
      <c r="O4" s="163">
        <f>O9+O29</f>
        <v>750995</v>
      </c>
      <c r="P4" s="158">
        <f>P9+P29</f>
        <v>909418</v>
      </c>
      <c r="Q4" s="158">
        <f>Q9+Q29</f>
        <v>729749</v>
      </c>
      <c r="R4" s="159">
        <f>Q4/P4-1</f>
        <v>-0.19756481617913879</v>
      </c>
      <c r="S4" s="160">
        <f>Q4/O4-1</f>
        <v>-2.8290467979147693E-2</v>
      </c>
      <c r="T4" s="163">
        <f>T9+T29</f>
        <v>731815</v>
      </c>
      <c r="U4" s="158">
        <f>U9+U29</f>
        <v>966418</v>
      </c>
      <c r="V4" s="158">
        <f>V9+V29</f>
        <v>885251</v>
      </c>
      <c r="W4" s="159">
        <f>V4/U4-1</f>
        <v>-8.3987467120852477E-2</v>
      </c>
      <c r="X4" s="162">
        <f>V4/T4-1</f>
        <v>0.20966501096588619</v>
      </c>
      <c r="Y4" s="163">
        <f>Y9+Y29</f>
        <v>940726</v>
      </c>
      <c r="Z4" s="158">
        <f>Z9+Z29</f>
        <v>1023418</v>
      </c>
      <c r="AA4" s="158">
        <f>AA9+AA29</f>
        <v>833839</v>
      </c>
      <c r="AB4" s="159">
        <f>AA4/Z4-1</f>
        <v>-0.18524102566106904</v>
      </c>
      <c r="AC4" s="160">
        <f>AA4/Y4-1</f>
        <v>-0.11362181974347474</v>
      </c>
      <c r="AD4" s="163">
        <f>AD9+AD29</f>
        <v>899518</v>
      </c>
      <c r="AE4" s="158">
        <f>AE9+AE29</f>
        <v>966418</v>
      </c>
      <c r="AF4" s="158">
        <f>AF9+AF29</f>
        <v>986877</v>
      </c>
      <c r="AG4" s="159">
        <f>AF4/AE4-1</f>
        <v>2.1169928540238248E-2</v>
      </c>
      <c r="AH4" s="162">
        <f>AF4/AD4-1</f>
        <v>9.7117567408323113E-2</v>
      </c>
      <c r="AI4" s="163">
        <f>AI9+AI29</f>
        <v>888999</v>
      </c>
      <c r="AJ4" s="158">
        <f>AJ9+AJ29</f>
        <v>966418</v>
      </c>
      <c r="AK4" s="158">
        <f>AK9+AK29</f>
        <v>949364</v>
      </c>
      <c r="AL4" s="159">
        <f>AK4/AJ4-1</f>
        <v>-1.7646608403403041E-2</v>
      </c>
      <c r="AM4" s="160">
        <f>AK4/AI4-1</f>
        <v>6.7902213613288742E-2</v>
      </c>
      <c r="AN4" s="163">
        <f>AN9+AN29</f>
        <v>810468</v>
      </c>
      <c r="AO4" s="158">
        <f>AO9+AO29</f>
        <v>966418</v>
      </c>
      <c r="AP4" s="158">
        <f>AP9+AP29</f>
        <v>967394</v>
      </c>
      <c r="AQ4" s="159">
        <f>AP4/AO4-1</f>
        <v>1.0099149643321148E-3</v>
      </c>
      <c r="AR4" s="162">
        <f>AP4/AN4-1</f>
        <v>0.19362393086463614</v>
      </c>
      <c r="AS4" s="163">
        <f>AS9+AS29</f>
        <v>917440</v>
      </c>
      <c r="AT4" s="158">
        <f>AT9+AT29</f>
        <v>966418</v>
      </c>
      <c r="AU4" s="158">
        <f>AU9+AU29</f>
        <v>851003</v>
      </c>
      <c r="AV4" s="159">
        <f>AU4/AT4-1</f>
        <v>-0.11942554877909972</v>
      </c>
      <c r="AW4" s="160">
        <f>AU4/AS4-1</f>
        <v>-7.2415634809905871E-2</v>
      </c>
      <c r="AX4" s="163">
        <f>AX9+AX29</f>
        <v>839998</v>
      </c>
      <c r="AY4" s="158">
        <f>AY9+AY29</f>
        <v>966418</v>
      </c>
      <c r="AZ4" s="158">
        <f>AZ9+AZ29</f>
        <v>879550</v>
      </c>
      <c r="BA4" s="159">
        <f>AZ4/AY4-1</f>
        <v>-8.9886570821321676E-2</v>
      </c>
      <c r="BB4" s="162">
        <f>AZ4/AX4-1</f>
        <v>4.7085826394824837E-2</v>
      </c>
      <c r="BC4" s="163">
        <f>BC9+BC29</f>
        <v>762755</v>
      </c>
      <c r="BD4" s="158">
        <f>BD9+BD29</f>
        <v>966418</v>
      </c>
      <c r="BE4" s="158">
        <f>BE9+BE29</f>
        <v>981485</v>
      </c>
      <c r="BF4" s="159">
        <f>BE4/BD4-1</f>
        <v>1.5590562261878382E-2</v>
      </c>
      <c r="BG4" s="160">
        <f>BE4/BC4-1</f>
        <v>0.28676311528603549</v>
      </c>
      <c r="BH4" s="163">
        <f>BH9+BH29</f>
        <v>1032921</v>
      </c>
      <c r="BI4" s="158">
        <f>BI9+BI29</f>
        <v>1051918</v>
      </c>
      <c r="BJ4" s="158">
        <f>BJ9+BJ29</f>
        <v>859631</v>
      </c>
      <c r="BK4" s="159">
        <f>BJ4/BI4-1</f>
        <v>-0.18279656779330711</v>
      </c>
      <c r="BL4" s="162">
        <f>BJ4/BH4-1</f>
        <v>-0.1677669444226616</v>
      </c>
      <c r="BM4" s="163">
        <f>BM9+BM29</f>
        <v>970781</v>
      </c>
      <c r="BN4" s="158">
        <f>BN9+BN29</f>
        <v>1051918</v>
      </c>
      <c r="BO4" s="158">
        <f>BO9+BO29</f>
        <v>0</v>
      </c>
      <c r="BP4" s="159">
        <f>BO4/BN4-1</f>
        <v>-1</v>
      </c>
      <c r="BQ4" s="160">
        <f>BO4/BM4-1</f>
        <v>-1</v>
      </c>
      <c r="BR4" s="163">
        <f>BR9+BR29</f>
        <v>970878</v>
      </c>
      <c r="BS4" s="158">
        <f>BS9+BS29</f>
        <v>1023418</v>
      </c>
      <c r="BT4" s="158">
        <f>BT9+BT29</f>
        <v>0</v>
      </c>
      <c r="BU4" s="159">
        <f>BT4/BS4-1</f>
        <v>-1</v>
      </c>
      <c r="BV4" s="160">
        <f>BT4/BR4-1</f>
        <v>-1</v>
      </c>
      <c r="BW4" s="280"/>
      <c r="BX4" s="281">
        <f t="shared" ref="BX4:BX8" si="7">L4-J4</f>
        <v>337254</v>
      </c>
      <c r="BY4" s="281"/>
    </row>
    <row r="5" spans="2:79" x14ac:dyDescent="0.3">
      <c r="B5" s="290"/>
      <c r="C5" s="291"/>
      <c r="D5" s="296" t="s">
        <v>14</v>
      </c>
      <c r="E5" s="297"/>
      <c r="F5" s="84">
        <f>'2024년 실적'!G5</f>
        <v>10654645</v>
      </c>
      <c r="G5" s="62">
        <f>'2024년 실적'!L5</f>
        <v>10432495</v>
      </c>
      <c r="H5" s="62">
        <f>H8+H28</f>
        <v>11825000</v>
      </c>
      <c r="I5" s="75">
        <f t="shared" ref="I5:I43" si="8">H5/G5-1</f>
        <v>0.13347765802907174</v>
      </c>
      <c r="J5" s="3">
        <f>J8+J28</f>
        <v>8551937</v>
      </c>
      <c r="K5" s="62">
        <f t="shared" ref="K5:L5" si="9">K8+K28</f>
        <v>9736680</v>
      </c>
      <c r="L5" s="62">
        <f t="shared" si="9"/>
        <v>8912487</v>
      </c>
      <c r="M5" s="86">
        <f t="shared" ref="M5:M43" si="10">L5/K5-1</f>
        <v>-8.4648257927753656E-2</v>
      </c>
      <c r="N5" s="4">
        <f t="shared" ref="N5:N43" si="11">L5/J5-1</f>
        <v>4.2160039298699159E-2</v>
      </c>
      <c r="O5" s="3">
        <f>O8+O28</f>
        <v>638533</v>
      </c>
      <c r="P5" s="62">
        <f>P8+P28</f>
        <v>909418</v>
      </c>
      <c r="Q5" s="62">
        <f>Q8+Q28</f>
        <v>664936</v>
      </c>
      <c r="R5" s="86">
        <f t="shared" ref="R5:R43" si="12">Q5/P5-1</f>
        <v>-0.26883347371615696</v>
      </c>
      <c r="S5" s="4">
        <f t="shared" ref="S5:S43" si="13">Q5/O5-1</f>
        <v>4.1349468234218145E-2</v>
      </c>
      <c r="T5" s="3">
        <f>T8+T28</f>
        <v>719427</v>
      </c>
      <c r="U5" s="62">
        <f>U8+U28</f>
        <v>966418</v>
      </c>
      <c r="V5" s="62">
        <f>V8+V28</f>
        <v>950172</v>
      </c>
      <c r="W5" s="86">
        <f t="shared" ref="W5:W43" si="14">V5/U5-1</f>
        <v>-1.6810531260800232E-2</v>
      </c>
      <c r="X5" s="75">
        <f t="shared" ref="X5:X43" si="15">V5/T5-1</f>
        <v>0.32073441780750511</v>
      </c>
      <c r="Y5" s="3">
        <f>Y8+Y28</f>
        <v>924619</v>
      </c>
      <c r="Z5" s="62">
        <f>Z8+Z28</f>
        <v>1023418</v>
      </c>
      <c r="AA5" s="62">
        <f>AA8+AA28</f>
        <v>879459</v>
      </c>
      <c r="AB5" s="86">
        <f t="shared" ref="AB5:AB43" si="16">AA5/Z5-1</f>
        <v>-0.14066490915735308</v>
      </c>
      <c r="AC5" s="4">
        <f t="shared" ref="AC5:AC43" si="17">AA5/Y5-1</f>
        <v>-4.8841739137958418E-2</v>
      </c>
      <c r="AD5" s="3">
        <f>AD8+AD28</f>
        <v>938664</v>
      </c>
      <c r="AE5" s="62">
        <f>AE8+AE28</f>
        <v>966418</v>
      </c>
      <c r="AF5" s="62">
        <f>AF8+AF28</f>
        <v>994782</v>
      </c>
      <c r="AG5" s="86">
        <f t="shared" ref="AG5:AG43" si="18">AF5/AE5-1</f>
        <v>2.9349618901965746E-2</v>
      </c>
      <c r="AH5" s="75">
        <f t="shared" ref="AH5:AH43" si="19">AF5/AD5-1</f>
        <v>5.9784970980031105E-2</v>
      </c>
      <c r="AI5" s="3">
        <f>AI8+AI28</f>
        <v>978656</v>
      </c>
      <c r="AJ5" s="62">
        <f>AJ8+AJ28</f>
        <v>953418</v>
      </c>
      <c r="AK5" s="62">
        <f>AK8+AK28</f>
        <v>905373</v>
      </c>
      <c r="AL5" s="86">
        <f t="shared" ref="AL5:AL43" si="20">AK5/AJ5-1</f>
        <v>-5.0392377739879035E-2</v>
      </c>
      <c r="AM5" s="4">
        <f t="shared" ref="AM5:AM43" si="21">AK5/AI5-1</f>
        <v>-7.4881265735866287E-2</v>
      </c>
      <c r="AN5" s="3">
        <f>AN8+AN28</f>
        <v>833917</v>
      </c>
      <c r="AO5" s="62">
        <f>AO8+AO28</f>
        <v>966418</v>
      </c>
      <c r="AP5" s="62">
        <f>AP8+AP28</f>
        <v>1019715</v>
      </c>
      <c r="AQ5" s="86">
        <f t="shared" ref="AQ5:AQ43" si="22">AP5/AO5-1</f>
        <v>5.5149014194685986E-2</v>
      </c>
      <c r="AR5" s="75">
        <f t="shared" ref="AR5:AR43" si="23">AP5/AN5-1</f>
        <v>0.22280154979452393</v>
      </c>
      <c r="AS5" s="3">
        <f>AS8+AS28</f>
        <v>825476</v>
      </c>
      <c r="AT5" s="62">
        <f>AT8+AT28</f>
        <v>966418</v>
      </c>
      <c r="AU5" s="62">
        <f>AU8+AU28</f>
        <v>885158</v>
      </c>
      <c r="AV5" s="86">
        <f t="shared" ref="AV5:AV43" si="24">AU5/AT5-1</f>
        <v>-8.4083698772166926E-2</v>
      </c>
      <c r="AW5" s="4">
        <f t="shared" ref="AW5:AW43" si="25">AU5/AS5-1</f>
        <v>7.2300103213176481E-2</v>
      </c>
      <c r="AX5" s="3">
        <f>AX8+AX28</f>
        <v>851637</v>
      </c>
      <c r="AY5" s="62">
        <f>AY8+AY28</f>
        <v>966418</v>
      </c>
      <c r="AZ5" s="62">
        <f>AZ8+AZ28</f>
        <v>828054</v>
      </c>
      <c r="BA5" s="86">
        <f t="shared" ref="BA5:BA43" si="26">AZ5/AY5-1</f>
        <v>-0.14317200217711179</v>
      </c>
      <c r="BB5" s="75">
        <f t="shared" ref="BB5:BB43" si="27">AZ5/AX5-1</f>
        <v>-2.7691375550850883E-2</v>
      </c>
      <c r="BC5" s="3">
        <f>BC8+BC28</f>
        <v>720078</v>
      </c>
      <c r="BD5" s="62">
        <f>BD8+BD28</f>
        <v>966418</v>
      </c>
      <c r="BE5" s="62">
        <f>BE8+BE28</f>
        <v>1060818</v>
      </c>
      <c r="BF5" s="86">
        <f t="shared" ref="BF5:BF43" si="28">BE5/BD5-1</f>
        <v>9.7680299828852624E-2</v>
      </c>
      <c r="BG5" s="4">
        <f t="shared" ref="BG5:BG43" si="29">BE5/BC5-1</f>
        <v>0.47319873680351288</v>
      </c>
      <c r="BH5" s="3">
        <f>BH8+BH28</f>
        <v>1120930</v>
      </c>
      <c r="BI5" s="62">
        <f>BI8+BI28</f>
        <v>1051918</v>
      </c>
      <c r="BJ5" s="62">
        <f>BJ8+BJ28</f>
        <v>724020</v>
      </c>
      <c r="BK5" s="86">
        <f t="shared" ref="BK5:BK43" si="30">BJ5/BI5-1</f>
        <v>-0.31171441119935206</v>
      </c>
      <c r="BL5" s="75">
        <f t="shared" ref="BL5:BL43" si="31">BJ5/BH5-1</f>
        <v>-0.35408990748753266</v>
      </c>
      <c r="BM5" s="3">
        <f>BM8+BM28</f>
        <v>945381</v>
      </c>
      <c r="BN5" s="62">
        <f>BN8+BN28</f>
        <v>1051918</v>
      </c>
      <c r="BO5" s="62">
        <f>BO8+BO28</f>
        <v>0</v>
      </c>
      <c r="BP5" s="86">
        <f t="shared" ref="BP5:BP43" si="32">BO5/BN5-1</f>
        <v>-1</v>
      </c>
      <c r="BQ5" s="4">
        <f t="shared" ref="BQ5:BQ43" si="33">BO5/BM5-1</f>
        <v>-1</v>
      </c>
      <c r="BR5" s="3">
        <f>BR8+BR28</f>
        <v>935177</v>
      </c>
      <c r="BS5" s="62">
        <f>BS8+BS28</f>
        <v>1023418</v>
      </c>
      <c r="BT5" s="62">
        <f>BT8+BT28</f>
        <v>0</v>
      </c>
      <c r="BU5" s="86">
        <f t="shared" ref="BU5:BU43" si="34">BT5/BS5-1</f>
        <v>-1</v>
      </c>
      <c r="BV5" s="4">
        <f t="shared" ref="BV5:BV43" si="35">BT5/BR5-1</f>
        <v>-1</v>
      </c>
      <c r="BX5" s="37">
        <f t="shared" si="7"/>
        <v>360550</v>
      </c>
    </row>
    <row r="6" spans="2:79" ht="17.25" thickBot="1" x14ac:dyDescent="0.35">
      <c r="B6" s="292"/>
      <c r="C6" s="293"/>
      <c r="D6" s="298" t="s">
        <v>15</v>
      </c>
      <c r="E6" s="299"/>
      <c r="F6" s="57">
        <f>'2024년 실적'!G6</f>
        <v>753757</v>
      </c>
      <c r="G6" s="42">
        <f>'2024년 실적'!L6</f>
        <v>668998</v>
      </c>
      <c r="H6" s="42">
        <f>H7+H27</f>
        <v>492708</v>
      </c>
      <c r="I6" s="82">
        <f t="shared" si="8"/>
        <v>-0.26351349331388141</v>
      </c>
      <c r="J6" s="24">
        <f>J7+J27</f>
        <v>740283</v>
      </c>
      <c r="K6" s="42">
        <f>K7+K27</f>
        <v>525959</v>
      </c>
      <c r="L6" s="42">
        <f>L7+L27</f>
        <v>648940</v>
      </c>
      <c r="M6" s="146">
        <f t="shared" si="10"/>
        <v>0.23382240821052602</v>
      </c>
      <c r="N6" s="25">
        <f t="shared" si="11"/>
        <v>-0.12338929841695678</v>
      </c>
      <c r="O6" s="24">
        <f>O7+O27</f>
        <v>639609</v>
      </c>
      <c r="P6" s="42">
        <f>P7+P27</f>
        <v>454709</v>
      </c>
      <c r="Q6" s="42">
        <f>Q7+Q27</f>
        <v>601684</v>
      </c>
      <c r="R6" s="146">
        <f t="shared" si="12"/>
        <v>0.3232287023129079</v>
      </c>
      <c r="S6" s="25">
        <f t="shared" si="13"/>
        <v>-5.9294037451005255E-2</v>
      </c>
      <c r="T6" s="24">
        <f>T7+T27</f>
        <v>563024</v>
      </c>
      <c r="U6" s="42">
        <f>U7+U27</f>
        <v>476709</v>
      </c>
      <c r="V6" s="42">
        <f>V7+V27</f>
        <v>662331</v>
      </c>
      <c r="W6" s="146">
        <f t="shared" si="14"/>
        <v>0.38938220172054661</v>
      </c>
      <c r="X6" s="82">
        <f t="shared" si="15"/>
        <v>0.17638146864076831</v>
      </c>
      <c r="Y6" s="24">
        <f>Y7+Y27</f>
        <v>476578</v>
      </c>
      <c r="Z6" s="42">
        <f>Z7+Z27</f>
        <v>511709</v>
      </c>
      <c r="AA6" s="42">
        <f>AA7+AA27</f>
        <v>705672</v>
      </c>
      <c r="AB6" s="146">
        <f t="shared" si="16"/>
        <v>0.37904942066682423</v>
      </c>
      <c r="AC6" s="25">
        <f t="shared" si="17"/>
        <v>0.48070620129338737</v>
      </c>
      <c r="AD6" s="24">
        <f>AD7+AD27</f>
        <v>483429</v>
      </c>
      <c r="AE6" s="42">
        <f>AE7+AE27</f>
        <v>483209</v>
      </c>
      <c r="AF6" s="42">
        <f>AF7+AF27</f>
        <v>721498</v>
      </c>
      <c r="AG6" s="146">
        <f t="shared" si="18"/>
        <v>0.49313857978638653</v>
      </c>
      <c r="AH6" s="82">
        <f t="shared" si="19"/>
        <v>0.49245907878923267</v>
      </c>
      <c r="AI6" s="24">
        <f>AI7+AI27</f>
        <v>749888</v>
      </c>
      <c r="AJ6" s="42">
        <f>AJ7+AJ27</f>
        <v>476709</v>
      </c>
      <c r="AK6" s="42">
        <f>AK7+AK27</f>
        <v>676501</v>
      </c>
      <c r="AL6" s="146">
        <f t="shared" si="20"/>
        <v>0.41910683456783904</v>
      </c>
      <c r="AM6" s="25">
        <f t="shared" si="21"/>
        <v>-9.7863947682854002E-2</v>
      </c>
      <c r="AN6" s="24">
        <f>AN7+AN27</f>
        <v>771620</v>
      </c>
      <c r="AO6" s="42">
        <f>AO7+AO27</f>
        <v>483209</v>
      </c>
      <c r="AP6" s="42">
        <f>AP7+AP27</f>
        <v>627682</v>
      </c>
      <c r="AQ6" s="146">
        <f t="shared" si="22"/>
        <v>0.29898656688927572</v>
      </c>
      <c r="AR6" s="82">
        <f t="shared" si="23"/>
        <v>-0.18654000673906845</v>
      </c>
      <c r="AS6" s="24">
        <f>AS7+AS27</f>
        <v>449939</v>
      </c>
      <c r="AT6" s="42">
        <f>AT7+AT27</f>
        <v>483209</v>
      </c>
      <c r="AU6" s="42">
        <f>AU7+AU27</f>
        <v>760061</v>
      </c>
      <c r="AV6" s="146">
        <f t="shared" si="24"/>
        <v>0.57294462644528554</v>
      </c>
      <c r="AW6" s="25">
        <f t="shared" si="25"/>
        <v>0.68925343213191126</v>
      </c>
      <c r="AX6" s="24">
        <f>AX7+AX27</f>
        <v>614643</v>
      </c>
      <c r="AY6" s="42">
        <f>AY7+AY27</f>
        <v>483209</v>
      </c>
      <c r="AZ6" s="42">
        <f>AZ7+AZ27</f>
        <v>707639</v>
      </c>
      <c r="BA6" s="146">
        <f t="shared" si="26"/>
        <v>0.46445740869892749</v>
      </c>
      <c r="BB6" s="82">
        <f t="shared" si="27"/>
        <v>0.1513008364204913</v>
      </c>
      <c r="BC6" s="24">
        <f>BC7+BC27</f>
        <v>651732</v>
      </c>
      <c r="BD6" s="42">
        <f>BD7+BD27</f>
        <v>483209</v>
      </c>
      <c r="BE6" s="42">
        <f>BE7+BE27</f>
        <v>785543</v>
      </c>
      <c r="BF6" s="146">
        <f t="shared" si="28"/>
        <v>0.6256795713655996</v>
      </c>
      <c r="BG6" s="25">
        <f t="shared" si="29"/>
        <v>0.20531598878066437</v>
      </c>
      <c r="BH6" s="24">
        <f>BH7+BH27</f>
        <v>740283</v>
      </c>
      <c r="BI6" s="42">
        <f>BI7+BI27</f>
        <v>525959</v>
      </c>
      <c r="BJ6" s="42">
        <f>BJ7+BJ27</f>
        <v>648940</v>
      </c>
      <c r="BK6" s="146">
        <f t="shared" si="30"/>
        <v>0.23382240821052602</v>
      </c>
      <c r="BL6" s="82">
        <f t="shared" si="31"/>
        <v>-0.12338929841695678</v>
      </c>
      <c r="BM6" s="24">
        <f>BM7+BM27</f>
        <v>705251</v>
      </c>
      <c r="BN6" s="42">
        <f>BN7+BN27</f>
        <v>525959</v>
      </c>
      <c r="BO6" s="42">
        <f>BO7+BO27</f>
        <v>0</v>
      </c>
      <c r="BP6" s="146">
        <f t="shared" si="32"/>
        <v>-1</v>
      </c>
      <c r="BQ6" s="25">
        <f t="shared" si="33"/>
        <v>-1</v>
      </c>
      <c r="BR6" s="24">
        <f>BR7+BR27</f>
        <v>668998</v>
      </c>
      <c r="BS6" s="42">
        <f>BS7+BS27</f>
        <v>511709</v>
      </c>
      <c r="BT6" s="42">
        <f>BT7+BT27</f>
        <v>0</v>
      </c>
      <c r="BU6" s="146">
        <f t="shared" si="34"/>
        <v>-1</v>
      </c>
      <c r="BV6" s="25">
        <f t="shared" si="35"/>
        <v>-1</v>
      </c>
      <c r="BX6" s="37">
        <f>L6-G6</f>
        <v>-20058</v>
      </c>
    </row>
    <row r="7" spans="2:79" ht="17.25" thickBot="1" x14ac:dyDescent="0.35">
      <c r="B7" s="300" t="s">
        <v>16</v>
      </c>
      <c r="C7" s="300" t="s">
        <v>17</v>
      </c>
      <c r="D7" s="303" t="s">
        <v>15</v>
      </c>
      <c r="E7" s="304"/>
      <c r="F7" s="52">
        <f>'2024년 실적'!G7</f>
        <v>343119</v>
      </c>
      <c r="G7" s="38">
        <f>'2024년 실적'!L7</f>
        <v>309009</v>
      </c>
      <c r="H7" s="38">
        <f>ROUND(H8/24,0)</f>
        <v>237500</v>
      </c>
      <c r="I7" s="77">
        <f t="shared" si="8"/>
        <v>-0.23141397176134026</v>
      </c>
      <c r="J7" s="8">
        <f>BH7</f>
        <v>356671</v>
      </c>
      <c r="K7" s="8">
        <f t="shared" ref="K7:L7" si="36">BI7</f>
        <v>270750</v>
      </c>
      <c r="L7" s="8">
        <f t="shared" si="36"/>
        <v>332935</v>
      </c>
      <c r="M7" s="115">
        <f t="shared" si="10"/>
        <v>0.22967682363804243</v>
      </c>
      <c r="N7" s="10">
        <f t="shared" si="11"/>
        <v>-6.6548724174379181E-2</v>
      </c>
      <c r="O7" s="8">
        <f>'2024년 실적'!Q7</f>
        <v>309841</v>
      </c>
      <c r="P7" s="38">
        <f>ROUND(P9/2,2)</f>
        <v>199500</v>
      </c>
      <c r="Q7" s="38">
        <f>169559+129032</f>
        <v>298591</v>
      </c>
      <c r="R7" s="115">
        <f t="shared" si="12"/>
        <v>0.49669674185463664</v>
      </c>
      <c r="S7" s="10">
        <f t="shared" si="13"/>
        <v>-3.6308945555946437E-2</v>
      </c>
      <c r="T7" s="8">
        <f>'2024년 실적'!V7</f>
        <v>284901</v>
      </c>
      <c r="U7" s="38">
        <v>221500</v>
      </c>
      <c r="V7" s="38">
        <v>334118</v>
      </c>
      <c r="W7" s="115">
        <f t="shared" si="14"/>
        <v>0.50843340857787811</v>
      </c>
      <c r="X7" s="77">
        <f t="shared" si="15"/>
        <v>0.1727512363943966</v>
      </c>
      <c r="Y7" s="8">
        <f>'2024년 실적'!AA7</f>
        <v>135478</v>
      </c>
      <c r="Z7" s="38">
        <f>Z8/2</f>
        <v>256500</v>
      </c>
      <c r="AA7" s="38">
        <f>207878+155999</f>
        <v>363877</v>
      </c>
      <c r="AB7" s="115">
        <f t="shared" si="16"/>
        <v>0.41862378167641334</v>
      </c>
      <c r="AC7" s="10">
        <f t="shared" si="17"/>
        <v>1.6858751974490325</v>
      </c>
      <c r="AD7" s="8">
        <f>'2024년 실적'!AF7</f>
        <v>152494</v>
      </c>
      <c r="AE7" s="38">
        <f>AE8/2</f>
        <v>228000</v>
      </c>
      <c r="AF7" s="38">
        <v>349398</v>
      </c>
      <c r="AG7" s="115">
        <f t="shared" si="18"/>
        <v>0.53244736842105267</v>
      </c>
      <c r="AH7" s="77">
        <f t="shared" si="19"/>
        <v>1.2912245727700764</v>
      </c>
      <c r="AI7" s="8">
        <f>'2024년 실적'!AK7</f>
        <v>343961</v>
      </c>
      <c r="AJ7" s="38">
        <f>AJ8/2</f>
        <v>221500</v>
      </c>
      <c r="AK7" s="38">
        <v>332385</v>
      </c>
      <c r="AL7" s="115">
        <f t="shared" si="20"/>
        <v>0.50060948081264112</v>
      </c>
      <c r="AM7" s="10">
        <f t="shared" si="21"/>
        <v>-3.3654978326031149E-2</v>
      </c>
      <c r="AN7" s="8">
        <f>'2024년 실적'!AP7</f>
        <v>352267</v>
      </c>
      <c r="AO7" s="38">
        <f>AO8/2</f>
        <v>228000</v>
      </c>
      <c r="AP7" s="38">
        <v>338603</v>
      </c>
      <c r="AQ7" s="115">
        <f t="shared" si="22"/>
        <v>0.48510087719298256</v>
      </c>
      <c r="AR7" s="77">
        <f t="shared" si="23"/>
        <v>-3.8788759662415129E-2</v>
      </c>
      <c r="AS7" s="8">
        <f>'2024년 실적'!AU7</f>
        <v>158232</v>
      </c>
      <c r="AT7" s="38">
        <f>AT8/2</f>
        <v>228000</v>
      </c>
      <c r="AU7" s="38">
        <v>387894</v>
      </c>
      <c r="AV7" s="115">
        <f t="shared" si="24"/>
        <v>0.70128947368421057</v>
      </c>
      <c r="AW7" s="10">
        <f t="shared" si="25"/>
        <v>1.4514257545881994</v>
      </c>
      <c r="AX7" s="8">
        <f>'2024년 실적'!AZ7</f>
        <v>337471</v>
      </c>
      <c r="AY7" s="38">
        <f>AY9/2</f>
        <v>228000</v>
      </c>
      <c r="AZ7" s="38">
        <v>370048</v>
      </c>
      <c r="BA7" s="115">
        <f t="shared" si="26"/>
        <v>0.62301754385964903</v>
      </c>
      <c r="BB7" s="77">
        <f t="shared" si="27"/>
        <v>9.6532739109434607E-2</v>
      </c>
      <c r="BC7" s="8">
        <f>'2024년 실적'!BE7</f>
        <v>336907</v>
      </c>
      <c r="BD7" s="38">
        <f>BD9/2</f>
        <v>228000</v>
      </c>
      <c r="BE7" s="38">
        <v>404138</v>
      </c>
      <c r="BF7" s="115">
        <f t="shared" si="28"/>
        <v>0.77253508771929824</v>
      </c>
      <c r="BG7" s="10">
        <f t="shared" si="29"/>
        <v>0.19955358600444639</v>
      </c>
      <c r="BH7" s="8">
        <f>'2024년 실적'!BJ7</f>
        <v>356671</v>
      </c>
      <c r="BI7" s="38">
        <f>BI8/2</f>
        <v>270750</v>
      </c>
      <c r="BJ7" s="38">
        <v>332935</v>
      </c>
      <c r="BK7" s="115">
        <f t="shared" si="30"/>
        <v>0.22967682363804243</v>
      </c>
      <c r="BL7" s="77">
        <f t="shared" si="31"/>
        <v>-6.6548724174379181E-2</v>
      </c>
      <c r="BM7" s="8">
        <f>'2024년 실적'!BO7</f>
        <v>330282</v>
      </c>
      <c r="BN7" s="38">
        <f>BN8/2</f>
        <v>270750</v>
      </c>
      <c r="BO7" s="38"/>
      <c r="BP7" s="115">
        <f t="shared" si="32"/>
        <v>-1</v>
      </c>
      <c r="BQ7" s="10">
        <f t="shared" si="33"/>
        <v>-1</v>
      </c>
      <c r="BR7" s="8">
        <f>'2024년 실적'!BT7</f>
        <v>309009</v>
      </c>
      <c r="BS7" s="38">
        <f>BS9/2</f>
        <v>256500</v>
      </c>
      <c r="BT7" s="38"/>
      <c r="BU7" s="115">
        <f t="shared" si="34"/>
        <v>-1</v>
      </c>
      <c r="BV7" s="10">
        <f t="shared" si="35"/>
        <v>-1</v>
      </c>
    </row>
    <row r="8" spans="2:79" ht="17.25" thickBot="1" x14ac:dyDescent="0.35">
      <c r="B8" s="301"/>
      <c r="C8" s="301"/>
      <c r="D8" s="305" t="s">
        <v>14</v>
      </c>
      <c r="E8" s="306"/>
      <c r="F8" s="164">
        <f>'2024년 실적'!G8</f>
        <v>4950552</v>
      </c>
      <c r="G8" s="165">
        <f>'2024년 실적'!L8</f>
        <v>5050656</v>
      </c>
      <c r="H8" s="165">
        <f>H9</f>
        <v>5700000</v>
      </c>
      <c r="I8" s="82">
        <f t="shared" si="8"/>
        <v>0.12856626941133986</v>
      </c>
      <c r="J8" s="131">
        <f>O8+T8+Y8+AD8+AI8+AN8+AS8+AX8+BC8+BH8</f>
        <v>4188376</v>
      </c>
      <c r="K8" s="132">
        <f t="shared" ref="K8:L8" si="37">P8+U8+Z8+AE8+AJ8+AO8+AT8+AY8+BD8+BI8</f>
        <v>4632500</v>
      </c>
      <c r="L8" s="132">
        <f t="shared" si="37"/>
        <v>4469546</v>
      </c>
      <c r="M8" s="166">
        <f t="shared" si="10"/>
        <v>-3.5176254722072309E-2</v>
      </c>
      <c r="N8" s="167">
        <f t="shared" si="11"/>
        <v>6.713103121591768E-2</v>
      </c>
      <c r="O8" s="168">
        <f>'2024년 실적'!Q8</f>
        <v>297287</v>
      </c>
      <c r="P8" s="165">
        <f>P9</f>
        <v>399000.00000000006</v>
      </c>
      <c r="Q8" s="165">
        <v>337645</v>
      </c>
      <c r="R8" s="166">
        <f t="shared" si="12"/>
        <v>-0.15377192982456156</v>
      </c>
      <c r="S8" s="167">
        <f t="shared" si="13"/>
        <v>0.13575433840026641</v>
      </c>
      <c r="T8" s="168">
        <f>'2024년 실적'!V8</f>
        <v>322387</v>
      </c>
      <c r="U8" s="165">
        <f>U9</f>
        <v>456000</v>
      </c>
      <c r="V8" s="165">
        <v>465225</v>
      </c>
      <c r="W8" s="166">
        <f t="shared" si="14"/>
        <v>2.0230263157894779E-2</v>
      </c>
      <c r="X8" s="169">
        <f t="shared" si="15"/>
        <v>0.44306377118184037</v>
      </c>
      <c r="Y8" s="168">
        <f>'2024년 실적'!AA8</f>
        <v>456333</v>
      </c>
      <c r="Z8" s="165">
        <f>Z9</f>
        <v>513000</v>
      </c>
      <c r="AA8" s="165">
        <f>276187+166804</f>
        <v>442991</v>
      </c>
      <c r="AB8" s="166">
        <f t="shared" si="16"/>
        <v>-0.13646978557504874</v>
      </c>
      <c r="AC8" s="167">
        <f t="shared" si="17"/>
        <v>-2.9237420918495904E-2</v>
      </c>
      <c r="AD8" s="168">
        <f>'2024년 실적'!AF8</f>
        <v>491302</v>
      </c>
      <c r="AE8" s="165">
        <f>AE9</f>
        <v>456000</v>
      </c>
      <c r="AF8" s="165">
        <v>446722</v>
      </c>
      <c r="AG8" s="166">
        <f t="shared" si="18"/>
        <v>-2.0346491228070196E-2</v>
      </c>
      <c r="AH8" s="169">
        <f t="shared" si="19"/>
        <v>-9.0738486714892264E-2</v>
      </c>
      <c r="AI8" s="168">
        <f>'2024년 실적'!AK8</f>
        <v>427552</v>
      </c>
      <c r="AJ8" s="165">
        <v>443000</v>
      </c>
      <c r="AK8" s="165">
        <v>468535</v>
      </c>
      <c r="AL8" s="166">
        <f t="shared" si="20"/>
        <v>5.7641083521444703E-2</v>
      </c>
      <c r="AM8" s="167">
        <f t="shared" si="21"/>
        <v>9.5855007110246193E-2</v>
      </c>
      <c r="AN8" s="168">
        <f>'2024년 실적'!AP8</f>
        <v>417231</v>
      </c>
      <c r="AO8" s="165">
        <f>AO9</f>
        <v>456000</v>
      </c>
      <c r="AP8" s="165">
        <v>546396</v>
      </c>
      <c r="AQ8" s="166">
        <f t="shared" si="22"/>
        <v>0.19823684210526316</v>
      </c>
      <c r="AR8" s="169">
        <f t="shared" si="23"/>
        <v>0.30957670930491732</v>
      </c>
      <c r="AS8" s="168">
        <f>'2024년 실적'!AU8</f>
        <v>425307</v>
      </c>
      <c r="AT8" s="165">
        <f>AT9</f>
        <v>456000</v>
      </c>
      <c r="AU8" s="165">
        <v>412989</v>
      </c>
      <c r="AV8" s="166">
        <f t="shared" si="24"/>
        <v>-9.4322368421052682E-2</v>
      </c>
      <c r="AW8" s="167">
        <f t="shared" si="25"/>
        <v>-2.8962608186557048E-2</v>
      </c>
      <c r="AX8" s="168">
        <f>'2024년 실적'!AZ8</f>
        <v>410717</v>
      </c>
      <c r="AY8" s="165">
        <f>AY9</f>
        <v>456000</v>
      </c>
      <c r="AZ8" s="165">
        <v>418512</v>
      </c>
      <c r="BA8" s="166">
        <f t="shared" si="26"/>
        <v>-8.2210526315789512E-2</v>
      </c>
      <c r="BB8" s="169">
        <f t="shared" si="27"/>
        <v>1.8979005008314731E-2</v>
      </c>
      <c r="BC8" s="168">
        <f>'2024년 실적'!BE8</f>
        <v>377030</v>
      </c>
      <c r="BD8" s="165">
        <f>BD9</f>
        <v>456000</v>
      </c>
      <c r="BE8" s="165">
        <v>519753</v>
      </c>
      <c r="BF8" s="166">
        <f t="shared" si="28"/>
        <v>0.13980921052631579</v>
      </c>
      <c r="BG8" s="167">
        <f t="shared" si="29"/>
        <v>0.37854547383497339</v>
      </c>
      <c r="BH8" s="168">
        <f>'2024년 실적'!BJ8</f>
        <v>563230</v>
      </c>
      <c r="BI8" s="165">
        <f>BI9</f>
        <v>541500</v>
      </c>
      <c r="BJ8" s="165">
        <v>410778</v>
      </c>
      <c r="BK8" s="166">
        <f t="shared" si="30"/>
        <v>-0.24140720221606649</v>
      </c>
      <c r="BL8" s="169">
        <f t="shared" si="31"/>
        <v>-0.27067450242352142</v>
      </c>
      <c r="BM8" s="168">
        <f>'2024년 실적'!BO8</f>
        <v>444511</v>
      </c>
      <c r="BN8" s="165">
        <f>BN9</f>
        <v>541500</v>
      </c>
      <c r="BO8" s="165"/>
      <c r="BP8" s="166">
        <f t="shared" si="32"/>
        <v>-1</v>
      </c>
      <c r="BQ8" s="167">
        <f t="shared" si="33"/>
        <v>-1</v>
      </c>
      <c r="BR8" s="168">
        <f>'2024년 실적'!BT8</f>
        <v>417769</v>
      </c>
      <c r="BS8" s="165">
        <f>BS9</f>
        <v>513000</v>
      </c>
      <c r="BT8" s="165"/>
      <c r="BU8" s="166">
        <f t="shared" si="34"/>
        <v>-1</v>
      </c>
      <c r="BV8" s="167">
        <f t="shared" si="35"/>
        <v>-1</v>
      </c>
      <c r="BX8" s="37">
        <f t="shared" si="7"/>
        <v>281170</v>
      </c>
      <c r="BZ8" s="150" t="s">
        <v>78</v>
      </c>
    </row>
    <row r="9" spans="2:79" ht="17.25" thickBot="1" x14ac:dyDescent="0.35">
      <c r="B9" s="301"/>
      <c r="C9" s="301"/>
      <c r="D9" s="307" t="s">
        <v>18</v>
      </c>
      <c r="E9" s="308"/>
      <c r="F9" s="170">
        <f>'2024년 실적'!G9</f>
        <v>4859570</v>
      </c>
      <c r="G9" s="171">
        <f>'2024년 실적'!L9</f>
        <v>5083802</v>
      </c>
      <c r="H9" s="173">
        <f>H10+H26</f>
        <v>5700000</v>
      </c>
      <c r="I9" s="172">
        <f t="shared" si="8"/>
        <v>0.12120810369876711</v>
      </c>
      <c r="J9" s="173">
        <f>J10+J26</f>
        <v>4089810</v>
      </c>
      <c r="K9" s="173">
        <f>K10+K26</f>
        <v>4550500</v>
      </c>
      <c r="L9" s="173">
        <f>L10+L26</f>
        <v>4346066</v>
      </c>
      <c r="M9" s="174">
        <f t="shared" si="10"/>
        <v>-4.4925612570047235E-2</v>
      </c>
      <c r="N9" s="175">
        <f t="shared" si="11"/>
        <v>6.2657189453788842E-2</v>
      </c>
      <c r="O9" s="173">
        <f>O10+O26</f>
        <v>328580</v>
      </c>
      <c r="P9" s="171">
        <f>P10+P26</f>
        <v>399000.00000000006</v>
      </c>
      <c r="Q9" s="171">
        <f>Q10+Q26</f>
        <v>346892</v>
      </c>
      <c r="R9" s="174">
        <f t="shared" si="12"/>
        <v>-0.13059649122807027</v>
      </c>
      <c r="S9" s="175">
        <f t="shared" si="13"/>
        <v>5.5730720068172035E-2</v>
      </c>
      <c r="T9" s="173">
        <f>T10+T26</f>
        <v>346389</v>
      </c>
      <c r="U9" s="171">
        <f>U10+U26</f>
        <v>456000</v>
      </c>
      <c r="V9" s="171">
        <f>V10+V26</f>
        <v>428944</v>
      </c>
      <c r="W9" s="174">
        <f t="shared" si="14"/>
        <v>-5.9333333333333349E-2</v>
      </c>
      <c r="X9" s="172">
        <f t="shared" si="15"/>
        <v>0.23833031649388414</v>
      </c>
      <c r="Y9" s="173">
        <f>Y10+Y26</f>
        <v>464840</v>
      </c>
      <c r="Z9" s="171">
        <f>Z10+Z26</f>
        <v>513000</v>
      </c>
      <c r="AA9" s="171">
        <f>AA10+AA26</f>
        <v>406769</v>
      </c>
      <c r="AB9" s="174">
        <f t="shared" si="16"/>
        <v>-0.20707797270955164</v>
      </c>
      <c r="AC9" s="175">
        <f t="shared" si="17"/>
        <v>-0.12492685655279234</v>
      </c>
      <c r="AD9" s="173">
        <f>AD10+AD26</f>
        <v>455471</v>
      </c>
      <c r="AE9" s="171">
        <f>AE10+AE26</f>
        <v>456000</v>
      </c>
      <c r="AF9" s="171">
        <f>AF10+AF26</f>
        <v>471885</v>
      </c>
      <c r="AG9" s="174">
        <f t="shared" si="18"/>
        <v>3.4835526315789567E-2</v>
      </c>
      <c r="AH9" s="172">
        <f t="shared" si="19"/>
        <v>3.6037420604165815E-2</v>
      </c>
      <c r="AI9" s="173">
        <f>AI10+AI26</f>
        <v>396406</v>
      </c>
      <c r="AJ9" s="171">
        <f>AJ10+AJ26</f>
        <v>456000</v>
      </c>
      <c r="AK9" s="171">
        <f>AK10+AK26</f>
        <v>485185</v>
      </c>
      <c r="AL9" s="174">
        <f t="shared" si="20"/>
        <v>6.400219298245613E-2</v>
      </c>
      <c r="AM9" s="175">
        <f t="shared" si="21"/>
        <v>0.22395977861081828</v>
      </c>
      <c r="AN9" s="173">
        <f>AN10+AN26</f>
        <v>408513</v>
      </c>
      <c r="AO9" s="171">
        <f>AO10+AO26</f>
        <v>456000</v>
      </c>
      <c r="AP9" s="171">
        <f>AP10+AP26</f>
        <v>475620</v>
      </c>
      <c r="AQ9" s="174">
        <f t="shared" si="22"/>
        <v>4.302631578947369E-2</v>
      </c>
      <c r="AR9" s="172">
        <f t="shared" si="23"/>
        <v>0.16427139405600322</v>
      </c>
      <c r="AS9" s="173">
        <f>AS10+AS26</f>
        <v>432986</v>
      </c>
      <c r="AT9" s="171">
        <f>AT10+AT26</f>
        <v>456000</v>
      </c>
      <c r="AU9" s="171">
        <f>AU10+AU26</f>
        <v>426398</v>
      </c>
      <c r="AV9" s="174">
        <f t="shared" si="24"/>
        <v>-6.4916666666666623E-2</v>
      </c>
      <c r="AW9" s="175">
        <f t="shared" si="25"/>
        <v>-1.5215272549227943E-2</v>
      </c>
      <c r="AX9" s="173">
        <f>AX10+AX26</f>
        <v>415086</v>
      </c>
      <c r="AY9" s="171">
        <f>AY10+AY26</f>
        <v>456000</v>
      </c>
      <c r="AZ9" s="171">
        <f>AZ10+AZ26</f>
        <v>435464</v>
      </c>
      <c r="BA9" s="174">
        <f t="shared" si="26"/>
        <v>-4.5035087719298206E-2</v>
      </c>
      <c r="BB9" s="172">
        <f t="shared" si="27"/>
        <v>4.9093440877312267E-2</v>
      </c>
      <c r="BC9" s="173">
        <f>BC10+BC26</f>
        <v>384010</v>
      </c>
      <c r="BD9" s="171">
        <f>BD10+BD26</f>
        <v>456000</v>
      </c>
      <c r="BE9" s="171">
        <f>BE10+BE26</f>
        <v>484749</v>
      </c>
      <c r="BF9" s="174">
        <f t="shared" si="28"/>
        <v>6.304605263157903E-2</v>
      </c>
      <c r="BG9" s="175">
        <f t="shared" si="29"/>
        <v>0.26233431421056741</v>
      </c>
      <c r="BH9" s="173">
        <f>BH10+BH26</f>
        <v>543703</v>
      </c>
      <c r="BI9" s="171">
        <f>BI10+BI26</f>
        <v>541500</v>
      </c>
      <c r="BJ9" s="171">
        <f>BJ10+BJ26</f>
        <v>481588</v>
      </c>
      <c r="BK9" s="174">
        <f t="shared" si="30"/>
        <v>-0.11064081255771008</v>
      </c>
      <c r="BL9" s="172">
        <f t="shared" si="31"/>
        <v>-0.11424435767321495</v>
      </c>
      <c r="BM9" s="173">
        <f>BM10+BM26</f>
        <v>469271</v>
      </c>
      <c r="BN9" s="171">
        <f>BN10+BN26</f>
        <v>541500</v>
      </c>
      <c r="BO9" s="171">
        <f>BO10+BO26</f>
        <v>0</v>
      </c>
      <c r="BP9" s="174">
        <f t="shared" si="32"/>
        <v>-1</v>
      </c>
      <c r="BQ9" s="175">
        <f t="shared" si="33"/>
        <v>-1</v>
      </c>
      <c r="BR9" s="173">
        <f>BR10+BR26</f>
        <v>438547</v>
      </c>
      <c r="BS9" s="171">
        <f>BS10+BS26</f>
        <v>513000</v>
      </c>
      <c r="BT9" s="171">
        <f>BT10+BT26</f>
        <v>0</v>
      </c>
      <c r="BU9" s="174">
        <f t="shared" si="34"/>
        <v>-1</v>
      </c>
      <c r="BV9" s="175">
        <f t="shared" si="35"/>
        <v>-1</v>
      </c>
      <c r="BW9" s="274">
        <f t="shared" ref="BW9:BW26" si="38">L9/$BW$1*12</f>
        <v>5215279.1999999993</v>
      </c>
      <c r="BX9" s="274">
        <f t="shared" ref="BX9:BX59" si="39">L9-J9</f>
        <v>256256</v>
      </c>
      <c r="BY9" s="274"/>
      <c r="BZ9" s="30">
        <f>L9/H9</f>
        <v>0.76246771929824564</v>
      </c>
      <c r="CA9" s="37"/>
    </row>
    <row r="10" spans="2:79" ht="17.25" thickBot="1" x14ac:dyDescent="0.35">
      <c r="B10" s="301"/>
      <c r="C10" s="301"/>
      <c r="D10" s="309" t="s">
        <v>19</v>
      </c>
      <c r="E10" s="310"/>
      <c r="F10" s="185">
        <f>'2024년 실적'!G10</f>
        <v>4024174</v>
      </c>
      <c r="G10" s="186">
        <f>'2024년 실적'!L10</f>
        <v>4179787</v>
      </c>
      <c r="H10" s="188">
        <f>H15+H20+H23+H24+H25</f>
        <v>4700000</v>
      </c>
      <c r="I10" s="187">
        <f t="shared" si="8"/>
        <v>0.12445921287376605</v>
      </c>
      <c r="J10" s="188">
        <f>J15+J20+J23+J24+J25</f>
        <v>3430314</v>
      </c>
      <c r="K10" s="188">
        <f t="shared" ref="K10:L10" si="40">K15+K20+K23+K24+K25</f>
        <v>3830500</v>
      </c>
      <c r="L10" s="188">
        <f t="shared" si="40"/>
        <v>3608431</v>
      </c>
      <c r="M10" s="189">
        <f t="shared" si="10"/>
        <v>-5.7973893747552574E-2</v>
      </c>
      <c r="N10" s="190">
        <f t="shared" si="11"/>
        <v>5.1924401089812777E-2</v>
      </c>
      <c r="O10" s="188">
        <f>O15+O20+O23+O24+O25</f>
        <v>274687</v>
      </c>
      <c r="P10" s="186">
        <f>P15+P20+P23+P24+P25</f>
        <v>329000.00000000006</v>
      </c>
      <c r="Q10" s="186">
        <f>Q15+Q20+Q23+Q24+Q25</f>
        <v>291318</v>
      </c>
      <c r="R10" s="189">
        <f t="shared" si="12"/>
        <v>-0.114534954407295</v>
      </c>
      <c r="S10" s="190">
        <f t="shared" si="13"/>
        <v>6.0545275167736445E-2</v>
      </c>
      <c r="T10" s="188">
        <f>T15+T20+T23+T24+T25</f>
        <v>268242</v>
      </c>
      <c r="U10" s="186">
        <f>U15+U20+U23+U24+U25</f>
        <v>376000</v>
      </c>
      <c r="V10" s="186">
        <f>V15+V20+V23+V24+V25</f>
        <v>341292</v>
      </c>
      <c r="W10" s="189">
        <f t="shared" si="14"/>
        <v>-9.2308510638297925E-2</v>
      </c>
      <c r="X10" s="187">
        <f t="shared" si="15"/>
        <v>0.2723287180978371</v>
      </c>
      <c r="Y10" s="188">
        <f>Y15+Y20+Y23+Y24+Y25</f>
        <v>393184</v>
      </c>
      <c r="Z10" s="186">
        <f>Z15+Z20+Z23+Z24+Z25</f>
        <v>423000</v>
      </c>
      <c r="AA10" s="186">
        <f>AA15+AA20+AA23+AA24+AA25</f>
        <v>347446</v>
      </c>
      <c r="AB10" s="189">
        <f t="shared" si="16"/>
        <v>-0.17861465721040193</v>
      </c>
      <c r="AC10" s="190">
        <f t="shared" si="17"/>
        <v>-0.11632721575649063</v>
      </c>
      <c r="AD10" s="188">
        <f>AD15+AD20+AD23+AD24+AD25</f>
        <v>372658</v>
      </c>
      <c r="AE10" s="186">
        <f>AE15+AE20+AE23+AE24+AE25</f>
        <v>376000</v>
      </c>
      <c r="AF10" s="186">
        <f>AF15+AF20+AF23+AF24+AF25</f>
        <v>396605</v>
      </c>
      <c r="AG10" s="189">
        <f t="shared" si="18"/>
        <v>5.4800531914893647E-2</v>
      </c>
      <c r="AH10" s="187">
        <f t="shared" si="19"/>
        <v>6.425999173504926E-2</v>
      </c>
      <c r="AI10" s="188">
        <f>AI15+AI20+AI23+AI24+AI25</f>
        <v>317789</v>
      </c>
      <c r="AJ10" s="186">
        <f>AJ15+AJ20+AJ23+AJ24+AJ25</f>
        <v>376000</v>
      </c>
      <c r="AK10" s="186">
        <f>AK15+AK20+AK23+AK24+AK25</f>
        <v>393541</v>
      </c>
      <c r="AL10" s="189">
        <f t="shared" si="20"/>
        <v>4.6651595744680918E-2</v>
      </c>
      <c r="AM10" s="190">
        <f t="shared" si="21"/>
        <v>0.23837200154819715</v>
      </c>
      <c r="AN10" s="188">
        <f>AN15+AN20+AN23+AN24+AN25</f>
        <v>341134</v>
      </c>
      <c r="AO10" s="186">
        <f>AO15+AO20+AO23+AO24+AO25</f>
        <v>376000</v>
      </c>
      <c r="AP10" s="186">
        <f>AP15+AP20+AP23+AP24+AP25</f>
        <v>383622</v>
      </c>
      <c r="AQ10" s="189">
        <f t="shared" si="22"/>
        <v>2.0271276595744681E-2</v>
      </c>
      <c r="AR10" s="187">
        <f t="shared" si="23"/>
        <v>0.12454929734356579</v>
      </c>
      <c r="AS10" s="188">
        <f>AS15+AS20+AS23+AS24+AS25</f>
        <v>349793</v>
      </c>
      <c r="AT10" s="186">
        <f>AT15+AT20+AT23+AT24+AT25</f>
        <v>376000</v>
      </c>
      <c r="AU10" s="186">
        <f>AU15+AU20+AU23+AU24+AU25</f>
        <v>345784</v>
      </c>
      <c r="AV10" s="189">
        <f t="shared" si="24"/>
        <v>-8.0361702127659584E-2</v>
      </c>
      <c r="AW10" s="190">
        <f t="shared" si="25"/>
        <v>-1.1461064115062314E-2</v>
      </c>
      <c r="AX10" s="188">
        <f>AX15+AX20+AX23+AX24+AX25</f>
        <v>333757</v>
      </c>
      <c r="AY10" s="186">
        <f>AY15+AY20+AY23+AY24+AY25</f>
        <v>376000</v>
      </c>
      <c r="AZ10" s="186">
        <f>AZ15+AZ20+AZ23+AZ24+AZ25</f>
        <v>335646</v>
      </c>
      <c r="BA10" s="189">
        <f t="shared" si="26"/>
        <v>-0.10732446808510643</v>
      </c>
      <c r="BB10" s="187">
        <f t="shared" si="27"/>
        <v>5.6598063860833214E-3</v>
      </c>
      <c r="BC10" s="188">
        <f>BC15+BC20+BC23+BC24+BC25</f>
        <v>321541</v>
      </c>
      <c r="BD10" s="186">
        <f>BD15+BD20+BD23+BD24+BD25</f>
        <v>376000</v>
      </c>
      <c r="BE10" s="186">
        <f>BE15+BE20+BE23+BE24+BE25</f>
        <v>389017</v>
      </c>
      <c r="BF10" s="189">
        <f t="shared" si="28"/>
        <v>3.4619680851063928E-2</v>
      </c>
      <c r="BG10" s="190">
        <f t="shared" si="29"/>
        <v>0.20985193179096906</v>
      </c>
      <c r="BH10" s="188">
        <f>BH15+BH20+BH23+BH24+BH25</f>
        <v>457529</v>
      </c>
      <c r="BI10" s="186">
        <f>BI15+BI20+BI23+BI24+BI25</f>
        <v>446500</v>
      </c>
      <c r="BJ10" s="186">
        <f>BJ15+BJ20+BJ23+BJ24+BJ25</f>
        <v>384160</v>
      </c>
      <c r="BK10" s="189">
        <f t="shared" si="30"/>
        <v>-0.13961926091825305</v>
      </c>
      <c r="BL10" s="187">
        <f t="shared" si="31"/>
        <v>-0.16035923405948038</v>
      </c>
      <c r="BM10" s="188">
        <f>BM15+BM20+BM23+BM24+BM25</f>
        <v>381403</v>
      </c>
      <c r="BN10" s="186">
        <f>BN15+BN20+BN23+BN24+BN25</f>
        <v>446500</v>
      </c>
      <c r="BO10" s="186">
        <f>BO15+BO20+BO23+BO24+BO25</f>
        <v>0</v>
      </c>
      <c r="BP10" s="189">
        <f t="shared" si="32"/>
        <v>-1</v>
      </c>
      <c r="BQ10" s="190">
        <f t="shared" si="33"/>
        <v>-1</v>
      </c>
      <c r="BR10" s="188">
        <f>BR15+BR20+BR23+BR24+BR25</f>
        <v>368070</v>
      </c>
      <c r="BS10" s="186">
        <f>BS15+BS20+BS23+BS24+BS25</f>
        <v>423000</v>
      </c>
      <c r="BT10" s="186">
        <f>BT15+BT20+BT23+BT24+BT25</f>
        <v>0</v>
      </c>
      <c r="BU10" s="189">
        <f t="shared" si="34"/>
        <v>-1</v>
      </c>
      <c r="BV10" s="190">
        <f t="shared" si="35"/>
        <v>-1</v>
      </c>
      <c r="BW10" s="277">
        <f t="shared" si="38"/>
        <v>4330117.1999999993</v>
      </c>
      <c r="BX10" s="277">
        <f t="shared" si="39"/>
        <v>178117</v>
      </c>
      <c r="BY10" s="274"/>
      <c r="BZ10" s="30">
        <f>L10/H10</f>
        <v>0.76775127659574471</v>
      </c>
      <c r="CA10" s="37"/>
    </row>
    <row r="11" spans="2:79" ht="17.25" thickBot="1" x14ac:dyDescent="0.35">
      <c r="B11" s="301"/>
      <c r="C11" s="301"/>
      <c r="D11" s="370" t="s">
        <v>73</v>
      </c>
      <c r="E11" s="371"/>
      <c r="F11" s="236">
        <f>'2024년 실적'!G11</f>
        <v>2526417</v>
      </c>
      <c r="G11" s="236">
        <f>'2024년 실적'!L11</f>
        <v>2758457</v>
      </c>
      <c r="H11" s="239">
        <f>H12+H13+H16+H17+H18+H21+H24</f>
        <v>3150000</v>
      </c>
      <c r="I11" s="238">
        <f t="shared" si="8"/>
        <v>0.14194276002852324</v>
      </c>
      <c r="J11" s="239">
        <f>J12+J13+J16+J17+J18+J21+J24</f>
        <v>2284225</v>
      </c>
      <c r="K11" s="239">
        <f t="shared" ref="K11:L11" si="41">K12+K13+K16+K17+K18+K21+K24</f>
        <v>2567250</v>
      </c>
      <c r="L11" s="239">
        <f t="shared" si="41"/>
        <v>2401694</v>
      </c>
      <c r="M11" s="240">
        <f t="shared" si="10"/>
        <v>-6.4487681371116934E-2</v>
      </c>
      <c r="N11" s="241">
        <f t="shared" si="11"/>
        <v>5.1426194880101583E-2</v>
      </c>
      <c r="O11" s="239">
        <f>O12+O13+O16+O17+O18+O21+O24</f>
        <v>196934</v>
      </c>
      <c r="P11" s="237">
        <f t="shared" ref="P11:Q11" si="42">P12+P13+P16+P17+P18+P21+P24</f>
        <v>220500</v>
      </c>
      <c r="Q11" s="237">
        <f t="shared" si="42"/>
        <v>183957</v>
      </c>
      <c r="R11" s="240">
        <f t="shared" si="12"/>
        <v>-0.16572789115646258</v>
      </c>
      <c r="S11" s="241">
        <f t="shared" si="13"/>
        <v>-6.5895173002122553E-2</v>
      </c>
      <c r="T11" s="239">
        <f t="shared" ref="T11" si="43">T12+T13+T16+T17+T18+T21+T24</f>
        <v>175693</v>
      </c>
      <c r="U11" s="237">
        <f t="shared" ref="U11:V11" si="44">U12+U13+U16+U17+U18+U21+U24</f>
        <v>252000</v>
      </c>
      <c r="V11" s="237">
        <f t="shared" si="44"/>
        <v>214388</v>
      </c>
      <c r="W11" s="240">
        <f t="shared" si="14"/>
        <v>-0.14925396825396831</v>
      </c>
      <c r="X11" s="238">
        <f t="shared" si="15"/>
        <v>0.22024212689179423</v>
      </c>
      <c r="Y11" s="239">
        <f t="shared" ref="Y11" si="45">Y12+Y13+Y16+Y17+Y18+Y21+Y24</f>
        <v>279353</v>
      </c>
      <c r="Z11" s="237">
        <f t="shared" ref="Z11:AA11" si="46">Z12+Z13+Z16+Z17+Z18+Z21+Z24</f>
        <v>283500</v>
      </c>
      <c r="AA11" s="237">
        <f t="shared" si="46"/>
        <v>235602</v>
      </c>
      <c r="AB11" s="240">
        <f t="shared" si="16"/>
        <v>-0.16895238095238096</v>
      </c>
      <c r="AC11" s="241">
        <f t="shared" si="17"/>
        <v>-0.15661546502095913</v>
      </c>
      <c r="AD11" s="239">
        <f t="shared" ref="AD11" si="47">AD12+AD13+AD16+AD17+AD18+AD21+AD24</f>
        <v>238174</v>
      </c>
      <c r="AE11" s="237">
        <f t="shared" ref="AE11:AF11" si="48">AE12+AE13+AE16+AE17+AE18+AE21+AE24</f>
        <v>252000</v>
      </c>
      <c r="AF11" s="237">
        <f t="shared" si="48"/>
        <v>265555</v>
      </c>
      <c r="AG11" s="240">
        <f t="shared" si="18"/>
        <v>5.3789682539682637E-2</v>
      </c>
      <c r="AH11" s="238">
        <f t="shared" si="19"/>
        <v>0.11496217051399404</v>
      </c>
      <c r="AI11" s="239">
        <f t="shared" ref="AI11" si="49">AI12+AI13+AI16+AI17+AI18+AI21+AI24</f>
        <v>202277</v>
      </c>
      <c r="AJ11" s="237">
        <f t="shared" ref="AJ11:AK11" si="50">AJ12+AJ13+AJ16+AJ17+AJ18+AJ21+AJ24</f>
        <v>252000</v>
      </c>
      <c r="AK11" s="237">
        <f t="shared" si="50"/>
        <v>283486</v>
      </c>
      <c r="AL11" s="240">
        <f t="shared" si="20"/>
        <v>0.12494444444444452</v>
      </c>
      <c r="AM11" s="241">
        <f t="shared" si="21"/>
        <v>0.40147421605026778</v>
      </c>
      <c r="AN11" s="239">
        <f t="shared" ref="AN11" si="51">AN12+AN13+AN16+AN17+AN18+AN21+AN24</f>
        <v>220110</v>
      </c>
      <c r="AO11" s="237">
        <f t="shared" ref="AO11:AP11" si="52">AO12+AO13+AO16+AO17+AO18+AO21+AO24</f>
        <v>252000</v>
      </c>
      <c r="AP11" s="237">
        <f t="shared" si="52"/>
        <v>248318</v>
      </c>
      <c r="AQ11" s="240">
        <f t="shared" si="22"/>
        <v>-1.461111111111113E-2</v>
      </c>
      <c r="AR11" s="238">
        <f t="shared" si="23"/>
        <v>0.12815410476579903</v>
      </c>
      <c r="AS11" s="239">
        <f t="shared" ref="AS11" si="53">AS12+AS13+AS16+AS17+AS18+AS21+AS24</f>
        <v>213751</v>
      </c>
      <c r="AT11" s="237">
        <f t="shared" ref="AT11:AU11" si="54">AT12+AT13+AT16+AT17+AT18+AT21+AT24</f>
        <v>252000</v>
      </c>
      <c r="AU11" s="237">
        <f t="shared" si="54"/>
        <v>227858</v>
      </c>
      <c r="AV11" s="240">
        <f t="shared" si="24"/>
        <v>-9.5801587301587277E-2</v>
      </c>
      <c r="AW11" s="241">
        <f t="shared" si="25"/>
        <v>6.5997352059171677E-2</v>
      </c>
      <c r="AX11" s="239">
        <f t="shared" ref="AX11" si="55">AX12+AX13+AX16+AX17+AX18+AX21+AX24</f>
        <v>221691</v>
      </c>
      <c r="AY11" s="237">
        <f t="shared" ref="AY11:AZ11" si="56">AY12+AY13+AY16+AY17+AY18+AY21+AY24</f>
        <v>252000</v>
      </c>
      <c r="AZ11" s="237">
        <f t="shared" si="56"/>
        <v>213759</v>
      </c>
      <c r="BA11" s="240">
        <f t="shared" si="26"/>
        <v>-0.15175000000000005</v>
      </c>
      <c r="BB11" s="238">
        <f t="shared" si="27"/>
        <v>-3.5779530968780837E-2</v>
      </c>
      <c r="BC11" s="239">
        <f t="shared" ref="BC11" si="57">BC12+BC13+BC16+BC17+BC18+BC21+BC24</f>
        <v>212618</v>
      </c>
      <c r="BD11" s="237">
        <f t="shared" ref="BD11:BE11" si="58">BD12+BD13+BD16+BD17+BD18+BD21+BD24</f>
        <v>252000</v>
      </c>
      <c r="BE11" s="237">
        <f t="shared" si="58"/>
        <v>259684</v>
      </c>
      <c r="BF11" s="240">
        <f t="shared" si="28"/>
        <v>3.049206349206357E-2</v>
      </c>
      <c r="BG11" s="241">
        <f t="shared" si="29"/>
        <v>0.22136413662060606</v>
      </c>
      <c r="BH11" s="239">
        <f t="shared" ref="BH11" si="59">BH12+BH13+BH16+BH17+BH18+BH21+BH24</f>
        <v>323624</v>
      </c>
      <c r="BI11" s="237">
        <f t="shared" ref="BI11:BJ11" si="60">BI12+BI13+BI16+BI17+BI18+BI21+BI24</f>
        <v>299250</v>
      </c>
      <c r="BJ11" s="237">
        <f t="shared" si="60"/>
        <v>269087</v>
      </c>
      <c r="BK11" s="240">
        <f t="shared" si="30"/>
        <v>-0.10079532163742688</v>
      </c>
      <c r="BL11" s="238">
        <f t="shared" si="31"/>
        <v>-0.16851964007613773</v>
      </c>
      <c r="BM11" s="239">
        <f t="shared" ref="BM11" si="61">BM12+BM13+BM16+BM17+BM18+BM21+BM24</f>
        <v>238215</v>
      </c>
      <c r="BN11" s="237">
        <f t="shared" ref="BN11:BO11" si="62">BN12+BN13+BN16+BN17+BN18+BN21+BN24</f>
        <v>299250</v>
      </c>
      <c r="BO11" s="237">
        <f t="shared" si="62"/>
        <v>0</v>
      </c>
      <c r="BP11" s="240">
        <f t="shared" si="32"/>
        <v>-1</v>
      </c>
      <c r="BQ11" s="241">
        <f t="shared" si="33"/>
        <v>-1</v>
      </c>
      <c r="BR11" s="239">
        <f t="shared" ref="BR11" si="63">BR12+BR13+BR16+BR17+BR18+BR21+BR24</f>
        <v>236017</v>
      </c>
      <c r="BS11" s="237">
        <f t="shared" ref="BS11:BT11" si="64">BS12+BS13+BS16+BS17+BS18+BS21+BS24</f>
        <v>283500</v>
      </c>
      <c r="BT11" s="237">
        <f t="shared" si="64"/>
        <v>0</v>
      </c>
      <c r="BU11" s="240">
        <f t="shared" si="34"/>
        <v>-1</v>
      </c>
      <c r="BV11" s="241">
        <f t="shared" si="35"/>
        <v>-1</v>
      </c>
      <c r="BW11" s="278">
        <f t="shared" si="38"/>
        <v>2882032.8</v>
      </c>
      <c r="BX11" s="278">
        <f t="shared" si="39"/>
        <v>117469</v>
      </c>
      <c r="BY11" s="274"/>
      <c r="BZ11" s="30">
        <f t="shared" ref="BZ11:BZ26" si="65">L11/H11</f>
        <v>0.76244253968253972</v>
      </c>
      <c r="CA11" s="37"/>
    </row>
    <row r="12" spans="2:79" x14ac:dyDescent="0.3">
      <c r="B12" s="301"/>
      <c r="C12" s="301"/>
      <c r="D12" s="311" t="s">
        <v>52</v>
      </c>
      <c r="E12" s="192" t="s">
        <v>20</v>
      </c>
      <c r="F12" s="52">
        <f>'2024년 실적'!G12</f>
        <v>321951</v>
      </c>
      <c r="G12" s="38">
        <f>'2024년 실적'!L12</f>
        <v>326920</v>
      </c>
      <c r="H12" s="38">
        <v>380000</v>
      </c>
      <c r="I12" s="77">
        <f t="shared" si="8"/>
        <v>0.16236388107182176</v>
      </c>
      <c r="J12" s="131">
        <f t="shared" ref="J12:J14" si="66">O12+T12+Y12+AD12+AI12+AN12+AS12+AX12+BC12+BH12</f>
        <v>266639</v>
      </c>
      <c r="K12" s="132">
        <f t="shared" ref="K12:K14" si="67">P12+U12+Z12+AE12+AJ12+AO12+AT12+AY12+BD12+BI12</f>
        <v>309700</v>
      </c>
      <c r="L12" s="132">
        <f t="shared" ref="L12:L14" si="68">Q12+V12+AA12+AF12+AK12+AP12+AU12+AZ12+BE12+BJ12</f>
        <v>261116</v>
      </c>
      <c r="M12" s="115">
        <f t="shared" si="10"/>
        <v>-0.15687439457539554</v>
      </c>
      <c r="N12" s="10">
        <f t="shared" si="11"/>
        <v>-2.0713399015147793E-2</v>
      </c>
      <c r="O12" s="8">
        <f>'2024년 실적'!Q12</f>
        <v>25459</v>
      </c>
      <c r="P12" s="38">
        <v>26600.000000000004</v>
      </c>
      <c r="Q12" s="38">
        <v>23074</v>
      </c>
      <c r="R12" s="115">
        <f t="shared" si="12"/>
        <v>-0.13255639097744376</v>
      </c>
      <c r="S12" s="10">
        <f t="shared" si="13"/>
        <v>-9.3680034565379655E-2</v>
      </c>
      <c r="T12" s="8">
        <f>'2024년 실적'!V12</f>
        <v>23473</v>
      </c>
      <c r="U12" s="38">
        <v>30400</v>
      </c>
      <c r="V12" s="38">
        <v>27234</v>
      </c>
      <c r="W12" s="115">
        <f t="shared" si="14"/>
        <v>-0.10414473684210523</v>
      </c>
      <c r="X12" s="77">
        <f t="shared" si="15"/>
        <v>0.16022664337749748</v>
      </c>
      <c r="Y12" s="8">
        <f>'2024년 실적'!AA12</f>
        <v>29112</v>
      </c>
      <c r="Z12" s="38">
        <v>34200</v>
      </c>
      <c r="AA12" s="38">
        <v>24427</v>
      </c>
      <c r="AB12" s="115">
        <f t="shared" si="16"/>
        <v>-0.28576023391812866</v>
      </c>
      <c r="AC12" s="10">
        <f t="shared" si="17"/>
        <v>-0.16093020060456165</v>
      </c>
      <c r="AD12" s="8">
        <f>'2024년 실적'!AF12</f>
        <v>26275</v>
      </c>
      <c r="AE12" s="38">
        <v>30400</v>
      </c>
      <c r="AF12" s="38">
        <v>28476</v>
      </c>
      <c r="AG12" s="115">
        <f t="shared" si="18"/>
        <v>-6.3289473684210562E-2</v>
      </c>
      <c r="AH12" s="77">
        <f t="shared" si="19"/>
        <v>8.3767840152235928E-2</v>
      </c>
      <c r="AI12" s="8">
        <f>'2024년 실적'!AK12</f>
        <v>25884</v>
      </c>
      <c r="AJ12" s="38">
        <v>30400</v>
      </c>
      <c r="AK12" s="38">
        <v>24269</v>
      </c>
      <c r="AL12" s="115">
        <f t="shared" si="20"/>
        <v>-0.20167763157894736</v>
      </c>
      <c r="AM12" s="10">
        <f t="shared" si="21"/>
        <v>-6.2393756760933394E-2</v>
      </c>
      <c r="AN12" s="8">
        <f>'2024년 실적'!AP12</f>
        <v>25094</v>
      </c>
      <c r="AO12" s="38">
        <v>30400</v>
      </c>
      <c r="AP12" s="38">
        <v>28653</v>
      </c>
      <c r="AQ12" s="115">
        <f t="shared" si="22"/>
        <v>-5.7467105263157903E-2</v>
      </c>
      <c r="AR12" s="77">
        <f t="shared" si="23"/>
        <v>0.14182673148959912</v>
      </c>
      <c r="AS12" s="8">
        <f>'2024년 실적'!AU12</f>
        <v>27682</v>
      </c>
      <c r="AT12" s="38">
        <v>30400</v>
      </c>
      <c r="AU12" s="38">
        <v>26218</v>
      </c>
      <c r="AV12" s="115">
        <f t="shared" si="24"/>
        <v>-0.13756578947368425</v>
      </c>
      <c r="AW12" s="10">
        <f t="shared" si="25"/>
        <v>-5.2886352142186288E-2</v>
      </c>
      <c r="AX12" s="8">
        <f>'2024년 실적'!AZ12</f>
        <v>30232</v>
      </c>
      <c r="AY12" s="38">
        <v>30400</v>
      </c>
      <c r="AZ12" s="38">
        <v>22603</v>
      </c>
      <c r="BA12" s="115">
        <f t="shared" si="26"/>
        <v>-0.25648026315789474</v>
      </c>
      <c r="BB12" s="77">
        <f t="shared" si="27"/>
        <v>-0.252348504895475</v>
      </c>
      <c r="BC12" s="8">
        <f>'2024년 실적'!BE12</f>
        <v>25176</v>
      </c>
      <c r="BD12" s="38">
        <v>30400</v>
      </c>
      <c r="BE12" s="38">
        <v>30270</v>
      </c>
      <c r="BF12" s="115">
        <f t="shared" si="28"/>
        <v>-4.2763157894737391E-3</v>
      </c>
      <c r="BG12" s="10">
        <f t="shared" si="29"/>
        <v>0.20233555767397515</v>
      </c>
      <c r="BH12" s="8">
        <f>'2024년 실적'!BJ12</f>
        <v>28252</v>
      </c>
      <c r="BI12" s="38">
        <v>36100</v>
      </c>
      <c r="BJ12" s="38">
        <v>25892</v>
      </c>
      <c r="BK12" s="115">
        <f t="shared" si="30"/>
        <v>-0.28277008310249307</v>
      </c>
      <c r="BL12" s="77">
        <f t="shared" si="31"/>
        <v>-8.3533909103780224E-2</v>
      </c>
      <c r="BM12" s="8">
        <f>'2024년 실적'!BO12</f>
        <v>31261</v>
      </c>
      <c r="BN12" s="38">
        <v>36100</v>
      </c>
      <c r="BO12" s="38"/>
      <c r="BP12" s="115">
        <f t="shared" si="32"/>
        <v>-1</v>
      </c>
      <c r="BQ12" s="10">
        <f t="shared" si="33"/>
        <v>-1</v>
      </c>
      <c r="BR12" s="8">
        <f>'2024년 실적'!BT12</f>
        <v>29020</v>
      </c>
      <c r="BS12" s="38">
        <v>34200</v>
      </c>
      <c r="BT12" s="38"/>
      <c r="BU12" s="115">
        <f t="shared" si="34"/>
        <v>-1</v>
      </c>
      <c r="BV12" s="10">
        <f t="shared" si="35"/>
        <v>-1</v>
      </c>
      <c r="BW12" s="37">
        <f t="shared" si="38"/>
        <v>313339.19999999995</v>
      </c>
      <c r="BX12" s="37">
        <f>L12-J12</f>
        <v>-5523</v>
      </c>
      <c r="BY12" s="274"/>
      <c r="BZ12" s="30">
        <f t="shared" si="65"/>
        <v>0.68714736842105262</v>
      </c>
      <c r="CA12" s="37"/>
    </row>
    <row r="13" spans="2:79" x14ac:dyDescent="0.3">
      <c r="B13" s="301"/>
      <c r="C13" s="301"/>
      <c r="D13" s="312"/>
      <c r="E13" s="67" t="s">
        <v>21</v>
      </c>
      <c r="F13" s="45">
        <f>'2024년 실적'!G13</f>
        <v>419768</v>
      </c>
      <c r="G13" s="39">
        <f>'2024년 실적'!L13</f>
        <v>408254</v>
      </c>
      <c r="H13" s="39">
        <v>500000</v>
      </c>
      <c r="I13" s="33">
        <f t="shared" si="8"/>
        <v>0.22472774302272613</v>
      </c>
      <c r="J13" s="107">
        <f t="shared" si="66"/>
        <v>332891</v>
      </c>
      <c r="K13" s="87">
        <f t="shared" si="67"/>
        <v>407500</v>
      </c>
      <c r="L13" s="87">
        <f t="shared" si="68"/>
        <v>358318</v>
      </c>
      <c r="M13" s="88">
        <f t="shared" si="10"/>
        <v>-0.12069202453987726</v>
      </c>
      <c r="N13" s="15">
        <f t="shared" si="11"/>
        <v>7.6382359390911647E-2</v>
      </c>
      <c r="O13" s="13">
        <f>'2024년 실적'!Q13</f>
        <v>23114</v>
      </c>
      <c r="P13" s="39">
        <v>35000</v>
      </c>
      <c r="Q13" s="39">
        <v>27115</v>
      </c>
      <c r="R13" s="88">
        <f t="shared" si="12"/>
        <v>-0.22528571428571431</v>
      </c>
      <c r="S13" s="15">
        <f t="shared" si="13"/>
        <v>0.17309855498831883</v>
      </c>
      <c r="T13" s="13">
        <f>'2024년 실적'!V13</f>
        <v>23040</v>
      </c>
      <c r="U13" s="39">
        <v>40000</v>
      </c>
      <c r="V13" s="39">
        <v>31498</v>
      </c>
      <c r="W13" s="88">
        <f t="shared" si="14"/>
        <v>-0.21255000000000002</v>
      </c>
      <c r="X13" s="33">
        <f t="shared" si="15"/>
        <v>0.36710069444444438</v>
      </c>
      <c r="Y13" s="13">
        <f>'2024년 실적'!AA13</f>
        <v>32253</v>
      </c>
      <c r="Z13" s="39">
        <v>45000</v>
      </c>
      <c r="AA13" s="39">
        <v>35556</v>
      </c>
      <c r="AB13" s="88">
        <f t="shared" si="16"/>
        <v>-0.20986666666666665</v>
      </c>
      <c r="AC13" s="15">
        <f t="shared" si="17"/>
        <v>0.10240907822528134</v>
      </c>
      <c r="AD13" s="13">
        <f>'2024년 실적'!AF13</f>
        <v>38343</v>
      </c>
      <c r="AE13" s="39">
        <v>40000</v>
      </c>
      <c r="AF13" s="39">
        <v>36548</v>
      </c>
      <c r="AG13" s="88">
        <f t="shared" si="18"/>
        <v>-8.6300000000000043E-2</v>
      </c>
      <c r="AH13" s="33">
        <f t="shared" si="19"/>
        <v>-4.6814281615940367E-2</v>
      </c>
      <c r="AI13" s="13">
        <f>'2024년 실적'!AK13</f>
        <v>27107</v>
      </c>
      <c r="AJ13" s="39">
        <v>40000</v>
      </c>
      <c r="AK13" s="39">
        <v>43328</v>
      </c>
      <c r="AL13" s="88">
        <f t="shared" si="20"/>
        <v>8.3199999999999941E-2</v>
      </c>
      <c r="AM13" s="15">
        <f t="shared" si="21"/>
        <v>0.59840631571180869</v>
      </c>
      <c r="AN13" s="13">
        <f>'2024년 실적'!AP13</f>
        <v>31256</v>
      </c>
      <c r="AO13" s="39">
        <v>40000</v>
      </c>
      <c r="AP13" s="39">
        <v>33610</v>
      </c>
      <c r="AQ13" s="88">
        <f t="shared" si="22"/>
        <v>-0.15974999999999995</v>
      </c>
      <c r="AR13" s="33">
        <f t="shared" si="23"/>
        <v>7.5313539800358376E-2</v>
      </c>
      <c r="AS13" s="13">
        <f>'2024년 실적'!AU13</f>
        <v>31416</v>
      </c>
      <c r="AT13" s="39">
        <v>40000</v>
      </c>
      <c r="AU13" s="39">
        <v>38936</v>
      </c>
      <c r="AV13" s="88">
        <f t="shared" si="24"/>
        <v>-2.6599999999999957E-2</v>
      </c>
      <c r="AW13" s="15">
        <f t="shared" si="25"/>
        <v>0.23936847466259237</v>
      </c>
      <c r="AX13" s="13">
        <f>'2024년 실적'!AZ13</f>
        <v>30542</v>
      </c>
      <c r="AY13" s="39">
        <v>40000</v>
      </c>
      <c r="AZ13" s="39">
        <v>33474</v>
      </c>
      <c r="BA13" s="88">
        <f t="shared" si="26"/>
        <v>-0.16315000000000002</v>
      </c>
      <c r="BB13" s="33">
        <f t="shared" si="27"/>
        <v>9.5998952262458248E-2</v>
      </c>
      <c r="BC13" s="13">
        <f>'2024년 실적'!BE13</f>
        <v>32278</v>
      </c>
      <c r="BD13" s="39">
        <v>40000</v>
      </c>
      <c r="BE13" s="39">
        <v>37534</v>
      </c>
      <c r="BF13" s="88">
        <f t="shared" si="28"/>
        <v>-6.1649999999999983E-2</v>
      </c>
      <c r="BG13" s="15">
        <f t="shared" si="29"/>
        <v>0.16283536774273499</v>
      </c>
      <c r="BH13" s="13">
        <f>'2024년 실적'!BJ13</f>
        <v>63542</v>
      </c>
      <c r="BI13" s="39">
        <v>47500</v>
      </c>
      <c r="BJ13" s="39">
        <v>40719</v>
      </c>
      <c r="BK13" s="88">
        <f t="shared" si="30"/>
        <v>-0.14275789473684208</v>
      </c>
      <c r="BL13" s="33">
        <f t="shared" si="31"/>
        <v>-0.35917975512259603</v>
      </c>
      <c r="BM13" s="13">
        <f>'2024년 실적'!BO13</f>
        <v>36878</v>
      </c>
      <c r="BN13" s="39">
        <v>47500</v>
      </c>
      <c r="BO13" s="39"/>
      <c r="BP13" s="88">
        <f t="shared" si="32"/>
        <v>-1</v>
      </c>
      <c r="BQ13" s="15">
        <f t="shared" si="33"/>
        <v>-1</v>
      </c>
      <c r="BR13" s="13">
        <f>'2024년 실적'!BT13</f>
        <v>38485</v>
      </c>
      <c r="BS13" s="39">
        <v>45000</v>
      </c>
      <c r="BT13" s="39"/>
      <c r="BU13" s="88">
        <f t="shared" si="34"/>
        <v>-1</v>
      </c>
      <c r="BV13" s="15">
        <f t="shared" si="35"/>
        <v>-1</v>
      </c>
      <c r="BW13" s="37">
        <f t="shared" si="38"/>
        <v>429981.60000000003</v>
      </c>
      <c r="BX13" s="37">
        <f t="shared" si="39"/>
        <v>25427</v>
      </c>
      <c r="BY13" s="274"/>
      <c r="BZ13" s="30">
        <f t="shared" si="65"/>
        <v>0.71663600000000005</v>
      </c>
      <c r="CA13" s="37"/>
    </row>
    <row r="14" spans="2:79" x14ac:dyDescent="0.3">
      <c r="B14" s="301"/>
      <c r="C14" s="301"/>
      <c r="D14" s="312"/>
      <c r="E14" s="67" t="s">
        <v>27</v>
      </c>
      <c r="F14" s="45">
        <f>'2024년 실적'!G14</f>
        <v>207830</v>
      </c>
      <c r="G14" s="39">
        <f>'2024년 실적'!L14</f>
        <v>182489</v>
      </c>
      <c r="H14" s="39">
        <v>190000</v>
      </c>
      <c r="I14" s="33">
        <f t="shared" si="8"/>
        <v>4.1158645178613451E-2</v>
      </c>
      <c r="J14" s="107">
        <f t="shared" si="66"/>
        <v>139593</v>
      </c>
      <c r="K14" s="87">
        <f t="shared" si="67"/>
        <v>154850</v>
      </c>
      <c r="L14" s="87">
        <f t="shared" si="68"/>
        <v>167446</v>
      </c>
      <c r="M14" s="88">
        <f t="shared" si="10"/>
        <v>8.1343235389086166E-2</v>
      </c>
      <c r="N14" s="15">
        <f t="shared" si="11"/>
        <v>0.19953006239567883</v>
      </c>
      <c r="O14" s="13">
        <f>'2024년 실적'!Q14</f>
        <v>13981</v>
      </c>
      <c r="P14" s="39">
        <v>13300.000000000002</v>
      </c>
      <c r="Q14" s="39">
        <v>14738</v>
      </c>
      <c r="R14" s="88">
        <f t="shared" si="12"/>
        <v>0.10812030075187962</v>
      </c>
      <c r="S14" s="15">
        <f t="shared" si="13"/>
        <v>5.4144910950575831E-2</v>
      </c>
      <c r="T14" s="13">
        <f>'2024년 실적'!V14</f>
        <v>8002</v>
      </c>
      <c r="U14" s="39">
        <v>15200</v>
      </c>
      <c r="V14" s="39">
        <v>15112</v>
      </c>
      <c r="W14" s="88">
        <f t="shared" si="14"/>
        <v>-5.7894736842105665E-3</v>
      </c>
      <c r="X14" s="33">
        <f t="shared" si="15"/>
        <v>0.88852786803299177</v>
      </c>
      <c r="Y14" s="13">
        <f>'2024년 실적'!AA14</f>
        <v>10718</v>
      </c>
      <c r="Z14" s="39">
        <v>17100</v>
      </c>
      <c r="AA14" s="39">
        <v>15240</v>
      </c>
      <c r="AB14" s="88">
        <f t="shared" si="16"/>
        <v>-0.10877192982456141</v>
      </c>
      <c r="AC14" s="15">
        <f t="shared" si="17"/>
        <v>0.42190707221496537</v>
      </c>
      <c r="AD14" s="13">
        <f>'2024년 실적'!AF14</f>
        <v>12080</v>
      </c>
      <c r="AE14" s="39">
        <v>15200</v>
      </c>
      <c r="AF14" s="39">
        <v>24564</v>
      </c>
      <c r="AG14" s="88">
        <f t="shared" si="18"/>
        <v>0.61605263157894741</v>
      </c>
      <c r="AH14" s="33">
        <f t="shared" si="19"/>
        <v>1.0334437086092714</v>
      </c>
      <c r="AI14" s="13">
        <f>'2024년 실적'!AK14</f>
        <v>15112</v>
      </c>
      <c r="AJ14" s="39">
        <v>15200</v>
      </c>
      <c r="AK14" s="39">
        <v>13318</v>
      </c>
      <c r="AL14" s="88">
        <f t="shared" si="20"/>
        <v>-0.12381578947368421</v>
      </c>
      <c r="AM14" s="15">
        <f t="shared" si="21"/>
        <v>-0.11871360508205397</v>
      </c>
      <c r="AN14" s="13">
        <f>'2024년 실적'!AP14</f>
        <v>14825</v>
      </c>
      <c r="AO14" s="39">
        <v>15200</v>
      </c>
      <c r="AP14" s="39">
        <v>16034</v>
      </c>
      <c r="AQ14" s="88">
        <f t="shared" si="22"/>
        <v>5.4868421052631566E-2</v>
      </c>
      <c r="AR14" s="33">
        <f t="shared" si="23"/>
        <v>8.1551433389544625E-2</v>
      </c>
      <c r="AS14" s="13">
        <f>'2024년 실적'!AU14</f>
        <v>11788</v>
      </c>
      <c r="AT14" s="39">
        <v>15200</v>
      </c>
      <c r="AU14" s="39">
        <v>17061</v>
      </c>
      <c r="AV14" s="88">
        <f t="shared" si="24"/>
        <v>0.12243421052631587</v>
      </c>
      <c r="AW14" s="15">
        <f t="shared" si="25"/>
        <v>0.44731930777061413</v>
      </c>
      <c r="AX14" s="13">
        <f>'2024년 실적'!AZ14</f>
        <v>21539</v>
      </c>
      <c r="AY14" s="39">
        <v>15200</v>
      </c>
      <c r="AZ14" s="39">
        <v>18028</v>
      </c>
      <c r="BA14" s="88">
        <f t="shared" si="26"/>
        <v>0.18605263157894747</v>
      </c>
      <c r="BB14" s="33">
        <f t="shared" si="27"/>
        <v>-0.16300663911973634</v>
      </c>
      <c r="BC14" s="13">
        <f>'2024년 실적'!BE14</f>
        <v>18332</v>
      </c>
      <c r="BD14" s="39">
        <v>15200</v>
      </c>
      <c r="BE14" s="39">
        <v>13587</v>
      </c>
      <c r="BF14" s="88">
        <f t="shared" si="28"/>
        <v>-0.10611842105263158</v>
      </c>
      <c r="BG14" s="15">
        <f t="shared" si="29"/>
        <v>-0.25883700632773288</v>
      </c>
      <c r="BH14" s="13">
        <f>'2024년 실적'!BJ14</f>
        <v>13216</v>
      </c>
      <c r="BI14" s="39">
        <v>18050</v>
      </c>
      <c r="BJ14" s="39">
        <v>19764</v>
      </c>
      <c r="BK14" s="88">
        <f t="shared" si="30"/>
        <v>9.495844875346271E-2</v>
      </c>
      <c r="BL14" s="33">
        <f t="shared" si="31"/>
        <v>0.49546004842615021</v>
      </c>
      <c r="BM14" s="13">
        <f>'2024년 실적'!BO14</f>
        <v>21416</v>
      </c>
      <c r="BN14" s="39">
        <v>18050</v>
      </c>
      <c r="BO14" s="39"/>
      <c r="BP14" s="88">
        <f t="shared" si="32"/>
        <v>-1</v>
      </c>
      <c r="BQ14" s="15">
        <f t="shared" si="33"/>
        <v>-1</v>
      </c>
      <c r="BR14" s="13">
        <f>'2024년 실적'!BT14</f>
        <v>21480</v>
      </c>
      <c r="BS14" s="39">
        <v>17100</v>
      </c>
      <c r="BT14" s="39"/>
      <c r="BU14" s="88">
        <f t="shared" si="34"/>
        <v>-1</v>
      </c>
      <c r="BV14" s="15">
        <f t="shared" si="35"/>
        <v>-1</v>
      </c>
      <c r="BW14" s="37">
        <f t="shared" si="38"/>
        <v>200935.19999999998</v>
      </c>
      <c r="BX14" s="37">
        <f t="shared" si="39"/>
        <v>27853</v>
      </c>
      <c r="BY14" s="274"/>
      <c r="BZ14" s="30">
        <f t="shared" si="65"/>
        <v>0.88129473684210524</v>
      </c>
      <c r="CA14" s="37"/>
    </row>
    <row r="15" spans="2:79" ht="17.25" thickBot="1" x14ac:dyDescent="0.35">
      <c r="B15" s="301"/>
      <c r="C15" s="301"/>
      <c r="D15" s="313"/>
      <c r="E15" s="193" t="s">
        <v>53</v>
      </c>
      <c r="F15" s="194">
        <f>'2024년 실적'!G15</f>
        <v>949549</v>
      </c>
      <c r="G15" s="195">
        <f>'2024년 실적'!L15</f>
        <v>917663</v>
      </c>
      <c r="H15" s="195">
        <f>SUM(H12:H14)</f>
        <v>1070000</v>
      </c>
      <c r="I15" s="196">
        <f t="shared" si="8"/>
        <v>0.16600538541926602</v>
      </c>
      <c r="J15" s="197">
        <f t="shared" ref="J15:Q15" si="69">SUM(J12:J14)</f>
        <v>739123</v>
      </c>
      <c r="K15" s="195">
        <f t="shared" si="69"/>
        <v>872050</v>
      </c>
      <c r="L15" s="195">
        <f t="shared" si="69"/>
        <v>786880</v>
      </c>
      <c r="M15" s="198">
        <f t="shared" si="10"/>
        <v>-9.7666418209965022E-2</v>
      </c>
      <c r="N15" s="199">
        <f t="shared" si="11"/>
        <v>6.4613061696091156E-2</v>
      </c>
      <c r="O15" s="197">
        <f t="shared" si="69"/>
        <v>62554</v>
      </c>
      <c r="P15" s="195">
        <f t="shared" si="69"/>
        <v>74900</v>
      </c>
      <c r="Q15" s="195">
        <f t="shared" si="69"/>
        <v>64927</v>
      </c>
      <c r="R15" s="198">
        <f t="shared" si="12"/>
        <v>-0.13315086782376506</v>
      </c>
      <c r="S15" s="199">
        <f t="shared" si="13"/>
        <v>3.7935223966492959E-2</v>
      </c>
      <c r="T15" s="197">
        <f t="shared" ref="T15" si="70">SUM(T12:T14)</f>
        <v>54515</v>
      </c>
      <c r="U15" s="195">
        <f>SUM(U12:U14)</f>
        <v>85600</v>
      </c>
      <c r="V15" s="195">
        <f>SUM(V12:V14)</f>
        <v>73844</v>
      </c>
      <c r="W15" s="198">
        <f t="shared" si="14"/>
        <v>-0.13733644859813088</v>
      </c>
      <c r="X15" s="196">
        <f t="shared" si="15"/>
        <v>0.35456296432174628</v>
      </c>
      <c r="Y15" s="197">
        <f t="shared" ref="Y15" si="71">SUM(Y12:Y14)</f>
        <v>72083</v>
      </c>
      <c r="Z15" s="195">
        <f>SUM(Z12:Z14)</f>
        <v>96300</v>
      </c>
      <c r="AA15" s="195">
        <f>SUM(AA12:AA14)</f>
        <v>75223</v>
      </c>
      <c r="AB15" s="198">
        <f t="shared" si="16"/>
        <v>-0.21886812045690551</v>
      </c>
      <c r="AC15" s="199">
        <f t="shared" si="17"/>
        <v>4.3560895079283624E-2</v>
      </c>
      <c r="AD15" s="197">
        <f t="shared" ref="AD15" si="72">SUM(AD12:AD14)</f>
        <v>76698</v>
      </c>
      <c r="AE15" s="195">
        <f>SUM(AE12:AE14)</f>
        <v>85600</v>
      </c>
      <c r="AF15" s="195">
        <f>SUM(AF12:AF14)</f>
        <v>89588</v>
      </c>
      <c r="AG15" s="198">
        <f t="shared" si="18"/>
        <v>4.6588785046729031E-2</v>
      </c>
      <c r="AH15" s="196">
        <f t="shared" si="19"/>
        <v>0.16806174867662782</v>
      </c>
      <c r="AI15" s="197">
        <f t="shared" ref="AI15" si="73">SUM(AI12:AI14)</f>
        <v>68103</v>
      </c>
      <c r="AJ15" s="195">
        <f>SUM(AJ12:AJ14)</f>
        <v>85600</v>
      </c>
      <c r="AK15" s="195">
        <f>SUM(AK12:AK14)</f>
        <v>80915</v>
      </c>
      <c r="AL15" s="198">
        <f t="shared" si="20"/>
        <v>-5.4731308411214985E-2</v>
      </c>
      <c r="AM15" s="199">
        <f t="shared" si="21"/>
        <v>0.18812680792329273</v>
      </c>
      <c r="AN15" s="197">
        <f t="shared" ref="AN15" si="74">SUM(AN12:AN14)</f>
        <v>71175</v>
      </c>
      <c r="AO15" s="195">
        <f>SUM(AO12:AO14)</f>
        <v>85600</v>
      </c>
      <c r="AP15" s="195">
        <f>SUM(AP12:AP14)</f>
        <v>78297</v>
      </c>
      <c r="AQ15" s="198">
        <f t="shared" si="22"/>
        <v>-8.5315420560747701E-2</v>
      </c>
      <c r="AR15" s="196">
        <f t="shared" si="23"/>
        <v>0.10006322444678606</v>
      </c>
      <c r="AS15" s="197">
        <f t="shared" ref="AS15" si="75">SUM(AS12:AS14)</f>
        <v>70886</v>
      </c>
      <c r="AT15" s="195">
        <f>SUM(AT12:AT14)</f>
        <v>85600</v>
      </c>
      <c r="AU15" s="195">
        <f>SUM(AU12:AU14)</f>
        <v>82215</v>
      </c>
      <c r="AV15" s="198">
        <f t="shared" si="24"/>
        <v>-3.9544392523364502E-2</v>
      </c>
      <c r="AW15" s="199">
        <f t="shared" si="25"/>
        <v>0.15981999266427782</v>
      </c>
      <c r="AX15" s="197">
        <f t="shared" ref="AX15" si="76">SUM(AX12:AX14)</f>
        <v>82313</v>
      </c>
      <c r="AY15" s="195">
        <f>SUM(AY12:AY14)</f>
        <v>85600</v>
      </c>
      <c r="AZ15" s="195">
        <f>SUM(AZ12:AZ14)</f>
        <v>74105</v>
      </c>
      <c r="BA15" s="198">
        <f t="shared" si="26"/>
        <v>-0.13428738317757005</v>
      </c>
      <c r="BB15" s="196">
        <f t="shared" si="27"/>
        <v>-9.9716934141630076E-2</v>
      </c>
      <c r="BC15" s="197">
        <f t="shared" ref="BC15" si="77">SUM(BC12:BC14)</f>
        <v>75786</v>
      </c>
      <c r="BD15" s="195">
        <f>SUM(BD12:BD14)</f>
        <v>85600</v>
      </c>
      <c r="BE15" s="195">
        <f>SUM(BE12:BE14)</f>
        <v>81391</v>
      </c>
      <c r="BF15" s="198">
        <f t="shared" si="28"/>
        <v>-4.9170560747663572E-2</v>
      </c>
      <c r="BG15" s="199">
        <f t="shared" si="29"/>
        <v>7.3958250864275765E-2</v>
      </c>
      <c r="BH15" s="197">
        <f t="shared" ref="BH15" si="78">SUM(BH12:BH14)</f>
        <v>105010</v>
      </c>
      <c r="BI15" s="195">
        <f>SUM(BI12:BI14)</f>
        <v>101650</v>
      </c>
      <c r="BJ15" s="195">
        <f>SUM(BJ12:BJ14)</f>
        <v>86375</v>
      </c>
      <c r="BK15" s="198">
        <f t="shared" si="30"/>
        <v>-0.15027053615346775</v>
      </c>
      <c r="BL15" s="196">
        <f t="shared" si="31"/>
        <v>-0.17745928959146751</v>
      </c>
      <c r="BM15" s="197">
        <f t="shared" ref="BM15" si="79">SUM(BM12:BM14)</f>
        <v>89555</v>
      </c>
      <c r="BN15" s="195">
        <f>SUM(BN12:BN14)</f>
        <v>101650</v>
      </c>
      <c r="BO15" s="195">
        <f>SUM(BO12:BO14)</f>
        <v>0</v>
      </c>
      <c r="BP15" s="198">
        <f t="shared" si="32"/>
        <v>-1</v>
      </c>
      <c r="BQ15" s="199">
        <f t="shared" si="33"/>
        <v>-1</v>
      </c>
      <c r="BR15" s="197">
        <f t="shared" ref="BR15" si="80">SUM(BR12:BR14)</f>
        <v>88985</v>
      </c>
      <c r="BS15" s="195">
        <f>SUM(BS12:BS14)</f>
        <v>96300</v>
      </c>
      <c r="BT15" s="195">
        <f>SUM(BT12:BT14)</f>
        <v>0</v>
      </c>
      <c r="BU15" s="198">
        <f t="shared" si="34"/>
        <v>-1</v>
      </c>
      <c r="BV15" s="199">
        <f t="shared" si="35"/>
        <v>-1</v>
      </c>
      <c r="BW15" s="279">
        <f t="shared" si="38"/>
        <v>944256</v>
      </c>
      <c r="BX15" s="279">
        <f t="shared" si="39"/>
        <v>47757</v>
      </c>
      <c r="BY15" s="274"/>
      <c r="BZ15" s="30">
        <f t="shared" si="65"/>
        <v>0.73540186915887851</v>
      </c>
      <c r="CA15" s="37"/>
    </row>
    <row r="16" spans="2:79" x14ac:dyDescent="0.3">
      <c r="B16" s="301"/>
      <c r="C16" s="301"/>
      <c r="D16" s="314" t="s">
        <v>54</v>
      </c>
      <c r="E16" s="191" t="s">
        <v>22</v>
      </c>
      <c r="F16" s="56">
        <f>'2024년 실적'!G16</f>
        <v>265892</v>
      </c>
      <c r="G16" s="41">
        <f>'2024년 실적'!L16</f>
        <v>345199</v>
      </c>
      <c r="H16" s="41">
        <v>390000</v>
      </c>
      <c r="I16" s="81">
        <f t="shared" si="8"/>
        <v>0.12978311061156034</v>
      </c>
      <c r="J16" s="129">
        <f t="shared" ref="J16:J19" si="81">O16+T16+Y16+AD16+AI16+AN16+AS16+AX16+BC16+BH16</f>
        <v>282919</v>
      </c>
      <c r="K16" s="130">
        <f t="shared" ref="K16:K19" si="82">P16+U16+Z16+AE16+AJ16+AO16+AT16+AY16+BD16+BI16</f>
        <v>317850</v>
      </c>
      <c r="L16" s="130">
        <f t="shared" ref="L16:L19" si="83">Q16+V16+AA16+AF16+AK16+AP16+AU16+AZ16+BE16+BJ16</f>
        <v>295693</v>
      </c>
      <c r="M16" s="112">
        <f t="shared" si="10"/>
        <v>-6.9708982224319649E-2</v>
      </c>
      <c r="N16" s="23">
        <f t="shared" si="11"/>
        <v>4.515073218836485E-2</v>
      </c>
      <c r="O16" s="21">
        <f>'2024년 실적'!Q16</f>
        <v>24956</v>
      </c>
      <c r="P16" s="41">
        <v>27300.000000000004</v>
      </c>
      <c r="Q16" s="41">
        <v>27472</v>
      </c>
      <c r="R16" s="112">
        <f t="shared" si="12"/>
        <v>6.3003663003662336E-3</v>
      </c>
      <c r="S16" s="23">
        <f t="shared" si="13"/>
        <v>0.10081743869209814</v>
      </c>
      <c r="T16" s="21">
        <f>'2024년 실적'!V16</f>
        <v>22654</v>
      </c>
      <c r="U16" s="41">
        <v>31200</v>
      </c>
      <c r="V16" s="41">
        <v>28046</v>
      </c>
      <c r="W16" s="112">
        <f t="shared" si="14"/>
        <v>-0.10108974358974354</v>
      </c>
      <c r="X16" s="81">
        <f t="shared" si="15"/>
        <v>0.23801536152555847</v>
      </c>
      <c r="Y16" s="21">
        <f>'2024년 실적'!AA16</f>
        <v>28088</v>
      </c>
      <c r="Z16" s="41">
        <v>35100</v>
      </c>
      <c r="AA16" s="41">
        <v>28563</v>
      </c>
      <c r="AB16" s="112">
        <f t="shared" si="16"/>
        <v>-0.18623931623931622</v>
      </c>
      <c r="AC16" s="23">
        <f t="shared" si="17"/>
        <v>1.6911136428368057E-2</v>
      </c>
      <c r="AD16" s="21">
        <f>'2024년 실적'!AF16</f>
        <v>32132</v>
      </c>
      <c r="AE16" s="41">
        <v>31200</v>
      </c>
      <c r="AF16" s="41">
        <v>31610</v>
      </c>
      <c r="AG16" s="112">
        <f t="shared" si="18"/>
        <v>1.3141025641025594E-2</v>
      </c>
      <c r="AH16" s="81">
        <f t="shared" si="19"/>
        <v>-1.6245487364620947E-2</v>
      </c>
      <c r="AI16" s="21">
        <f>'2024년 실적'!AK16</f>
        <v>27494</v>
      </c>
      <c r="AJ16" s="41">
        <v>31200</v>
      </c>
      <c r="AK16" s="41">
        <v>30918</v>
      </c>
      <c r="AL16" s="112">
        <f t="shared" si="20"/>
        <v>-9.0384615384615508E-3</v>
      </c>
      <c r="AM16" s="23">
        <f t="shared" si="21"/>
        <v>0.12453626245726346</v>
      </c>
      <c r="AN16" s="21">
        <f>'2024년 실적'!AP16</f>
        <v>28060</v>
      </c>
      <c r="AO16" s="41">
        <v>31200</v>
      </c>
      <c r="AP16" s="41">
        <v>27004</v>
      </c>
      <c r="AQ16" s="112">
        <f t="shared" si="22"/>
        <v>-0.13448717948717948</v>
      </c>
      <c r="AR16" s="81">
        <f t="shared" si="23"/>
        <v>-3.7633642195295747E-2</v>
      </c>
      <c r="AS16" s="21">
        <f>'2024년 실적'!AU16</f>
        <v>30993</v>
      </c>
      <c r="AT16" s="41">
        <v>31200</v>
      </c>
      <c r="AU16" s="41">
        <v>32372</v>
      </c>
      <c r="AV16" s="112">
        <f t="shared" si="24"/>
        <v>3.7564102564102475E-2</v>
      </c>
      <c r="AW16" s="23">
        <f t="shared" si="25"/>
        <v>4.4493917981479614E-2</v>
      </c>
      <c r="AX16" s="21">
        <f>'2024년 실적'!AZ16</f>
        <v>30145</v>
      </c>
      <c r="AY16" s="41">
        <v>31200</v>
      </c>
      <c r="AZ16" s="41">
        <v>28788</v>
      </c>
      <c r="BA16" s="112">
        <f t="shared" si="26"/>
        <v>-7.7307692307692299E-2</v>
      </c>
      <c r="BB16" s="81">
        <f t="shared" si="27"/>
        <v>-4.5015757173660687E-2</v>
      </c>
      <c r="BC16" s="21">
        <f>'2024년 실적'!BE16</f>
        <v>25653</v>
      </c>
      <c r="BD16" s="41">
        <v>31200</v>
      </c>
      <c r="BE16" s="41">
        <v>30937</v>
      </c>
      <c r="BF16" s="112">
        <f t="shared" si="28"/>
        <v>-8.4294871794872162E-3</v>
      </c>
      <c r="BG16" s="23">
        <f t="shared" si="29"/>
        <v>0.20597980742993016</v>
      </c>
      <c r="BH16" s="21">
        <f>'2024년 실적'!BJ16</f>
        <v>32744</v>
      </c>
      <c r="BI16" s="41">
        <v>37050</v>
      </c>
      <c r="BJ16" s="41">
        <v>29983</v>
      </c>
      <c r="BK16" s="112">
        <f t="shared" si="30"/>
        <v>-0.19074224021592445</v>
      </c>
      <c r="BL16" s="81">
        <f t="shared" si="31"/>
        <v>-8.4320791595406841E-2</v>
      </c>
      <c r="BM16" s="21">
        <f>'2024년 실적'!BO16</f>
        <v>30570</v>
      </c>
      <c r="BN16" s="41">
        <v>37050</v>
      </c>
      <c r="BO16" s="41"/>
      <c r="BP16" s="112">
        <f t="shared" si="32"/>
        <v>-1</v>
      </c>
      <c r="BQ16" s="23">
        <f t="shared" si="33"/>
        <v>-1</v>
      </c>
      <c r="BR16" s="21">
        <f>'2024년 실적'!BT16</f>
        <v>31710</v>
      </c>
      <c r="BS16" s="41">
        <v>35100</v>
      </c>
      <c r="BT16" s="41"/>
      <c r="BU16" s="112">
        <f t="shared" si="34"/>
        <v>-1</v>
      </c>
      <c r="BV16" s="23">
        <f t="shared" si="35"/>
        <v>-1</v>
      </c>
      <c r="BW16" s="37">
        <f t="shared" si="38"/>
        <v>354831.6</v>
      </c>
      <c r="BX16" s="37">
        <f t="shared" si="39"/>
        <v>12774</v>
      </c>
      <c r="BY16" s="274"/>
      <c r="BZ16" s="30">
        <f t="shared" si="65"/>
        <v>0.75818717948717951</v>
      </c>
      <c r="CA16" s="37"/>
    </row>
    <row r="17" spans="2:79" x14ac:dyDescent="0.3">
      <c r="B17" s="301"/>
      <c r="C17" s="301"/>
      <c r="D17" s="312"/>
      <c r="E17" s="67" t="s">
        <v>23</v>
      </c>
      <c r="F17" s="45">
        <f>'2024년 실적'!G17</f>
        <v>554782</v>
      </c>
      <c r="G17" s="39">
        <f>'2024년 실적'!L17</f>
        <v>681035</v>
      </c>
      <c r="H17" s="39">
        <v>750000</v>
      </c>
      <c r="I17" s="33">
        <f t="shared" si="8"/>
        <v>0.1012649863810231</v>
      </c>
      <c r="J17" s="107">
        <f t="shared" si="81"/>
        <v>575469</v>
      </c>
      <c r="K17" s="87">
        <f t="shared" si="82"/>
        <v>611250</v>
      </c>
      <c r="L17" s="87">
        <f t="shared" si="83"/>
        <v>595025</v>
      </c>
      <c r="M17" s="88">
        <f t="shared" si="10"/>
        <v>-2.6543967280163616E-2</v>
      </c>
      <c r="N17" s="15">
        <f t="shared" si="11"/>
        <v>3.3982716705852178E-2</v>
      </c>
      <c r="O17" s="13">
        <f>'2024년 실적'!Q17</f>
        <v>51458</v>
      </c>
      <c r="P17" s="39">
        <v>52500.000000000007</v>
      </c>
      <c r="Q17" s="39">
        <v>43848</v>
      </c>
      <c r="R17" s="88">
        <f t="shared" si="12"/>
        <v>-0.16480000000000017</v>
      </c>
      <c r="S17" s="15">
        <f t="shared" si="13"/>
        <v>-0.14788759765245441</v>
      </c>
      <c r="T17" s="13">
        <f>'2024년 실적'!V17</f>
        <v>41572</v>
      </c>
      <c r="U17" s="39">
        <v>60000</v>
      </c>
      <c r="V17" s="39">
        <v>49035</v>
      </c>
      <c r="W17" s="88">
        <f t="shared" si="14"/>
        <v>-0.18274999999999997</v>
      </c>
      <c r="X17" s="33">
        <f t="shared" si="15"/>
        <v>0.17951986914269225</v>
      </c>
      <c r="Y17" s="13">
        <f>'2024년 실적'!AA17</f>
        <v>111312</v>
      </c>
      <c r="Z17" s="39">
        <v>67500</v>
      </c>
      <c r="AA17" s="39">
        <v>60892</v>
      </c>
      <c r="AB17" s="88">
        <f t="shared" si="16"/>
        <v>-9.7896296296296259E-2</v>
      </c>
      <c r="AC17" s="15">
        <f t="shared" si="17"/>
        <v>-0.45296104642805812</v>
      </c>
      <c r="AD17" s="13">
        <f>'2024년 실적'!AF17</f>
        <v>45296</v>
      </c>
      <c r="AE17" s="39">
        <v>60000</v>
      </c>
      <c r="AF17" s="39">
        <v>66140</v>
      </c>
      <c r="AG17" s="88">
        <f t="shared" si="18"/>
        <v>0.10233333333333339</v>
      </c>
      <c r="AH17" s="33">
        <f t="shared" si="19"/>
        <v>0.46017308371600141</v>
      </c>
      <c r="AI17" s="13">
        <f>'2024년 실적'!AK17</f>
        <v>45576</v>
      </c>
      <c r="AJ17" s="39">
        <v>60000</v>
      </c>
      <c r="AK17" s="39">
        <v>81294</v>
      </c>
      <c r="AL17" s="88">
        <f t="shared" si="20"/>
        <v>0.35489999999999999</v>
      </c>
      <c r="AM17" s="15">
        <f t="shared" si="21"/>
        <v>0.78370194839389162</v>
      </c>
      <c r="AN17" s="13">
        <f>'2024년 실적'!AP17</f>
        <v>57196</v>
      </c>
      <c r="AO17" s="39">
        <v>60000</v>
      </c>
      <c r="AP17" s="39">
        <v>77020</v>
      </c>
      <c r="AQ17" s="88">
        <f t="shared" si="22"/>
        <v>0.28366666666666673</v>
      </c>
      <c r="AR17" s="33">
        <f t="shared" si="23"/>
        <v>0.34659766417231985</v>
      </c>
      <c r="AS17" s="13">
        <f>'2024년 실적'!AU17</f>
        <v>45164</v>
      </c>
      <c r="AT17" s="39">
        <v>60000</v>
      </c>
      <c r="AU17" s="39">
        <v>45132</v>
      </c>
      <c r="AV17" s="88">
        <f t="shared" si="24"/>
        <v>-0.24780000000000002</v>
      </c>
      <c r="AW17" s="15">
        <f t="shared" si="25"/>
        <v>-7.0852891683637065E-4</v>
      </c>
      <c r="AX17" s="13">
        <f>'2024년 실적'!AZ17</f>
        <v>49634</v>
      </c>
      <c r="AY17" s="39">
        <v>60000</v>
      </c>
      <c r="AZ17" s="39">
        <v>49406</v>
      </c>
      <c r="BA17" s="88">
        <f t="shared" si="26"/>
        <v>-0.17656666666666665</v>
      </c>
      <c r="BB17" s="33">
        <f t="shared" si="27"/>
        <v>-4.5936253374703195E-3</v>
      </c>
      <c r="BC17" s="13">
        <f>'2024년 실적'!BE17</f>
        <v>47638</v>
      </c>
      <c r="BD17" s="39">
        <v>60000</v>
      </c>
      <c r="BE17" s="39">
        <v>60172</v>
      </c>
      <c r="BF17" s="88">
        <f t="shared" si="28"/>
        <v>2.866666666666573E-3</v>
      </c>
      <c r="BG17" s="15">
        <f t="shared" si="29"/>
        <v>0.26310928250556276</v>
      </c>
      <c r="BH17" s="13">
        <f>'2024년 실적'!BJ17</f>
        <v>80623</v>
      </c>
      <c r="BI17" s="39">
        <v>71250</v>
      </c>
      <c r="BJ17" s="39">
        <v>62086</v>
      </c>
      <c r="BK17" s="88">
        <f t="shared" si="30"/>
        <v>-0.12861754385964907</v>
      </c>
      <c r="BL17" s="33">
        <f t="shared" si="31"/>
        <v>-0.22992198256080776</v>
      </c>
      <c r="BM17" s="13">
        <f>'2024년 실적'!BO17</f>
        <v>51218</v>
      </c>
      <c r="BN17" s="39">
        <v>71250</v>
      </c>
      <c r="BO17" s="39"/>
      <c r="BP17" s="88">
        <f t="shared" si="32"/>
        <v>-1</v>
      </c>
      <c r="BQ17" s="15">
        <f t="shared" si="33"/>
        <v>-1</v>
      </c>
      <c r="BR17" s="13">
        <f>'2024년 실적'!BT17</f>
        <v>54348</v>
      </c>
      <c r="BS17" s="39">
        <v>67500</v>
      </c>
      <c r="BT17" s="39"/>
      <c r="BU17" s="88">
        <f t="shared" si="34"/>
        <v>-1</v>
      </c>
      <c r="BV17" s="15">
        <f t="shared" si="35"/>
        <v>-1</v>
      </c>
      <c r="BW17" s="37">
        <f t="shared" si="38"/>
        <v>714030</v>
      </c>
      <c r="BX17" s="37">
        <f t="shared" si="39"/>
        <v>19556</v>
      </c>
      <c r="BY17" s="274"/>
      <c r="BZ17" s="30">
        <f t="shared" si="65"/>
        <v>0.79336666666666666</v>
      </c>
      <c r="CA17" s="37"/>
    </row>
    <row r="18" spans="2:79" x14ac:dyDescent="0.3">
      <c r="B18" s="301"/>
      <c r="C18" s="301"/>
      <c r="D18" s="312"/>
      <c r="E18" s="67" t="s">
        <v>24</v>
      </c>
      <c r="F18" s="45">
        <f>'2024년 실적'!G18</f>
        <v>316827</v>
      </c>
      <c r="G18" s="39">
        <f>'2024년 실적'!L18</f>
        <v>265074</v>
      </c>
      <c r="H18" s="39">
        <v>300000</v>
      </c>
      <c r="I18" s="33">
        <f t="shared" si="8"/>
        <v>0.13175943321487593</v>
      </c>
      <c r="J18" s="107">
        <f t="shared" si="81"/>
        <v>216703</v>
      </c>
      <c r="K18" s="87">
        <f t="shared" si="82"/>
        <v>244500</v>
      </c>
      <c r="L18" s="87">
        <f t="shared" si="83"/>
        <v>230987</v>
      </c>
      <c r="M18" s="88">
        <f t="shared" si="10"/>
        <v>-5.5267893660531753E-2</v>
      </c>
      <c r="N18" s="15">
        <f t="shared" si="11"/>
        <v>6.5915100390857573E-2</v>
      </c>
      <c r="O18" s="13">
        <f>'2024년 실적'!Q18</f>
        <v>21467</v>
      </c>
      <c r="P18" s="39">
        <v>21000.000000000004</v>
      </c>
      <c r="Q18" s="39">
        <v>16550</v>
      </c>
      <c r="R18" s="88">
        <f t="shared" si="12"/>
        <v>-0.21190476190476204</v>
      </c>
      <c r="S18" s="15">
        <f t="shared" si="13"/>
        <v>-0.22904923836586388</v>
      </c>
      <c r="T18" s="13">
        <f>'2024년 실적'!V18</f>
        <v>19730</v>
      </c>
      <c r="U18" s="39">
        <v>24000</v>
      </c>
      <c r="V18" s="39">
        <v>20077</v>
      </c>
      <c r="W18" s="88">
        <f t="shared" si="14"/>
        <v>-0.16345833333333337</v>
      </c>
      <c r="X18" s="33">
        <f t="shared" si="15"/>
        <v>1.7587430309173868E-2</v>
      </c>
      <c r="Y18" s="13">
        <f>'2024년 실적'!AA18</f>
        <v>20764</v>
      </c>
      <c r="Z18" s="39">
        <v>27000</v>
      </c>
      <c r="AA18" s="39">
        <v>21952</v>
      </c>
      <c r="AB18" s="88">
        <f t="shared" si="16"/>
        <v>-0.186962962962963</v>
      </c>
      <c r="AC18" s="15">
        <f t="shared" si="17"/>
        <v>5.7214409554999124E-2</v>
      </c>
      <c r="AD18" s="13">
        <f>'2024년 실적'!AF18</f>
        <v>21938</v>
      </c>
      <c r="AE18" s="39">
        <v>24000</v>
      </c>
      <c r="AF18" s="39">
        <v>24115</v>
      </c>
      <c r="AG18" s="88">
        <f t="shared" si="18"/>
        <v>4.7916666666667496E-3</v>
      </c>
      <c r="AH18" s="33">
        <f t="shared" si="19"/>
        <v>9.9234205488194061E-2</v>
      </c>
      <c r="AI18" s="13">
        <f>'2024년 실적'!AK18</f>
        <v>22265</v>
      </c>
      <c r="AJ18" s="39">
        <v>24000</v>
      </c>
      <c r="AK18" s="39">
        <v>26146</v>
      </c>
      <c r="AL18" s="88">
        <f t="shared" si="20"/>
        <v>8.94166666666667E-2</v>
      </c>
      <c r="AM18" s="15">
        <f t="shared" si="21"/>
        <v>0.17430945430047151</v>
      </c>
      <c r="AN18" s="13">
        <f>'2024년 실적'!AP18</f>
        <v>21398</v>
      </c>
      <c r="AO18" s="39">
        <v>24000</v>
      </c>
      <c r="AP18" s="39">
        <v>23244</v>
      </c>
      <c r="AQ18" s="88">
        <f t="shared" si="22"/>
        <v>-3.1499999999999972E-2</v>
      </c>
      <c r="AR18" s="33">
        <f t="shared" si="23"/>
        <v>8.6269744835965945E-2</v>
      </c>
      <c r="AS18" s="13">
        <f>'2024년 실적'!AU18</f>
        <v>22294</v>
      </c>
      <c r="AT18" s="39">
        <v>24000</v>
      </c>
      <c r="AU18" s="39">
        <v>24062</v>
      </c>
      <c r="AV18" s="88">
        <f t="shared" si="24"/>
        <v>2.5833333333333819E-3</v>
      </c>
      <c r="AW18" s="15">
        <f t="shared" si="25"/>
        <v>7.930384856912176E-2</v>
      </c>
      <c r="AX18" s="13">
        <f>'2024년 실적'!AZ18</f>
        <v>22017</v>
      </c>
      <c r="AY18" s="39">
        <v>24000</v>
      </c>
      <c r="AZ18" s="39">
        <v>22573</v>
      </c>
      <c r="BA18" s="88">
        <f t="shared" si="26"/>
        <v>-5.945833333333328E-2</v>
      </c>
      <c r="BB18" s="33">
        <f t="shared" si="27"/>
        <v>2.5253213425989074E-2</v>
      </c>
      <c r="BC18" s="13">
        <f>'2024년 실적'!BE18</f>
        <v>20017</v>
      </c>
      <c r="BD18" s="39">
        <v>24000</v>
      </c>
      <c r="BE18" s="39">
        <v>26159</v>
      </c>
      <c r="BF18" s="88">
        <f t="shared" si="28"/>
        <v>8.9958333333333362E-2</v>
      </c>
      <c r="BG18" s="15">
        <f t="shared" si="29"/>
        <v>0.30683918669131249</v>
      </c>
      <c r="BH18" s="13">
        <f>'2024년 실적'!BJ18</f>
        <v>24813</v>
      </c>
      <c r="BI18" s="39">
        <v>28500</v>
      </c>
      <c r="BJ18" s="39">
        <v>26109</v>
      </c>
      <c r="BK18" s="88">
        <f t="shared" si="30"/>
        <v>-8.3894736842105244E-2</v>
      </c>
      <c r="BL18" s="33">
        <f t="shared" si="31"/>
        <v>5.2230685527747456E-2</v>
      </c>
      <c r="BM18" s="13">
        <f>'2024년 실적'!BO18</f>
        <v>25063</v>
      </c>
      <c r="BN18" s="39">
        <v>28500</v>
      </c>
      <c r="BO18" s="39"/>
      <c r="BP18" s="88">
        <f t="shared" si="32"/>
        <v>-1</v>
      </c>
      <c r="BQ18" s="15">
        <f t="shared" si="33"/>
        <v>-1</v>
      </c>
      <c r="BR18" s="13">
        <f>'2024년 실적'!BT18</f>
        <v>23308</v>
      </c>
      <c r="BS18" s="39">
        <v>27000</v>
      </c>
      <c r="BT18" s="39"/>
      <c r="BU18" s="88">
        <f t="shared" si="34"/>
        <v>-1</v>
      </c>
      <c r="BV18" s="15">
        <f t="shared" si="35"/>
        <v>-1</v>
      </c>
      <c r="BW18" s="37">
        <f t="shared" si="38"/>
        <v>277184.40000000002</v>
      </c>
      <c r="BX18" s="37">
        <f t="shared" si="39"/>
        <v>14284</v>
      </c>
      <c r="BY18" s="274"/>
      <c r="BZ18" s="30">
        <f t="shared" si="65"/>
        <v>0.76995666666666662</v>
      </c>
      <c r="CA18" s="37"/>
    </row>
    <row r="19" spans="2:79" x14ac:dyDescent="0.3">
      <c r="B19" s="301"/>
      <c r="C19" s="301"/>
      <c r="D19" s="312"/>
      <c r="E19" s="67" t="s">
        <v>27</v>
      </c>
      <c r="F19" s="45">
        <f>'2024년 실적'!G19</f>
        <v>666952</v>
      </c>
      <c r="G19" s="39">
        <f>'2024년 실적'!L19</f>
        <v>669366</v>
      </c>
      <c r="H19" s="39">
        <v>698000</v>
      </c>
      <c r="I19" s="33">
        <f t="shared" si="8"/>
        <v>4.2777792717287655E-2</v>
      </c>
      <c r="J19" s="107">
        <f t="shared" si="81"/>
        <v>548123</v>
      </c>
      <c r="K19" s="87">
        <f t="shared" si="82"/>
        <v>568870</v>
      </c>
      <c r="L19" s="87">
        <f t="shared" si="83"/>
        <v>551571</v>
      </c>
      <c r="M19" s="88">
        <f t="shared" si="10"/>
        <v>-3.0409408124879134E-2</v>
      </c>
      <c r="N19" s="15">
        <f t="shared" si="11"/>
        <v>6.2905588709103455E-3</v>
      </c>
      <c r="O19" s="13">
        <f>'2024년 실적'!Q19</f>
        <v>41822</v>
      </c>
      <c r="P19" s="39">
        <v>48860.000000000007</v>
      </c>
      <c r="Q19" s="39">
        <v>57133</v>
      </c>
      <c r="R19" s="88">
        <f t="shared" si="12"/>
        <v>0.16932050757265649</v>
      </c>
      <c r="S19" s="15">
        <f t="shared" si="13"/>
        <v>0.36609918224857729</v>
      </c>
      <c r="T19" s="13">
        <f>'2024년 실적'!V19</f>
        <v>39970</v>
      </c>
      <c r="U19" s="39">
        <v>55840</v>
      </c>
      <c r="V19" s="39">
        <v>64272</v>
      </c>
      <c r="W19" s="88">
        <f t="shared" si="14"/>
        <v>0.15100286532951279</v>
      </c>
      <c r="X19" s="33">
        <f t="shared" si="15"/>
        <v>0.6080060045033775</v>
      </c>
      <c r="Y19" s="13">
        <f>'2024년 실적'!AA19</f>
        <v>54988</v>
      </c>
      <c r="Z19" s="39">
        <v>62820</v>
      </c>
      <c r="AA19" s="39">
        <v>43316</v>
      </c>
      <c r="AB19" s="88">
        <f t="shared" si="16"/>
        <v>-0.31047437121935684</v>
      </c>
      <c r="AC19" s="15">
        <f t="shared" si="17"/>
        <v>-0.21226449407143377</v>
      </c>
      <c r="AD19" s="13">
        <f>'2024년 실적'!AF19</f>
        <v>69684</v>
      </c>
      <c r="AE19" s="39">
        <v>55840</v>
      </c>
      <c r="AF19" s="39">
        <v>55264</v>
      </c>
      <c r="AG19" s="88">
        <f t="shared" si="18"/>
        <v>-1.0315186246418362E-2</v>
      </c>
      <c r="AH19" s="33">
        <f t="shared" si="19"/>
        <v>-0.20693415992193331</v>
      </c>
      <c r="AI19" s="13">
        <f>'2024년 실적'!AK19</f>
        <v>54288</v>
      </c>
      <c r="AJ19" s="39">
        <v>55840</v>
      </c>
      <c r="AK19" s="39">
        <v>49971</v>
      </c>
      <c r="AL19" s="88">
        <f t="shared" si="20"/>
        <v>-0.10510386819484241</v>
      </c>
      <c r="AM19" s="15">
        <f t="shared" si="21"/>
        <v>-7.9520335985853174E-2</v>
      </c>
      <c r="AN19" s="13">
        <f>'2024년 실적'!AP19</f>
        <v>64667</v>
      </c>
      <c r="AO19" s="39">
        <v>55840</v>
      </c>
      <c r="AP19" s="39">
        <v>55724</v>
      </c>
      <c r="AQ19" s="88">
        <f t="shared" si="22"/>
        <v>-2.0773638968480945E-3</v>
      </c>
      <c r="AR19" s="33">
        <f t="shared" si="23"/>
        <v>-0.13829310158195063</v>
      </c>
      <c r="AS19" s="13">
        <f>'2024년 실적'!AU19</f>
        <v>64020</v>
      </c>
      <c r="AT19" s="39">
        <v>55840</v>
      </c>
      <c r="AU19" s="39">
        <v>51623</v>
      </c>
      <c r="AV19" s="88">
        <f t="shared" si="24"/>
        <v>-7.5519340974211979E-2</v>
      </c>
      <c r="AW19" s="15">
        <f t="shared" si="25"/>
        <v>-0.19364261168384878</v>
      </c>
      <c r="AX19" s="13">
        <f>'2024년 실적'!AZ19</f>
        <v>53627</v>
      </c>
      <c r="AY19" s="39">
        <v>55840</v>
      </c>
      <c r="AZ19" s="39">
        <v>61007</v>
      </c>
      <c r="BA19" s="88">
        <f t="shared" si="26"/>
        <v>9.2532234957020121E-2</v>
      </c>
      <c r="BB19" s="33">
        <f t="shared" si="27"/>
        <v>0.13761724504447392</v>
      </c>
      <c r="BC19" s="13">
        <f>'2024년 실적'!BE19</f>
        <v>49995</v>
      </c>
      <c r="BD19" s="39">
        <v>55840</v>
      </c>
      <c r="BE19" s="39">
        <v>63774</v>
      </c>
      <c r="BF19" s="88">
        <f t="shared" si="28"/>
        <v>0.14208452722063036</v>
      </c>
      <c r="BG19" s="15">
        <f t="shared" si="29"/>
        <v>0.27560756075607551</v>
      </c>
      <c r="BH19" s="13">
        <f>'2024년 실적'!BJ19</f>
        <v>55062</v>
      </c>
      <c r="BI19" s="39">
        <v>66310</v>
      </c>
      <c r="BJ19" s="39">
        <v>49487</v>
      </c>
      <c r="BK19" s="88">
        <f t="shared" si="30"/>
        <v>-0.253702307344292</v>
      </c>
      <c r="BL19" s="33">
        <f t="shared" si="31"/>
        <v>-0.10124950056300175</v>
      </c>
      <c r="BM19" s="13">
        <f>'2024년 실적'!BO19</f>
        <v>63034</v>
      </c>
      <c r="BN19" s="39">
        <v>66310</v>
      </c>
      <c r="BO19" s="39"/>
      <c r="BP19" s="88">
        <f t="shared" si="32"/>
        <v>-1</v>
      </c>
      <c r="BQ19" s="15">
        <f t="shared" si="33"/>
        <v>-1</v>
      </c>
      <c r="BR19" s="13">
        <f>'2024년 실적'!BT19</f>
        <v>58209</v>
      </c>
      <c r="BS19" s="39">
        <v>62820</v>
      </c>
      <c r="BT19" s="39"/>
      <c r="BU19" s="88">
        <f t="shared" si="34"/>
        <v>-1</v>
      </c>
      <c r="BV19" s="15">
        <f t="shared" si="35"/>
        <v>-1</v>
      </c>
      <c r="BW19" s="37">
        <f t="shared" si="38"/>
        <v>661885.19999999995</v>
      </c>
      <c r="BX19" s="37">
        <f t="shared" si="39"/>
        <v>3448</v>
      </c>
      <c r="BY19" s="274"/>
      <c r="BZ19" s="30">
        <f t="shared" si="65"/>
        <v>0.79021633237822353</v>
      </c>
      <c r="CA19" s="37"/>
    </row>
    <row r="20" spans="2:79" ht="17.25" thickBot="1" x14ac:dyDescent="0.35">
      <c r="B20" s="301"/>
      <c r="C20" s="301"/>
      <c r="D20" s="315"/>
      <c r="E20" s="200" t="s">
        <v>53</v>
      </c>
      <c r="F20" s="201">
        <f>'2024년 실적'!G20</f>
        <v>1804453</v>
      </c>
      <c r="G20" s="202">
        <f>'2024년 실적'!L20</f>
        <v>1960674</v>
      </c>
      <c r="H20" s="202">
        <f>SUM(H16:H19)</f>
        <v>2138000</v>
      </c>
      <c r="I20" s="203">
        <f t="shared" si="8"/>
        <v>9.0441348230251517E-2</v>
      </c>
      <c r="J20" s="204">
        <f t="shared" ref="J20:Q20" si="84">SUM(J16:J19)</f>
        <v>1623214</v>
      </c>
      <c r="K20" s="202">
        <f t="shared" si="84"/>
        <v>1742470</v>
      </c>
      <c r="L20" s="202">
        <f t="shared" si="84"/>
        <v>1673276</v>
      </c>
      <c r="M20" s="205">
        <f t="shared" si="10"/>
        <v>-3.9710296303523185E-2</v>
      </c>
      <c r="N20" s="206">
        <f t="shared" si="11"/>
        <v>3.0841281556221123E-2</v>
      </c>
      <c r="O20" s="204">
        <f t="shared" si="84"/>
        <v>139703</v>
      </c>
      <c r="P20" s="202">
        <f t="shared" si="84"/>
        <v>149660.00000000003</v>
      </c>
      <c r="Q20" s="202">
        <f t="shared" si="84"/>
        <v>145003</v>
      </c>
      <c r="R20" s="205">
        <f t="shared" si="12"/>
        <v>-3.1117198984364713E-2</v>
      </c>
      <c r="S20" s="206">
        <f t="shared" si="13"/>
        <v>3.7937624818364712E-2</v>
      </c>
      <c r="T20" s="204">
        <f t="shared" ref="T20" si="85">SUM(T16:T19)</f>
        <v>123926</v>
      </c>
      <c r="U20" s="202">
        <f>SUM(U16:U19)</f>
        <v>171040</v>
      </c>
      <c r="V20" s="202">
        <f>SUM(V16:V19)</f>
        <v>161430</v>
      </c>
      <c r="W20" s="205">
        <f t="shared" si="14"/>
        <v>-5.6185687558465869E-2</v>
      </c>
      <c r="X20" s="203">
        <f t="shared" si="15"/>
        <v>0.30263221599987089</v>
      </c>
      <c r="Y20" s="204">
        <f t="shared" ref="Y20" si="86">SUM(Y16:Y19)</f>
        <v>215152</v>
      </c>
      <c r="Z20" s="202">
        <f>SUM(Z16:Z19)</f>
        <v>192420</v>
      </c>
      <c r="AA20" s="202">
        <f>SUM(AA16:AA19)</f>
        <v>154723</v>
      </c>
      <c r="AB20" s="205">
        <f t="shared" si="16"/>
        <v>-0.19590998856667707</v>
      </c>
      <c r="AC20" s="206">
        <f t="shared" si="17"/>
        <v>-0.28086655015988693</v>
      </c>
      <c r="AD20" s="204">
        <f t="shared" ref="AD20" si="87">SUM(AD16:AD19)</f>
        <v>169050</v>
      </c>
      <c r="AE20" s="202">
        <f>SUM(AE16:AE19)</f>
        <v>171040</v>
      </c>
      <c r="AF20" s="202">
        <f>SUM(AF16:AF19)</f>
        <v>177129</v>
      </c>
      <c r="AG20" s="205">
        <f t="shared" si="18"/>
        <v>3.5599859681945789E-2</v>
      </c>
      <c r="AH20" s="203">
        <f t="shared" si="19"/>
        <v>4.7790594498668959E-2</v>
      </c>
      <c r="AI20" s="204">
        <f t="shared" ref="AI20" si="88">SUM(AI16:AI19)</f>
        <v>149623</v>
      </c>
      <c r="AJ20" s="202">
        <f>SUM(AJ16:AJ19)</f>
        <v>171040</v>
      </c>
      <c r="AK20" s="202">
        <f>SUM(AK16:AK19)</f>
        <v>188329</v>
      </c>
      <c r="AL20" s="205">
        <f t="shared" si="20"/>
        <v>0.10108161833489238</v>
      </c>
      <c r="AM20" s="206">
        <f t="shared" si="21"/>
        <v>0.25869017463892585</v>
      </c>
      <c r="AN20" s="204">
        <f t="shared" ref="AN20" si="89">SUM(AN16:AN19)</f>
        <v>171321</v>
      </c>
      <c r="AO20" s="202">
        <f>SUM(AO16:AO19)</f>
        <v>171040</v>
      </c>
      <c r="AP20" s="202">
        <f>SUM(AP16:AP19)</f>
        <v>182992</v>
      </c>
      <c r="AQ20" s="205">
        <f t="shared" si="22"/>
        <v>6.9878391019644548E-2</v>
      </c>
      <c r="AR20" s="203">
        <f t="shared" si="23"/>
        <v>6.8123580880335766E-2</v>
      </c>
      <c r="AS20" s="204">
        <f t="shared" ref="AS20" si="90">SUM(AS16:AS19)</f>
        <v>162471</v>
      </c>
      <c r="AT20" s="202">
        <f>SUM(AT16:AT19)</f>
        <v>171040</v>
      </c>
      <c r="AU20" s="202">
        <f>SUM(AU16:AU19)</f>
        <v>153189</v>
      </c>
      <c r="AV20" s="205">
        <f t="shared" si="24"/>
        <v>-0.10436739943872775</v>
      </c>
      <c r="AW20" s="206">
        <f t="shared" si="25"/>
        <v>-5.7130195542589135E-2</v>
      </c>
      <c r="AX20" s="204">
        <f t="shared" ref="AX20" si="91">SUM(AX16:AX19)</f>
        <v>155423</v>
      </c>
      <c r="AY20" s="202">
        <f>SUM(AY16:AY19)</f>
        <v>171040</v>
      </c>
      <c r="AZ20" s="202">
        <f>SUM(AZ16:AZ19)</f>
        <v>161774</v>
      </c>
      <c r="BA20" s="205">
        <f t="shared" si="26"/>
        <v>-5.4174462114125355E-2</v>
      </c>
      <c r="BB20" s="203">
        <f t="shared" si="27"/>
        <v>4.0862677982023143E-2</v>
      </c>
      <c r="BC20" s="204">
        <f t="shared" ref="BC20" si="92">SUM(BC16:BC19)</f>
        <v>143303</v>
      </c>
      <c r="BD20" s="202">
        <f>SUM(BD16:BD19)</f>
        <v>171040</v>
      </c>
      <c r="BE20" s="202">
        <f>SUM(BE16:BE19)</f>
        <v>181042</v>
      </c>
      <c r="BF20" s="205">
        <f t="shared" si="28"/>
        <v>5.8477549111318972E-2</v>
      </c>
      <c r="BG20" s="206">
        <f t="shared" si="29"/>
        <v>0.26335108127533968</v>
      </c>
      <c r="BH20" s="204">
        <f t="shared" ref="BH20" si="93">SUM(BH16:BH19)</f>
        <v>193242</v>
      </c>
      <c r="BI20" s="202">
        <f>SUM(BI16:BI19)</f>
        <v>203110</v>
      </c>
      <c r="BJ20" s="202">
        <f>SUM(BJ16:BJ19)</f>
        <v>167665</v>
      </c>
      <c r="BK20" s="205">
        <f t="shared" si="30"/>
        <v>-0.17451134853035299</v>
      </c>
      <c r="BL20" s="203">
        <f t="shared" si="31"/>
        <v>-0.13235735502634005</v>
      </c>
      <c r="BM20" s="204">
        <f t="shared" ref="BM20" si="94">SUM(BM16:BM19)</f>
        <v>169885</v>
      </c>
      <c r="BN20" s="202">
        <f>SUM(BN16:BN19)</f>
        <v>203110</v>
      </c>
      <c r="BO20" s="202">
        <f>SUM(BO16:BO19)</f>
        <v>0</v>
      </c>
      <c r="BP20" s="205">
        <f t="shared" si="32"/>
        <v>-1</v>
      </c>
      <c r="BQ20" s="206">
        <f t="shared" si="33"/>
        <v>-1</v>
      </c>
      <c r="BR20" s="204">
        <f t="shared" ref="BR20" si="95">SUM(BR16:BR19)</f>
        <v>167575</v>
      </c>
      <c r="BS20" s="202">
        <f>SUM(BS16:BS19)</f>
        <v>192420</v>
      </c>
      <c r="BT20" s="202">
        <f>SUM(BT16:BT19)</f>
        <v>0</v>
      </c>
      <c r="BU20" s="205">
        <f t="shared" si="34"/>
        <v>-1</v>
      </c>
      <c r="BV20" s="206">
        <f t="shared" si="35"/>
        <v>-1</v>
      </c>
      <c r="BW20" s="279">
        <f>L20/$BW$1*12</f>
        <v>2007931.2000000002</v>
      </c>
      <c r="BX20" s="279">
        <f t="shared" si="39"/>
        <v>50062</v>
      </c>
      <c r="BY20" s="274"/>
      <c r="BZ20" s="30">
        <f t="shared" si="65"/>
        <v>0.78263610851262866</v>
      </c>
      <c r="CA20" s="37"/>
    </row>
    <row r="21" spans="2:79" x14ac:dyDescent="0.3">
      <c r="B21" s="301"/>
      <c r="C21" s="301"/>
      <c r="D21" s="311" t="s">
        <v>55</v>
      </c>
      <c r="E21" s="192" t="s">
        <v>25</v>
      </c>
      <c r="F21" s="52">
        <f>'2024년 실적'!G21</f>
        <v>567346</v>
      </c>
      <c r="G21" s="38">
        <f>'2024년 실적'!L21</f>
        <v>647422</v>
      </c>
      <c r="H21" s="38">
        <v>730000</v>
      </c>
      <c r="I21" s="77">
        <f t="shared" si="8"/>
        <v>0.12754895570431657</v>
      </c>
      <c r="J21" s="131">
        <f t="shared" ref="J21:J22" si="96">O21+T21+Y21+AD21+AI21+AN21+AS21+AX21+BC21+BH21</f>
        <v>540607</v>
      </c>
      <c r="K21" s="132">
        <f t="shared" ref="K21:K22" si="97">P21+U21+Z21+AE21+AJ21+AO21+AT21+AY21+BD21+BI21</f>
        <v>594950</v>
      </c>
      <c r="L21" s="132">
        <f t="shared" ref="L21:L22" si="98">Q21+V21+AA21+AF21+AK21+AP21+AU21+AZ21+BE21+BJ21</f>
        <v>580834</v>
      </c>
      <c r="M21" s="115">
        <f t="shared" si="10"/>
        <v>-2.3726363559963048E-2</v>
      </c>
      <c r="N21" s="10">
        <f t="shared" si="11"/>
        <v>7.4410801191993503E-2</v>
      </c>
      <c r="O21" s="8">
        <f>'2024년 실적'!Q21</f>
        <v>44434</v>
      </c>
      <c r="P21" s="38">
        <v>51100.000000000007</v>
      </c>
      <c r="Q21" s="38">
        <v>37914</v>
      </c>
      <c r="R21" s="115">
        <f t="shared" si="12"/>
        <v>-0.25804305283757345</v>
      </c>
      <c r="S21" s="10">
        <f t="shared" si="13"/>
        <v>-0.14673448260341182</v>
      </c>
      <c r="T21" s="8">
        <f>'2024년 실적'!V21</f>
        <v>38792</v>
      </c>
      <c r="U21" s="38">
        <v>58400</v>
      </c>
      <c r="V21" s="38">
        <v>50462</v>
      </c>
      <c r="W21" s="115">
        <f t="shared" si="14"/>
        <v>-0.13592465753424654</v>
      </c>
      <c r="X21" s="77">
        <f t="shared" si="15"/>
        <v>0.30083522375747584</v>
      </c>
      <c r="Y21" s="8">
        <f>'2024년 실적'!AA21</f>
        <v>51640</v>
      </c>
      <c r="Z21" s="38">
        <v>65700</v>
      </c>
      <c r="AA21" s="38">
        <v>55146</v>
      </c>
      <c r="AB21" s="115">
        <f t="shared" si="16"/>
        <v>-0.16063926940639273</v>
      </c>
      <c r="AC21" s="10">
        <f t="shared" si="17"/>
        <v>6.7893106119287339E-2</v>
      </c>
      <c r="AD21" s="8">
        <f>'2024년 실적'!AF21</f>
        <v>67734</v>
      </c>
      <c r="AE21" s="38">
        <v>58400</v>
      </c>
      <c r="AF21" s="38">
        <v>69178</v>
      </c>
      <c r="AG21" s="115">
        <f t="shared" si="18"/>
        <v>0.1845547945205479</v>
      </c>
      <c r="AH21" s="77">
        <f t="shared" si="19"/>
        <v>2.1318687808190795E-2</v>
      </c>
      <c r="AI21" s="8">
        <f>'2024년 실적'!AK21</f>
        <v>47127</v>
      </c>
      <c r="AJ21" s="38">
        <v>58400</v>
      </c>
      <c r="AK21" s="38">
        <v>70765</v>
      </c>
      <c r="AL21" s="115">
        <f t="shared" si="20"/>
        <v>0.21172945205479454</v>
      </c>
      <c r="AM21" s="10">
        <f t="shared" si="21"/>
        <v>0.5015808347656332</v>
      </c>
      <c r="AN21" s="8">
        <f>'2024년 실적'!AP21</f>
        <v>50438</v>
      </c>
      <c r="AO21" s="38">
        <v>58400</v>
      </c>
      <c r="AP21" s="38">
        <v>51257</v>
      </c>
      <c r="AQ21" s="115">
        <f t="shared" si="22"/>
        <v>-0.12231164383561643</v>
      </c>
      <c r="AR21" s="77">
        <f t="shared" si="23"/>
        <v>1.6237757246520435E-2</v>
      </c>
      <c r="AS21" s="8">
        <f>'2024년 실적'!AU21</f>
        <v>48176</v>
      </c>
      <c r="AT21" s="38">
        <v>58400</v>
      </c>
      <c r="AU21" s="38">
        <v>53898</v>
      </c>
      <c r="AV21" s="115">
        <f t="shared" si="24"/>
        <v>-7.7089041095890432E-2</v>
      </c>
      <c r="AW21" s="10">
        <f t="shared" si="25"/>
        <v>0.11877283294586527</v>
      </c>
      <c r="AX21" s="8">
        <f>'2024년 실적'!AZ21</f>
        <v>53422</v>
      </c>
      <c r="AY21" s="38">
        <v>58400</v>
      </c>
      <c r="AZ21" s="38">
        <v>49422</v>
      </c>
      <c r="BA21" s="115">
        <f t="shared" si="26"/>
        <v>-0.15373287671232871</v>
      </c>
      <c r="BB21" s="77">
        <f t="shared" si="27"/>
        <v>-7.4875519448916128E-2</v>
      </c>
      <c r="BC21" s="8">
        <f>'2024년 실적'!BE21</f>
        <v>55410</v>
      </c>
      <c r="BD21" s="38">
        <v>58400</v>
      </c>
      <c r="BE21" s="38">
        <v>67494</v>
      </c>
      <c r="BF21" s="115">
        <f t="shared" si="28"/>
        <v>0.15571917808219182</v>
      </c>
      <c r="BG21" s="10">
        <f t="shared" si="29"/>
        <v>0.21808337845154302</v>
      </c>
      <c r="BH21" s="8">
        <f>'2024년 실적'!BJ21</f>
        <v>83434</v>
      </c>
      <c r="BI21" s="38">
        <v>69350</v>
      </c>
      <c r="BJ21" s="38">
        <v>75298</v>
      </c>
      <c r="BK21" s="115">
        <f t="shared" si="30"/>
        <v>8.5767844268204829E-2</v>
      </c>
      <c r="BL21" s="77">
        <f t="shared" si="31"/>
        <v>-9.7514202842965747E-2</v>
      </c>
      <c r="BM21" s="8">
        <f>'2024년 실적'!BO21</f>
        <v>55539</v>
      </c>
      <c r="BN21" s="38">
        <v>69350</v>
      </c>
      <c r="BO21" s="38"/>
      <c r="BP21" s="115">
        <f t="shared" si="32"/>
        <v>-1</v>
      </c>
      <c r="BQ21" s="10">
        <f t="shared" si="33"/>
        <v>-1</v>
      </c>
      <c r="BR21" s="8">
        <f>'2024년 실적'!BT21</f>
        <v>51276</v>
      </c>
      <c r="BS21" s="38">
        <v>65700</v>
      </c>
      <c r="BT21" s="38"/>
      <c r="BU21" s="115">
        <f t="shared" si="34"/>
        <v>-1</v>
      </c>
      <c r="BV21" s="10">
        <f t="shared" si="35"/>
        <v>-1</v>
      </c>
      <c r="BW21" s="37">
        <f t="shared" si="38"/>
        <v>697000.8</v>
      </c>
      <c r="BX21" s="37">
        <f t="shared" si="39"/>
        <v>40227</v>
      </c>
      <c r="BY21" s="274"/>
      <c r="BZ21" s="30">
        <f t="shared" si="65"/>
        <v>0.79566301369863013</v>
      </c>
      <c r="CA21" s="37"/>
    </row>
    <row r="22" spans="2:79" x14ac:dyDescent="0.3">
      <c r="B22" s="301"/>
      <c r="C22" s="301"/>
      <c r="D22" s="312"/>
      <c r="E22" s="67" t="s">
        <v>27</v>
      </c>
      <c r="F22" s="45">
        <f>'2024년 실적'!G22</f>
        <v>12804</v>
      </c>
      <c r="G22" s="39">
        <f>'2024년 실적'!L22</f>
        <v>11862</v>
      </c>
      <c r="H22" s="39">
        <v>12000</v>
      </c>
      <c r="I22" s="33">
        <f t="shared" si="8"/>
        <v>1.163378856853825E-2</v>
      </c>
      <c r="J22" s="107">
        <f t="shared" si="96"/>
        <v>8252</v>
      </c>
      <c r="K22" s="87">
        <f t="shared" si="97"/>
        <v>9780</v>
      </c>
      <c r="L22" s="87">
        <f t="shared" si="98"/>
        <v>8324</v>
      </c>
      <c r="M22" s="88">
        <f t="shared" si="10"/>
        <v>-0.14887525562372184</v>
      </c>
      <c r="N22" s="15">
        <f t="shared" si="11"/>
        <v>8.7251575375666413E-3</v>
      </c>
      <c r="O22" s="13">
        <f>'2024년 실적'!Q22</f>
        <v>70</v>
      </c>
      <c r="P22" s="39">
        <v>840.00000000000011</v>
      </c>
      <c r="Q22" s="39">
        <v>58</v>
      </c>
      <c r="R22" s="88">
        <f t="shared" si="12"/>
        <v>-0.93095238095238098</v>
      </c>
      <c r="S22" s="15">
        <f t="shared" si="13"/>
        <v>-0.17142857142857137</v>
      </c>
      <c r="T22" s="13">
        <f>'2024년 실적'!V22</f>
        <v>30</v>
      </c>
      <c r="U22" s="39">
        <v>960</v>
      </c>
      <c r="V22" s="39">
        <v>168</v>
      </c>
      <c r="W22" s="88">
        <f t="shared" si="14"/>
        <v>-0.82499999999999996</v>
      </c>
      <c r="X22" s="33">
        <f t="shared" si="15"/>
        <v>4.5999999999999996</v>
      </c>
      <c r="Y22" s="13">
        <f>'2024년 실적'!AA22</f>
        <v>1308</v>
      </c>
      <c r="Z22" s="39">
        <v>1080</v>
      </c>
      <c r="AA22" s="39">
        <v>2300</v>
      </c>
      <c r="AB22" s="88">
        <f t="shared" si="16"/>
        <v>1.1296296296296298</v>
      </c>
      <c r="AC22" s="15">
        <f t="shared" si="17"/>
        <v>0.75840978593272168</v>
      </c>
      <c r="AD22" s="13">
        <f>'2024년 실적'!AF22</f>
        <v>508</v>
      </c>
      <c r="AE22" s="39">
        <v>960</v>
      </c>
      <c r="AF22" s="39">
        <v>58</v>
      </c>
      <c r="AG22" s="88">
        <f t="shared" si="18"/>
        <v>-0.93958333333333333</v>
      </c>
      <c r="AH22" s="33">
        <f t="shared" si="19"/>
        <v>-0.88582677165354329</v>
      </c>
      <c r="AI22" s="13">
        <f>'2024년 실적'!AK22</f>
        <v>892</v>
      </c>
      <c r="AJ22" s="39">
        <v>960</v>
      </c>
      <c r="AK22" s="39">
        <v>1114</v>
      </c>
      <c r="AL22" s="88">
        <f t="shared" si="20"/>
        <v>0.16041666666666665</v>
      </c>
      <c r="AM22" s="15">
        <f t="shared" si="21"/>
        <v>0.24887892376681608</v>
      </c>
      <c r="AN22" s="13">
        <f>'2024년 실적'!AP22</f>
        <v>1254</v>
      </c>
      <c r="AO22" s="39">
        <v>960</v>
      </c>
      <c r="AP22" s="39">
        <v>1770</v>
      </c>
      <c r="AQ22" s="88">
        <f t="shared" si="22"/>
        <v>0.84375</v>
      </c>
      <c r="AR22" s="33">
        <f t="shared" si="23"/>
        <v>0.41148325358851667</v>
      </c>
      <c r="AS22" s="13">
        <f>'2024년 실적'!AU22</f>
        <v>150</v>
      </c>
      <c r="AT22" s="39">
        <v>960</v>
      </c>
      <c r="AU22" s="39">
        <v>1522</v>
      </c>
      <c r="AV22" s="88">
        <f t="shared" si="24"/>
        <v>0.5854166666666667</v>
      </c>
      <c r="AW22" s="15">
        <f t="shared" si="25"/>
        <v>9.1466666666666665</v>
      </c>
      <c r="AX22" s="13">
        <f>'2024년 실적'!AZ22</f>
        <v>2894</v>
      </c>
      <c r="AY22" s="39">
        <v>960</v>
      </c>
      <c r="AZ22" s="39">
        <v>54</v>
      </c>
      <c r="BA22" s="88">
        <f t="shared" si="26"/>
        <v>-0.94374999999999998</v>
      </c>
      <c r="BB22" s="33">
        <f t="shared" si="27"/>
        <v>-0.98134070490670355</v>
      </c>
      <c r="BC22" s="13">
        <f>'2024년 실적'!BE22</f>
        <v>52</v>
      </c>
      <c r="BD22" s="39">
        <v>960</v>
      </c>
      <c r="BE22" s="39">
        <v>196</v>
      </c>
      <c r="BF22" s="88">
        <f t="shared" si="28"/>
        <v>-0.79583333333333339</v>
      </c>
      <c r="BG22" s="15">
        <f t="shared" si="29"/>
        <v>2.7692307692307692</v>
      </c>
      <c r="BH22" s="13">
        <f>'2024년 실적'!BJ22</f>
        <v>1094</v>
      </c>
      <c r="BI22" s="39">
        <v>1140</v>
      </c>
      <c r="BJ22" s="39">
        <v>1084</v>
      </c>
      <c r="BK22" s="88">
        <f t="shared" si="30"/>
        <v>-4.9122807017543901E-2</v>
      </c>
      <c r="BL22" s="33">
        <f t="shared" si="31"/>
        <v>-9.1407678244972423E-3</v>
      </c>
      <c r="BM22" s="13">
        <f>'2024년 실적'!BO22</f>
        <v>1714</v>
      </c>
      <c r="BN22" s="39">
        <v>1140</v>
      </c>
      <c r="BO22" s="39"/>
      <c r="BP22" s="88">
        <f t="shared" si="32"/>
        <v>-1</v>
      </c>
      <c r="BQ22" s="15">
        <f t="shared" si="33"/>
        <v>-1</v>
      </c>
      <c r="BR22" s="13">
        <f>'2024년 실적'!BT22</f>
        <v>1896</v>
      </c>
      <c r="BS22" s="39">
        <v>1080</v>
      </c>
      <c r="BT22" s="39"/>
      <c r="BU22" s="88">
        <f t="shared" si="34"/>
        <v>-1</v>
      </c>
      <c r="BV22" s="15">
        <f t="shared" si="35"/>
        <v>-1</v>
      </c>
      <c r="BW22" s="37">
        <f t="shared" si="38"/>
        <v>9988.7999999999993</v>
      </c>
      <c r="BX22" s="37">
        <f t="shared" si="39"/>
        <v>72</v>
      </c>
      <c r="BY22" s="274"/>
      <c r="BZ22" s="30">
        <f t="shared" si="65"/>
        <v>0.69366666666666665</v>
      </c>
      <c r="CA22" s="37"/>
    </row>
    <row r="23" spans="2:79" ht="17.25" thickBot="1" x14ac:dyDescent="0.35">
      <c r="B23" s="301"/>
      <c r="C23" s="301"/>
      <c r="D23" s="313"/>
      <c r="E23" s="193" t="s">
        <v>53</v>
      </c>
      <c r="F23" s="194">
        <f>'2024년 실적'!G23</f>
        <v>580150</v>
      </c>
      <c r="G23" s="195">
        <f>'2024년 실적'!L23</f>
        <v>659284</v>
      </c>
      <c r="H23" s="195">
        <f>SUM(H21:H22)</f>
        <v>742000</v>
      </c>
      <c r="I23" s="196">
        <f t="shared" si="8"/>
        <v>0.12546338148658243</v>
      </c>
      <c r="J23" s="197">
        <f t="shared" ref="J23:Q23" si="99">SUM(J21:J22)</f>
        <v>548859</v>
      </c>
      <c r="K23" s="195">
        <f t="shared" si="99"/>
        <v>604730</v>
      </c>
      <c r="L23" s="195">
        <f t="shared" si="99"/>
        <v>589158</v>
      </c>
      <c r="M23" s="198">
        <f t="shared" si="10"/>
        <v>-2.575033486018552E-2</v>
      </c>
      <c r="N23" s="199">
        <f t="shared" si="11"/>
        <v>7.3423228916716266E-2</v>
      </c>
      <c r="O23" s="197">
        <f t="shared" si="99"/>
        <v>44504</v>
      </c>
      <c r="P23" s="195">
        <f t="shared" si="99"/>
        <v>51940.000000000007</v>
      </c>
      <c r="Q23" s="195">
        <f t="shared" si="99"/>
        <v>37972</v>
      </c>
      <c r="R23" s="198">
        <f t="shared" si="12"/>
        <v>-0.2689256834809397</v>
      </c>
      <c r="S23" s="199">
        <f t="shared" si="13"/>
        <v>-0.14677332374618013</v>
      </c>
      <c r="T23" s="197">
        <f t="shared" ref="T23" si="100">SUM(T21:T22)</f>
        <v>38822</v>
      </c>
      <c r="U23" s="195">
        <f>SUM(U21:U22)</f>
        <v>59360</v>
      </c>
      <c r="V23" s="195">
        <f>SUM(V21:V22)</f>
        <v>50630</v>
      </c>
      <c r="W23" s="198">
        <f t="shared" si="14"/>
        <v>-0.14706873315363878</v>
      </c>
      <c r="X23" s="196">
        <f t="shared" si="15"/>
        <v>0.30415743650507454</v>
      </c>
      <c r="Y23" s="197">
        <f t="shared" ref="Y23" si="101">SUM(Y21:Y22)</f>
        <v>52948</v>
      </c>
      <c r="Z23" s="195">
        <f>SUM(Z21:Z22)</f>
        <v>66780</v>
      </c>
      <c r="AA23" s="195">
        <f>SUM(AA21:AA22)</f>
        <v>57446</v>
      </c>
      <c r="AB23" s="198">
        <f t="shared" si="16"/>
        <v>-0.13977238694219829</v>
      </c>
      <c r="AC23" s="199">
        <f t="shared" si="17"/>
        <v>8.49512729470423E-2</v>
      </c>
      <c r="AD23" s="197">
        <f t="shared" ref="AD23" si="102">SUM(AD21:AD22)</f>
        <v>68242</v>
      </c>
      <c r="AE23" s="195">
        <f>SUM(AE21:AE22)</f>
        <v>59360</v>
      </c>
      <c r="AF23" s="195">
        <f>SUM(AF21:AF22)</f>
        <v>69236</v>
      </c>
      <c r="AG23" s="198">
        <f t="shared" si="18"/>
        <v>0.16637466307277626</v>
      </c>
      <c r="AH23" s="196">
        <f t="shared" si="19"/>
        <v>1.4565809911784466E-2</v>
      </c>
      <c r="AI23" s="197">
        <f t="shared" ref="AI23" si="103">SUM(AI21:AI22)</f>
        <v>48019</v>
      </c>
      <c r="AJ23" s="195">
        <f>SUM(AJ21:AJ22)</f>
        <v>59360</v>
      </c>
      <c r="AK23" s="195">
        <f>SUM(AK21:AK22)</f>
        <v>71879</v>
      </c>
      <c r="AL23" s="198">
        <f t="shared" si="20"/>
        <v>0.21089959568733163</v>
      </c>
      <c r="AM23" s="199">
        <f t="shared" si="21"/>
        <v>0.49688664903475699</v>
      </c>
      <c r="AN23" s="197">
        <f t="shared" ref="AN23" si="104">SUM(AN21:AN22)</f>
        <v>51692</v>
      </c>
      <c r="AO23" s="195">
        <f>SUM(AO21:AO22)</f>
        <v>59360</v>
      </c>
      <c r="AP23" s="195">
        <f>SUM(AP21:AP22)</f>
        <v>53027</v>
      </c>
      <c r="AQ23" s="198">
        <f t="shared" si="22"/>
        <v>-0.10668800539083556</v>
      </c>
      <c r="AR23" s="196">
        <f t="shared" si="23"/>
        <v>2.5826046583610651E-2</v>
      </c>
      <c r="AS23" s="197">
        <f>'2024년 실적'!AU23</f>
        <v>48326</v>
      </c>
      <c r="AT23" s="195">
        <f>SUM(AT21:AT22)</f>
        <v>59360</v>
      </c>
      <c r="AU23" s="195">
        <f>SUM(AU21:AU22)</f>
        <v>55420</v>
      </c>
      <c r="AV23" s="198">
        <f t="shared" si="24"/>
        <v>-6.6374663072776285E-2</v>
      </c>
      <c r="AW23" s="199">
        <f t="shared" si="25"/>
        <v>0.14679468609030333</v>
      </c>
      <c r="AX23" s="197">
        <f t="shared" ref="AX23" si="105">SUM(AX21:AX22)</f>
        <v>56316</v>
      </c>
      <c r="AY23" s="195">
        <f>SUM(AY21:AY22)</f>
        <v>59360</v>
      </c>
      <c r="AZ23" s="195">
        <f>SUM(AZ21:AZ22)</f>
        <v>49476</v>
      </c>
      <c r="BA23" s="198">
        <f t="shared" si="26"/>
        <v>-0.16650943396226414</v>
      </c>
      <c r="BB23" s="196">
        <f t="shared" si="27"/>
        <v>-0.12145748987854255</v>
      </c>
      <c r="BC23" s="197">
        <f t="shared" ref="BC23" si="106">SUM(BC21:BC22)</f>
        <v>55462</v>
      </c>
      <c r="BD23" s="195">
        <f>SUM(BD21:BD22)</f>
        <v>59360</v>
      </c>
      <c r="BE23" s="195">
        <f>SUM(BE21:BE22)</f>
        <v>67690</v>
      </c>
      <c r="BF23" s="198">
        <f t="shared" si="28"/>
        <v>0.14033018867924518</v>
      </c>
      <c r="BG23" s="199">
        <f t="shared" si="29"/>
        <v>0.22047528037214659</v>
      </c>
      <c r="BH23" s="197">
        <f t="shared" ref="BH23" si="107">SUM(BH21:BH22)</f>
        <v>84528</v>
      </c>
      <c r="BI23" s="195">
        <f>SUM(BI21:BI22)</f>
        <v>70490</v>
      </c>
      <c r="BJ23" s="195">
        <f>SUM(BJ21:BJ22)</f>
        <v>76382</v>
      </c>
      <c r="BK23" s="198">
        <f t="shared" si="30"/>
        <v>8.3586324301319292E-2</v>
      </c>
      <c r="BL23" s="196">
        <f t="shared" si="31"/>
        <v>-9.6370433465833849E-2</v>
      </c>
      <c r="BM23" s="197">
        <f t="shared" ref="BM23" si="108">SUM(BM21:BM22)</f>
        <v>57253</v>
      </c>
      <c r="BN23" s="195">
        <f>SUM(BN21:BN22)</f>
        <v>70490</v>
      </c>
      <c r="BO23" s="195">
        <f>SUM(BO21:BO22)</f>
        <v>0</v>
      </c>
      <c r="BP23" s="198">
        <f t="shared" si="32"/>
        <v>-1</v>
      </c>
      <c r="BQ23" s="199">
        <f t="shared" si="33"/>
        <v>-1</v>
      </c>
      <c r="BR23" s="197">
        <f t="shared" ref="BR23" si="109">SUM(BR21:BR22)</f>
        <v>53172</v>
      </c>
      <c r="BS23" s="195">
        <f>SUM(BS21:BS22)</f>
        <v>66780</v>
      </c>
      <c r="BT23" s="195">
        <f>SUM(BT21:BT22)</f>
        <v>0</v>
      </c>
      <c r="BU23" s="198">
        <f t="shared" si="34"/>
        <v>-1</v>
      </c>
      <c r="BV23" s="199">
        <f t="shared" si="35"/>
        <v>-1</v>
      </c>
      <c r="BW23" s="279">
        <f t="shared" si="38"/>
        <v>706989.60000000009</v>
      </c>
      <c r="BX23" s="279">
        <f t="shared" si="39"/>
        <v>40299</v>
      </c>
      <c r="BY23" s="274"/>
      <c r="BZ23" s="30">
        <f t="shared" si="65"/>
        <v>0.79401347708894876</v>
      </c>
      <c r="CA23" s="37"/>
    </row>
    <row r="24" spans="2:79" x14ac:dyDescent="0.3">
      <c r="B24" s="301"/>
      <c r="C24" s="301"/>
      <c r="D24" s="207" t="s">
        <v>56</v>
      </c>
      <c r="E24" s="208" t="s">
        <v>26</v>
      </c>
      <c r="F24" s="209">
        <f>'2024년 실적'!G24</f>
        <v>79851</v>
      </c>
      <c r="G24" s="210">
        <f>'2024년 실적'!L24</f>
        <v>84553</v>
      </c>
      <c r="H24" s="210">
        <v>100000</v>
      </c>
      <c r="I24" s="211">
        <f t="shared" si="8"/>
        <v>0.18269014700838526</v>
      </c>
      <c r="J24" s="212">
        <f t="shared" ref="J24:J25" si="110">O24+T24+Y24+AD24+AI24+AN24+AS24+AX24+BC24+BH24</f>
        <v>68997</v>
      </c>
      <c r="K24" s="213">
        <f t="shared" ref="K24:K25" si="111">P24+U24+Z24+AE24+AJ24+AO24+AT24+AY24+BD24+BI24</f>
        <v>81500</v>
      </c>
      <c r="L24" s="213">
        <f t="shared" ref="L24:L25" si="112">Q24+V24+AA24+AF24+AK24+AP24+AU24+AZ24+BE24+BJ24</f>
        <v>79721</v>
      </c>
      <c r="M24" s="214">
        <f t="shared" si="10"/>
        <v>-2.1828220858895686E-2</v>
      </c>
      <c r="N24" s="215">
        <f t="shared" si="11"/>
        <v>0.15542704755279213</v>
      </c>
      <c r="O24" s="216">
        <f>'2024년 실적'!Q24</f>
        <v>6046</v>
      </c>
      <c r="P24" s="210">
        <v>7000.0000000000009</v>
      </c>
      <c r="Q24" s="210">
        <v>7984</v>
      </c>
      <c r="R24" s="214">
        <f t="shared" si="12"/>
        <v>0.14057142857142835</v>
      </c>
      <c r="S24" s="215">
        <f t="shared" si="13"/>
        <v>0.32054250744293755</v>
      </c>
      <c r="T24" s="216">
        <f>'2024년 실적'!V24</f>
        <v>6432</v>
      </c>
      <c r="U24" s="210">
        <v>8000</v>
      </c>
      <c r="V24" s="210">
        <v>8036</v>
      </c>
      <c r="W24" s="214">
        <f t="shared" si="14"/>
        <v>4.4999999999999485E-3</v>
      </c>
      <c r="X24" s="211">
        <f t="shared" si="15"/>
        <v>0.24937810945273631</v>
      </c>
      <c r="Y24" s="216">
        <f>'2024년 실적'!AA24</f>
        <v>6184</v>
      </c>
      <c r="Z24" s="210">
        <v>9000</v>
      </c>
      <c r="AA24" s="210">
        <v>9066</v>
      </c>
      <c r="AB24" s="214">
        <f t="shared" si="16"/>
        <v>7.3333333333334139E-3</v>
      </c>
      <c r="AC24" s="215">
        <f t="shared" si="17"/>
        <v>0.46604139715394566</v>
      </c>
      <c r="AD24" s="216">
        <f>'2024년 실적'!AF24</f>
        <v>6456</v>
      </c>
      <c r="AE24" s="210">
        <v>8000</v>
      </c>
      <c r="AF24" s="210">
        <v>9488</v>
      </c>
      <c r="AG24" s="214">
        <f t="shared" si="18"/>
        <v>0.18599999999999994</v>
      </c>
      <c r="AH24" s="211">
        <f t="shared" si="19"/>
        <v>0.46964064436183395</v>
      </c>
      <c r="AI24" s="216">
        <f>'2024년 실적'!AK24</f>
        <v>6824</v>
      </c>
      <c r="AJ24" s="210">
        <v>8000</v>
      </c>
      <c r="AK24" s="210">
        <v>6766</v>
      </c>
      <c r="AL24" s="214">
        <f t="shared" si="20"/>
        <v>-0.15425</v>
      </c>
      <c r="AM24" s="215">
        <f t="shared" si="21"/>
        <v>-8.4994138335287017E-3</v>
      </c>
      <c r="AN24" s="216">
        <f>'2024년 실적'!AP24</f>
        <v>6668</v>
      </c>
      <c r="AO24" s="210">
        <v>8000</v>
      </c>
      <c r="AP24" s="210">
        <v>7530</v>
      </c>
      <c r="AQ24" s="214">
        <f t="shared" si="22"/>
        <v>-5.8749999999999969E-2</v>
      </c>
      <c r="AR24" s="211">
        <f t="shared" si="23"/>
        <v>0.1292741451709658</v>
      </c>
      <c r="AS24" s="216">
        <f>'2024년 실적'!AU24</f>
        <v>8026</v>
      </c>
      <c r="AT24" s="210">
        <v>8000</v>
      </c>
      <c r="AU24" s="210">
        <v>7240</v>
      </c>
      <c r="AV24" s="214">
        <f t="shared" si="24"/>
        <v>-9.4999999999999973E-2</v>
      </c>
      <c r="AW24" s="215">
        <f t="shared" si="25"/>
        <v>-9.7931721903812607E-2</v>
      </c>
      <c r="AX24" s="216">
        <f>'2024년 실적'!AZ24</f>
        <v>5699</v>
      </c>
      <c r="AY24" s="210">
        <v>8000</v>
      </c>
      <c r="AZ24" s="210">
        <v>7493</v>
      </c>
      <c r="BA24" s="214">
        <f t="shared" si="26"/>
        <v>-6.3374999999999959E-2</v>
      </c>
      <c r="BB24" s="211">
        <f t="shared" si="27"/>
        <v>0.31479206878399713</v>
      </c>
      <c r="BC24" s="216">
        <f>'2024년 실적'!BE24</f>
        <v>6446</v>
      </c>
      <c r="BD24" s="210">
        <v>8000</v>
      </c>
      <c r="BE24" s="210">
        <v>7118</v>
      </c>
      <c r="BF24" s="214">
        <f t="shared" si="28"/>
        <v>-0.11024999999999996</v>
      </c>
      <c r="BG24" s="215">
        <f t="shared" si="29"/>
        <v>0.10425069810735343</v>
      </c>
      <c r="BH24" s="216">
        <f>'2024년 실적'!BJ24</f>
        <v>10216</v>
      </c>
      <c r="BI24" s="210">
        <v>9500</v>
      </c>
      <c r="BJ24" s="210">
        <v>9000</v>
      </c>
      <c r="BK24" s="214">
        <f t="shared" si="30"/>
        <v>-5.2631578947368474E-2</v>
      </c>
      <c r="BL24" s="211">
        <f t="shared" si="31"/>
        <v>-0.11902897415818325</v>
      </c>
      <c r="BM24" s="216">
        <f>'2024년 실적'!BO24</f>
        <v>7686</v>
      </c>
      <c r="BN24" s="210">
        <v>9500</v>
      </c>
      <c r="BO24" s="210"/>
      <c r="BP24" s="214">
        <f t="shared" si="32"/>
        <v>-1</v>
      </c>
      <c r="BQ24" s="215">
        <f t="shared" si="33"/>
        <v>-1</v>
      </c>
      <c r="BR24" s="216">
        <f>'2024년 실적'!BT24</f>
        <v>7870</v>
      </c>
      <c r="BS24" s="210">
        <v>9000</v>
      </c>
      <c r="BT24" s="210"/>
      <c r="BU24" s="214">
        <f t="shared" si="34"/>
        <v>-1</v>
      </c>
      <c r="BV24" s="215">
        <f t="shared" si="35"/>
        <v>-1</v>
      </c>
      <c r="BW24" s="37">
        <f t="shared" si="38"/>
        <v>95665.200000000012</v>
      </c>
      <c r="BX24" s="37">
        <f t="shared" si="39"/>
        <v>10724</v>
      </c>
      <c r="BY24" s="274"/>
      <c r="BZ24" s="30">
        <f t="shared" si="65"/>
        <v>0.79720999999999997</v>
      </c>
      <c r="CA24" s="37"/>
    </row>
    <row r="25" spans="2:79" ht="17.25" thickBot="1" x14ac:dyDescent="0.35">
      <c r="B25" s="301"/>
      <c r="C25" s="301"/>
      <c r="D25" s="217" t="s">
        <v>28</v>
      </c>
      <c r="E25" s="218" t="s">
        <v>28</v>
      </c>
      <c r="F25" s="219">
        <f>'2024년 실적'!G25</f>
        <v>610171</v>
      </c>
      <c r="G25" s="220">
        <f>'2024년 실적'!L25</f>
        <v>557613</v>
      </c>
      <c r="H25" s="220">
        <v>650000</v>
      </c>
      <c r="I25" s="221">
        <f t="shared" si="8"/>
        <v>0.1656830095424604</v>
      </c>
      <c r="J25" s="222">
        <f t="shared" si="110"/>
        <v>450121</v>
      </c>
      <c r="K25" s="223">
        <f t="shared" si="111"/>
        <v>529750</v>
      </c>
      <c r="L25" s="223">
        <f t="shared" si="112"/>
        <v>479396</v>
      </c>
      <c r="M25" s="224">
        <f t="shared" si="10"/>
        <v>-9.5052383199622503E-2</v>
      </c>
      <c r="N25" s="225">
        <f t="shared" si="11"/>
        <v>6.5038067541838718E-2</v>
      </c>
      <c r="O25" s="226">
        <f>'2024년 실적'!Q25</f>
        <v>21880</v>
      </c>
      <c r="P25" s="220">
        <v>45500.000000000007</v>
      </c>
      <c r="Q25" s="220">
        <v>35432</v>
      </c>
      <c r="R25" s="224">
        <f t="shared" si="12"/>
        <v>-0.22127472527472536</v>
      </c>
      <c r="S25" s="225">
        <f>Q25/O25-1</f>
        <v>0.61937842778793417</v>
      </c>
      <c r="T25" s="226">
        <f>'2024년 실적'!V25</f>
        <v>44547</v>
      </c>
      <c r="U25" s="220">
        <v>52000</v>
      </c>
      <c r="V25" s="220">
        <v>47352</v>
      </c>
      <c r="W25" s="224">
        <f t="shared" si="14"/>
        <v>-8.9384615384615396E-2</v>
      </c>
      <c r="X25" s="221">
        <f t="shared" si="15"/>
        <v>6.2967203178665221E-2</v>
      </c>
      <c r="Y25" s="226">
        <f>'2024년 실적'!AA25</f>
        <v>46817</v>
      </c>
      <c r="Z25" s="220">
        <v>58500</v>
      </c>
      <c r="AA25" s="220">
        <v>50988</v>
      </c>
      <c r="AB25" s="224">
        <f t="shared" si="16"/>
        <v>-0.12841025641025638</v>
      </c>
      <c r="AC25" s="225">
        <f t="shared" si="17"/>
        <v>8.9091569301749329E-2</v>
      </c>
      <c r="AD25" s="226">
        <f>'2024년 실적'!AF25</f>
        <v>52212</v>
      </c>
      <c r="AE25" s="220">
        <v>52000</v>
      </c>
      <c r="AF25" s="220">
        <v>51164</v>
      </c>
      <c r="AG25" s="224">
        <f t="shared" si="18"/>
        <v>-1.60769230769231E-2</v>
      </c>
      <c r="AH25" s="221">
        <f t="shared" si="19"/>
        <v>-2.0072014096376267E-2</v>
      </c>
      <c r="AI25" s="226">
        <f>'2024년 실적'!AK25</f>
        <v>45220</v>
      </c>
      <c r="AJ25" s="220">
        <v>52000</v>
      </c>
      <c r="AK25" s="220">
        <v>45652</v>
      </c>
      <c r="AL25" s="224">
        <f t="shared" si="20"/>
        <v>-0.12207692307692308</v>
      </c>
      <c r="AM25" s="225">
        <f t="shared" si="21"/>
        <v>9.5532950022114704E-3</v>
      </c>
      <c r="AN25" s="226">
        <f>'2024년 실적'!AP25</f>
        <v>40278</v>
      </c>
      <c r="AO25" s="220">
        <v>52000</v>
      </c>
      <c r="AP25" s="220">
        <v>61776</v>
      </c>
      <c r="AQ25" s="224">
        <f t="shared" si="22"/>
        <v>0.18799999999999994</v>
      </c>
      <c r="AR25" s="221">
        <f t="shared" si="23"/>
        <v>0.53374050350067037</v>
      </c>
      <c r="AS25" s="226">
        <f>'2024년 실적'!AU25</f>
        <v>60084</v>
      </c>
      <c r="AT25" s="220">
        <v>52000</v>
      </c>
      <c r="AU25" s="220">
        <v>47720</v>
      </c>
      <c r="AV25" s="224">
        <f t="shared" si="24"/>
        <v>-8.2307692307692304E-2</v>
      </c>
      <c r="AW25" s="225">
        <f t="shared" si="25"/>
        <v>-0.20577857665934363</v>
      </c>
      <c r="AX25" s="226">
        <f>'2024년 실적'!AZ25</f>
        <v>34006</v>
      </c>
      <c r="AY25" s="220">
        <v>52000</v>
      </c>
      <c r="AZ25" s="220">
        <v>42798</v>
      </c>
      <c r="BA25" s="224">
        <f t="shared" si="26"/>
        <v>-0.1769615384615385</v>
      </c>
      <c r="BB25" s="221">
        <f t="shared" si="27"/>
        <v>0.25854261012762447</v>
      </c>
      <c r="BC25" s="226">
        <f>'2024년 실적'!BE25</f>
        <v>40544</v>
      </c>
      <c r="BD25" s="220">
        <v>52000</v>
      </c>
      <c r="BE25" s="220">
        <v>51776</v>
      </c>
      <c r="BF25" s="224">
        <f t="shared" si="28"/>
        <v>-4.3076923076923457E-3</v>
      </c>
      <c r="BG25" s="225">
        <f t="shared" si="29"/>
        <v>0.27703235990528818</v>
      </c>
      <c r="BH25" s="226">
        <f>'2024년 실적'!BJ25</f>
        <v>64533</v>
      </c>
      <c r="BI25" s="220">
        <v>61750</v>
      </c>
      <c r="BJ25" s="220">
        <v>44738</v>
      </c>
      <c r="BK25" s="224">
        <f t="shared" si="30"/>
        <v>-0.27549797570850199</v>
      </c>
      <c r="BL25" s="221">
        <f t="shared" si="31"/>
        <v>-0.3067422868919778</v>
      </c>
      <c r="BM25" s="226">
        <f>'2024년 실적'!BO25</f>
        <v>57024</v>
      </c>
      <c r="BN25" s="220">
        <v>61750</v>
      </c>
      <c r="BO25" s="220"/>
      <c r="BP25" s="224">
        <f t="shared" si="32"/>
        <v>-1</v>
      </c>
      <c r="BQ25" s="225">
        <f t="shared" si="33"/>
        <v>-1</v>
      </c>
      <c r="BR25" s="226">
        <f>'2024년 실적'!BT25</f>
        <v>50468</v>
      </c>
      <c r="BS25" s="220">
        <v>58500</v>
      </c>
      <c r="BT25" s="220"/>
      <c r="BU25" s="224">
        <f t="shared" si="34"/>
        <v>-1</v>
      </c>
      <c r="BV25" s="225">
        <f t="shared" si="35"/>
        <v>-1</v>
      </c>
      <c r="BW25" s="37">
        <f t="shared" si="38"/>
        <v>575275.19999999995</v>
      </c>
      <c r="BX25" s="37">
        <f t="shared" si="39"/>
        <v>29275</v>
      </c>
      <c r="BY25" s="274"/>
      <c r="BZ25" s="30">
        <f t="shared" si="65"/>
        <v>0.73753230769230771</v>
      </c>
      <c r="CA25" s="37"/>
    </row>
    <row r="26" spans="2:79" ht="17.25" thickBot="1" x14ac:dyDescent="0.35">
      <c r="B26" s="301" t="s">
        <v>29</v>
      </c>
      <c r="C26" s="302"/>
      <c r="D26" s="316" t="s">
        <v>30</v>
      </c>
      <c r="E26" s="317"/>
      <c r="F26" s="227">
        <f>'2024년 실적'!G26</f>
        <v>835396</v>
      </c>
      <c r="G26" s="228">
        <f>'2024년 실적'!L26</f>
        <v>904015</v>
      </c>
      <c r="H26" s="228">
        <v>1000000</v>
      </c>
      <c r="I26" s="229">
        <f t="shared" si="8"/>
        <v>0.10617633556965322</v>
      </c>
      <c r="J26" s="230">
        <f t="shared" ref="J26" si="113">O26+T26+Y26+AD26+AI26+AN26+AS26+AX26+BC26</f>
        <v>659496</v>
      </c>
      <c r="K26" s="231">
        <f t="shared" ref="K26" si="114">P26+U26+Z26+AE26+AJ26+AO26+AT26+AY26+BD26</f>
        <v>720000</v>
      </c>
      <c r="L26" s="231">
        <f t="shared" ref="L26" si="115">Q26+V26+AA26+AF26+AK26+AP26+AU26+AZ26+BE26</f>
        <v>737635</v>
      </c>
      <c r="M26" s="232">
        <f t="shared" si="10"/>
        <v>2.4493055555555587E-2</v>
      </c>
      <c r="N26" s="233">
        <f t="shared" si="11"/>
        <v>0.11848290209493317</v>
      </c>
      <c r="O26" s="234">
        <f>'2024년 실적'!Q26</f>
        <v>53893</v>
      </c>
      <c r="P26" s="228">
        <v>70000.000000000015</v>
      </c>
      <c r="Q26" s="228">
        <v>55574</v>
      </c>
      <c r="R26" s="232">
        <f t="shared" si="12"/>
        <v>-0.20608571428571443</v>
      </c>
      <c r="S26" s="233">
        <f>Q26/O26-1</f>
        <v>3.1191434880225577E-2</v>
      </c>
      <c r="T26" s="234">
        <f>'2024년 실적'!V26</f>
        <v>78147</v>
      </c>
      <c r="U26" s="228">
        <v>80000</v>
      </c>
      <c r="V26" s="228">
        <v>87652</v>
      </c>
      <c r="W26" s="232">
        <f t="shared" si="14"/>
        <v>9.5650000000000013E-2</v>
      </c>
      <c r="X26" s="229">
        <f t="shared" si="15"/>
        <v>0.12162974906266388</v>
      </c>
      <c r="Y26" s="234">
        <f>'2024년 실적'!AA26</f>
        <v>71656</v>
      </c>
      <c r="Z26" s="228">
        <v>90000</v>
      </c>
      <c r="AA26" s="228">
        <v>59323</v>
      </c>
      <c r="AB26" s="232">
        <f t="shared" si="16"/>
        <v>-0.34085555555555558</v>
      </c>
      <c r="AC26" s="233">
        <f t="shared" si="17"/>
        <v>-0.17211398905883668</v>
      </c>
      <c r="AD26" s="234">
        <f>'2024년 실적'!AF26</f>
        <v>82813</v>
      </c>
      <c r="AE26" s="228">
        <v>80000</v>
      </c>
      <c r="AF26" s="228">
        <v>75280</v>
      </c>
      <c r="AG26" s="232">
        <f t="shared" si="18"/>
        <v>-5.9000000000000052E-2</v>
      </c>
      <c r="AH26" s="229">
        <f t="shared" si="19"/>
        <v>-9.0963979085409319E-2</v>
      </c>
      <c r="AI26" s="234">
        <f>'2024년 실적'!AK26</f>
        <v>78617</v>
      </c>
      <c r="AJ26" s="228">
        <v>80000</v>
      </c>
      <c r="AK26" s="228">
        <v>91644</v>
      </c>
      <c r="AL26" s="232">
        <f t="shared" si="20"/>
        <v>0.14555000000000007</v>
      </c>
      <c r="AM26" s="233">
        <f t="shared" si="21"/>
        <v>0.16570207461490516</v>
      </c>
      <c r="AN26" s="234">
        <f>'2024년 실적'!AP26</f>
        <v>67379</v>
      </c>
      <c r="AO26" s="228">
        <v>80000</v>
      </c>
      <c r="AP26" s="228">
        <v>91998</v>
      </c>
      <c r="AQ26" s="232">
        <f t="shared" si="22"/>
        <v>0.14997499999999997</v>
      </c>
      <c r="AR26" s="229">
        <f t="shared" si="23"/>
        <v>0.36538090502975695</v>
      </c>
      <c r="AS26" s="234">
        <f>'2024년 실적'!AU26</f>
        <v>83193</v>
      </c>
      <c r="AT26" s="228">
        <v>80000</v>
      </c>
      <c r="AU26" s="228">
        <v>80614</v>
      </c>
      <c r="AV26" s="232">
        <f t="shared" si="24"/>
        <v>7.6750000000000984E-3</v>
      </c>
      <c r="AW26" s="233">
        <f t="shared" si="25"/>
        <v>-3.1000204344115545E-2</v>
      </c>
      <c r="AX26" s="234">
        <f>'2024년 실적'!AZ26</f>
        <v>81329</v>
      </c>
      <c r="AY26" s="228">
        <v>80000</v>
      </c>
      <c r="AZ26" s="228">
        <v>99818</v>
      </c>
      <c r="BA26" s="232">
        <f t="shared" si="26"/>
        <v>0.24772499999999997</v>
      </c>
      <c r="BB26" s="229">
        <f t="shared" si="27"/>
        <v>0.22733588264948534</v>
      </c>
      <c r="BC26" s="234">
        <f>'2024년 실적'!BE26</f>
        <v>62469</v>
      </c>
      <c r="BD26" s="228">
        <v>80000</v>
      </c>
      <c r="BE26" s="228">
        <v>95732</v>
      </c>
      <c r="BF26" s="232">
        <f t="shared" si="28"/>
        <v>0.19664999999999999</v>
      </c>
      <c r="BG26" s="233">
        <f t="shared" si="29"/>
        <v>0.53247210616465757</v>
      </c>
      <c r="BH26" s="234">
        <f>'2024년 실적'!BJ26</f>
        <v>86174</v>
      </c>
      <c r="BI26" s="228">
        <v>95000</v>
      </c>
      <c r="BJ26" s="228">
        <v>97428</v>
      </c>
      <c r="BK26" s="232">
        <f t="shared" si="30"/>
        <v>2.5557894736842002E-2</v>
      </c>
      <c r="BL26" s="229">
        <f t="shared" si="31"/>
        <v>0.13059623552347577</v>
      </c>
      <c r="BM26" s="234">
        <f>'2024년 실적'!BO26</f>
        <v>87868</v>
      </c>
      <c r="BN26" s="228">
        <v>95000</v>
      </c>
      <c r="BO26" s="228"/>
      <c r="BP26" s="232">
        <f t="shared" si="32"/>
        <v>-1</v>
      </c>
      <c r="BQ26" s="233">
        <f t="shared" si="33"/>
        <v>-1</v>
      </c>
      <c r="BR26" s="234">
        <f>'2024년 실적'!BT26</f>
        <v>70477</v>
      </c>
      <c r="BS26" s="228">
        <v>90000</v>
      </c>
      <c r="BT26" s="228"/>
      <c r="BU26" s="232">
        <f t="shared" si="34"/>
        <v>-1</v>
      </c>
      <c r="BV26" s="233">
        <f t="shared" si="35"/>
        <v>-1</v>
      </c>
      <c r="BW26" s="277">
        <f t="shared" si="38"/>
        <v>885162</v>
      </c>
      <c r="BX26" s="277">
        <f t="shared" si="39"/>
        <v>78139</v>
      </c>
      <c r="BY26" s="274"/>
      <c r="BZ26" s="30">
        <f t="shared" si="65"/>
        <v>0.73763500000000004</v>
      </c>
      <c r="CA26" s="37"/>
    </row>
    <row r="27" spans="2:79" ht="17.25" thickBot="1" x14ac:dyDescent="0.35">
      <c r="B27" s="312"/>
      <c r="C27" s="318" t="s">
        <v>31</v>
      </c>
      <c r="D27" s="321" t="s">
        <v>32</v>
      </c>
      <c r="E27" s="322"/>
      <c r="F27" s="56">
        <f>'2024년 실적'!G27</f>
        <v>410638</v>
      </c>
      <c r="G27" s="41">
        <f>'2024년 실적'!L27</f>
        <v>359989</v>
      </c>
      <c r="H27" s="41">
        <f>ROUND(H28/24,0)</f>
        <v>255208</v>
      </c>
      <c r="I27" s="81">
        <f t="shared" si="8"/>
        <v>-0.29106722705415999</v>
      </c>
      <c r="J27" s="8">
        <f t="shared" ref="J27:L27" si="116">BH27</f>
        <v>383612</v>
      </c>
      <c r="K27" s="8">
        <f t="shared" si="116"/>
        <v>255209</v>
      </c>
      <c r="L27" s="8">
        <f t="shared" si="116"/>
        <v>316005</v>
      </c>
      <c r="M27" s="112">
        <f t="shared" si="10"/>
        <v>0.23822043893436362</v>
      </c>
      <c r="N27" s="23">
        <f t="shared" si="11"/>
        <v>-0.17623796961513194</v>
      </c>
      <c r="O27" s="21">
        <f>'2024년 실적'!Q27</f>
        <v>329768</v>
      </c>
      <c r="P27" s="41">
        <f>ROUND(P28/2,2)</f>
        <v>255209</v>
      </c>
      <c r="Q27" s="41">
        <v>303093</v>
      </c>
      <c r="R27" s="112"/>
      <c r="S27" s="23">
        <f t="shared" si="13"/>
        <v>-8.0890201596273692E-2</v>
      </c>
      <c r="T27" s="21">
        <f>'2024년 실적'!V27</f>
        <v>278123</v>
      </c>
      <c r="U27" s="41">
        <f>U28/2</f>
        <v>255209</v>
      </c>
      <c r="V27" s="41">
        <v>328213</v>
      </c>
      <c r="W27" s="112">
        <f t="shared" si="14"/>
        <v>0.28605574254826438</v>
      </c>
      <c r="X27" s="81">
        <f t="shared" si="15"/>
        <v>0.18010017150685131</v>
      </c>
      <c r="Y27" s="21">
        <f>'2024년 실적'!AA27</f>
        <v>341100</v>
      </c>
      <c r="Z27" s="41">
        <f>Z28/2</f>
        <v>255209</v>
      </c>
      <c r="AA27" s="41">
        <v>341795</v>
      </c>
      <c r="AB27" s="112">
        <f t="shared" si="16"/>
        <v>0.33927486883299562</v>
      </c>
      <c r="AC27" s="23">
        <f t="shared" si="17"/>
        <v>2.0375256523013086E-3</v>
      </c>
      <c r="AD27" s="21">
        <f>'2024년 실적'!AF27</f>
        <v>330935</v>
      </c>
      <c r="AE27" s="41">
        <f>AE28/2</f>
        <v>255209</v>
      </c>
      <c r="AF27" s="41">
        <v>372100</v>
      </c>
      <c r="AG27" s="112">
        <f t="shared" si="18"/>
        <v>0.45802068108883298</v>
      </c>
      <c r="AH27" s="81">
        <f t="shared" si="19"/>
        <v>0.12438998594890238</v>
      </c>
      <c r="AI27" s="21">
        <f>'2024년 실적'!AK27</f>
        <v>405927</v>
      </c>
      <c r="AJ27" s="38">
        <f>AJ28/2</f>
        <v>255209</v>
      </c>
      <c r="AK27" s="41">
        <v>344116</v>
      </c>
      <c r="AL27" s="112">
        <f t="shared" si="20"/>
        <v>0.3483693756881614</v>
      </c>
      <c r="AM27" s="23">
        <f t="shared" si="21"/>
        <v>-0.1522712211801629</v>
      </c>
      <c r="AN27" s="21">
        <f>'2024년 실적'!AP27</f>
        <v>419353</v>
      </c>
      <c r="AO27" s="41">
        <f>AO28/2</f>
        <v>255209</v>
      </c>
      <c r="AP27" s="41">
        <v>289079</v>
      </c>
      <c r="AQ27" s="112">
        <f t="shared" si="22"/>
        <v>0.13271475535737376</v>
      </c>
      <c r="AR27" s="81">
        <f t="shared" si="23"/>
        <v>-0.31065474671696636</v>
      </c>
      <c r="AS27" s="21">
        <f>'2024년 실적'!AU27</f>
        <v>291707</v>
      </c>
      <c r="AT27" s="38">
        <f>AT28/2</f>
        <v>255209</v>
      </c>
      <c r="AU27" s="41">
        <v>372167</v>
      </c>
      <c r="AV27" s="112">
        <f t="shared" si="24"/>
        <v>0.45828321101528546</v>
      </c>
      <c r="AW27" s="23">
        <f t="shared" si="25"/>
        <v>0.27582471452519131</v>
      </c>
      <c r="AX27" s="21">
        <f>'2024년 실적'!AZ27</f>
        <v>277172</v>
      </c>
      <c r="AY27" s="41">
        <f>AY29/2</f>
        <v>255209</v>
      </c>
      <c r="AZ27" s="41">
        <v>337591</v>
      </c>
      <c r="BA27" s="112">
        <f t="shared" si="26"/>
        <v>0.32280209553738315</v>
      </c>
      <c r="BB27" s="81">
        <f t="shared" si="27"/>
        <v>0.21798377902529831</v>
      </c>
      <c r="BC27" s="21">
        <f>'2024년 실적'!BE27</f>
        <v>314825</v>
      </c>
      <c r="BD27" s="41">
        <f>BD29/2</f>
        <v>255209</v>
      </c>
      <c r="BE27" s="41">
        <v>381405</v>
      </c>
      <c r="BF27" s="112">
        <f t="shared" si="28"/>
        <v>0.49448099400883194</v>
      </c>
      <c r="BG27" s="23">
        <f t="shared" si="29"/>
        <v>0.2114825696815692</v>
      </c>
      <c r="BH27" s="21">
        <f>'2024년 실적'!BJ27</f>
        <v>383612</v>
      </c>
      <c r="BI27" s="38">
        <f>BI28/2</f>
        <v>255209</v>
      </c>
      <c r="BJ27" s="41">
        <v>316005</v>
      </c>
      <c r="BK27" s="112">
        <f t="shared" si="30"/>
        <v>0.23822043893436362</v>
      </c>
      <c r="BL27" s="81">
        <f t="shared" si="31"/>
        <v>-0.17623796961513194</v>
      </c>
      <c r="BM27" s="21">
        <f>'2024년 실적'!BO27</f>
        <v>374969</v>
      </c>
      <c r="BN27" s="38">
        <f>BN28/2</f>
        <v>255209</v>
      </c>
      <c r="BO27" s="41"/>
      <c r="BP27" s="112">
        <f t="shared" si="32"/>
        <v>-1</v>
      </c>
      <c r="BQ27" s="23">
        <f t="shared" si="33"/>
        <v>-1</v>
      </c>
      <c r="BR27" s="21">
        <f>'2024년 실적'!BT27</f>
        <v>359989</v>
      </c>
      <c r="BS27" s="38">
        <f>BS29/2</f>
        <v>255209</v>
      </c>
      <c r="BT27" s="41"/>
      <c r="BU27" s="112">
        <f t="shared" si="34"/>
        <v>-1</v>
      </c>
      <c r="BV27" s="23">
        <f t="shared" si="35"/>
        <v>-1</v>
      </c>
      <c r="BY27" s="274"/>
    </row>
    <row r="28" spans="2:79" ht="17.25" thickBot="1" x14ac:dyDescent="0.3">
      <c r="B28" s="312"/>
      <c r="C28" s="319"/>
      <c r="D28" s="305" t="s">
        <v>33</v>
      </c>
      <c r="E28" s="306"/>
      <c r="F28" s="164">
        <f>'2024년 실적'!G28</f>
        <v>5704093</v>
      </c>
      <c r="G28" s="165">
        <f>'2024년 실적'!L28</f>
        <v>5381839</v>
      </c>
      <c r="H28" s="165">
        <f>H29</f>
        <v>6125000</v>
      </c>
      <c r="I28" s="169">
        <f t="shared" si="8"/>
        <v>0.13808681381958854</v>
      </c>
      <c r="J28" s="131">
        <f t="shared" ref="J28:L28" si="117">O28+T28+Y28+AD28+AI28+AN28+AS28+AX28+BC28+BH28</f>
        <v>4363561</v>
      </c>
      <c r="K28" s="132">
        <f t="shared" si="117"/>
        <v>5104180</v>
      </c>
      <c r="L28" s="132">
        <f t="shared" si="117"/>
        <v>4442941</v>
      </c>
      <c r="M28" s="166">
        <f t="shared" si="10"/>
        <v>-0.12954852689364404</v>
      </c>
      <c r="N28" s="25">
        <f t="shared" si="11"/>
        <v>1.8191564183473119E-2</v>
      </c>
      <c r="O28" s="24">
        <f>'2024년 실적'!Q28</f>
        <v>341246</v>
      </c>
      <c r="P28" s="165">
        <f>P29</f>
        <v>510418</v>
      </c>
      <c r="Q28" s="165">
        <v>327291</v>
      </c>
      <c r="R28" s="166">
        <f t="shared" si="12"/>
        <v>-0.35877849135414508</v>
      </c>
      <c r="S28" s="25">
        <f t="shared" si="13"/>
        <v>-4.0894252240319284E-2</v>
      </c>
      <c r="T28" s="24">
        <f>'2024년 실적'!V28</f>
        <v>397040</v>
      </c>
      <c r="U28" s="165">
        <f>U29</f>
        <v>510418</v>
      </c>
      <c r="V28" s="283">
        <v>484947</v>
      </c>
      <c r="W28" s="166">
        <f t="shared" si="14"/>
        <v>-4.9902236990074789E-2</v>
      </c>
      <c r="X28" s="82">
        <f t="shared" si="15"/>
        <v>0.22140590368728597</v>
      </c>
      <c r="Y28" s="24">
        <f>'2024년 실적'!AA28</f>
        <v>468286</v>
      </c>
      <c r="Z28" s="165">
        <f>Z29</f>
        <v>510418</v>
      </c>
      <c r="AA28" s="165">
        <v>436468</v>
      </c>
      <c r="AB28" s="166">
        <f t="shared" si="16"/>
        <v>-0.14488125418774411</v>
      </c>
      <c r="AC28" s="25">
        <f t="shared" si="17"/>
        <v>-6.7945657141148752E-2</v>
      </c>
      <c r="AD28" s="24">
        <f>'2024년 실적'!AF28</f>
        <v>447362</v>
      </c>
      <c r="AE28" s="165">
        <f>AE29</f>
        <v>510418</v>
      </c>
      <c r="AF28" s="165">
        <v>548060</v>
      </c>
      <c r="AG28" s="166">
        <f t="shared" si="18"/>
        <v>7.3747399190467355E-2</v>
      </c>
      <c r="AH28" s="82">
        <f t="shared" si="19"/>
        <v>0.22509287780365783</v>
      </c>
      <c r="AI28" s="24">
        <f>'2024년 실적'!AK28</f>
        <v>551104</v>
      </c>
      <c r="AJ28" s="165">
        <f>AJ29</f>
        <v>510418</v>
      </c>
      <c r="AK28" s="165">
        <v>436838</v>
      </c>
      <c r="AL28" s="166">
        <f t="shared" si="20"/>
        <v>-0.14415635812216654</v>
      </c>
      <c r="AM28" s="25">
        <f t="shared" si="21"/>
        <v>-0.20734017535710136</v>
      </c>
      <c r="AN28" s="24">
        <f>'2024년 실적'!AP28</f>
        <v>416686</v>
      </c>
      <c r="AO28" s="165">
        <f>AO29</f>
        <v>510418</v>
      </c>
      <c r="AP28" s="165">
        <v>473319</v>
      </c>
      <c r="AQ28" s="166">
        <f t="shared" si="22"/>
        <v>-7.2683565234768377E-2</v>
      </c>
      <c r="AR28" s="82">
        <f t="shared" si="23"/>
        <v>0.13591289364173509</v>
      </c>
      <c r="AS28" s="24">
        <f>'2024년 실적'!AU28</f>
        <v>400169</v>
      </c>
      <c r="AT28" s="165">
        <f>AT29</f>
        <v>510418</v>
      </c>
      <c r="AU28" s="165">
        <v>472169</v>
      </c>
      <c r="AV28" s="166">
        <f t="shared" si="24"/>
        <v>-7.4936620573725854E-2</v>
      </c>
      <c r="AW28" s="25">
        <f t="shared" si="25"/>
        <v>0.17992398211755534</v>
      </c>
      <c r="AX28" s="24">
        <f>'2024년 실적'!AZ28</f>
        <v>440920</v>
      </c>
      <c r="AY28" s="165">
        <f>AY29</f>
        <v>510418</v>
      </c>
      <c r="AZ28" s="165">
        <v>409542</v>
      </c>
      <c r="BA28" s="166">
        <f t="shared" si="26"/>
        <v>-0.19763409597623904</v>
      </c>
      <c r="BB28" s="82">
        <f t="shared" si="27"/>
        <v>-7.1164837158668282E-2</v>
      </c>
      <c r="BC28" s="24">
        <f>'2024년 실적'!BE28</f>
        <v>343048</v>
      </c>
      <c r="BD28" s="165">
        <f>BD29</f>
        <v>510418</v>
      </c>
      <c r="BE28" s="165">
        <v>541065</v>
      </c>
      <c r="BF28" s="166">
        <f t="shared" si="28"/>
        <v>6.0042945193939046E-2</v>
      </c>
      <c r="BG28" s="25">
        <f t="shared" si="29"/>
        <v>0.57722825960215474</v>
      </c>
      <c r="BH28" s="24">
        <f>'2024년 실적'!BJ28</f>
        <v>557700</v>
      </c>
      <c r="BI28" s="165">
        <f>BI29</f>
        <v>510418</v>
      </c>
      <c r="BJ28" s="165">
        <v>313242</v>
      </c>
      <c r="BK28" s="166">
        <f t="shared" si="30"/>
        <v>-0.38630299088198305</v>
      </c>
      <c r="BL28" s="82">
        <f t="shared" si="31"/>
        <v>-0.43833243679397527</v>
      </c>
      <c r="BM28" s="24">
        <f>'2024년 실적'!BO28</f>
        <v>500870</v>
      </c>
      <c r="BN28" s="165">
        <f>BN29</f>
        <v>510418</v>
      </c>
      <c r="BO28" s="165"/>
      <c r="BP28" s="166">
        <f t="shared" si="32"/>
        <v>-1</v>
      </c>
      <c r="BQ28" s="25">
        <f t="shared" si="33"/>
        <v>-1</v>
      </c>
      <c r="BR28" s="24">
        <f>'2024년 실적'!BT28</f>
        <v>517408</v>
      </c>
      <c r="BS28" s="165">
        <f>BS29</f>
        <v>510418</v>
      </c>
      <c r="BT28" s="165"/>
      <c r="BU28" s="166">
        <f t="shared" si="34"/>
        <v>-1</v>
      </c>
      <c r="BV28" s="25">
        <f t="shared" si="35"/>
        <v>-1</v>
      </c>
      <c r="BX28" s="37">
        <f t="shared" si="39"/>
        <v>79380</v>
      </c>
      <c r="BY28" s="274"/>
      <c r="BZ28" s="282"/>
    </row>
    <row r="29" spans="2:79" ht="17.25" thickBot="1" x14ac:dyDescent="0.35">
      <c r="B29" s="312"/>
      <c r="C29" s="319"/>
      <c r="D29" s="307" t="s">
        <v>34</v>
      </c>
      <c r="E29" s="308"/>
      <c r="F29" s="170">
        <f>'2024년 실적'!G29</f>
        <v>5796942</v>
      </c>
      <c r="G29" s="171">
        <f>'2024년 실적'!L29</f>
        <v>5433492</v>
      </c>
      <c r="H29" s="171">
        <f>SUM(H30:H36)</f>
        <v>6125000</v>
      </c>
      <c r="I29" s="172">
        <f t="shared" si="8"/>
        <v>0.1272676945139517</v>
      </c>
      <c r="J29" s="173">
        <f>SUM(J30:J36)</f>
        <v>4399651</v>
      </c>
      <c r="K29" s="171">
        <f>SUM(K30:K36)</f>
        <v>5104180</v>
      </c>
      <c r="L29" s="171">
        <f>SUM(L30:L36)</f>
        <v>4480649</v>
      </c>
      <c r="M29" s="174">
        <f t="shared" si="10"/>
        <v>-0.12216085639613028</v>
      </c>
      <c r="N29" s="175">
        <f t="shared" si="11"/>
        <v>1.8410096619027261E-2</v>
      </c>
      <c r="O29" s="173">
        <f>SUM(O30:O36)</f>
        <v>422415</v>
      </c>
      <c r="P29" s="171">
        <f>SUM(P30:P36)</f>
        <v>510418</v>
      </c>
      <c r="Q29" s="171">
        <f>SUM(Q30:Q36)</f>
        <v>382857</v>
      </c>
      <c r="R29" s="174">
        <f t="shared" si="12"/>
        <v>-0.24991477573283072</v>
      </c>
      <c r="S29" s="175">
        <f t="shared" si="13"/>
        <v>-9.3647242640531259E-2</v>
      </c>
      <c r="T29" s="173">
        <f>SUM(T30:T36)</f>
        <v>385426</v>
      </c>
      <c r="U29" s="171">
        <f>SUM(U30:U36)</f>
        <v>510418</v>
      </c>
      <c r="V29" s="171">
        <f>SUM(V30:V36)</f>
        <v>456307</v>
      </c>
      <c r="W29" s="174">
        <f t="shared" si="14"/>
        <v>-0.10601311082289422</v>
      </c>
      <c r="X29" s="172">
        <f t="shared" si="15"/>
        <v>0.18390300602450282</v>
      </c>
      <c r="Y29" s="173">
        <f>SUM(Y30:Y36)</f>
        <v>475886</v>
      </c>
      <c r="Z29" s="171">
        <f>SUM(Z30:Z36)</f>
        <v>510418</v>
      </c>
      <c r="AA29" s="171">
        <f>SUM(AA30:AA36)</f>
        <v>427070</v>
      </c>
      <c r="AB29" s="174">
        <f t="shared" si="16"/>
        <v>-0.16329361425341582</v>
      </c>
      <c r="AC29" s="175">
        <f t="shared" si="17"/>
        <v>-0.10257918913353203</v>
      </c>
      <c r="AD29" s="173">
        <f>SUM(AD30:AD36)</f>
        <v>444047</v>
      </c>
      <c r="AE29" s="171">
        <f>SUM(AE30:AE36)</f>
        <v>510418</v>
      </c>
      <c r="AF29" s="171">
        <f>SUM(AF30:AF36)</f>
        <v>514992</v>
      </c>
      <c r="AG29" s="174">
        <f t="shared" si="18"/>
        <v>8.9612827133840334E-3</v>
      </c>
      <c r="AH29" s="172">
        <f t="shared" si="19"/>
        <v>0.15976912353872441</v>
      </c>
      <c r="AI29" s="173">
        <f>SUM(AI30:AI36)</f>
        <v>492593</v>
      </c>
      <c r="AJ29" s="171">
        <f>SUM(AJ30:AJ36)</f>
        <v>510418</v>
      </c>
      <c r="AK29" s="171">
        <f>SUM(AK30:AK36)</f>
        <v>464179</v>
      </c>
      <c r="AL29" s="174">
        <f t="shared" si="20"/>
        <v>-9.0590457233091337E-2</v>
      </c>
      <c r="AM29" s="175">
        <f t="shared" si="21"/>
        <v>-5.7682508683639444E-2</v>
      </c>
      <c r="AN29" s="173">
        <f>SUM(AN30:AN36)</f>
        <v>401955</v>
      </c>
      <c r="AO29" s="171">
        <f>SUM(AO30:AO36)</f>
        <v>510418</v>
      </c>
      <c r="AP29" s="171">
        <f>SUM(AP30:AP36)</f>
        <v>491774</v>
      </c>
      <c r="AQ29" s="174">
        <f t="shared" si="22"/>
        <v>-3.6526924990889831E-2</v>
      </c>
      <c r="AR29" s="172">
        <f t="shared" si="23"/>
        <v>0.22345536191862281</v>
      </c>
      <c r="AS29" s="173">
        <f>SUM(AS30:AS36)</f>
        <v>484454</v>
      </c>
      <c r="AT29" s="171">
        <f>SUM(AT30:AT36)</f>
        <v>510418</v>
      </c>
      <c r="AU29" s="171">
        <f>SUM(AU30:AU36)</f>
        <v>424605</v>
      </c>
      <c r="AV29" s="174">
        <f t="shared" si="24"/>
        <v>-0.16812298939300729</v>
      </c>
      <c r="AW29" s="175">
        <f t="shared" si="25"/>
        <v>-0.12353907698150912</v>
      </c>
      <c r="AX29" s="173">
        <f>SUM(AX30:AX36)</f>
        <v>424912</v>
      </c>
      <c r="AY29" s="171">
        <f>SUM(AY30:AY36)</f>
        <v>510418</v>
      </c>
      <c r="AZ29" s="171">
        <f>SUM(AZ30:AZ36)</f>
        <v>444086</v>
      </c>
      <c r="BA29" s="174">
        <f t="shared" si="26"/>
        <v>-0.12995623195106754</v>
      </c>
      <c r="BB29" s="172">
        <f t="shared" si="27"/>
        <v>4.5124637572014903E-2</v>
      </c>
      <c r="BC29" s="173">
        <f>SUM(BC30:BC36)</f>
        <v>378745</v>
      </c>
      <c r="BD29" s="171">
        <f>SUM(BD30:BD36)</f>
        <v>510418</v>
      </c>
      <c r="BE29" s="171">
        <f>SUM(BE30:BE36)</f>
        <v>496736</v>
      </c>
      <c r="BF29" s="174">
        <f t="shared" si="28"/>
        <v>-2.6805480997927233E-2</v>
      </c>
      <c r="BG29" s="175">
        <f t="shared" si="29"/>
        <v>0.31153150536640739</v>
      </c>
      <c r="BH29" s="173">
        <f>SUM(BH30:BH36)</f>
        <v>489218</v>
      </c>
      <c r="BI29" s="171">
        <f>SUM(BI30:BI36)</f>
        <v>510418</v>
      </c>
      <c r="BJ29" s="171">
        <f>SUM(BJ30:BJ36)</f>
        <v>378043</v>
      </c>
      <c r="BK29" s="174">
        <f t="shared" si="30"/>
        <v>-0.25934626129956229</v>
      </c>
      <c r="BL29" s="172">
        <f t="shared" si="31"/>
        <v>-0.22725042823444763</v>
      </c>
      <c r="BM29" s="173">
        <f>SUM(BM30:BM36)</f>
        <v>501510</v>
      </c>
      <c r="BN29" s="171">
        <f>SUM(BN30:BN36)</f>
        <v>510418</v>
      </c>
      <c r="BO29" s="171">
        <f>SUM(BO30:BO36)</f>
        <v>0</v>
      </c>
      <c r="BP29" s="174">
        <f t="shared" si="32"/>
        <v>-1</v>
      </c>
      <c r="BQ29" s="175">
        <f t="shared" si="33"/>
        <v>-1</v>
      </c>
      <c r="BR29" s="173">
        <f>SUM(BR30:BR36)</f>
        <v>532331</v>
      </c>
      <c r="BS29" s="171">
        <f>SUM(BS30:BS36)</f>
        <v>510418</v>
      </c>
      <c r="BT29" s="171">
        <f>SUM(BT30:BT36)</f>
        <v>0</v>
      </c>
      <c r="BU29" s="174">
        <f t="shared" si="34"/>
        <v>-1</v>
      </c>
      <c r="BV29" s="175">
        <f t="shared" si="35"/>
        <v>-1</v>
      </c>
      <c r="BW29" s="274">
        <f>L29/$BW$1*12</f>
        <v>5376778.8000000007</v>
      </c>
      <c r="BX29" s="274">
        <f t="shared" si="39"/>
        <v>80998</v>
      </c>
      <c r="BY29" s="274"/>
      <c r="BZ29" s="30">
        <f>L29/H29</f>
        <v>0.73153453061224494</v>
      </c>
    </row>
    <row r="30" spans="2:79" x14ac:dyDescent="0.3">
      <c r="B30" s="312"/>
      <c r="C30" s="319"/>
      <c r="D30" s="321" t="s">
        <v>35</v>
      </c>
      <c r="E30" s="322"/>
      <c r="F30" s="56">
        <f>'2024년 실적'!G30</f>
        <v>901787</v>
      </c>
      <c r="G30" s="41">
        <f>'2024년 실적'!L30</f>
        <v>611096</v>
      </c>
      <c r="H30" s="41">
        <v>792000</v>
      </c>
      <c r="I30" s="81">
        <f t="shared" si="8"/>
        <v>0.2960320473378979</v>
      </c>
      <c r="J30" s="129">
        <f t="shared" ref="J30:J36" si="118">O30+T30+Y30+AD30+AI30+AN30+AS30+AX30+BC30+BH30</f>
        <v>500277</v>
      </c>
      <c r="K30" s="130">
        <f t="shared" ref="K30:K36" si="119">P30+U30+Z30+AE30+AJ30+AO30+AT30+AY30+BD30+BI30</f>
        <v>660000</v>
      </c>
      <c r="L30" s="130">
        <f t="shared" ref="L30:L36" si="120">Q30+V30+AA30+AF30+AK30+AP30+AU30+AZ30+BE30+BJ30</f>
        <v>486789</v>
      </c>
      <c r="M30" s="112">
        <f t="shared" si="10"/>
        <v>-0.26244090909090911</v>
      </c>
      <c r="N30" s="23">
        <f t="shared" si="11"/>
        <v>-2.6961063570781763E-2</v>
      </c>
      <c r="O30" s="21">
        <f>'2024년 실적'!Q30</f>
        <v>68175</v>
      </c>
      <c r="P30" s="41">
        <f>ROUND($H$30/12,0)</f>
        <v>66000</v>
      </c>
      <c r="Q30" s="41">
        <v>25157</v>
      </c>
      <c r="R30" s="112">
        <f t="shared" si="12"/>
        <v>-0.61883333333333335</v>
      </c>
      <c r="S30" s="23">
        <f t="shared" si="13"/>
        <v>-0.63099376604327095</v>
      </c>
      <c r="T30" s="21">
        <f>'2024년 실적'!V30</f>
        <v>42265</v>
      </c>
      <c r="U30" s="41">
        <f>ROUND($H$30/12,0)</f>
        <v>66000</v>
      </c>
      <c r="V30" s="41">
        <v>53946</v>
      </c>
      <c r="W30" s="112">
        <f t="shared" si="14"/>
        <v>-0.1826363636363636</v>
      </c>
      <c r="X30" s="81">
        <f t="shared" si="15"/>
        <v>0.27637525139003905</v>
      </c>
      <c r="Y30" s="21">
        <f>'2024년 실적'!AA30</f>
        <v>45367</v>
      </c>
      <c r="Z30" s="41">
        <f>ROUND($H$30/12,0)</f>
        <v>66000</v>
      </c>
      <c r="AA30" s="41">
        <v>36368</v>
      </c>
      <c r="AB30" s="112">
        <f t="shared" si="16"/>
        <v>-0.44896969696969702</v>
      </c>
      <c r="AC30" s="23">
        <f t="shared" si="17"/>
        <v>-0.19836004143981312</v>
      </c>
      <c r="AD30" s="21">
        <f>'2024년 실적'!AF30</f>
        <v>32159</v>
      </c>
      <c r="AE30" s="41">
        <f>ROUND($H$30/12,0)</f>
        <v>66000</v>
      </c>
      <c r="AF30" s="41">
        <v>73721</v>
      </c>
      <c r="AG30" s="112">
        <f t="shared" si="18"/>
        <v>0.11698484848484858</v>
      </c>
      <c r="AH30" s="81">
        <f t="shared" si="19"/>
        <v>1.2923909325538729</v>
      </c>
      <c r="AI30" s="21">
        <f>'2024년 실적'!AK30</f>
        <v>60432</v>
      </c>
      <c r="AJ30" s="41">
        <f>ROUND($H$30/12,0)</f>
        <v>66000</v>
      </c>
      <c r="AK30" s="41">
        <v>40691</v>
      </c>
      <c r="AL30" s="112">
        <f t="shared" si="20"/>
        <v>-0.38346969696969702</v>
      </c>
      <c r="AM30" s="23">
        <f t="shared" si="21"/>
        <v>-0.3266646809637278</v>
      </c>
      <c r="AN30" s="21">
        <f>'2024년 실적'!AP30</f>
        <v>38891</v>
      </c>
      <c r="AO30" s="41">
        <f>ROUND($H$30/12,0)</f>
        <v>66000</v>
      </c>
      <c r="AP30" s="41">
        <v>42325</v>
      </c>
      <c r="AQ30" s="112">
        <f t="shared" si="22"/>
        <v>-0.35871212121212126</v>
      </c>
      <c r="AR30" s="81">
        <f t="shared" si="23"/>
        <v>8.8298063819392647E-2</v>
      </c>
      <c r="AS30" s="21">
        <f>'2024년 실적'!AU30</f>
        <v>87598</v>
      </c>
      <c r="AT30" s="41">
        <f>ROUND($H$30/12,0)</f>
        <v>66000</v>
      </c>
      <c r="AU30" s="41">
        <v>48509</v>
      </c>
      <c r="AV30" s="112">
        <f t="shared" si="24"/>
        <v>-0.26501515151515154</v>
      </c>
      <c r="AW30" s="23">
        <f t="shared" si="25"/>
        <v>-0.44623164912440927</v>
      </c>
      <c r="AX30" s="21">
        <f>'2024년 실적'!AZ30</f>
        <v>33546</v>
      </c>
      <c r="AY30" s="41">
        <f>ROUND($H$30/12,0)</f>
        <v>66000</v>
      </c>
      <c r="AZ30" s="41">
        <v>87662</v>
      </c>
      <c r="BA30" s="112">
        <f t="shared" si="26"/>
        <v>0.32821212121212118</v>
      </c>
      <c r="BB30" s="81">
        <f t="shared" si="27"/>
        <v>1.6131878614439872</v>
      </c>
      <c r="BC30" s="21">
        <f>'2024년 실적'!BE30</f>
        <v>53620</v>
      </c>
      <c r="BD30" s="41">
        <f>ROUND($H$30/12,0)</f>
        <v>66000</v>
      </c>
      <c r="BE30" s="41">
        <v>43394</v>
      </c>
      <c r="BF30" s="112">
        <f t="shared" si="28"/>
        <v>-0.34251515151515155</v>
      </c>
      <c r="BG30" s="23">
        <f t="shared" si="29"/>
        <v>-0.19071242073853045</v>
      </c>
      <c r="BH30" s="21">
        <f>'2024년 실적'!BJ30</f>
        <v>38224</v>
      </c>
      <c r="BI30" s="41">
        <f>ROUND($H$30/12,0)</f>
        <v>66000</v>
      </c>
      <c r="BJ30" s="41">
        <v>35016</v>
      </c>
      <c r="BK30" s="112">
        <f t="shared" si="30"/>
        <v>-0.46945454545454546</v>
      </c>
      <c r="BL30" s="81">
        <f t="shared" si="31"/>
        <v>-8.392632900795316E-2</v>
      </c>
      <c r="BM30" s="21">
        <f>'2024년 실적'!BO30</f>
        <v>35128</v>
      </c>
      <c r="BN30" s="41">
        <f>ROUND($H$30/12,0)</f>
        <v>66000</v>
      </c>
      <c r="BO30" s="41"/>
      <c r="BP30" s="112">
        <f t="shared" si="32"/>
        <v>-1</v>
      </c>
      <c r="BQ30" s="23">
        <f t="shared" si="33"/>
        <v>-1</v>
      </c>
      <c r="BR30" s="21">
        <f>'2024년 실적'!BT30</f>
        <v>75691</v>
      </c>
      <c r="BS30" s="41">
        <f>ROUND($H$30/12,0)</f>
        <v>66000</v>
      </c>
      <c r="BT30" s="41"/>
      <c r="BU30" s="112">
        <f t="shared" si="34"/>
        <v>-1</v>
      </c>
      <c r="BV30" s="23">
        <f t="shared" si="35"/>
        <v>-1</v>
      </c>
      <c r="BW30" s="37">
        <f>L30/$BW$1*12</f>
        <v>584146.80000000005</v>
      </c>
      <c r="BX30" s="37">
        <f t="shared" si="39"/>
        <v>-13488</v>
      </c>
      <c r="BY30" s="274"/>
      <c r="BZ30" s="30">
        <f>L30/H30</f>
        <v>0.61463257575757579</v>
      </c>
    </row>
    <row r="31" spans="2:79" x14ac:dyDescent="0.3">
      <c r="B31" s="312"/>
      <c r="C31" s="319"/>
      <c r="D31" s="284" t="s">
        <v>36</v>
      </c>
      <c r="E31" s="285"/>
      <c r="F31" s="45">
        <f>'2024년 실적'!G31</f>
        <v>1808203</v>
      </c>
      <c r="G31" s="39">
        <f>'2024년 실적'!L31</f>
        <v>1755221</v>
      </c>
      <c r="H31" s="39">
        <v>1982000</v>
      </c>
      <c r="I31" s="33">
        <f t="shared" si="8"/>
        <v>0.12920253347014432</v>
      </c>
      <c r="J31" s="107">
        <f t="shared" si="118"/>
        <v>1415512</v>
      </c>
      <c r="K31" s="87">
        <f t="shared" si="119"/>
        <v>1651670</v>
      </c>
      <c r="L31" s="87">
        <f t="shared" si="120"/>
        <v>1500061</v>
      </c>
      <c r="M31" s="88">
        <f t="shared" si="10"/>
        <v>-9.1791338463494521E-2</v>
      </c>
      <c r="N31" s="15">
        <f t="shared" si="11"/>
        <v>5.9730330791967878E-2</v>
      </c>
      <c r="O31" s="13">
        <f>'2024년 실적'!Q31</f>
        <v>111538</v>
      </c>
      <c r="P31" s="39">
        <f>ROUND($H$31/12,0)</f>
        <v>165167</v>
      </c>
      <c r="Q31" s="39">
        <v>154674</v>
      </c>
      <c r="R31" s="88">
        <f t="shared" si="12"/>
        <v>-6.3529639698002627E-2</v>
      </c>
      <c r="S31" s="15">
        <f t="shared" si="13"/>
        <v>0.38673815201993933</v>
      </c>
      <c r="T31" s="13">
        <f>'2024년 실적'!V31</f>
        <v>124449</v>
      </c>
      <c r="U31" s="39">
        <f>ROUND($H$31/12,0)</f>
        <v>165167</v>
      </c>
      <c r="V31" s="39">
        <v>141990</v>
      </c>
      <c r="W31" s="88">
        <f t="shared" si="14"/>
        <v>-0.140324641120805</v>
      </c>
      <c r="X31" s="33">
        <f t="shared" si="15"/>
        <v>0.14094930453438748</v>
      </c>
      <c r="Y31" s="13">
        <f>'2024년 실적'!AA31</f>
        <v>124151</v>
      </c>
      <c r="Z31" s="39">
        <f>ROUND($H$31/12,0)</f>
        <v>165167</v>
      </c>
      <c r="AA31" s="39">
        <v>123768</v>
      </c>
      <c r="AB31" s="88">
        <f t="shared" si="16"/>
        <v>-0.25064934278639195</v>
      </c>
      <c r="AC31" s="15">
        <f t="shared" si="17"/>
        <v>-3.0849530007812653E-3</v>
      </c>
      <c r="AD31" s="13">
        <f>'2024년 실적'!AF31</f>
        <v>143766</v>
      </c>
      <c r="AE31" s="39">
        <f>ROUND($H$31/12,0)</f>
        <v>165167</v>
      </c>
      <c r="AF31" s="39">
        <v>164305</v>
      </c>
      <c r="AG31" s="88">
        <f t="shared" si="18"/>
        <v>-5.2189602039148797E-3</v>
      </c>
      <c r="AH31" s="33">
        <f t="shared" si="19"/>
        <v>0.14286409860467697</v>
      </c>
      <c r="AI31" s="13">
        <f>'2024년 실적'!AK31</f>
        <v>152604</v>
      </c>
      <c r="AJ31" s="39">
        <f>ROUND($H$31/12,0)</f>
        <v>165167</v>
      </c>
      <c r="AK31" s="39">
        <v>114418</v>
      </c>
      <c r="AL31" s="88">
        <f t="shared" si="20"/>
        <v>-0.30725871390774184</v>
      </c>
      <c r="AM31" s="15">
        <f t="shared" si="21"/>
        <v>-0.25022935178632277</v>
      </c>
      <c r="AN31" s="13">
        <f>'2024년 실적'!AP31</f>
        <v>149480</v>
      </c>
      <c r="AO31" s="39">
        <f>ROUND($H$31/12,0)</f>
        <v>165167</v>
      </c>
      <c r="AP31" s="39">
        <v>192426</v>
      </c>
      <c r="AQ31" s="88">
        <f t="shared" si="22"/>
        <v>0.16503902111196544</v>
      </c>
      <c r="AR31" s="33">
        <f t="shared" si="23"/>
        <v>0.2873026491838373</v>
      </c>
      <c r="AS31" s="13">
        <f>'2024년 실적'!AU31</f>
        <v>162718</v>
      </c>
      <c r="AT31" s="39">
        <f>ROUND($H$31/12,0)</f>
        <v>165167</v>
      </c>
      <c r="AU31" s="39">
        <v>129643</v>
      </c>
      <c r="AV31" s="88">
        <f t="shared" si="24"/>
        <v>-0.21507928339196092</v>
      </c>
      <c r="AW31" s="15">
        <f t="shared" si="25"/>
        <v>-0.20326577268648827</v>
      </c>
      <c r="AX31" s="13">
        <f>'2024년 실적'!AZ31</f>
        <v>158523</v>
      </c>
      <c r="AY31" s="39">
        <f>ROUND($H$31/12,0)</f>
        <v>165167</v>
      </c>
      <c r="AZ31" s="39">
        <v>139157</v>
      </c>
      <c r="BA31" s="88">
        <f t="shared" si="26"/>
        <v>-0.15747697784666426</v>
      </c>
      <c r="BB31" s="33">
        <f t="shared" si="27"/>
        <v>-0.12216523785192057</v>
      </c>
      <c r="BC31" s="13">
        <f>'2024년 실적'!BE31</f>
        <v>107225</v>
      </c>
      <c r="BD31" s="39">
        <f>ROUND($H$31/12,0)</f>
        <v>165167</v>
      </c>
      <c r="BE31" s="39">
        <v>190459</v>
      </c>
      <c r="BF31" s="88">
        <f t="shared" si="28"/>
        <v>0.15312986250280014</v>
      </c>
      <c r="BG31" s="15">
        <f t="shared" si="29"/>
        <v>0.77625553742131026</v>
      </c>
      <c r="BH31" s="13">
        <f>'2024년 실적'!BJ31</f>
        <v>181058</v>
      </c>
      <c r="BI31" s="39">
        <f>ROUND($H$31/12,0)</f>
        <v>165167</v>
      </c>
      <c r="BJ31" s="39">
        <v>149221</v>
      </c>
      <c r="BK31" s="88">
        <f t="shared" si="30"/>
        <v>-9.6544709294229425E-2</v>
      </c>
      <c r="BL31" s="33">
        <f t="shared" si="31"/>
        <v>-0.17583868152746629</v>
      </c>
      <c r="BM31" s="13">
        <f>'2024년 실적'!BO31</f>
        <v>158741</v>
      </c>
      <c r="BN31" s="39">
        <f>ROUND($H$31/12,0)</f>
        <v>165167</v>
      </c>
      <c r="BO31" s="39"/>
      <c r="BP31" s="88">
        <f t="shared" si="32"/>
        <v>-1</v>
      </c>
      <c r="BQ31" s="15">
        <f t="shared" si="33"/>
        <v>-1</v>
      </c>
      <c r="BR31" s="13">
        <f>'2024년 실적'!BT31</f>
        <v>180968</v>
      </c>
      <c r="BS31" s="39">
        <f>ROUND($H$31/12,0)</f>
        <v>165167</v>
      </c>
      <c r="BT31" s="39"/>
      <c r="BU31" s="88">
        <f t="shared" si="34"/>
        <v>-1</v>
      </c>
      <c r="BV31" s="15">
        <f t="shared" si="35"/>
        <v>-1</v>
      </c>
      <c r="BW31" s="37">
        <f t="shared" ref="BW31:BW36" si="121">L31/$BW$1*12</f>
        <v>1800073.2000000002</v>
      </c>
      <c r="BX31" s="37">
        <f t="shared" si="39"/>
        <v>84549</v>
      </c>
      <c r="BY31" s="274"/>
      <c r="BZ31" s="30">
        <f t="shared" ref="BZ31:BZ36" si="122">L31/H31</f>
        <v>0.75684207870837539</v>
      </c>
    </row>
    <row r="32" spans="2:79" x14ac:dyDescent="0.3">
      <c r="B32" s="312"/>
      <c r="C32" s="319"/>
      <c r="D32" s="284" t="s">
        <v>37</v>
      </c>
      <c r="E32" s="285"/>
      <c r="F32" s="45">
        <f>'2024년 실적'!G32</f>
        <v>597017</v>
      </c>
      <c r="G32" s="39">
        <f>'2024년 실적'!L32</f>
        <v>598520</v>
      </c>
      <c r="H32" s="39">
        <v>636000</v>
      </c>
      <c r="I32" s="33">
        <f t="shared" si="8"/>
        <v>6.2621132125910473E-2</v>
      </c>
      <c r="J32" s="107">
        <f t="shared" si="118"/>
        <v>511470</v>
      </c>
      <c r="K32" s="87">
        <f t="shared" si="119"/>
        <v>530000</v>
      </c>
      <c r="L32" s="87">
        <f t="shared" si="120"/>
        <v>378723</v>
      </c>
      <c r="M32" s="88">
        <f t="shared" si="10"/>
        <v>-0.28542830188679247</v>
      </c>
      <c r="N32" s="15">
        <f t="shared" si="11"/>
        <v>-0.25954014898234501</v>
      </c>
      <c r="O32" s="13">
        <f>'2024년 실적'!Q32</f>
        <v>40781</v>
      </c>
      <c r="P32" s="39">
        <f>ROUND($H$32/12,0)</f>
        <v>53000</v>
      </c>
      <c r="Q32" s="39">
        <v>22920</v>
      </c>
      <c r="R32" s="88">
        <f t="shared" si="12"/>
        <v>-0.56754716981132081</v>
      </c>
      <c r="S32" s="15">
        <f t="shared" si="13"/>
        <v>-0.43797356612147809</v>
      </c>
      <c r="T32" s="13">
        <f>'2024년 실적'!V32</f>
        <v>19931</v>
      </c>
      <c r="U32" s="39">
        <f>ROUND($H$32/12,0)</f>
        <v>53000</v>
      </c>
      <c r="V32" s="39">
        <v>29236</v>
      </c>
      <c r="W32" s="88">
        <f t="shared" si="14"/>
        <v>-0.44837735849056604</v>
      </c>
      <c r="X32" s="33">
        <f t="shared" si="15"/>
        <v>0.46686066930911641</v>
      </c>
      <c r="Y32" s="13">
        <f>'2024년 실적'!AA32</f>
        <v>133341</v>
      </c>
      <c r="Z32" s="39">
        <f>ROUND($H$32/12,0)</f>
        <v>53000</v>
      </c>
      <c r="AA32" s="39">
        <v>66376</v>
      </c>
      <c r="AB32" s="88">
        <f t="shared" si="16"/>
        <v>0.25237735849056597</v>
      </c>
      <c r="AC32" s="15">
        <f t="shared" si="17"/>
        <v>-0.50220862300417723</v>
      </c>
      <c r="AD32" s="13">
        <f>'2024년 실적'!AF32</f>
        <v>86715</v>
      </c>
      <c r="AE32" s="39">
        <f>ROUND($H$32/12,0)</f>
        <v>53000</v>
      </c>
      <c r="AF32" s="39">
        <v>53424</v>
      </c>
      <c r="AG32" s="88">
        <f t="shared" si="18"/>
        <v>8.0000000000000071E-3</v>
      </c>
      <c r="AH32" s="33">
        <f t="shared" si="19"/>
        <v>-0.38391281785158282</v>
      </c>
      <c r="AI32" s="13">
        <f>'2024년 실적'!AK32</f>
        <v>72795</v>
      </c>
      <c r="AJ32" s="39">
        <f>ROUND($H$32/12,0)</f>
        <v>53000</v>
      </c>
      <c r="AK32" s="39">
        <v>46630</v>
      </c>
      <c r="AL32" s="88">
        <f t="shared" si="20"/>
        <v>-0.12018867924528298</v>
      </c>
      <c r="AM32" s="15">
        <f t="shared" si="21"/>
        <v>-0.35943402706229821</v>
      </c>
      <c r="AN32" s="13">
        <f>'2024년 실적'!AP32</f>
        <v>35381</v>
      </c>
      <c r="AO32" s="39">
        <f>ROUND($H$32/12,0)</f>
        <v>53000</v>
      </c>
      <c r="AP32" s="39">
        <v>40281</v>
      </c>
      <c r="AQ32" s="88">
        <f t="shared" si="22"/>
        <v>-0.23998113207547167</v>
      </c>
      <c r="AR32" s="33">
        <f t="shared" si="23"/>
        <v>0.13849241118114253</v>
      </c>
      <c r="AS32" s="13">
        <f>'2024년 실적'!AU32</f>
        <v>27724</v>
      </c>
      <c r="AT32" s="39">
        <f>ROUND($H$32/12,0)</f>
        <v>53000</v>
      </c>
      <c r="AU32" s="39">
        <v>31488</v>
      </c>
      <c r="AV32" s="88">
        <f t="shared" si="24"/>
        <v>-0.40588679245283021</v>
      </c>
      <c r="AW32" s="15">
        <f t="shared" si="25"/>
        <v>0.13576684461116728</v>
      </c>
      <c r="AX32" s="13">
        <f>'2024년 실적'!AZ32</f>
        <v>25308</v>
      </c>
      <c r="AY32" s="39">
        <f>ROUND($H$32/12,0)</f>
        <v>53000</v>
      </c>
      <c r="AZ32" s="39">
        <v>17511</v>
      </c>
      <c r="BA32" s="88">
        <f t="shared" si="26"/>
        <v>-0.66960377358490564</v>
      </c>
      <c r="BB32" s="33">
        <f t="shared" si="27"/>
        <v>-0.30808440018966332</v>
      </c>
      <c r="BC32" s="13">
        <f>'2024년 실적'!BE32</f>
        <v>20387</v>
      </c>
      <c r="BD32" s="39">
        <f>ROUND($H$32/12,0)</f>
        <v>53000</v>
      </c>
      <c r="BE32" s="39">
        <v>33768</v>
      </c>
      <c r="BF32" s="88">
        <f t="shared" si="28"/>
        <v>-0.36286792452830186</v>
      </c>
      <c r="BG32" s="15">
        <f t="shared" si="29"/>
        <v>0.65634963457105022</v>
      </c>
      <c r="BH32" s="13">
        <f>'2024년 실적'!BJ32</f>
        <v>49107</v>
      </c>
      <c r="BI32" s="39">
        <f>ROUND($H$32/12,0)</f>
        <v>53000</v>
      </c>
      <c r="BJ32" s="39">
        <v>37089</v>
      </c>
      <c r="BK32" s="88">
        <f t="shared" si="30"/>
        <v>-0.30020754716981135</v>
      </c>
      <c r="BL32" s="33">
        <f t="shared" si="31"/>
        <v>-0.24473089376260004</v>
      </c>
      <c r="BM32" s="13">
        <f>'2024년 실적'!BO32</f>
        <v>26189</v>
      </c>
      <c r="BN32" s="39">
        <f>ROUND($H$32/12,0)</f>
        <v>53000</v>
      </c>
      <c r="BO32" s="39"/>
      <c r="BP32" s="88">
        <f t="shared" si="32"/>
        <v>-1</v>
      </c>
      <c r="BQ32" s="15">
        <f t="shared" si="33"/>
        <v>-1</v>
      </c>
      <c r="BR32" s="13">
        <f>'2024년 실적'!BT32</f>
        <v>60861</v>
      </c>
      <c r="BS32" s="39">
        <f>ROUND($H$32/12,0)</f>
        <v>53000</v>
      </c>
      <c r="BT32" s="39"/>
      <c r="BU32" s="88">
        <f t="shared" si="34"/>
        <v>-1</v>
      </c>
      <c r="BV32" s="15">
        <f t="shared" si="35"/>
        <v>-1</v>
      </c>
      <c r="BW32" s="37">
        <f t="shared" si="121"/>
        <v>454467.60000000003</v>
      </c>
      <c r="BX32" s="37">
        <f t="shared" si="39"/>
        <v>-132747</v>
      </c>
      <c r="BY32" s="274"/>
      <c r="BZ32" s="30">
        <f t="shared" si="122"/>
        <v>0.59547641509433957</v>
      </c>
    </row>
    <row r="33" spans="2:78" x14ac:dyDescent="0.3">
      <c r="B33" s="312"/>
      <c r="C33" s="319"/>
      <c r="D33" s="284" t="s">
        <v>38</v>
      </c>
      <c r="E33" s="285"/>
      <c r="F33" s="45">
        <f>'2024년 실적'!G33</f>
        <v>359470</v>
      </c>
      <c r="G33" s="39">
        <f>'2024년 실적'!L33</f>
        <v>306873</v>
      </c>
      <c r="H33" s="39">
        <v>480000</v>
      </c>
      <c r="I33" s="33">
        <f t="shared" si="8"/>
        <v>0.56416498030129736</v>
      </c>
      <c r="J33" s="107">
        <f t="shared" si="118"/>
        <v>251241</v>
      </c>
      <c r="K33" s="87">
        <f t="shared" si="119"/>
        <v>400000</v>
      </c>
      <c r="L33" s="87">
        <f t="shared" si="120"/>
        <v>273426</v>
      </c>
      <c r="M33" s="88">
        <f t="shared" si="10"/>
        <v>-0.31643500000000002</v>
      </c>
      <c r="N33" s="15">
        <f t="shared" si="11"/>
        <v>8.8301670507600294E-2</v>
      </c>
      <c r="O33" s="13">
        <f>'2024년 실적'!Q33</f>
        <v>27120</v>
      </c>
      <c r="P33" s="39">
        <f>ROUND($H$33/12,0)</f>
        <v>40000</v>
      </c>
      <c r="Q33" s="39">
        <v>22329</v>
      </c>
      <c r="R33" s="88">
        <f t="shared" si="12"/>
        <v>-0.44177500000000003</v>
      </c>
      <c r="S33" s="15">
        <f t="shared" si="13"/>
        <v>-0.17665929203539821</v>
      </c>
      <c r="T33" s="13">
        <f>'2024년 실적'!V33</f>
        <v>32688</v>
      </c>
      <c r="U33" s="39">
        <f>ROUND($H$33/12,0)</f>
        <v>40000</v>
      </c>
      <c r="V33" s="39">
        <v>21390</v>
      </c>
      <c r="W33" s="88">
        <f t="shared" si="14"/>
        <v>-0.46525000000000005</v>
      </c>
      <c r="X33" s="33">
        <f t="shared" si="15"/>
        <v>-0.34563142437591776</v>
      </c>
      <c r="Y33" s="13">
        <f>'2024년 실적'!AA33</f>
        <v>24024</v>
      </c>
      <c r="Z33" s="39">
        <f>ROUND($H$33/12,0)</f>
        <v>40000</v>
      </c>
      <c r="AA33" s="39">
        <v>20290</v>
      </c>
      <c r="AB33" s="88">
        <f t="shared" si="16"/>
        <v>-0.49275000000000002</v>
      </c>
      <c r="AC33" s="15">
        <f t="shared" si="17"/>
        <v>-0.15542790542790541</v>
      </c>
      <c r="AD33" s="13">
        <f>'2024년 실적'!AF33</f>
        <v>25093</v>
      </c>
      <c r="AE33" s="39">
        <f>ROUND($H$33/12,0)</f>
        <v>40000</v>
      </c>
      <c r="AF33" s="39">
        <v>16846</v>
      </c>
      <c r="AG33" s="88">
        <f t="shared" si="18"/>
        <v>-0.57884999999999998</v>
      </c>
      <c r="AH33" s="33">
        <f t="shared" si="19"/>
        <v>-0.32865739449248799</v>
      </c>
      <c r="AI33" s="13">
        <f>'2024년 실적'!AK33</f>
        <v>27703</v>
      </c>
      <c r="AJ33" s="39">
        <f>ROUND($H$33/12,0)</f>
        <v>40000</v>
      </c>
      <c r="AK33" s="39">
        <v>57564</v>
      </c>
      <c r="AL33" s="88">
        <f t="shared" si="20"/>
        <v>0.43910000000000005</v>
      </c>
      <c r="AM33" s="15">
        <f t="shared" si="21"/>
        <v>1.0778977006100421</v>
      </c>
      <c r="AN33" s="13">
        <f>'2024년 실적'!AP33</f>
        <v>23855</v>
      </c>
      <c r="AO33" s="39">
        <f>ROUND($H$33/12,0)</f>
        <v>40000</v>
      </c>
      <c r="AP33" s="39">
        <v>12236</v>
      </c>
      <c r="AQ33" s="88">
        <f t="shared" si="22"/>
        <v>-0.69409999999999994</v>
      </c>
      <c r="AR33" s="33">
        <f t="shared" si="23"/>
        <v>-0.48706770069167893</v>
      </c>
      <c r="AS33" s="13">
        <f>'2024년 실적'!AU33</f>
        <v>25298</v>
      </c>
      <c r="AT33" s="39">
        <f>ROUND($H$33/12,0)</f>
        <v>40000</v>
      </c>
      <c r="AU33" s="39">
        <v>52017</v>
      </c>
      <c r="AV33" s="88">
        <f t="shared" si="24"/>
        <v>0.30042499999999994</v>
      </c>
      <c r="AW33" s="15">
        <f t="shared" si="25"/>
        <v>1.0561704482567791</v>
      </c>
      <c r="AX33" s="13">
        <f>'2024년 실적'!AZ33</f>
        <v>19069</v>
      </c>
      <c r="AY33" s="39">
        <f>ROUND($H$33/12,0)</f>
        <v>40000</v>
      </c>
      <c r="AZ33" s="39">
        <v>25071</v>
      </c>
      <c r="BA33" s="88">
        <f t="shared" si="26"/>
        <v>-0.37322500000000003</v>
      </c>
      <c r="BB33" s="33">
        <f t="shared" si="27"/>
        <v>0.31475169122659818</v>
      </c>
      <c r="BC33" s="13">
        <f>'2024년 실적'!BE33</f>
        <v>20740</v>
      </c>
      <c r="BD33" s="39">
        <f>ROUND($H$33/12,0)</f>
        <v>40000</v>
      </c>
      <c r="BE33" s="39">
        <v>19856</v>
      </c>
      <c r="BF33" s="88">
        <f t="shared" si="28"/>
        <v>-0.50360000000000005</v>
      </c>
      <c r="BG33" s="15">
        <f t="shared" si="29"/>
        <v>-4.2622950819672156E-2</v>
      </c>
      <c r="BH33" s="13">
        <f>'2024년 실적'!BJ33</f>
        <v>25651</v>
      </c>
      <c r="BI33" s="39">
        <f>ROUND($H$33/12,0)</f>
        <v>40000</v>
      </c>
      <c r="BJ33" s="39">
        <v>25827</v>
      </c>
      <c r="BK33" s="88">
        <f t="shared" si="30"/>
        <v>-0.354325</v>
      </c>
      <c r="BL33" s="33">
        <f t="shared" si="31"/>
        <v>6.8613309422633773E-3</v>
      </c>
      <c r="BM33" s="13">
        <f>'2024년 실적'!BO33</f>
        <v>32713</v>
      </c>
      <c r="BN33" s="39">
        <f>ROUND($H$33/12,0)</f>
        <v>40000</v>
      </c>
      <c r="BO33" s="39"/>
      <c r="BP33" s="88">
        <f t="shared" si="32"/>
        <v>-1</v>
      </c>
      <c r="BQ33" s="15">
        <f t="shared" si="33"/>
        <v>-1</v>
      </c>
      <c r="BR33" s="13">
        <f>'2024년 실적'!BT33</f>
        <v>22919</v>
      </c>
      <c r="BS33" s="39">
        <f>ROUND($H$33/12,0)</f>
        <v>40000</v>
      </c>
      <c r="BT33" s="39"/>
      <c r="BU33" s="88">
        <f t="shared" si="34"/>
        <v>-1</v>
      </c>
      <c r="BV33" s="15">
        <f t="shared" si="35"/>
        <v>-1</v>
      </c>
      <c r="BW33" s="37">
        <f t="shared" si="121"/>
        <v>328111.19999999995</v>
      </c>
      <c r="BX33" s="37">
        <f t="shared" si="39"/>
        <v>22185</v>
      </c>
      <c r="BY33" s="274"/>
      <c r="BZ33" s="30">
        <f t="shared" si="122"/>
        <v>0.56963750000000002</v>
      </c>
    </row>
    <row r="34" spans="2:78" x14ac:dyDescent="0.3">
      <c r="B34" s="312"/>
      <c r="C34" s="319"/>
      <c r="D34" s="284" t="s">
        <v>39</v>
      </c>
      <c r="E34" s="285"/>
      <c r="F34" s="45">
        <f>'2024년 실적'!G34</f>
        <v>1439800</v>
      </c>
      <c r="G34" s="39">
        <f>'2024년 실적'!L34</f>
        <v>1551933</v>
      </c>
      <c r="H34" s="39">
        <v>1604000</v>
      </c>
      <c r="I34" s="33">
        <f t="shared" si="8"/>
        <v>3.3549773089430968E-2</v>
      </c>
      <c r="J34" s="107">
        <f t="shared" si="118"/>
        <v>1261637</v>
      </c>
      <c r="K34" s="87">
        <f t="shared" si="119"/>
        <v>1336670</v>
      </c>
      <c r="L34" s="87">
        <f t="shared" si="120"/>
        <v>1236231</v>
      </c>
      <c r="M34" s="88">
        <f t="shared" si="10"/>
        <v>-7.5141209124166775E-2</v>
      </c>
      <c r="N34" s="15">
        <f t="shared" si="11"/>
        <v>-2.0137329517127323E-2</v>
      </c>
      <c r="O34" s="13">
        <f>'2024년 실적'!Q34</f>
        <v>143404</v>
      </c>
      <c r="P34" s="39">
        <f>ROUND($H$34/12,0)</f>
        <v>133667</v>
      </c>
      <c r="Q34" s="39">
        <v>107443</v>
      </c>
      <c r="R34" s="88">
        <f t="shared" si="12"/>
        <v>-0.19618903693506995</v>
      </c>
      <c r="S34" s="15">
        <f t="shared" si="13"/>
        <v>-0.25076706368023205</v>
      </c>
      <c r="T34" s="13">
        <f>'2024년 실적'!V34</f>
        <v>124979</v>
      </c>
      <c r="U34" s="39">
        <f>ROUND($H$34/12,0)</f>
        <v>133667</v>
      </c>
      <c r="V34" s="39">
        <v>142667</v>
      </c>
      <c r="W34" s="88">
        <f t="shared" si="14"/>
        <v>6.7331502913957841E-2</v>
      </c>
      <c r="X34" s="33">
        <f t="shared" si="15"/>
        <v>0.14152777666647998</v>
      </c>
      <c r="Y34" s="13">
        <f>'2024년 실적'!AA34</f>
        <v>107491</v>
      </c>
      <c r="Z34" s="39">
        <f>ROUND($H$34/12,0)</f>
        <v>133667</v>
      </c>
      <c r="AA34" s="39">
        <v>118782</v>
      </c>
      <c r="AB34" s="88">
        <f t="shared" si="16"/>
        <v>-0.11135882454158463</v>
      </c>
      <c r="AC34" s="15">
        <f t="shared" si="17"/>
        <v>0.10504135229926237</v>
      </c>
      <c r="AD34" s="13">
        <f>'2024년 실적'!AF34</f>
        <v>114851</v>
      </c>
      <c r="AE34" s="39">
        <f>ROUND($H$34/12,0)</f>
        <v>133667</v>
      </c>
      <c r="AF34" s="39">
        <v>132834</v>
      </c>
      <c r="AG34" s="88">
        <f t="shared" si="18"/>
        <v>-6.2319046585919136E-3</v>
      </c>
      <c r="AH34" s="33">
        <f t="shared" si="19"/>
        <v>0.15657678209157955</v>
      </c>
      <c r="AI34" s="13">
        <f>'2024년 실적'!AK34</f>
        <v>129609</v>
      </c>
      <c r="AJ34" s="39">
        <f>ROUND($H$34/12,0)</f>
        <v>133667</v>
      </c>
      <c r="AK34" s="39">
        <v>128149</v>
      </c>
      <c r="AL34" s="88">
        <f t="shared" si="20"/>
        <v>-4.1281692564357653E-2</v>
      </c>
      <c r="AM34" s="15">
        <f t="shared" si="21"/>
        <v>-1.1264649831416063E-2</v>
      </c>
      <c r="AN34" s="13">
        <f>'2024년 실적'!AP34</f>
        <v>112106</v>
      </c>
      <c r="AO34" s="39">
        <f>ROUND($H$34/12,0)</f>
        <v>133667</v>
      </c>
      <c r="AP34" s="39">
        <v>119388</v>
      </c>
      <c r="AQ34" s="88">
        <f t="shared" si="22"/>
        <v>-0.10682517001204483</v>
      </c>
      <c r="AR34" s="33">
        <f t="shared" si="23"/>
        <v>6.4956380568390593E-2</v>
      </c>
      <c r="AS34" s="13">
        <f>'2024년 실적'!AU34</f>
        <v>120390</v>
      </c>
      <c r="AT34" s="39">
        <f>ROUND($H$34/12,0)</f>
        <v>133667</v>
      </c>
      <c r="AU34" s="39">
        <v>118988</v>
      </c>
      <c r="AV34" s="88">
        <f t="shared" si="24"/>
        <v>-0.10981768125266522</v>
      </c>
      <c r="AW34" s="15">
        <f t="shared" si="25"/>
        <v>-1.1645485505440645E-2</v>
      </c>
      <c r="AX34" s="13">
        <f>'2024년 실적'!AZ34</f>
        <v>124847</v>
      </c>
      <c r="AY34" s="39">
        <f>ROUND($H$34/12,0)</f>
        <v>133667</v>
      </c>
      <c r="AZ34" s="39">
        <v>126634</v>
      </c>
      <c r="BA34" s="88">
        <f t="shared" si="26"/>
        <v>-5.2615828888207261E-2</v>
      </c>
      <c r="BB34" s="33">
        <f t="shared" si="27"/>
        <v>1.4313519748171855E-2</v>
      </c>
      <c r="BC34" s="13">
        <f>'2024년 실적'!BE34</f>
        <v>127983</v>
      </c>
      <c r="BD34" s="39">
        <f>ROUND($H$34/12,0)</f>
        <v>133667</v>
      </c>
      <c r="BE34" s="39">
        <v>147854</v>
      </c>
      <c r="BF34" s="88">
        <f t="shared" si="28"/>
        <v>0.1061368924267021</v>
      </c>
      <c r="BG34" s="15">
        <f t="shared" si="29"/>
        <v>0.15526280834173289</v>
      </c>
      <c r="BH34" s="13">
        <f>'2024년 실적'!BJ34</f>
        <v>155977</v>
      </c>
      <c r="BI34" s="39">
        <f>ROUND($H$34/12,0)</f>
        <v>133667</v>
      </c>
      <c r="BJ34" s="39">
        <v>93492</v>
      </c>
      <c r="BK34" s="88">
        <f t="shared" si="30"/>
        <v>-0.30056034772980611</v>
      </c>
      <c r="BL34" s="33">
        <f t="shared" si="31"/>
        <v>-0.40060393519557369</v>
      </c>
      <c r="BM34" s="13">
        <f>'2024년 실적'!BO34</f>
        <v>164629</v>
      </c>
      <c r="BN34" s="39">
        <f>ROUND($H$34/12,0)</f>
        <v>133667</v>
      </c>
      <c r="BO34" s="39"/>
      <c r="BP34" s="88">
        <f t="shared" si="32"/>
        <v>-1</v>
      </c>
      <c r="BQ34" s="15">
        <f t="shared" si="33"/>
        <v>-1</v>
      </c>
      <c r="BR34" s="13">
        <f>'2024년 실적'!BT34</f>
        <v>125667</v>
      </c>
      <c r="BS34" s="39">
        <f>ROUND($H$34/12,0)</f>
        <v>133667</v>
      </c>
      <c r="BT34" s="39"/>
      <c r="BU34" s="88">
        <f t="shared" si="34"/>
        <v>-1</v>
      </c>
      <c r="BV34" s="15">
        <f t="shared" si="35"/>
        <v>-1</v>
      </c>
      <c r="BW34" s="37">
        <f t="shared" si="121"/>
        <v>1483477.2000000002</v>
      </c>
      <c r="BX34" s="37">
        <f t="shared" si="39"/>
        <v>-25406</v>
      </c>
      <c r="BY34" s="274"/>
      <c r="BZ34" s="30">
        <f t="shared" si="122"/>
        <v>0.77071758104738153</v>
      </c>
    </row>
    <row r="35" spans="2:78" x14ac:dyDescent="0.3">
      <c r="B35" s="312"/>
      <c r="C35" s="319"/>
      <c r="D35" s="284" t="s">
        <v>40</v>
      </c>
      <c r="E35" s="285"/>
      <c r="F35" s="45">
        <f>'2024년 실적'!G35</f>
        <v>638927</v>
      </c>
      <c r="G35" s="39">
        <f>'2024년 실적'!L35</f>
        <v>536831</v>
      </c>
      <c r="H35" s="39">
        <v>581000</v>
      </c>
      <c r="I35" s="33">
        <f t="shared" si="8"/>
        <v>8.2277290245906132E-2</v>
      </c>
      <c r="J35" s="107">
        <f t="shared" si="118"/>
        <v>401634</v>
      </c>
      <c r="K35" s="87">
        <f t="shared" si="119"/>
        <v>484170</v>
      </c>
      <c r="L35" s="87">
        <f t="shared" si="120"/>
        <v>532967</v>
      </c>
      <c r="M35" s="88">
        <f t="shared" si="10"/>
        <v>0.10078484829708567</v>
      </c>
      <c r="N35" s="15">
        <f t="shared" si="11"/>
        <v>0.32699671840531419</v>
      </c>
      <c r="O35" s="13">
        <f>'2024년 실적'!Q35</f>
        <v>26813</v>
      </c>
      <c r="P35" s="39">
        <f>ROUND($H$35/12,0)</f>
        <v>48417</v>
      </c>
      <c r="Q35" s="39">
        <v>47812</v>
      </c>
      <c r="R35" s="88">
        <f t="shared" si="12"/>
        <v>-1.2495611045707067E-2</v>
      </c>
      <c r="S35" s="15">
        <f t="shared" si="13"/>
        <v>0.78316488270614992</v>
      </c>
      <c r="T35" s="13">
        <f>'2024년 실적'!V35</f>
        <v>35038</v>
      </c>
      <c r="U35" s="39">
        <f>ROUND($H$35/12,0)</f>
        <v>48417</v>
      </c>
      <c r="V35" s="39">
        <v>62831</v>
      </c>
      <c r="W35" s="88">
        <f t="shared" si="14"/>
        <v>0.29770535142615207</v>
      </c>
      <c r="X35" s="33">
        <f t="shared" si="15"/>
        <v>0.7932244991152464</v>
      </c>
      <c r="Y35" s="13">
        <f>'2024년 실적'!AA35</f>
        <v>37846</v>
      </c>
      <c r="Z35" s="39">
        <f>ROUND($H$35/12,0)</f>
        <v>48417</v>
      </c>
      <c r="AA35" s="39">
        <v>52452</v>
      </c>
      <c r="AB35" s="88">
        <f t="shared" si="16"/>
        <v>8.3338496808972096E-2</v>
      </c>
      <c r="AC35" s="15">
        <f t="shared" si="17"/>
        <v>0.385932463140094</v>
      </c>
      <c r="AD35" s="13">
        <f>'2024년 실적'!AF35</f>
        <v>38655</v>
      </c>
      <c r="AE35" s="39">
        <f>ROUND($H$35/12,0)</f>
        <v>48417</v>
      </c>
      <c r="AF35" s="39">
        <v>68144</v>
      </c>
      <c r="AG35" s="88">
        <f t="shared" si="18"/>
        <v>0.40743953570027047</v>
      </c>
      <c r="AH35" s="33">
        <f t="shared" si="19"/>
        <v>0.76287673004785916</v>
      </c>
      <c r="AI35" s="13">
        <f>'2024년 실적'!AK35</f>
        <v>41586</v>
      </c>
      <c r="AJ35" s="39">
        <f>ROUND($H$35/12,0)</f>
        <v>48417</v>
      </c>
      <c r="AK35" s="39">
        <v>73570</v>
      </c>
      <c r="AL35" s="88">
        <f t="shared" si="20"/>
        <v>0.51950761096309139</v>
      </c>
      <c r="AM35" s="15">
        <f t="shared" si="21"/>
        <v>0.76910498725532639</v>
      </c>
      <c r="AN35" s="13">
        <f>'2024년 실적'!AP35</f>
        <v>38775</v>
      </c>
      <c r="AO35" s="39">
        <f>ROUND($H$35/12,0)</f>
        <v>48417</v>
      </c>
      <c r="AP35" s="39">
        <v>74985</v>
      </c>
      <c r="AQ35" s="88">
        <f t="shared" si="22"/>
        <v>0.54873288307825763</v>
      </c>
      <c r="AR35" s="33">
        <f t="shared" si="23"/>
        <v>0.9338491295938105</v>
      </c>
      <c r="AS35" s="13">
        <f>'2024년 실적'!AU35</f>
        <v>50177</v>
      </c>
      <c r="AT35" s="39">
        <f>ROUND($H$35/12,0)</f>
        <v>48417</v>
      </c>
      <c r="AU35" s="39">
        <v>36416</v>
      </c>
      <c r="AV35" s="88">
        <f t="shared" si="24"/>
        <v>-0.24786748456120788</v>
      </c>
      <c r="AW35" s="15">
        <f t="shared" si="25"/>
        <v>-0.27424915798074812</v>
      </c>
      <c r="AX35" s="13">
        <f>'2024년 실적'!AZ35</f>
        <v>58963</v>
      </c>
      <c r="AY35" s="39">
        <f>ROUND($H$35/12,0)</f>
        <v>48417</v>
      </c>
      <c r="AZ35" s="39">
        <v>37025</v>
      </c>
      <c r="BA35" s="88">
        <f t="shared" si="26"/>
        <v>-0.23528925790528121</v>
      </c>
      <c r="BB35" s="33">
        <f t="shared" si="27"/>
        <v>-0.37206383664331866</v>
      </c>
      <c r="BC35" s="13">
        <f>'2024년 실적'!BE35</f>
        <v>39991</v>
      </c>
      <c r="BD35" s="39">
        <f>ROUND($H$35/12,0)</f>
        <v>48417</v>
      </c>
      <c r="BE35" s="39">
        <v>50464</v>
      </c>
      <c r="BF35" s="88">
        <f t="shared" si="28"/>
        <v>4.2278538529855192E-2</v>
      </c>
      <c r="BG35" s="15">
        <f t="shared" si="29"/>
        <v>0.26188392388287363</v>
      </c>
      <c r="BH35" s="13">
        <f>'2024년 실적'!BJ35</f>
        <v>33790</v>
      </c>
      <c r="BI35" s="39">
        <f>ROUND($H$35/12,0)</f>
        <v>48417</v>
      </c>
      <c r="BJ35" s="39">
        <v>29268</v>
      </c>
      <c r="BK35" s="88">
        <f t="shared" si="30"/>
        <v>-0.39550158002354541</v>
      </c>
      <c r="BL35" s="33">
        <f t="shared" si="31"/>
        <v>-0.13382657591003255</v>
      </c>
      <c r="BM35" s="13">
        <f>'2024년 실적'!BO35</f>
        <v>74100</v>
      </c>
      <c r="BN35" s="39">
        <f>ROUND($H$35/12,0)</f>
        <v>48417</v>
      </c>
      <c r="BO35" s="39"/>
      <c r="BP35" s="88">
        <f t="shared" si="32"/>
        <v>-1</v>
      </c>
      <c r="BQ35" s="15">
        <f t="shared" si="33"/>
        <v>-1</v>
      </c>
      <c r="BR35" s="13">
        <f>'2024년 실적'!BT35</f>
        <v>61097</v>
      </c>
      <c r="BS35" s="39">
        <f>ROUND($H$35/12,0)</f>
        <v>48417</v>
      </c>
      <c r="BT35" s="39"/>
      <c r="BU35" s="88">
        <f t="shared" si="34"/>
        <v>-1</v>
      </c>
      <c r="BV35" s="15">
        <f t="shared" si="35"/>
        <v>-1</v>
      </c>
      <c r="BW35" s="37">
        <f t="shared" si="121"/>
        <v>639560.39999999991</v>
      </c>
      <c r="BX35" s="37">
        <f t="shared" si="39"/>
        <v>131333</v>
      </c>
      <c r="BY35" s="274"/>
      <c r="BZ35" s="30">
        <f t="shared" si="122"/>
        <v>0.91732702237521513</v>
      </c>
    </row>
    <row r="36" spans="2:78" ht="17.25" thickBot="1" x14ac:dyDescent="0.35">
      <c r="B36" s="312"/>
      <c r="C36" s="320"/>
      <c r="D36" s="286" t="s">
        <v>41</v>
      </c>
      <c r="E36" s="287"/>
      <c r="F36" s="57">
        <f>'2024년 실적'!G36</f>
        <v>51738</v>
      </c>
      <c r="G36" s="42">
        <f>'2024년 실적'!L36</f>
        <v>73018</v>
      </c>
      <c r="H36" s="42">
        <v>50000</v>
      </c>
      <c r="I36" s="82">
        <f t="shared" si="8"/>
        <v>-0.31523733873839332</v>
      </c>
      <c r="J36" s="176">
        <f t="shared" si="118"/>
        <v>57880</v>
      </c>
      <c r="K36" s="177">
        <f t="shared" si="119"/>
        <v>41670</v>
      </c>
      <c r="L36" s="177">
        <f t="shared" si="120"/>
        <v>72452</v>
      </c>
      <c r="M36" s="146">
        <f t="shared" si="10"/>
        <v>0.73870890328773697</v>
      </c>
      <c r="N36" s="25">
        <f t="shared" si="11"/>
        <v>0.2517622667588113</v>
      </c>
      <c r="O36" s="24">
        <f>'2024년 실적'!Q36</f>
        <v>4584</v>
      </c>
      <c r="P36" s="42">
        <f>ROUND($H$36/12,0)</f>
        <v>4167</v>
      </c>
      <c r="Q36" s="42">
        <v>2522</v>
      </c>
      <c r="R36" s="146">
        <f t="shared" si="12"/>
        <v>-0.39476841852651789</v>
      </c>
      <c r="S36" s="25">
        <f t="shared" si="13"/>
        <v>-0.44982547993019195</v>
      </c>
      <c r="T36" s="24">
        <f>'2024년 실적'!V36</f>
        <v>6076</v>
      </c>
      <c r="U36" s="42">
        <f>ROUND($H$36/12,0)</f>
        <v>4167</v>
      </c>
      <c r="V36" s="42">
        <v>4247</v>
      </c>
      <c r="W36" s="146">
        <f t="shared" si="14"/>
        <v>1.9198464122870185E-2</v>
      </c>
      <c r="X36" s="82">
        <f t="shared" si="15"/>
        <v>-0.30102040816326525</v>
      </c>
      <c r="Y36" s="24">
        <f>'2024년 실적'!AA36</f>
        <v>3666</v>
      </c>
      <c r="Z36" s="42">
        <f>ROUND($H$36/12,0)</f>
        <v>4167</v>
      </c>
      <c r="AA36" s="42">
        <v>9034</v>
      </c>
      <c r="AB36" s="146">
        <f t="shared" si="16"/>
        <v>1.1679865610751139</v>
      </c>
      <c r="AC36" s="25">
        <f t="shared" si="17"/>
        <v>1.4642662302236769</v>
      </c>
      <c r="AD36" s="24">
        <f>'2024년 실적'!AF36</f>
        <v>2808</v>
      </c>
      <c r="AE36" s="42">
        <f>ROUND($H$36/12,0)</f>
        <v>4167</v>
      </c>
      <c r="AF36" s="42">
        <v>5718</v>
      </c>
      <c r="AG36" s="146">
        <f t="shared" si="18"/>
        <v>0.37221022318214536</v>
      </c>
      <c r="AH36" s="82">
        <f t="shared" si="19"/>
        <v>1.0363247863247862</v>
      </c>
      <c r="AI36" s="24">
        <f>'2024년 실적'!AK36</f>
        <v>7864</v>
      </c>
      <c r="AJ36" s="42">
        <f>ROUND($H$36/12,0)</f>
        <v>4167</v>
      </c>
      <c r="AK36" s="42">
        <v>3157</v>
      </c>
      <c r="AL36" s="146">
        <f t="shared" si="20"/>
        <v>-0.24238060955123586</v>
      </c>
      <c r="AM36" s="25">
        <f t="shared" si="21"/>
        <v>-0.5985503560528993</v>
      </c>
      <c r="AN36" s="24">
        <f>'2024년 실적'!AP36</f>
        <v>3467</v>
      </c>
      <c r="AO36" s="42">
        <f>ROUND($H$36/12,0)</f>
        <v>4167</v>
      </c>
      <c r="AP36" s="42">
        <v>10133</v>
      </c>
      <c r="AQ36" s="146">
        <f t="shared" si="22"/>
        <v>1.4317254619630431</v>
      </c>
      <c r="AR36" s="82">
        <f t="shared" si="23"/>
        <v>1.922699740409576</v>
      </c>
      <c r="AS36" s="24">
        <f>'2024년 실적'!AU36</f>
        <v>10549</v>
      </c>
      <c r="AT36" s="42">
        <f>ROUND($H$36/12,0)</f>
        <v>4167</v>
      </c>
      <c r="AU36" s="42">
        <v>7544</v>
      </c>
      <c r="AV36" s="146">
        <f t="shared" si="24"/>
        <v>0.81041516678665704</v>
      </c>
      <c r="AW36" s="25">
        <f t="shared" si="25"/>
        <v>-0.28486112427718269</v>
      </c>
      <c r="AX36" s="24">
        <f>'2024년 실적'!AZ36</f>
        <v>4656</v>
      </c>
      <c r="AY36" s="42">
        <f>ROUND($H$36/12,0)</f>
        <v>4167</v>
      </c>
      <c r="AZ36" s="42">
        <v>11026</v>
      </c>
      <c r="BA36" s="146">
        <f t="shared" si="26"/>
        <v>1.6460283177345811</v>
      </c>
      <c r="BB36" s="82">
        <f t="shared" si="27"/>
        <v>1.368127147766323</v>
      </c>
      <c r="BC36" s="24">
        <f>'2024년 실적'!BE36</f>
        <v>8799</v>
      </c>
      <c r="BD36" s="42">
        <f>ROUND($H$36/12,0)</f>
        <v>4167</v>
      </c>
      <c r="BE36" s="42">
        <v>10941</v>
      </c>
      <c r="BF36" s="146">
        <f t="shared" si="28"/>
        <v>1.6256299496040318</v>
      </c>
      <c r="BG36" s="25">
        <f t="shared" si="29"/>
        <v>0.24343675417661093</v>
      </c>
      <c r="BH36" s="24">
        <f>'2024년 실적'!BJ36</f>
        <v>5411</v>
      </c>
      <c r="BI36" s="42">
        <f>ROUND($H$36/12,0)</f>
        <v>4167</v>
      </c>
      <c r="BJ36" s="42">
        <v>8130</v>
      </c>
      <c r="BK36" s="146">
        <f t="shared" si="30"/>
        <v>0.95104391648668107</v>
      </c>
      <c r="BL36" s="82">
        <f t="shared" si="31"/>
        <v>0.50249491776011834</v>
      </c>
      <c r="BM36" s="24">
        <f>'2024년 실적'!BO36</f>
        <v>10010</v>
      </c>
      <c r="BN36" s="42">
        <f>ROUND($H$36/12,0)</f>
        <v>4167</v>
      </c>
      <c r="BO36" s="42"/>
      <c r="BP36" s="146">
        <f t="shared" si="32"/>
        <v>-1</v>
      </c>
      <c r="BQ36" s="25">
        <f t="shared" si="33"/>
        <v>-1</v>
      </c>
      <c r="BR36" s="24">
        <f>'2024년 실적'!BT36</f>
        <v>5128</v>
      </c>
      <c r="BS36" s="42">
        <f>ROUND($H$36/12,0)</f>
        <v>4167</v>
      </c>
      <c r="BT36" s="42"/>
      <c r="BU36" s="146">
        <f t="shared" si="34"/>
        <v>-1</v>
      </c>
      <c r="BV36" s="25">
        <f t="shared" si="35"/>
        <v>-1</v>
      </c>
      <c r="BW36" s="37">
        <f t="shared" si="121"/>
        <v>86942.399999999994</v>
      </c>
      <c r="BX36" s="37">
        <f t="shared" si="39"/>
        <v>14572</v>
      </c>
      <c r="BY36" s="274"/>
      <c r="BZ36" s="30">
        <f t="shared" si="122"/>
        <v>1.4490400000000001</v>
      </c>
    </row>
    <row r="37" spans="2:78" ht="17.25" thickBot="1" x14ac:dyDescent="0.35">
      <c r="B37" s="302"/>
      <c r="C37" s="323" t="s">
        <v>42</v>
      </c>
      <c r="D37" s="324"/>
      <c r="E37" s="325"/>
      <c r="F37" s="178">
        <f>'2024년 실적'!G37</f>
        <v>6632338</v>
      </c>
      <c r="G37" s="179">
        <f>'2024년 실적'!L37</f>
        <v>6337507</v>
      </c>
      <c r="H37" s="179">
        <f>H29+H26</f>
        <v>7125000</v>
      </c>
      <c r="I37" s="180">
        <f t="shared" si="8"/>
        <v>0.124259113244372</v>
      </c>
      <c r="J37" s="181">
        <f>J29+J26</f>
        <v>5059147</v>
      </c>
      <c r="K37" s="179">
        <f>K29+K26</f>
        <v>5824180</v>
      </c>
      <c r="L37" s="179">
        <f>L29+L26</f>
        <v>5218284</v>
      </c>
      <c r="M37" s="182">
        <f t="shared" si="10"/>
        <v>-0.10403112541164594</v>
      </c>
      <c r="N37" s="183">
        <f t="shared" si="11"/>
        <v>3.145530264291585E-2</v>
      </c>
      <c r="O37" s="181">
        <f>O29+O26</f>
        <v>476308</v>
      </c>
      <c r="P37" s="179">
        <f>P29+P26</f>
        <v>580418</v>
      </c>
      <c r="Q37" s="179">
        <f>Q29+Q26</f>
        <v>438431</v>
      </c>
      <c r="R37" s="182">
        <f t="shared" si="12"/>
        <v>-0.24462887091716656</v>
      </c>
      <c r="S37" s="183">
        <f t="shared" si="13"/>
        <v>-7.9522073952148609E-2</v>
      </c>
      <c r="T37" s="181">
        <f>T29+T26</f>
        <v>463573</v>
      </c>
      <c r="U37" s="179">
        <f>U29+U26</f>
        <v>590418</v>
      </c>
      <c r="V37" s="179">
        <f>V29+V26</f>
        <v>543959</v>
      </c>
      <c r="W37" s="182">
        <f t="shared" si="14"/>
        <v>-7.8688319123061956E-2</v>
      </c>
      <c r="X37" s="184">
        <f t="shared" si="15"/>
        <v>0.17340526734732187</v>
      </c>
      <c r="Y37" s="181">
        <f>Y29+Y26</f>
        <v>547542</v>
      </c>
      <c r="Z37" s="179">
        <f>Z29+Z26</f>
        <v>600418</v>
      </c>
      <c r="AA37" s="179">
        <f>AA29+AA26</f>
        <v>486393</v>
      </c>
      <c r="AB37" s="182">
        <f t="shared" si="16"/>
        <v>-0.18990936314367657</v>
      </c>
      <c r="AC37" s="183">
        <f t="shared" si="17"/>
        <v>-0.11167910406872894</v>
      </c>
      <c r="AD37" s="181">
        <f>AD29+AD26</f>
        <v>526860</v>
      </c>
      <c r="AE37" s="179">
        <f>AE29+AE26</f>
        <v>590418</v>
      </c>
      <c r="AF37" s="179">
        <f>AF29+AF26</f>
        <v>590272</v>
      </c>
      <c r="AG37" s="182">
        <f t="shared" si="18"/>
        <v>-2.4728243380112147E-4</v>
      </c>
      <c r="AH37" s="184">
        <f t="shared" si="19"/>
        <v>0.12035834946665158</v>
      </c>
      <c r="AI37" s="181">
        <f>AI29+AI26</f>
        <v>571210</v>
      </c>
      <c r="AJ37" s="179">
        <f>AJ29+AJ26</f>
        <v>590418</v>
      </c>
      <c r="AK37" s="179">
        <f>AK29+AK26</f>
        <v>555823</v>
      </c>
      <c r="AL37" s="182">
        <f t="shared" si="20"/>
        <v>-5.8594080803769488E-2</v>
      </c>
      <c r="AM37" s="183">
        <f t="shared" si="21"/>
        <v>-2.6937553614257426E-2</v>
      </c>
      <c r="AN37" s="181">
        <f>AN29+AN26</f>
        <v>469334</v>
      </c>
      <c r="AO37" s="179">
        <f>AO29+AO26</f>
        <v>590418</v>
      </c>
      <c r="AP37" s="179">
        <f>AP29+AP26</f>
        <v>583772</v>
      </c>
      <c r="AQ37" s="182">
        <f t="shared" si="22"/>
        <v>-1.1256431883851725E-2</v>
      </c>
      <c r="AR37" s="184">
        <f t="shared" si="23"/>
        <v>0.24383061955877894</v>
      </c>
      <c r="AS37" s="181">
        <f>AS29+AS26</f>
        <v>567647</v>
      </c>
      <c r="AT37" s="179">
        <f>AT29+AT26</f>
        <v>590418</v>
      </c>
      <c r="AU37" s="179">
        <f>AU29+AU26</f>
        <v>505219</v>
      </c>
      <c r="AV37" s="182">
        <f t="shared" si="24"/>
        <v>-0.14430284984536379</v>
      </c>
      <c r="AW37" s="183">
        <f t="shared" si="25"/>
        <v>-0.10997679896132628</v>
      </c>
      <c r="AX37" s="181">
        <f>AX29+AX26</f>
        <v>506241</v>
      </c>
      <c r="AY37" s="179">
        <f>AY29+AY26</f>
        <v>590418</v>
      </c>
      <c r="AZ37" s="179">
        <f>AZ29+AZ26</f>
        <v>543904</v>
      </c>
      <c r="BA37" s="182">
        <f t="shared" si="26"/>
        <v>-7.8781473464562435E-2</v>
      </c>
      <c r="BB37" s="184">
        <f t="shared" si="27"/>
        <v>7.4397372002662721E-2</v>
      </c>
      <c r="BC37" s="181">
        <f>BC29+BC26</f>
        <v>441214</v>
      </c>
      <c r="BD37" s="179">
        <f>BD29+BD26</f>
        <v>590418</v>
      </c>
      <c r="BE37" s="179">
        <f>BE29+BE26</f>
        <v>592468</v>
      </c>
      <c r="BF37" s="182">
        <f t="shared" si="28"/>
        <v>3.472116365015987E-3</v>
      </c>
      <c r="BG37" s="183">
        <f t="shared" si="29"/>
        <v>0.34281323802055241</v>
      </c>
      <c r="BH37" s="181">
        <f>BH29+BH26</f>
        <v>575392</v>
      </c>
      <c r="BI37" s="179">
        <f>BI29+BI26</f>
        <v>605418</v>
      </c>
      <c r="BJ37" s="179">
        <f>BJ29+BJ26</f>
        <v>475471</v>
      </c>
      <c r="BK37" s="182">
        <f t="shared" si="30"/>
        <v>-0.21464013293294881</v>
      </c>
      <c r="BL37" s="184">
        <f t="shared" si="31"/>
        <v>-0.17365726322229025</v>
      </c>
      <c r="BM37" s="181">
        <f>BM29+BM26</f>
        <v>589378</v>
      </c>
      <c r="BN37" s="179">
        <f>BN29+BN26</f>
        <v>605418</v>
      </c>
      <c r="BO37" s="179">
        <f>BO29+BO26</f>
        <v>0</v>
      </c>
      <c r="BP37" s="182">
        <f t="shared" si="32"/>
        <v>-1</v>
      </c>
      <c r="BQ37" s="183">
        <f t="shared" si="33"/>
        <v>-1</v>
      </c>
      <c r="BR37" s="181">
        <f>BR29+BR26</f>
        <v>602808</v>
      </c>
      <c r="BS37" s="179">
        <f>BS29+BS26</f>
        <v>600418</v>
      </c>
      <c r="BT37" s="179">
        <f>BT29+BT26</f>
        <v>0</v>
      </c>
      <c r="BU37" s="182">
        <f t="shared" si="34"/>
        <v>-1</v>
      </c>
      <c r="BV37" s="183">
        <f t="shared" si="35"/>
        <v>-1</v>
      </c>
      <c r="BW37" s="275"/>
      <c r="BX37" s="276">
        <f t="shared" si="39"/>
        <v>159137</v>
      </c>
      <c r="BY37" s="274"/>
    </row>
    <row r="38" spans="2:78" x14ac:dyDescent="0.3">
      <c r="B38" s="311" t="s">
        <v>43</v>
      </c>
      <c r="C38" s="368" t="s">
        <v>13</v>
      </c>
      <c r="D38" s="368"/>
      <c r="E38" s="369"/>
      <c r="F38" s="8">
        <f>'2024년 실적'!G38</f>
        <v>75342</v>
      </c>
      <c r="G38" s="38">
        <f>'2024년 실적'!L38</f>
        <v>92962</v>
      </c>
      <c r="H38" s="38">
        <v>84000</v>
      </c>
      <c r="I38" s="10">
        <f t="shared" si="8"/>
        <v>-9.6404982681095541E-2</v>
      </c>
      <c r="J38" s="267">
        <f t="shared" ref="J38:J39" si="123">O38+T38+Y38+AD38+AI38+AN38+AS38+AX38+BC38+BH38</f>
        <v>80249</v>
      </c>
      <c r="K38" s="266">
        <f t="shared" ref="K38:K39" si="124">P38+U38+Z38+AE38+AJ38+AO38+AT38+AY38+BD38+BI38</f>
        <v>70000</v>
      </c>
      <c r="L38" s="266">
        <f t="shared" ref="L38:L39" si="125">Q38+V38+AA38+AF38+AK38+AP38+AU38+AZ38+BE38+BJ38</f>
        <v>85902</v>
      </c>
      <c r="M38" s="115">
        <f t="shared" si="10"/>
        <v>0.22717142857142858</v>
      </c>
      <c r="N38" s="10">
        <f t="shared" si="11"/>
        <v>7.0443245398696508E-2</v>
      </c>
      <c r="O38" s="8">
        <f>'2024년 실적'!Q38</f>
        <v>6906</v>
      </c>
      <c r="P38" s="9">
        <v>7000</v>
      </c>
      <c r="Q38" s="9">
        <v>13207</v>
      </c>
      <c r="R38" s="115">
        <f t="shared" si="12"/>
        <v>0.88671428571428579</v>
      </c>
      <c r="S38" s="10">
        <f t="shared" si="13"/>
        <v>0.91239501882421092</v>
      </c>
      <c r="T38" s="8">
        <f>'2024년 실적'!V38</f>
        <v>6821</v>
      </c>
      <c r="U38" s="9">
        <v>7000</v>
      </c>
      <c r="V38" s="9">
        <v>7003</v>
      </c>
      <c r="W38" s="115">
        <f t="shared" si="14"/>
        <v>4.2857142857144481E-4</v>
      </c>
      <c r="X38" s="77">
        <f t="shared" si="15"/>
        <v>2.6682304647412503E-2</v>
      </c>
      <c r="Y38" s="8">
        <f>'2024년 실적'!AA38</f>
        <v>5904</v>
      </c>
      <c r="Z38" s="9">
        <v>7000</v>
      </c>
      <c r="AA38" s="9">
        <v>6956</v>
      </c>
      <c r="AB38" s="115">
        <f t="shared" si="16"/>
        <v>-6.2857142857143389E-3</v>
      </c>
      <c r="AC38" s="10">
        <f t="shared" si="17"/>
        <v>0.17818428184281854</v>
      </c>
      <c r="AD38" s="8">
        <f>'2024년 실적'!AF38</f>
        <v>10023</v>
      </c>
      <c r="AE38" s="9">
        <v>7000</v>
      </c>
      <c r="AF38" s="9">
        <v>4063</v>
      </c>
      <c r="AG38" s="115">
        <f t="shared" si="18"/>
        <v>-0.4195714285714286</v>
      </c>
      <c r="AH38" s="77">
        <f t="shared" si="19"/>
        <v>-0.59463234560510825</v>
      </c>
      <c r="AI38" s="8">
        <f>'2024년 실적'!AK38</f>
        <v>9644</v>
      </c>
      <c r="AJ38" s="9">
        <v>7000</v>
      </c>
      <c r="AK38" s="9">
        <v>9605</v>
      </c>
      <c r="AL38" s="115">
        <f t="shared" si="20"/>
        <v>0.37214285714285711</v>
      </c>
      <c r="AM38" s="10">
        <f t="shared" si="21"/>
        <v>-4.0439651596847481E-3</v>
      </c>
      <c r="AN38" s="8">
        <f>'2024년 실적'!AP38</f>
        <v>6815</v>
      </c>
      <c r="AO38" s="9">
        <v>7000</v>
      </c>
      <c r="AP38" s="9">
        <v>6900</v>
      </c>
      <c r="AQ38" s="115">
        <f t="shared" si="22"/>
        <v>-1.4285714285714235E-2</v>
      </c>
      <c r="AR38" s="77">
        <f t="shared" si="23"/>
        <v>1.247248716067495E-2</v>
      </c>
      <c r="AS38" s="8">
        <f>'2024년 실적'!AU38</f>
        <v>5618</v>
      </c>
      <c r="AT38" s="9">
        <v>7000</v>
      </c>
      <c r="AU38" s="9">
        <v>6453</v>
      </c>
      <c r="AV38" s="115">
        <f t="shared" si="24"/>
        <v>-7.8142857142857181E-2</v>
      </c>
      <c r="AW38" s="10">
        <f t="shared" si="25"/>
        <v>0.14862940548237802</v>
      </c>
      <c r="AX38" s="8">
        <f>'2024년 실적'!AZ38</f>
        <v>6755</v>
      </c>
      <c r="AY38" s="9">
        <v>7000</v>
      </c>
      <c r="AZ38" s="9">
        <v>7671</v>
      </c>
      <c r="BA38" s="115">
        <f t="shared" si="26"/>
        <v>9.5857142857142863E-2</v>
      </c>
      <c r="BB38" s="77">
        <f t="shared" si="27"/>
        <v>0.13560325684678021</v>
      </c>
      <c r="BC38" s="8">
        <f>'2024년 실적'!BE38</f>
        <v>12109</v>
      </c>
      <c r="BD38" s="9">
        <v>7000</v>
      </c>
      <c r="BE38" s="9">
        <v>17622</v>
      </c>
      <c r="BF38" s="115">
        <f t="shared" si="28"/>
        <v>1.5174285714285713</v>
      </c>
      <c r="BG38" s="10">
        <f t="shared" si="29"/>
        <v>0.45528119580477333</v>
      </c>
      <c r="BH38" s="8">
        <f>'2024년 실적'!BJ38</f>
        <v>9654</v>
      </c>
      <c r="BI38" s="9">
        <v>7000</v>
      </c>
      <c r="BJ38" s="9">
        <v>6422</v>
      </c>
      <c r="BK38" s="115">
        <f t="shared" si="30"/>
        <v>-8.2571428571428518E-2</v>
      </c>
      <c r="BL38" s="77">
        <f t="shared" si="31"/>
        <v>-0.33478350942614465</v>
      </c>
      <c r="BM38" s="8">
        <f>'2024년 실적'!BO38</f>
        <v>6197</v>
      </c>
      <c r="BN38" s="9">
        <v>7000</v>
      </c>
      <c r="BO38" s="9"/>
      <c r="BP38" s="115">
        <f t="shared" si="32"/>
        <v>-1</v>
      </c>
      <c r="BQ38" s="10">
        <f t="shared" si="33"/>
        <v>-1</v>
      </c>
      <c r="BR38" s="8">
        <f>'2024년 실적'!BT38</f>
        <v>6516</v>
      </c>
      <c r="BS38" s="9">
        <v>7000</v>
      </c>
      <c r="BT38" s="9"/>
      <c r="BU38" s="115">
        <f t="shared" si="34"/>
        <v>-1</v>
      </c>
      <c r="BV38" s="10">
        <f t="shared" si="35"/>
        <v>-1</v>
      </c>
      <c r="BX38" s="37">
        <f t="shared" si="39"/>
        <v>5653</v>
      </c>
      <c r="BY38" s="274"/>
    </row>
    <row r="39" spans="2:78" x14ac:dyDescent="0.3">
      <c r="B39" s="312"/>
      <c r="C39" s="356" t="s">
        <v>14</v>
      </c>
      <c r="D39" s="356"/>
      <c r="E39" s="357"/>
      <c r="F39" s="13">
        <f>'2024년 실적'!G39</f>
        <v>77688</v>
      </c>
      <c r="G39" s="39">
        <f>'2024년 실적'!L39</f>
        <v>92713</v>
      </c>
      <c r="H39" s="39">
        <f>H38</f>
        <v>84000</v>
      </c>
      <c r="I39" s="15">
        <f t="shared" si="8"/>
        <v>-9.397819076073477E-2</v>
      </c>
      <c r="J39" s="136">
        <f t="shared" si="123"/>
        <v>80574</v>
      </c>
      <c r="K39" s="87">
        <f t="shared" si="124"/>
        <v>70000</v>
      </c>
      <c r="L39" s="87">
        <f t="shared" si="125"/>
        <v>92869</v>
      </c>
      <c r="M39" s="88">
        <f t="shared" si="10"/>
        <v>0.32669999999999999</v>
      </c>
      <c r="N39" s="15">
        <f t="shared" si="11"/>
        <v>0.15259264775237669</v>
      </c>
      <c r="O39" s="13">
        <f>'2024년 실적'!Q39</f>
        <v>6978</v>
      </c>
      <c r="P39" s="28">
        <f>P38</f>
        <v>7000</v>
      </c>
      <c r="Q39" s="14">
        <v>13039</v>
      </c>
      <c r="R39" s="88">
        <f t="shared" si="12"/>
        <v>0.86271428571428577</v>
      </c>
      <c r="S39" s="15">
        <f t="shared" si="13"/>
        <v>0.86858698767555165</v>
      </c>
      <c r="T39" s="13">
        <f>'2024년 실적'!V39</f>
        <v>5680</v>
      </c>
      <c r="U39" s="28">
        <f>U38</f>
        <v>7000</v>
      </c>
      <c r="V39" s="14">
        <v>6819</v>
      </c>
      <c r="W39" s="88">
        <f t="shared" si="14"/>
        <v>-2.5857142857142912E-2</v>
      </c>
      <c r="X39" s="33">
        <f t="shared" si="15"/>
        <v>0.20052816901408455</v>
      </c>
      <c r="Y39" s="13">
        <f>'2024년 실적'!AA39</f>
        <v>4948</v>
      </c>
      <c r="Z39" s="28">
        <f>Z38</f>
        <v>7000</v>
      </c>
      <c r="AA39" s="14">
        <v>7492</v>
      </c>
      <c r="AB39" s="88">
        <f t="shared" si="16"/>
        <v>7.0285714285714285E-2</v>
      </c>
      <c r="AC39" s="15">
        <f t="shared" si="17"/>
        <v>0.51414713015359736</v>
      </c>
      <c r="AD39" s="13">
        <f>'2024년 실적'!AF39</f>
        <v>10425</v>
      </c>
      <c r="AE39" s="28">
        <f>AE38</f>
        <v>7000</v>
      </c>
      <c r="AF39" s="14">
        <v>5239</v>
      </c>
      <c r="AG39" s="88">
        <f t="shared" si="18"/>
        <v>-0.25157142857142856</v>
      </c>
      <c r="AH39" s="33">
        <f t="shared" si="19"/>
        <v>-0.49745803357314144</v>
      </c>
      <c r="AI39" s="13">
        <f>'2024년 실적'!AK39</f>
        <v>9916</v>
      </c>
      <c r="AJ39" s="28">
        <f>AJ38</f>
        <v>7000</v>
      </c>
      <c r="AK39" s="14">
        <v>8777</v>
      </c>
      <c r="AL39" s="88">
        <f t="shared" si="20"/>
        <v>0.25385714285714278</v>
      </c>
      <c r="AM39" s="15">
        <f t="shared" si="21"/>
        <v>-0.11486486486486491</v>
      </c>
      <c r="AN39" s="13">
        <f>'2024년 실적'!AP39</f>
        <v>8955</v>
      </c>
      <c r="AO39" s="28">
        <f>AO38</f>
        <v>7000</v>
      </c>
      <c r="AP39" s="14">
        <v>6951</v>
      </c>
      <c r="AQ39" s="88">
        <f t="shared" si="22"/>
        <v>-7.0000000000000062E-3</v>
      </c>
      <c r="AR39" s="33">
        <f t="shared" si="23"/>
        <v>-0.22378559463986603</v>
      </c>
      <c r="AS39" s="13">
        <f>'2024년 실적'!AU39</f>
        <v>5834</v>
      </c>
      <c r="AT39" s="28">
        <f>AT38</f>
        <v>7000</v>
      </c>
      <c r="AU39" s="14">
        <v>7466</v>
      </c>
      <c r="AV39" s="88">
        <f t="shared" si="24"/>
        <v>6.6571428571428504E-2</v>
      </c>
      <c r="AW39" s="15">
        <f t="shared" si="25"/>
        <v>0.27973945834761738</v>
      </c>
      <c r="AX39" s="13">
        <f>'2024년 실적'!AZ39</f>
        <v>12401</v>
      </c>
      <c r="AY39" s="28">
        <f>AY38</f>
        <v>7000</v>
      </c>
      <c r="AZ39" s="14">
        <v>8693</v>
      </c>
      <c r="BA39" s="88">
        <f t="shared" si="26"/>
        <v>0.24185714285714277</v>
      </c>
      <c r="BB39" s="33">
        <f t="shared" si="27"/>
        <v>-0.29900814450447544</v>
      </c>
      <c r="BC39" s="13">
        <f>'2024년 실적'!BE39</f>
        <v>5706</v>
      </c>
      <c r="BD39" s="28">
        <f>BD38</f>
        <v>7000</v>
      </c>
      <c r="BE39" s="14">
        <v>23320</v>
      </c>
      <c r="BF39" s="88">
        <f t="shared" si="28"/>
        <v>2.3314285714285714</v>
      </c>
      <c r="BG39" s="15">
        <f t="shared" si="29"/>
        <v>3.0869260427620047</v>
      </c>
      <c r="BH39" s="13">
        <f>'2024년 실적'!BJ39</f>
        <v>9731</v>
      </c>
      <c r="BI39" s="28">
        <f>BI38</f>
        <v>7000</v>
      </c>
      <c r="BJ39" s="14">
        <v>5073</v>
      </c>
      <c r="BK39" s="88">
        <f t="shared" si="30"/>
        <v>-0.27528571428571424</v>
      </c>
      <c r="BL39" s="33">
        <f t="shared" si="31"/>
        <v>-0.47867639502620496</v>
      </c>
      <c r="BM39" s="13">
        <f>'2024년 실적'!BO39</f>
        <v>5759</v>
      </c>
      <c r="BN39" s="28">
        <f>BN38</f>
        <v>7000</v>
      </c>
      <c r="BO39" s="14"/>
      <c r="BP39" s="88">
        <f t="shared" si="32"/>
        <v>-1</v>
      </c>
      <c r="BQ39" s="15">
        <f t="shared" si="33"/>
        <v>-1</v>
      </c>
      <c r="BR39" s="13">
        <f>'2024년 실적'!BT39</f>
        <v>6380</v>
      </c>
      <c r="BS39" s="28">
        <f>BS38</f>
        <v>7000</v>
      </c>
      <c r="BT39" s="14"/>
      <c r="BU39" s="88">
        <f t="shared" si="34"/>
        <v>-1</v>
      </c>
      <c r="BV39" s="15">
        <f t="shared" si="35"/>
        <v>-1</v>
      </c>
      <c r="BX39" s="37">
        <f t="shared" si="39"/>
        <v>12295</v>
      </c>
      <c r="BY39" s="274"/>
    </row>
    <row r="40" spans="2:78" ht="17.25" thickBot="1" x14ac:dyDescent="0.35">
      <c r="B40" s="313"/>
      <c r="C40" s="358" t="s">
        <v>15</v>
      </c>
      <c r="D40" s="358"/>
      <c r="E40" s="359"/>
      <c r="F40" s="5">
        <f>'2024년 실적'!G40</f>
        <v>3913</v>
      </c>
      <c r="G40" s="43">
        <f>'2024년 실적'!L40</f>
        <v>3665</v>
      </c>
      <c r="H40" s="43">
        <f>ROUND(H39/24,0)</f>
        <v>3500</v>
      </c>
      <c r="I40" s="6">
        <f t="shared" si="8"/>
        <v>-4.5020463847203263E-2</v>
      </c>
      <c r="J40" s="57">
        <f t="shared" ref="J40:L40" si="126">BH40</f>
        <v>4239</v>
      </c>
      <c r="K40" s="42">
        <f t="shared" si="126"/>
        <v>3500</v>
      </c>
      <c r="L40" s="42">
        <f t="shared" si="126"/>
        <v>10782</v>
      </c>
      <c r="M40" s="72">
        <f t="shared" si="10"/>
        <v>2.0805714285714285</v>
      </c>
      <c r="N40" s="6">
        <f t="shared" si="11"/>
        <v>1.543524416135881</v>
      </c>
      <c r="O40" s="5">
        <f>'2024년 실적'!Q40</f>
        <v>3985</v>
      </c>
      <c r="P40" s="7">
        <f>ROUND(P39/2,)</f>
        <v>3500</v>
      </c>
      <c r="Q40" s="7">
        <v>3497</v>
      </c>
      <c r="R40" s="72">
        <f t="shared" si="12"/>
        <v>-8.5714285714288962E-4</v>
      </c>
      <c r="S40" s="6">
        <f t="shared" si="13"/>
        <v>-0.12245922208281057</v>
      </c>
      <c r="T40" s="5">
        <f>'2024년 실적'!V40</f>
        <v>2844</v>
      </c>
      <c r="U40" s="7">
        <f>U39/2</f>
        <v>3500</v>
      </c>
      <c r="V40" s="7">
        <v>3329</v>
      </c>
      <c r="W40" s="72">
        <f t="shared" si="14"/>
        <v>-4.8857142857142821E-2</v>
      </c>
      <c r="X40" s="76">
        <f t="shared" si="15"/>
        <v>0.17053445850914195</v>
      </c>
      <c r="Y40" s="5">
        <f>'2024년 실적'!AA40</f>
        <v>1888</v>
      </c>
      <c r="Z40" s="7">
        <f>Z39/2</f>
        <v>3500</v>
      </c>
      <c r="AA40" s="7">
        <v>3865</v>
      </c>
      <c r="AB40" s="72">
        <f t="shared" si="16"/>
        <v>0.10428571428571431</v>
      </c>
      <c r="AC40" s="6">
        <f t="shared" si="17"/>
        <v>1.0471398305084745</v>
      </c>
      <c r="AD40" s="5">
        <f>'2024년 실적'!AF40</f>
        <v>2290</v>
      </c>
      <c r="AE40" s="7">
        <f>AE38/2</f>
        <v>3500</v>
      </c>
      <c r="AF40" s="7">
        <v>5041</v>
      </c>
      <c r="AG40" s="72">
        <f t="shared" si="18"/>
        <v>0.44028571428571439</v>
      </c>
      <c r="AH40" s="76">
        <f t="shared" si="19"/>
        <v>1.2013100436681223</v>
      </c>
      <c r="AI40" s="5">
        <f>'2024년 실적'!AK40</f>
        <v>2562</v>
      </c>
      <c r="AJ40" s="7">
        <v>3500</v>
      </c>
      <c r="AK40" s="7">
        <v>4213</v>
      </c>
      <c r="AL40" s="72">
        <f t="shared" si="20"/>
        <v>0.20371428571428574</v>
      </c>
      <c r="AM40" s="6">
        <f t="shared" si="21"/>
        <v>0.64441842310694764</v>
      </c>
      <c r="AN40" s="5">
        <f>'2024년 실적'!AP40</f>
        <v>4702</v>
      </c>
      <c r="AO40" s="7">
        <v>4000</v>
      </c>
      <c r="AP40" s="7">
        <v>4245</v>
      </c>
      <c r="AQ40" s="72">
        <f t="shared" si="22"/>
        <v>6.1250000000000027E-2</v>
      </c>
      <c r="AR40" s="76">
        <f t="shared" si="23"/>
        <v>-9.7192683964270499E-2</v>
      </c>
      <c r="AS40" s="5">
        <f>'2024년 실적'!AU40</f>
        <v>4918</v>
      </c>
      <c r="AT40" s="7">
        <f>AT38/2</f>
        <v>3500</v>
      </c>
      <c r="AU40" s="7">
        <v>5277</v>
      </c>
      <c r="AV40" s="72">
        <f t="shared" si="24"/>
        <v>0.50771428571428578</v>
      </c>
      <c r="AW40" s="6">
        <f t="shared" si="25"/>
        <v>7.2997153314355412E-2</v>
      </c>
      <c r="AX40" s="5">
        <f>'2024년 실적'!AZ40</f>
        <v>6164</v>
      </c>
      <c r="AY40" s="7">
        <f>AY38/2</f>
        <v>3500</v>
      </c>
      <c r="AZ40" s="7">
        <v>6451</v>
      </c>
      <c r="BA40" s="72">
        <f t="shared" si="26"/>
        <v>0.84314285714285719</v>
      </c>
      <c r="BB40" s="76">
        <f t="shared" si="27"/>
        <v>4.6560674886437337E-2</v>
      </c>
      <c r="BC40" s="5">
        <f>'2024년 실적'!BE40</f>
        <v>4161</v>
      </c>
      <c r="BD40" s="7">
        <f>BD38/2</f>
        <v>3500</v>
      </c>
      <c r="BE40" s="7">
        <v>12130</v>
      </c>
      <c r="BF40" s="72">
        <f t="shared" si="28"/>
        <v>2.4657142857142857</v>
      </c>
      <c r="BG40" s="6">
        <f t="shared" si="29"/>
        <v>1.9151646238884883</v>
      </c>
      <c r="BH40" s="5">
        <f>'2024년 실적'!BJ40</f>
        <v>4239</v>
      </c>
      <c r="BI40" s="7">
        <f>BI39/2</f>
        <v>3500</v>
      </c>
      <c r="BJ40" s="7">
        <v>10782</v>
      </c>
      <c r="BK40" s="72">
        <f t="shared" si="30"/>
        <v>2.0805714285714285</v>
      </c>
      <c r="BL40" s="76">
        <f t="shared" si="31"/>
        <v>1.543524416135881</v>
      </c>
      <c r="BM40" s="5">
        <f>'2024년 실적'!BO40</f>
        <v>3801</v>
      </c>
      <c r="BN40" s="7">
        <f>BN39/2</f>
        <v>3500</v>
      </c>
      <c r="BO40" s="7"/>
      <c r="BP40" s="72">
        <f t="shared" si="32"/>
        <v>-1</v>
      </c>
      <c r="BQ40" s="6">
        <f t="shared" si="33"/>
        <v>-1</v>
      </c>
      <c r="BR40" s="5">
        <f>'2024년 실적'!BT40</f>
        <v>3665</v>
      </c>
      <c r="BS40" s="7">
        <f>BS39/2</f>
        <v>3500</v>
      </c>
      <c r="BT40" s="7"/>
      <c r="BU40" s="72">
        <f t="shared" si="34"/>
        <v>-1</v>
      </c>
      <c r="BV40" s="6">
        <f t="shared" si="35"/>
        <v>-1</v>
      </c>
      <c r="BX40" s="37">
        <f t="shared" si="39"/>
        <v>6543</v>
      </c>
      <c r="BY40" s="274"/>
    </row>
    <row r="41" spans="2:78" x14ac:dyDescent="0.3">
      <c r="B41" s="314" t="s">
        <v>44</v>
      </c>
      <c r="C41" s="354" t="s">
        <v>13</v>
      </c>
      <c r="D41" s="354"/>
      <c r="E41" s="355"/>
      <c r="F41" s="21">
        <f>'2024년 실적'!G41</f>
        <v>3088164</v>
      </c>
      <c r="G41" s="41">
        <f>'2024년 실적'!L41</f>
        <v>3044212</v>
      </c>
      <c r="H41" s="41">
        <v>3160000</v>
      </c>
      <c r="I41" s="23">
        <f t="shared" si="8"/>
        <v>3.8035458765683927E-2</v>
      </c>
      <c r="J41" s="131">
        <f t="shared" ref="J41:J42" si="127">O41+T41+Y41+AD41+AI41+AN41+AS41+AX41+BC41+BH41</f>
        <v>2538808</v>
      </c>
      <c r="K41" s="132">
        <f t="shared" ref="K41:K42" si="128">P41+U41+Z41+AE41+AJ41+AO41+AT41+AY41+BD41+BI41</f>
        <v>2559600</v>
      </c>
      <c r="L41" s="271">
        <f t="shared" ref="L41:L42" si="129">Q41+V41+AA41+AF41+AK41+AP41+AU41+AZ41+BE41+BJ41</f>
        <v>2462232</v>
      </c>
      <c r="M41" s="268">
        <f t="shared" si="10"/>
        <v>-3.8040318799812511E-2</v>
      </c>
      <c r="N41" s="23">
        <f t="shared" si="11"/>
        <v>-3.0162186348869247E-2</v>
      </c>
      <c r="O41" s="21">
        <f>'2024년 실적'!Q41</f>
        <v>225540</v>
      </c>
      <c r="P41" s="22">
        <v>221200</v>
      </c>
      <c r="Q41" s="22">
        <v>281092</v>
      </c>
      <c r="R41" s="112">
        <f t="shared" si="12"/>
        <v>0.27075949367088614</v>
      </c>
      <c r="S41" s="23">
        <f t="shared" si="13"/>
        <v>0.24630664183736806</v>
      </c>
      <c r="T41" s="21">
        <f>'2024년 실적'!V41</f>
        <v>252504</v>
      </c>
      <c r="U41" s="22">
        <v>284400</v>
      </c>
      <c r="V41" s="22">
        <v>215488</v>
      </c>
      <c r="W41" s="112">
        <f t="shared" si="14"/>
        <v>-0.24230661040787627</v>
      </c>
      <c r="X41" s="81">
        <f t="shared" si="15"/>
        <v>-0.14659569749390111</v>
      </c>
      <c r="Y41" s="21">
        <f>'2024년 실적'!AA41</f>
        <v>234804</v>
      </c>
      <c r="Z41" s="22">
        <v>252800</v>
      </c>
      <c r="AA41" s="22">
        <v>229092</v>
      </c>
      <c r="AB41" s="112">
        <f t="shared" si="16"/>
        <v>-9.3781645569620209E-2</v>
      </c>
      <c r="AC41" s="23">
        <f t="shared" si="17"/>
        <v>-2.4326672458731546E-2</v>
      </c>
      <c r="AD41" s="21">
        <f>'2024년 실적'!AF41</f>
        <v>311832</v>
      </c>
      <c r="AE41" s="22">
        <v>252800</v>
      </c>
      <c r="AF41" s="22">
        <v>322612</v>
      </c>
      <c r="AG41" s="112">
        <f t="shared" si="18"/>
        <v>0.27615506329113915</v>
      </c>
      <c r="AH41" s="81">
        <f t="shared" si="19"/>
        <v>3.4569896610995743E-2</v>
      </c>
      <c r="AI41" s="21">
        <f>'2024년 실적'!AK41</f>
        <v>227596</v>
      </c>
      <c r="AJ41" s="22">
        <v>284400</v>
      </c>
      <c r="AK41" s="22">
        <v>212816</v>
      </c>
      <c r="AL41" s="112">
        <f t="shared" si="20"/>
        <v>-0.25170182841068922</v>
      </c>
      <c r="AM41" s="23">
        <f t="shared" si="21"/>
        <v>-6.4939629870472193E-2</v>
      </c>
      <c r="AN41" s="21">
        <f>'2024년 실적'!AP41</f>
        <v>246524</v>
      </c>
      <c r="AO41" s="22">
        <v>252800</v>
      </c>
      <c r="AP41" s="22">
        <v>225800</v>
      </c>
      <c r="AQ41" s="112">
        <f t="shared" si="22"/>
        <v>-0.10680379746835444</v>
      </c>
      <c r="AR41" s="81">
        <f t="shared" si="23"/>
        <v>-8.4064837500608447E-2</v>
      </c>
      <c r="AS41" s="21">
        <f>'2024년 실적'!AU41</f>
        <v>327500</v>
      </c>
      <c r="AT41" s="22">
        <v>252800</v>
      </c>
      <c r="AU41" s="22">
        <v>305128</v>
      </c>
      <c r="AV41" s="112">
        <f t="shared" si="24"/>
        <v>0.20699367088607601</v>
      </c>
      <c r="AW41" s="23">
        <f t="shared" si="25"/>
        <v>-6.8311450381679406E-2</v>
      </c>
      <c r="AX41" s="21">
        <f>'2024년 실적'!AZ41</f>
        <v>246312</v>
      </c>
      <c r="AY41" s="22">
        <v>284400</v>
      </c>
      <c r="AZ41" s="22">
        <v>213836</v>
      </c>
      <c r="BA41" s="112">
        <f t="shared" si="26"/>
        <v>-0.24811533052039381</v>
      </c>
      <c r="BB41" s="81">
        <f t="shared" si="27"/>
        <v>-0.13184903699373152</v>
      </c>
      <c r="BC41" s="21">
        <f>'2024년 실적'!BE41</f>
        <v>183544</v>
      </c>
      <c r="BD41" s="22">
        <v>221200</v>
      </c>
      <c r="BE41" s="22">
        <v>288652</v>
      </c>
      <c r="BF41" s="112">
        <f t="shared" si="28"/>
        <v>0.30493670886075952</v>
      </c>
      <c r="BG41" s="23">
        <f t="shared" si="29"/>
        <v>0.57265832715861054</v>
      </c>
      <c r="BH41" s="21">
        <f>'2024년 실적'!BJ41</f>
        <v>282652</v>
      </c>
      <c r="BI41" s="22">
        <v>252800</v>
      </c>
      <c r="BJ41" s="22">
        <v>167716</v>
      </c>
      <c r="BK41" s="112">
        <f t="shared" si="30"/>
        <v>-0.33656645569620258</v>
      </c>
      <c r="BL41" s="81">
        <f t="shared" si="31"/>
        <v>-0.40663430649703525</v>
      </c>
      <c r="BM41" s="21">
        <f>'2024년 실적'!BO41</f>
        <v>247308</v>
      </c>
      <c r="BN41" s="22">
        <v>316000</v>
      </c>
      <c r="BO41" s="22"/>
      <c r="BP41" s="112">
        <f t="shared" si="32"/>
        <v>-1</v>
      </c>
      <c r="BQ41" s="23">
        <f t="shared" si="33"/>
        <v>-1</v>
      </c>
      <c r="BR41" s="21">
        <f>'2024년 실적'!BT41</f>
        <v>258096</v>
      </c>
      <c r="BS41" s="22">
        <v>284400</v>
      </c>
      <c r="BT41" s="22"/>
      <c r="BU41" s="112">
        <f t="shared" si="34"/>
        <v>-1</v>
      </c>
      <c r="BV41" s="23">
        <f t="shared" si="35"/>
        <v>-1</v>
      </c>
      <c r="BX41" s="37">
        <f t="shared" si="39"/>
        <v>-76576</v>
      </c>
      <c r="BY41" s="274"/>
    </row>
    <row r="42" spans="2:78" x14ac:dyDescent="0.3">
      <c r="B42" s="312"/>
      <c r="C42" s="356" t="s">
        <v>14</v>
      </c>
      <c r="D42" s="356"/>
      <c r="E42" s="357"/>
      <c r="F42" s="13">
        <f>'2024년 실적'!G42</f>
        <v>3030956</v>
      </c>
      <c r="G42" s="39">
        <f>'2024년 실적'!L42</f>
        <v>3144752</v>
      </c>
      <c r="H42" s="39">
        <f>H41</f>
        <v>3160000</v>
      </c>
      <c r="I42" s="15">
        <f t="shared" si="8"/>
        <v>4.8487130304710746E-3</v>
      </c>
      <c r="J42" s="107">
        <f t="shared" si="127"/>
        <v>2651432</v>
      </c>
      <c r="K42" s="87">
        <f t="shared" si="128"/>
        <v>2559600</v>
      </c>
      <c r="L42" s="272">
        <f t="shared" si="129"/>
        <v>2442272</v>
      </c>
      <c r="M42" s="269">
        <f t="shared" si="10"/>
        <v>-4.5838412251914318E-2</v>
      </c>
      <c r="N42" s="15">
        <f t="shared" si="11"/>
        <v>-7.8885673854732108E-2</v>
      </c>
      <c r="O42" s="13">
        <f>'2024년 실적'!Q42</f>
        <v>308652</v>
      </c>
      <c r="P42" s="28">
        <f>P41</f>
        <v>221200</v>
      </c>
      <c r="Q42" s="14">
        <v>217924</v>
      </c>
      <c r="R42" s="88">
        <f t="shared" si="12"/>
        <v>-1.4810126582278427E-2</v>
      </c>
      <c r="S42" s="15">
        <f t="shared" si="13"/>
        <v>-0.29394917253087616</v>
      </c>
      <c r="T42" s="13">
        <f>'2024년 실적'!V42</f>
        <v>251088</v>
      </c>
      <c r="U42" s="28">
        <f>U41</f>
        <v>284400</v>
      </c>
      <c r="V42" s="14">
        <v>329228</v>
      </c>
      <c r="W42" s="88">
        <f t="shared" si="14"/>
        <v>0.15762306610407872</v>
      </c>
      <c r="X42" s="33">
        <f t="shared" si="15"/>
        <v>0.31120563308481497</v>
      </c>
      <c r="Y42" s="13">
        <f>'2024년 실적'!AA42</f>
        <v>206792</v>
      </c>
      <c r="Z42" s="28">
        <f>Z41</f>
        <v>252800</v>
      </c>
      <c r="AA42" s="14">
        <v>159020</v>
      </c>
      <c r="AB42" s="88">
        <f t="shared" si="16"/>
        <v>-0.37096518987341776</v>
      </c>
      <c r="AC42" s="15">
        <f t="shared" si="17"/>
        <v>-0.23101473944833451</v>
      </c>
      <c r="AD42" s="13">
        <f>'2024년 실적'!AF42</f>
        <v>305820</v>
      </c>
      <c r="AE42" s="28">
        <f>AE41</f>
        <v>252800</v>
      </c>
      <c r="AF42" s="14">
        <v>290116</v>
      </c>
      <c r="AG42" s="88">
        <f t="shared" si="18"/>
        <v>0.14761075949367086</v>
      </c>
      <c r="AH42" s="33">
        <f t="shared" si="19"/>
        <v>-5.1350467595317473E-2</v>
      </c>
      <c r="AI42" s="13">
        <f>'2024년 실적'!AK42</f>
        <v>268064</v>
      </c>
      <c r="AJ42" s="28">
        <f>AJ41</f>
        <v>284400</v>
      </c>
      <c r="AK42" s="14">
        <v>280612</v>
      </c>
      <c r="AL42" s="88">
        <f t="shared" si="20"/>
        <v>-1.3319268635724302E-2</v>
      </c>
      <c r="AM42" s="15">
        <f t="shared" si="21"/>
        <v>4.6809717082487712E-2</v>
      </c>
      <c r="AN42" s="13">
        <f>'2024년 실적'!AP42</f>
        <v>264536</v>
      </c>
      <c r="AO42" s="28">
        <f>AO41</f>
        <v>252800</v>
      </c>
      <c r="AP42" s="14">
        <v>296008</v>
      </c>
      <c r="AQ42" s="88">
        <f t="shared" si="22"/>
        <v>0.17091772151898743</v>
      </c>
      <c r="AR42" s="33">
        <f t="shared" si="23"/>
        <v>0.11897057489339824</v>
      </c>
      <c r="AS42" s="13">
        <f>'2024년 실적'!AU42</f>
        <v>396104</v>
      </c>
      <c r="AT42" s="28">
        <f>AT41</f>
        <v>252800</v>
      </c>
      <c r="AU42" s="14">
        <v>177440</v>
      </c>
      <c r="AV42" s="88">
        <f t="shared" si="24"/>
        <v>-0.29810126582278484</v>
      </c>
      <c r="AW42" s="15">
        <f t="shared" si="25"/>
        <v>-0.55203683881000942</v>
      </c>
      <c r="AX42" s="13">
        <f>'2024년 실적'!AZ42</f>
        <v>250992</v>
      </c>
      <c r="AY42" s="28">
        <f>AY41</f>
        <v>284400</v>
      </c>
      <c r="AZ42" s="14">
        <v>223840</v>
      </c>
      <c r="BA42" s="88">
        <f t="shared" si="26"/>
        <v>-0.21293952180028131</v>
      </c>
      <c r="BB42" s="33">
        <f t="shared" si="27"/>
        <v>-0.10817874673296357</v>
      </c>
      <c r="BC42" s="13">
        <f>'2024년 실적'!BE42</f>
        <v>211504</v>
      </c>
      <c r="BD42" s="28">
        <f>BD41</f>
        <v>221200</v>
      </c>
      <c r="BE42" s="14">
        <v>205024</v>
      </c>
      <c r="BF42" s="88">
        <f t="shared" si="28"/>
        <v>-7.312839059674503E-2</v>
      </c>
      <c r="BG42" s="15">
        <f t="shared" si="29"/>
        <v>-3.063771843558516E-2</v>
      </c>
      <c r="BH42" s="13">
        <f>'2024년 실적'!BJ42</f>
        <v>187880</v>
      </c>
      <c r="BI42" s="28">
        <f>BI41</f>
        <v>252800</v>
      </c>
      <c r="BJ42" s="14">
        <v>263060</v>
      </c>
      <c r="BK42" s="88">
        <f t="shared" si="30"/>
        <v>4.0585443037974622E-2</v>
      </c>
      <c r="BL42" s="33">
        <f t="shared" si="31"/>
        <v>0.40014903129657231</v>
      </c>
      <c r="BM42" s="13">
        <f>'2024년 실적'!BO42</f>
        <v>252064</v>
      </c>
      <c r="BN42" s="28">
        <f>BN41</f>
        <v>316000</v>
      </c>
      <c r="BO42" s="14"/>
      <c r="BP42" s="88">
        <f t="shared" si="32"/>
        <v>-1</v>
      </c>
      <c r="BQ42" s="15">
        <f t="shared" si="33"/>
        <v>-1</v>
      </c>
      <c r="BR42" s="13">
        <f>'2024년 실적'!BT42</f>
        <v>241256</v>
      </c>
      <c r="BS42" s="28">
        <f>BS41</f>
        <v>284400</v>
      </c>
      <c r="BT42" s="14"/>
      <c r="BU42" s="88">
        <f t="shared" si="34"/>
        <v>-1</v>
      </c>
      <c r="BV42" s="15">
        <f t="shared" si="35"/>
        <v>-1</v>
      </c>
      <c r="BX42" s="37">
        <f t="shared" si="39"/>
        <v>-209160</v>
      </c>
      <c r="BY42" s="274"/>
    </row>
    <row r="43" spans="2:78" ht="17.25" thickBot="1" x14ac:dyDescent="0.35">
      <c r="B43" s="313"/>
      <c r="C43" s="358" t="s">
        <v>15</v>
      </c>
      <c r="D43" s="358"/>
      <c r="E43" s="359"/>
      <c r="F43" s="5">
        <f>'2024년 실적'!G43</f>
        <v>69780</v>
      </c>
      <c r="G43" s="43">
        <f>'2024년 실적'!L43</f>
        <v>170096</v>
      </c>
      <c r="H43" s="43">
        <f>ROUND(H42/24,0)</f>
        <v>131667</v>
      </c>
      <c r="I43" s="6">
        <f t="shared" si="8"/>
        <v>-0.2259253597968206</v>
      </c>
      <c r="J43" s="5">
        <f t="shared" ref="J43:L43" si="130">BH43</f>
        <v>182352</v>
      </c>
      <c r="K43" s="43">
        <f t="shared" si="130"/>
        <v>126400</v>
      </c>
      <c r="L43" s="273">
        <f t="shared" si="130"/>
        <v>163836</v>
      </c>
      <c r="M43" s="270">
        <f t="shared" si="10"/>
        <v>0.29617088607594932</v>
      </c>
      <c r="N43" s="6">
        <f t="shared" si="11"/>
        <v>-0.10153987891550409</v>
      </c>
      <c r="O43" s="5">
        <f>'2024년 실적'!Q43</f>
        <v>152844</v>
      </c>
      <c r="P43" s="7">
        <f>ROUND(P42/2,)</f>
        <v>110600</v>
      </c>
      <c r="Q43" s="7">
        <v>106928</v>
      </c>
      <c r="R43" s="72">
        <f t="shared" si="12"/>
        <v>-3.3200723327305615E-2</v>
      </c>
      <c r="S43" s="6">
        <f t="shared" si="13"/>
        <v>-0.30041087644919007</v>
      </c>
      <c r="T43" s="5">
        <f>'2024년 실적'!V43</f>
        <v>151416</v>
      </c>
      <c r="U43" s="7">
        <f>U42/2</f>
        <v>142200</v>
      </c>
      <c r="V43" s="7">
        <v>234060</v>
      </c>
      <c r="W43" s="72">
        <f t="shared" si="14"/>
        <v>0.64599156118143464</v>
      </c>
      <c r="X43" s="76">
        <f t="shared" si="15"/>
        <v>0.54580757647804723</v>
      </c>
      <c r="Y43" s="5">
        <f>'2024년 실적'!AA43</f>
        <v>123512</v>
      </c>
      <c r="Z43" s="7">
        <f>Z42/2</f>
        <v>126400</v>
      </c>
      <c r="AA43" s="7">
        <v>163988</v>
      </c>
      <c r="AB43" s="72">
        <f t="shared" si="16"/>
        <v>0.29737341772151904</v>
      </c>
      <c r="AC43" s="6">
        <f t="shared" si="17"/>
        <v>0.3277090485135048</v>
      </c>
      <c r="AD43" s="5">
        <f>'2024년 실적'!AF43</f>
        <v>117500</v>
      </c>
      <c r="AE43" s="7">
        <f>AE41/2</f>
        <v>126400</v>
      </c>
      <c r="AF43" s="7">
        <v>131860</v>
      </c>
      <c r="AG43" s="72">
        <f t="shared" si="18"/>
        <v>4.3196202531645467E-2</v>
      </c>
      <c r="AH43" s="76">
        <f t="shared" si="19"/>
        <v>0.12221276595744679</v>
      </c>
      <c r="AI43" s="5">
        <f>'2024년 실적'!AK43</f>
        <v>157968</v>
      </c>
      <c r="AJ43" s="7">
        <f>AJ41/2</f>
        <v>142200</v>
      </c>
      <c r="AK43" s="7">
        <v>199644</v>
      </c>
      <c r="AL43" s="72">
        <f t="shared" si="20"/>
        <v>0.40396624472573839</v>
      </c>
      <c r="AM43" s="6">
        <f t="shared" si="21"/>
        <v>0.26382558492859309</v>
      </c>
      <c r="AN43" s="5">
        <f>'2024년 실적'!AP43</f>
        <v>175980</v>
      </c>
      <c r="AO43" s="7">
        <f>AO41/2</f>
        <v>126400</v>
      </c>
      <c r="AP43" s="7">
        <v>248892</v>
      </c>
      <c r="AQ43" s="72">
        <f t="shared" si="22"/>
        <v>0.96908227848101269</v>
      </c>
      <c r="AR43" s="76">
        <f t="shared" si="23"/>
        <v>0.4143198090692124</v>
      </c>
      <c r="AS43" s="5">
        <f>'2024년 실적'!AU43</f>
        <v>244572</v>
      </c>
      <c r="AT43" s="7">
        <f>AT41/2</f>
        <v>126400</v>
      </c>
      <c r="AU43" s="7">
        <v>142152</v>
      </c>
      <c r="AV43" s="72">
        <f t="shared" si="24"/>
        <v>0.12462025316455705</v>
      </c>
      <c r="AW43" s="6">
        <f t="shared" si="25"/>
        <v>-0.41877238604582701</v>
      </c>
      <c r="AX43" s="5">
        <f>'2024년 실적'!AZ43</f>
        <v>249212</v>
      </c>
      <c r="AY43" s="7">
        <f>AY41/2</f>
        <v>142200</v>
      </c>
      <c r="AZ43" s="7">
        <v>152120</v>
      </c>
      <c r="BA43" s="72">
        <f t="shared" si="26"/>
        <v>6.9760900140646953E-2</v>
      </c>
      <c r="BB43" s="76">
        <f t="shared" si="27"/>
        <v>-0.38959600661284366</v>
      </c>
      <c r="BC43" s="5">
        <f>'2024년 실적'!BE43</f>
        <v>277172</v>
      </c>
      <c r="BD43" s="7">
        <f>BD41/2</f>
        <v>110600</v>
      </c>
      <c r="BE43" s="7">
        <v>68492</v>
      </c>
      <c r="BF43" s="72">
        <f t="shared" si="28"/>
        <v>-0.38072332730560576</v>
      </c>
      <c r="BG43" s="6">
        <f t="shared" si="29"/>
        <v>-0.75288990229893349</v>
      </c>
      <c r="BH43" s="5">
        <f>'2024년 실적'!BJ43</f>
        <v>182352</v>
      </c>
      <c r="BI43" s="7">
        <f>BI42/2</f>
        <v>126400</v>
      </c>
      <c r="BJ43" s="7">
        <v>163836</v>
      </c>
      <c r="BK43" s="72">
        <f t="shared" si="30"/>
        <v>0.29617088607594932</v>
      </c>
      <c r="BL43" s="76">
        <f t="shared" si="31"/>
        <v>-0.10153987891550409</v>
      </c>
      <c r="BM43" s="5">
        <f>'2024년 실적'!BO43</f>
        <v>187156</v>
      </c>
      <c r="BN43" s="7">
        <f>BN42/2</f>
        <v>158000</v>
      </c>
      <c r="BO43" s="7"/>
      <c r="BP43" s="72">
        <f t="shared" si="32"/>
        <v>-1</v>
      </c>
      <c r="BQ43" s="6">
        <f t="shared" si="33"/>
        <v>-1</v>
      </c>
      <c r="BR43" s="5">
        <f>'2024년 실적'!BT43</f>
        <v>170096</v>
      </c>
      <c r="BS43" s="7">
        <f>BS42/2</f>
        <v>142200</v>
      </c>
      <c r="BT43" s="7"/>
      <c r="BU43" s="72">
        <f t="shared" si="34"/>
        <v>-1</v>
      </c>
      <c r="BV43" s="6">
        <f t="shared" si="35"/>
        <v>-1</v>
      </c>
      <c r="BX43" s="37">
        <f t="shared" si="39"/>
        <v>-18516</v>
      </c>
      <c r="BY43" s="274"/>
    </row>
    <row r="44" spans="2:78" x14ac:dyDescent="0.3">
      <c r="B44" s="58" t="s">
        <v>45</v>
      </c>
      <c r="C44" s="59"/>
      <c r="D44" s="59"/>
      <c r="E44" s="59"/>
      <c r="F44" s="26"/>
      <c r="G44" s="26"/>
      <c r="H44" s="26"/>
      <c r="I44" s="27"/>
      <c r="J44" s="60"/>
      <c r="K44" s="26"/>
      <c r="L44" s="26"/>
      <c r="M44" s="27"/>
      <c r="N44" s="27"/>
      <c r="O44" s="26"/>
      <c r="P44" s="26"/>
      <c r="Q44" s="26"/>
      <c r="R44" s="27"/>
      <c r="S44" s="27"/>
      <c r="T44" s="26"/>
      <c r="U44" s="26"/>
      <c r="V44" s="26"/>
      <c r="W44" s="27"/>
      <c r="X44" s="27"/>
      <c r="Y44" s="26"/>
      <c r="Z44" s="26"/>
      <c r="AA44" s="26"/>
      <c r="AB44" s="27"/>
      <c r="AC44" s="27"/>
      <c r="AD44" s="26"/>
      <c r="AE44" s="26"/>
      <c r="AF44" s="26"/>
      <c r="AG44" s="27"/>
      <c r="AH44" s="27"/>
      <c r="AI44" s="26"/>
      <c r="AJ44" s="26"/>
      <c r="AK44" s="26"/>
      <c r="AL44" s="27"/>
      <c r="AM44" s="27"/>
      <c r="AN44" s="26"/>
      <c r="AO44" s="26"/>
      <c r="AP44" s="26"/>
      <c r="AQ44" s="27"/>
      <c r="AR44" s="27"/>
      <c r="AS44" s="26"/>
      <c r="AT44" s="26"/>
      <c r="AU44" s="26"/>
      <c r="AV44" s="27"/>
      <c r="AW44" s="27"/>
      <c r="AX44" s="26"/>
      <c r="AY44" s="26"/>
      <c r="AZ44" s="26"/>
      <c r="BA44" s="27"/>
      <c r="BB44" s="27"/>
      <c r="BC44" s="26"/>
      <c r="BD44" s="26"/>
      <c r="BE44" s="26"/>
      <c r="BF44" s="27"/>
      <c r="BG44" s="27"/>
      <c r="BH44" s="26"/>
      <c r="BI44" s="26"/>
      <c r="BJ44" s="26"/>
      <c r="BK44" s="27"/>
      <c r="BL44" s="27"/>
      <c r="BM44" s="26"/>
      <c r="BN44" s="26"/>
      <c r="BO44" s="26"/>
      <c r="BP44" s="27"/>
      <c r="BQ44" s="27"/>
      <c r="BR44" s="26"/>
      <c r="BS44" s="26"/>
      <c r="BT44" s="26"/>
      <c r="BU44" s="27"/>
      <c r="BV44" s="27"/>
      <c r="BY44" s="274"/>
    </row>
    <row r="45" spans="2:78" x14ac:dyDescent="0.3">
      <c r="B45" s="58" t="s">
        <v>46</v>
      </c>
      <c r="C45" s="59"/>
      <c r="D45" s="59"/>
      <c r="E45" s="59"/>
      <c r="F45" s="26"/>
      <c r="G45" s="26"/>
      <c r="H45" s="26"/>
      <c r="I45" s="27"/>
      <c r="J45" s="26">
        <f t="shared" ref="J45:K45" si="131">J22+J19+J14</f>
        <v>695968</v>
      </c>
      <c r="K45" s="26">
        <f t="shared" si="131"/>
        <v>733500</v>
      </c>
      <c r="L45" s="26">
        <f>L22+L19+L14</f>
        <v>727341</v>
      </c>
      <c r="M45" s="27"/>
      <c r="N45" s="27"/>
      <c r="O45" s="26"/>
      <c r="P45" s="26"/>
      <c r="Q45" s="26"/>
      <c r="R45" s="27"/>
      <c r="S45" s="27"/>
      <c r="T45" s="26"/>
      <c r="U45" s="26"/>
      <c r="V45" s="26"/>
      <c r="W45" s="27"/>
      <c r="X45" s="27"/>
      <c r="Y45" s="26"/>
      <c r="Z45" s="26"/>
      <c r="AA45" s="26"/>
      <c r="AB45" s="27"/>
      <c r="AC45" s="27"/>
      <c r="AD45" s="26"/>
      <c r="AE45" s="26"/>
      <c r="AF45" s="26">
        <f>AF26</f>
        <v>75280</v>
      </c>
      <c r="AG45" s="27"/>
      <c r="AH45" s="27"/>
      <c r="AI45" s="26"/>
      <c r="AJ45" s="26"/>
      <c r="AK45" s="26">
        <f>AK26</f>
        <v>91644</v>
      </c>
      <c r="AL45" s="27"/>
      <c r="AM45" s="27"/>
      <c r="AN45" s="26"/>
      <c r="AO45" s="26"/>
      <c r="AP45" s="26">
        <f>AP26</f>
        <v>91998</v>
      </c>
      <c r="AQ45" s="27"/>
      <c r="AR45" s="27"/>
      <c r="AS45" s="26"/>
      <c r="AT45" s="26"/>
      <c r="AU45" s="26"/>
      <c r="AV45" s="27"/>
      <c r="AW45" s="27"/>
      <c r="AX45" s="26"/>
      <c r="AY45" s="26"/>
      <c r="AZ45" s="26">
        <f>AZ26</f>
        <v>99818</v>
      </c>
      <c r="BA45" s="27"/>
      <c r="BB45" s="27"/>
      <c r="BC45" s="26"/>
      <c r="BD45" s="26"/>
      <c r="BE45" s="26">
        <f>BE26</f>
        <v>95732</v>
      </c>
      <c r="BF45" s="27"/>
      <c r="BG45" s="27"/>
      <c r="BH45" s="26"/>
      <c r="BI45" s="26"/>
      <c r="BJ45" s="26">
        <f>BJ26</f>
        <v>97428</v>
      </c>
      <c r="BK45" s="27"/>
      <c r="BL45" s="27"/>
      <c r="BM45" s="26"/>
      <c r="BN45" s="26"/>
      <c r="BO45" s="26">
        <f>BO26</f>
        <v>0</v>
      </c>
      <c r="BP45" s="27"/>
      <c r="BQ45" s="27"/>
      <c r="BR45" s="26"/>
      <c r="BS45" s="26"/>
      <c r="BT45" s="26">
        <f>BT26</f>
        <v>0</v>
      </c>
      <c r="BU45" s="27"/>
      <c r="BV45" s="27"/>
      <c r="BY45" s="274"/>
    </row>
    <row r="46" spans="2:78" x14ac:dyDescent="0.3">
      <c r="B46" s="59"/>
      <c r="C46" s="59"/>
      <c r="D46" s="59"/>
      <c r="E46" s="61">
        <f>J46/1000</f>
        <v>0</v>
      </c>
      <c r="F46" s="26"/>
      <c r="G46" s="26"/>
      <c r="H46" s="26"/>
      <c r="I46" s="27"/>
      <c r="J46" s="60"/>
      <c r="K46" s="26"/>
      <c r="L46" s="62"/>
      <c r="M46" s="27"/>
      <c r="N46" s="27"/>
      <c r="O46" s="26"/>
      <c r="P46" s="26"/>
      <c r="Q46" s="26"/>
      <c r="R46" s="27"/>
      <c r="S46" s="27"/>
      <c r="T46" s="26"/>
      <c r="U46" s="26"/>
      <c r="V46" s="26"/>
      <c r="W46" s="27"/>
      <c r="X46" s="27"/>
      <c r="Y46" s="26"/>
      <c r="Z46" s="26"/>
      <c r="AA46" s="26"/>
      <c r="AB46" s="27"/>
      <c r="AC46" s="27"/>
      <c r="AD46" s="26"/>
      <c r="AE46" s="26"/>
      <c r="AF46" s="26">
        <v>61769</v>
      </c>
      <c r="AG46" s="27"/>
      <c r="AH46" s="27"/>
      <c r="AI46" s="26"/>
      <c r="AJ46" s="26"/>
      <c r="AK46" s="26">
        <v>61769</v>
      </c>
      <c r="AL46" s="27"/>
      <c r="AM46" s="27"/>
      <c r="AN46" s="26"/>
      <c r="AO46" s="26"/>
      <c r="AP46" s="26">
        <v>61769</v>
      </c>
      <c r="AQ46" s="27"/>
      <c r="AR46" s="27"/>
      <c r="AS46" s="26"/>
      <c r="AT46" s="26"/>
      <c r="AU46" s="26"/>
      <c r="AV46" s="27"/>
      <c r="AW46" s="27"/>
      <c r="AX46" s="26"/>
      <c r="AY46" s="26"/>
      <c r="AZ46" s="26">
        <v>61769</v>
      </c>
      <c r="BA46" s="27"/>
      <c r="BB46" s="27"/>
      <c r="BC46" s="26"/>
      <c r="BD46" s="26"/>
      <c r="BE46" s="26">
        <v>61769</v>
      </c>
      <c r="BF46" s="27"/>
      <c r="BG46" s="27"/>
      <c r="BH46" s="26"/>
      <c r="BI46" s="26"/>
      <c r="BJ46" s="26">
        <v>61769</v>
      </c>
      <c r="BK46" s="27"/>
      <c r="BL46" s="27"/>
      <c r="BM46" s="26"/>
      <c r="BN46" s="26"/>
      <c r="BO46" s="26">
        <v>61769</v>
      </c>
      <c r="BP46" s="27"/>
      <c r="BQ46" s="27"/>
      <c r="BR46" s="26"/>
      <c r="BS46" s="26"/>
      <c r="BT46" s="26">
        <v>61769</v>
      </c>
      <c r="BU46" s="27"/>
      <c r="BV46" s="27"/>
      <c r="BY46" s="274"/>
    </row>
    <row r="47" spans="2:78" ht="17.25" thickBot="1" x14ac:dyDescent="0.35">
      <c r="B47" s="37" t="s">
        <v>47</v>
      </c>
      <c r="C47" s="37"/>
      <c r="D47" s="37"/>
      <c r="E47" s="29"/>
      <c r="F47" s="29"/>
      <c r="G47" s="29"/>
      <c r="H47" s="29"/>
      <c r="J47" s="63"/>
      <c r="K47" s="29"/>
      <c r="L47" s="29"/>
      <c r="M47" s="30"/>
      <c r="N47" s="30"/>
      <c r="O47" s="29"/>
      <c r="P47" s="29"/>
      <c r="Q47" s="29"/>
      <c r="R47" s="30"/>
      <c r="S47" s="30"/>
      <c r="T47" s="29"/>
      <c r="U47" s="29"/>
      <c r="V47" s="29"/>
      <c r="W47" s="30"/>
      <c r="X47" s="30"/>
      <c r="Y47" s="29"/>
      <c r="Z47" s="29"/>
      <c r="AA47" s="29"/>
      <c r="AB47" s="30"/>
      <c r="AC47" s="30"/>
      <c r="AD47" s="29"/>
      <c r="AE47" s="29"/>
      <c r="AF47" s="29"/>
      <c r="AG47" s="30"/>
      <c r="AH47" s="30"/>
      <c r="AI47" s="29"/>
      <c r="AJ47" s="29"/>
      <c r="AK47" s="29"/>
      <c r="AL47" s="30"/>
      <c r="AM47" s="30"/>
      <c r="AN47" s="29"/>
      <c r="AO47" s="29"/>
      <c r="AP47" s="29"/>
      <c r="AQ47" s="30"/>
      <c r="AR47" s="30"/>
      <c r="AS47" s="29"/>
      <c r="AT47" s="29"/>
      <c r="AU47" s="29"/>
      <c r="AV47" s="30"/>
      <c r="AW47" s="30"/>
      <c r="AX47" s="29"/>
      <c r="AY47" s="29"/>
      <c r="AZ47" s="29"/>
      <c r="BA47" s="30"/>
      <c r="BB47" s="30"/>
      <c r="BC47" s="29"/>
      <c r="BD47" s="29"/>
      <c r="BE47" s="29"/>
      <c r="BF47" s="30"/>
      <c r="BG47" s="30"/>
      <c r="BH47" s="29"/>
      <c r="BI47" s="29"/>
      <c r="BJ47" s="29"/>
      <c r="BK47" s="30"/>
      <c r="BL47" s="30"/>
      <c r="BM47" s="29"/>
      <c r="BN47" s="29"/>
      <c r="BO47" s="29"/>
      <c r="BP47" s="30"/>
      <c r="BQ47" s="30"/>
      <c r="BR47" s="29"/>
      <c r="BS47" s="29"/>
      <c r="BT47" s="29"/>
      <c r="BU47" s="30"/>
      <c r="BV47" s="30"/>
      <c r="BY47" s="274"/>
    </row>
    <row r="48" spans="2:78" x14ac:dyDescent="0.3">
      <c r="B48" s="360" t="s">
        <v>2</v>
      </c>
      <c r="C48" s="361"/>
      <c r="D48" s="361"/>
      <c r="E48" s="362"/>
      <c r="F48" s="366" t="str">
        <f>F2</f>
        <v>2023년 실적</v>
      </c>
      <c r="G48" s="329" t="str">
        <f>G2</f>
        <v>2024년 실적</v>
      </c>
      <c r="H48" s="327" t="str">
        <f>H2</f>
        <v>2025년(P)</v>
      </c>
      <c r="I48" s="352" t="s">
        <v>5</v>
      </c>
      <c r="J48" s="329" t="str">
        <f>J2</f>
        <v>누적</v>
      </c>
      <c r="K48" s="327"/>
      <c r="L48" s="327"/>
      <c r="M48" s="327"/>
      <c r="N48" s="330"/>
      <c r="O48" s="326" t="str">
        <f>O2</f>
        <v>1월</v>
      </c>
      <c r="P48" s="327"/>
      <c r="Q48" s="327"/>
      <c r="R48" s="327"/>
      <c r="S48" s="328"/>
      <c r="T48" s="326" t="str">
        <f>T2</f>
        <v>2월</v>
      </c>
      <c r="U48" s="327"/>
      <c r="V48" s="327"/>
      <c r="W48" s="327"/>
      <c r="X48" s="328"/>
      <c r="Y48" s="326" t="str">
        <f>Y2</f>
        <v>3월</v>
      </c>
      <c r="Z48" s="327"/>
      <c r="AA48" s="327"/>
      <c r="AB48" s="327"/>
      <c r="AC48" s="328"/>
      <c r="AD48" s="326" t="str">
        <f>AD2</f>
        <v>4월</v>
      </c>
      <c r="AE48" s="327"/>
      <c r="AF48" s="327"/>
      <c r="AG48" s="327"/>
      <c r="AH48" s="328"/>
      <c r="AI48" s="326" t="str">
        <f>AI2</f>
        <v>5월</v>
      </c>
      <c r="AJ48" s="327"/>
      <c r="AK48" s="327"/>
      <c r="AL48" s="327"/>
      <c r="AM48" s="328"/>
      <c r="AN48" s="326" t="str">
        <f>AN2</f>
        <v>6월</v>
      </c>
      <c r="AO48" s="327"/>
      <c r="AP48" s="327"/>
      <c r="AQ48" s="327"/>
      <c r="AR48" s="328"/>
      <c r="AS48" s="326" t="str">
        <f>AS2</f>
        <v>7월</v>
      </c>
      <c r="AT48" s="327"/>
      <c r="AU48" s="327"/>
      <c r="AV48" s="327"/>
      <c r="AW48" s="328"/>
      <c r="AX48" s="326" t="str">
        <f>AX2</f>
        <v>8월</v>
      </c>
      <c r="AY48" s="327"/>
      <c r="AZ48" s="327"/>
      <c r="BA48" s="327"/>
      <c r="BB48" s="328"/>
      <c r="BC48" s="326" t="str">
        <f>BC2</f>
        <v>9월</v>
      </c>
      <c r="BD48" s="327"/>
      <c r="BE48" s="327"/>
      <c r="BF48" s="327"/>
      <c r="BG48" s="328"/>
      <c r="BH48" s="326" t="str">
        <f>BH2</f>
        <v>10월</v>
      </c>
      <c r="BI48" s="327"/>
      <c r="BJ48" s="327"/>
      <c r="BK48" s="327"/>
      <c r="BL48" s="328"/>
      <c r="BM48" s="326" t="str">
        <f>BM2</f>
        <v>11월</v>
      </c>
      <c r="BN48" s="327"/>
      <c r="BO48" s="327"/>
      <c r="BP48" s="327"/>
      <c r="BQ48" s="328"/>
      <c r="BR48" s="326" t="str">
        <f>BR2</f>
        <v>12월</v>
      </c>
      <c r="BS48" s="327"/>
      <c r="BT48" s="327"/>
      <c r="BU48" s="327"/>
      <c r="BV48" s="328"/>
      <c r="BY48" s="274"/>
    </row>
    <row r="49" spans="2:77" ht="17.25" thickBot="1" x14ac:dyDescent="0.35">
      <c r="B49" s="363"/>
      <c r="C49" s="364"/>
      <c r="D49" s="364"/>
      <c r="E49" s="365"/>
      <c r="F49" s="367"/>
      <c r="G49" s="337"/>
      <c r="H49" s="338"/>
      <c r="I49" s="353"/>
      <c r="J49" s="141" t="str">
        <f>J3</f>
        <v>2024년</v>
      </c>
      <c r="K49" s="96" t="str">
        <f>K3</f>
        <v>목표</v>
      </c>
      <c r="L49" s="96" t="str">
        <f>L3</f>
        <v>2025년</v>
      </c>
      <c r="M49" s="142" t="str">
        <f>M3</f>
        <v>달성율</v>
      </c>
      <c r="N49" s="143" t="str">
        <f>N3</f>
        <v>전년대비</v>
      </c>
      <c r="O49" s="104" t="str">
        <f>O3</f>
        <v>2024년</v>
      </c>
      <c r="P49" s="96" t="str">
        <f>P3</f>
        <v>목표</v>
      </c>
      <c r="Q49" s="96" t="str">
        <f>Q3</f>
        <v>2025년</v>
      </c>
      <c r="R49" s="142" t="str">
        <f>R3</f>
        <v>달성율</v>
      </c>
      <c r="S49" s="31" t="str">
        <f>S3</f>
        <v>전년대비</v>
      </c>
      <c r="T49" s="104" t="str">
        <f>T3</f>
        <v>2024년</v>
      </c>
      <c r="U49" s="96" t="str">
        <f>U3</f>
        <v>목표</v>
      </c>
      <c r="V49" s="96" t="str">
        <f>V3</f>
        <v>2025년</v>
      </c>
      <c r="W49" s="142" t="str">
        <f>W3</f>
        <v>달성율</v>
      </c>
      <c r="X49" s="31" t="str">
        <f>X3</f>
        <v>전년대비</v>
      </c>
      <c r="Y49" s="104" t="str">
        <f>Y3</f>
        <v>2024년</v>
      </c>
      <c r="Z49" s="96" t="str">
        <f>Z3</f>
        <v>목표</v>
      </c>
      <c r="AA49" s="96" t="str">
        <f>AA3</f>
        <v>2025년</v>
      </c>
      <c r="AB49" s="142" t="str">
        <f>AB3</f>
        <v>달성율</v>
      </c>
      <c r="AC49" s="31" t="str">
        <f>AC3</f>
        <v>전년대비</v>
      </c>
      <c r="AD49" s="104" t="str">
        <f>AD3</f>
        <v>2024년</v>
      </c>
      <c r="AE49" s="96" t="str">
        <f>AE3</f>
        <v>목표</v>
      </c>
      <c r="AF49" s="96" t="str">
        <f>AF3</f>
        <v>2025년</v>
      </c>
      <c r="AG49" s="142" t="str">
        <f>AG3</f>
        <v>달성율</v>
      </c>
      <c r="AH49" s="31" t="str">
        <f>AH3</f>
        <v>전년대비</v>
      </c>
      <c r="AI49" s="104" t="str">
        <f>AI3</f>
        <v>2024년</v>
      </c>
      <c r="AJ49" s="96" t="str">
        <f>AJ3</f>
        <v>목표</v>
      </c>
      <c r="AK49" s="96" t="str">
        <f>AK3</f>
        <v>2025년</v>
      </c>
      <c r="AL49" s="142" t="str">
        <f>AL3</f>
        <v>달성율</v>
      </c>
      <c r="AM49" s="31" t="str">
        <f>AM3</f>
        <v>전년대비</v>
      </c>
      <c r="AN49" s="104" t="str">
        <f>AN3</f>
        <v>2024년</v>
      </c>
      <c r="AO49" s="96" t="str">
        <f>AO3</f>
        <v>목표</v>
      </c>
      <c r="AP49" s="96" t="str">
        <f>AP3</f>
        <v>2025년</v>
      </c>
      <c r="AQ49" s="142" t="str">
        <f>AQ3</f>
        <v>달성율</v>
      </c>
      <c r="AR49" s="31" t="str">
        <f>AR3</f>
        <v>전년대비</v>
      </c>
      <c r="AS49" s="104" t="str">
        <f>AS3</f>
        <v>2024년</v>
      </c>
      <c r="AT49" s="96" t="str">
        <f>AT3</f>
        <v>목표</v>
      </c>
      <c r="AU49" s="96" t="str">
        <f>AU3</f>
        <v>2025년</v>
      </c>
      <c r="AV49" s="142" t="str">
        <f>AV3</f>
        <v>달성율</v>
      </c>
      <c r="AW49" s="31" t="str">
        <f>AW3</f>
        <v>전년대비</v>
      </c>
      <c r="AX49" s="104" t="str">
        <f>AX3</f>
        <v>2024년</v>
      </c>
      <c r="AY49" s="96" t="str">
        <f>AY3</f>
        <v>목표</v>
      </c>
      <c r="AZ49" s="96" t="str">
        <f>AZ3</f>
        <v>2025년</v>
      </c>
      <c r="BA49" s="142" t="str">
        <f>BA3</f>
        <v>달성율</v>
      </c>
      <c r="BB49" s="31" t="str">
        <f>BB3</f>
        <v>전년대비</v>
      </c>
      <c r="BC49" s="104" t="str">
        <f>BC3</f>
        <v>2024년</v>
      </c>
      <c r="BD49" s="96" t="str">
        <f>BD3</f>
        <v>목표</v>
      </c>
      <c r="BE49" s="96" t="str">
        <f>BE3</f>
        <v>2025년</v>
      </c>
      <c r="BF49" s="142" t="str">
        <f>BF3</f>
        <v>달성율</v>
      </c>
      <c r="BG49" s="31" t="str">
        <f>BG3</f>
        <v>전년대비</v>
      </c>
      <c r="BH49" s="104" t="str">
        <f>BH3</f>
        <v>2024년</v>
      </c>
      <c r="BI49" s="96" t="str">
        <f>BI3</f>
        <v>목표</v>
      </c>
      <c r="BJ49" s="96" t="str">
        <f>BJ3</f>
        <v>2025년</v>
      </c>
      <c r="BK49" s="142" t="str">
        <f>BK3</f>
        <v>달성율</v>
      </c>
      <c r="BL49" s="31" t="str">
        <f>BL3</f>
        <v>전년대비</v>
      </c>
      <c r="BM49" s="104" t="str">
        <f>BM3</f>
        <v>2024년</v>
      </c>
      <c r="BN49" s="96" t="str">
        <f>BN3</f>
        <v>목표</v>
      </c>
      <c r="BO49" s="96" t="str">
        <f>BO3</f>
        <v>2025년</v>
      </c>
      <c r="BP49" s="142" t="str">
        <f>BP3</f>
        <v>달성율</v>
      </c>
      <c r="BQ49" s="31" t="str">
        <f>BQ3</f>
        <v>전년대비</v>
      </c>
      <c r="BR49" s="104" t="str">
        <f>BR3</f>
        <v>2024년</v>
      </c>
      <c r="BS49" s="96" t="str">
        <f>BS3</f>
        <v>목표</v>
      </c>
      <c r="BT49" s="96" t="str">
        <f>BT3</f>
        <v>2025년</v>
      </c>
      <c r="BU49" s="142" t="str">
        <f>BU3</f>
        <v>달성율</v>
      </c>
      <c r="BV49" s="31" t="str">
        <f>BV3</f>
        <v>전년대비</v>
      </c>
      <c r="BY49" s="274"/>
    </row>
    <row r="50" spans="2:77" x14ac:dyDescent="0.3">
      <c r="B50" s="341" t="s">
        <v>48</v>
      </c>
      <c r="C50" s="342"/>
      <c r="D50" s="347" t="s">
        <v>49</v>
      </c>
      <c r="E50" s="348"/>
      <c r="F50" s="153">
        <v>13762120.5</v>
      </c>
      <c r="G50" s="139">
        <v>13762120.5</v>
      </c>
      <c r="H50" s="71">
        <f>SUM(H51:H54)</f>
        <v>15069000</v>
      </c>
      <c r="I50" s="35">
        <f>H50/G50-1</f>
        <v>9.4962073613582998E-2</v>
      </c>
      <c r="J50" s="139">
        <f>SUM(J51:J54)</f>
        <v>9869465</v>
      </c>
      <c r="K50" s="71">
        <f>SUM(K51:K54)</f>
        <v>11067562</v>
      </c>
      <c r="L50" s="71">
        <f>SUM(L51:L54)</f>
        <v>10438508</v>
      </c>
      <c r="M50" s="140">
        <f t="shared" ref="M50:M55" si="132">L50/K50</f>
        <v>0.94316236945408571</v>
      </c>
      <c r="N50" s="36">
        <f t="shared" ref="N50:N59" si="133">L50/J50-1</f>
        <v>5.7656924666129372E-2</v>
      </c>
      <c r="O50" s="70">
        <f>SUM(O51:O54)</f>
        <v>983441</v>
      </c>
      <c r="P50" s="71">
        <f>SUM(P51:P54)</f>
        <v>1137618</v>
      </c>
      <c r="Q50" s="71">
        <f>SUM(Q51:Q54)</f>
        <v>1024048</v>
      </c>
      <c r="R50" s="140">
        <f t="shared" ref="R50:R55" si="134">Q50/P50</f>
        <v>0.90016859789489967</v>
      </c>
      <c r="S50" s="35">
        <f t="shared" ref="S50:S59" si="135">Q50/O50-1</f>
        <v>4.1290733251918565E-2</v>
      </c>
      <c r="T50" s="70">
        <f>SUM(T51:T54)</f>
        <v>991140</v>
      </c>
      <c r="U50" s="70">
        <f>SUM(U51:U54)</f>
        <v>1257818</v>
      </c>
      <c r="V50" s="70">
        <f>SUM(V51:V54)</f>
        <v>1107742</v>
      </c>
      <c r="W50" s="140">
        <f t="shared" ref="W50:W55" si="136">V50/U50</f>
        <v>0.88068544097794754</v>
      </c>
      <c r="X50" s="35">
        <f t="shared" ref="X50:X59" si="137">V50/T50-1</f>
        <v>0.11764432875274933</v>
      </c>
      <c r="Y50" s="70">
        <f>SUM(Y51:Y54)</f>
        <v>1181434</v>
      </c>
      <c r="Z50" s="70">
        <f>SUM(Z51:Z54)</f>
        <v>1283218</v>
      </c>
      <c r="AA50" s="70">
        <f>SUM(AA51:AA54)</f>
        <v>1069887</v>
      </c>
      <c r="AB50" s="140">
        <f t="shared" ref="AB50:AB55" si="138">AA50/Z50</f>
        <v>0.83375311131857566</v>
      </c>
      <c r="AC50" s="35">
        <f t="shared" ref="AC50:AC59" si="139">AA50/Y50-1</f>
        <v>-9.4416615739855159E-2</v>
      </c>
      <c r="AD50" s="70">
        <f>SUM(AD51:AD54)</f>
        <v>1221373</v>
      </c>
      <c r="AE50" s="70">
        <f>SUM(AE51:AE54)</f>
        <v>1226218</v>
      </c>
      <c r="AF50" s="70">
        <f>SUM(AF51:AF54)</f>
        <v>1313552</v>
      </c>
      <c r="AG50" s="140">
        <f t="shared" ref="AG50:AG55" si="140">AF50/AE50</f>
        <v>1.0712222459627896</v>
      </c>
      <c r="AH50" s="35">
        <f t="shared" ref="AH50:AH59" si="141">AF50/AD50-1</f>
        <v>7.5471620872575418E-2</v>
      </c>
      <c r="AI50" s="70">
        <f>SUM(AI51:AI54)</f>
        <v>1126239</v>
      </c>
      <c r="AJ50" s="70">
        <f>SUM(AJ51:AJ54)</f>
        <v>1257818</v>
      </c>
      <c r="AK50" s="70">
        <f>SUM(AK51:AK54)</f>
        <v>1171785</v>
      </c>
      <c r="AL50" s="140">
        <f t="shared" ref="AL50:AL55" si="142">AK50/AJ50</f>
        <v>0.93160139225229721</v>
      </c>
      <c r="AM50" s="35">
        <f t="shared" ref="AM50:AM59" si="143">AK50/AI50-1</f>
        <v>4.0440794538281866E-2</v>
      </c>
      <c r="AN50" s="70">
        <f>SUM(AN51:AN54)</f>
        <v>1063807</v>
      </c>
      <c r="AO50" s="70">
        <f>SUM(AO51:AO54)</f>
        <v>1226218</v>
      </c>
      <c r="AP50" s="70">
        <f>SUM(AP51:AP54)</f>
        <v>1200094</v>
      </c>
      <c r="AQ50" s="140">
        <f t="shared" ref="AQ50:AQ55" si="144">AP50/AO50</f>
        <v>0.97869546850560019</v>
      </c>
      <c r="AR50" s="35">
        <f t="shared" ref="AR50:AR59" si="145">AP50/AN50-1</f>
        <v>0.12811252417026764</v>
      </c>
      <c r="AS50" s="70">
        <f>SUM(AS51:AS54)</f>
        <v>1250558</v>
      </c>
      <c r="AT50" s="70">
        <f>SUM(AT51:AT54)</f>
        <v>1226218</v>
      </c>
      <c r="AU50" s="70">
        <f>SUM(AU51:AU54)</f>
        <v>1162584</v>
      </c>
      <c r="AV50" s="140">
        <f t="shared" ref="AV50:AV55" si="146">AU50/AT50</f>
        <v>0.9481054755353453</v>
      </c>
      <c r="AW50" s="35">
        <f t="shared" ref="AW50:AW59" si="147">AU50/AS50-1</f>
        <v>-7.0347796743533642E-2</v>
      </c>
      <c r="AX50" s="70">
        <f>SUM(AX51:AX54)</f>
        <v>1093065</v>
      </c>
      <c r="AY50" s="70">
        <f>SUM(AY51:AY54)</f>
        <v>1257818</v>
      </c>
      <c r="AZ50" s="70">
        <f>SUM(AZ51:AZ54)</f>
        <v>1101057</v>
      </c>
      <c r="BA50" s="140">
        <f t="shared" ref="BA50:BA55" si="148">AZ50/AY50</f>
        <v>0.87537068160894504</v>
      </c>
      <c r="BB50" s="35">
        <f t="shared" ref="BB50:BB59" si="149">AZ50/AX50-1</f>
        <v>7.3115505482290732E-3</v>
      </c>
      <c r="BC50" s="70">
        <f>SUM(BC51:BC54)</f>
        <v>958408</v>
      </c>
      <c r="BD50" s="70">
        <f>SUM(BD51:BD54)</f>
        <v>1194618</v>
      </c>
      <c r="BE50" s="70">
        <f>SUM(BE51:BE54)</f>
        <v>1287759</v>
      </c>
      <c r="BF50" s="140">
        <f t="shared" ref="BF50:BF55" si="150">BE50/BD50</f>
        <v>1.0779671828149249</v>
      </c>
      <c r="BG50" s="35">
        <f t="shared" ref="BG50:BG59" si="151">BE50/BC50-1</f>
        <v>0.34364383435864476</v>
      </c>
      <c r="BH50" s="70">
        <f>SUM(BH51:BH54)</f>
        <v>1325227</v>
      </c>
      <c r="BI50" s="70">
        <f>SUM(BI51:BI54)</f>
        <v>1311718</v>
      </c>
      <c r="BJ50" s="70">
        <f>SUM(BJ51:BJ54)</f>
        <v>1033769</v>
      </c>
      <c r="BK50" s="140">
        <f t="shared" ref="BK50:BK55" si="152">BJ50/BI50</f>
        <v>0.78810308313219757</v>
      </c>
      <c r="BL50" s="35">
        <f t="shared" ref="BL50:BL59" si="153">BJ50/BH50-1</f>
        <v>-0.2199306232064393</v>
      </c>
      <c r="BM50" s="70">
        <f>SUM(BM51:BM54)</f>
        <v>1224286</v>
      </c>
      <c r="BN50" s="70">
        <f>SUM(BN51:BN54)</f>
        <v>1374918</v>
      </c>
      <c r="BO50" s="70">
        <f>SUM(BO51:BO54)</f>
        <v>0</v>
      </c>
      <c r="BP50" s="140">
        <f t="shared" ref="BP50:BP55" si="154">BO50/BN50</f>
        <v>0</v>
      </c>
      <c r="BQ50" s="35">
        <f t="shared" ref="BQ50:BQ59" si="155">BO50/BM50-1</f>
        <v>-1</v>
      </c>
      <c r="BR50" s="70">
        <f>SUM(BR51:BR54)</f>
        <v>1235490</v>
      </c>
      <c r="BS50" s="70">
        <f>SUM(BS51:BS54)</f>
        <v>1314818</v>
      </c>
      <c r="BT50" s="70">
        <f>SUM(BT51:BT54)</f>
        <v>0</v>
      </c>
      <c r="BU50" s="140">
        <f t="shared" ref="BU50:BU55" si="156">BT50/BS50</f>
        <v>0</v>
      </c>
      <c r="BV50" s="35">
        <f t="shared" ref="BV50:BV59" si="157">BT50/BR50-1</f>
        <v>-1</v>
      </c>
      <c r="BX50" s="37">
        <f t="shared" si="39"/>
        <v>569043</v>
      </c>
      <c r="BY50" s="274"/>
    </row>
    <row r="51" spans="2:77" x14ac:dyDescent="0.3">
      <c r="B51" s="343"/>
      <c r="C51" s="344"/>
      <c r="D51" s="301" t="s">
        <v>44</v>
      </c>
      <c r="E51" s="349"/>
      <c r="F51" s="151">
        <v>3002564</v>
      </c>
      <c r="G51" s="45">
        <v>3002564</v>
      </c>
      <c r="H51" s="39">
        <f>H41</f>
        <v>3160000</v>
      </c>
      <c r="I51" s="15">
        <f>I41</f>
        <v>3.8035458765683927E-2</v>
      </c>
      <c r="J51" s="136">
        <f t="shared" ref="J51:J54" si="158">O51+T51+Y51+AD51+AI51+AN51+AS51+AX51+BC51</f>
        <v>2256156</v>
      </c>
      <c r="K51" s="136">
        <f t="shared" ref="K51:K54" si="159">P51+U51+Z51+AE51+AJ51+AO51+AT51+AY51+BD51</f>
        <v>2306800</v>
      </c>
      <c r="L51" s="136">
        <f t="shared" ref="L51:L54" si="160">Q51+V51+AA51+AF51+AK51+AP51+AU51+AZ51+BE51</f>
        <v>2294516</v>
      </c>
      <c r="M51" s="88">
        <f t="shared" ref="M51:M54" si="161">L51/K51-1</f>
        <v>-5.3251257152765463E-3</v>
      </c>
      <c r="N51" s="33">
        <f t="shared" si="133"/>
        <v>1.7002370403464973E-2</v>
      </c>
      <c r="O51" s="13">
        <f>O41</f>
        <v>225540</v>
      </c>
      <c r="P51" s="39">
        <f>P41</f>
        <v>221200</v>
      </c>
      <c r="Q51" s="39">
        <f>Q41</f>
        <v>281092</v>
      </c>
      <c r="R51" s="88">
        <f t="shared" si="134"/>
        <v>1.2707594936708861</v>
      </c>
      <c r="S51" s="15">
        <f t="shared" si="135"/>
        <v>0.24630664183736806</v>
      </c>
      <c r="T51" s="13">
        <f>T41</f>
        <v>252504</v>
      </c>
      <c r="U51" s="13">
        <f>U41</f>
        <v>284400</v>
      </c>
      <c r="V51" s="13">
        <f>V41</f>
        <v>215488</v>
      </c>
      <c r="W51" s="88">
        <f t="shared" si="136"/>
        <v>0.75769338959212373</v>
      </c>
      <c r="X51" s="15">
        <f t="shared" si="137"/>
        <v>-0.14659569749390111</v>
      </c>
      <c r="Y51" s="13">
        <f>Y41</f>
        <v>234804</v>
      </c>
      <c r="Z51" s="13">
        <f>Z41</f>
        <v>252800</v>
      </c>
      <c r="AA51" s="13">
        <f>AA41</f>
        <v>229092</v>
      </c>
      <c r="AB51" s="88">
        <f t="shared" si="138"/>
        <v>0.90621835443037979</v>
      </c>
      <c r="AC51" s="15">
        <f t="shared" si="139"/>
        <v>-2.4326672458731546E-2</v>
      </c>
      <c r="AD51" s="13">
        <f>AD41</f>
        <v>311832</v>
      </c>
      <c r="AE51" s="13">
        <f>AE41</f>
        <v>252800</v>
      </c>
      <c r="AF51" s="13">
        <f>AF41</f>
        <v>322612</v>
      </c>
      <c r="AG51" s="88">
        <f t="shared" si="140"/>
        <v>1.2761550632911391</v>
      </c>
      <c r="AH51" s="15">
        <f t="shared" si="141"/>
        <v>3.4569896610995743E-2</v>
      </c>
      <c r="AI51" s="13">
        <f>AI41</f>
        <v>227596</v>
      </c>
      <c r="AJ51" s="13">
        <f>AJ41</f>
        <v>284400</v>
      </c>
      <c r="AK51" s="13">
        <f>AK41</f>
        <v>212816</v>
      </c>
      <c r="AL51" s="88">
        <f t="shared" si="142"/>
        <v>0.74829817158931078</v>
      </c>
      <c r="AM51" s="15">
        <f t="shared" si="143"/>
        <v>-6.4939629870472193E-2</v>
      </c>
      <c r="AN51" s="13">
        <f>AN41</f>
        <v>246524</v>
      </c>
      <c r="AO51" s="13">
        <f>AO41</f>
        <v>252800</v>
      </c>
      <c r="AP51" s="13">
        <f>AP41</f>
        <v>225800</v>
      </c>
      <c r="AQ51" s="88">
        <f t="shared" si="144"/>
        <v>0.89319620253164556</v>
      </c>
      <c r="AR51" s="15">
        <f t="shared" si="145"/>
        <v>-8.4064837500608447E-2</v>
      </c>
      <c r="AS51" s="13">
        <f>AS41</f>
        <v>327500</v>
      </c>
      <c r="AT51" s="13">
        <f>AT41</f>
        <v>252800</v>
      </c>
      <c r="AU51" s="13">
        <f>AU41</f>
        <v>305128</v>
      </c>
      <c r="AV51" s="88">
        <f t="shared" si="146"/>
        <v>1.206993670886076</v>
      </c>
      <c r="AW51" s="15">
        <f t="shared" si="147"/>
        <v>-6.8311450381679406E-2</v>
      </c>
      <c r="AX51" s="13">
        <f>AX41</f>
        <v>246312</v>
      </c>
      <c r="AY51" s="13">
        <f>AY41</f>
        <v>284400</v>
      </c>
      <c r="AZ51" s="13">
        <f>AZ41</f>
        <v>213836</v>
      </c>
      <c r="BA51" s="88">
        <f t="shared" si="148"/>
        <v>0.75188466947960619</v>
      </c>
      <c r="BB51" s="15">
        <f t="shared" si="149"/>
        <v>-0.13184903699373152</v>
      </c>
      <c r="BC51" s="13">
        <f>BC41</f>
        <v>183544</v>
      </c>
      <c r="BD51" s="13">
        <f>BD41</f>
        <v>221200</v>
      </c>
      <c r="BE51" s="13">
        <f>BE41</f>
        <v>288652</v>
      </c>
      <c r="BF51" s="88">
        <f t="shared" si="150"/>
        <v>1.3049367088607595</v>
      </c>
      <c r="BG51" s="15">
        <f t="shared" si="151"/>
        <v>0.57265832715861054</v>
      </c>
      <c r="BH51" s="13">
        <f>BH41</f>
        <v>282652</v>
      </c>
      <c r="BI51" s="13">
        <f>BI41</f>
        <v>252800</v>
      </c>
      <c r="BJ51" s="13">
        <f>BJ41</f>
        <v>167716</v>
      </c>
      <c r="BK51" s="88">
        <f t="shared" si="152"/>
        <v>0.66343354430379742</v>
      </c>
      <c r="BL51" s="15">
        <f t="shared" si="153"/>
        <v>-0.40663430649703525</v>
      </c>
      <c r="BM51" s="13">
        <f>BM41</f>
        <v>247308</v>
      </c>
      <c r="BN51" s="13">
        <f>BN41</f>
        <v>316000</v>
      </c>
      <c r="BO51" s="13">
        <f>BO41</f>
        <v>0</v>
      </c>
      <c r="BP51" s="88">
        <f t="shared" si="154"/>
        <v>0</v>
      </c>
      <c r="BQ51" s="15">
        <f t="shared" si="155"/>
        <v>-1</v>
      </c>
      <c r="BR51" s="13">
        <f>BR41</f>
        <v>258096</v>
      </c>
      <c r="BS51" s="13">
        <f>BS41</f>
        <v>284400</v>
      </c>
      <c r="BT51" s="13">
        <f>BT41</f>
        <v>0</v>
      </c>
      <c r="BU51" s="88">
        <f t="shared" si="156"/>
        <v>0</v>
      </c>
      <c r="BV51" s="15">
        <f t="shared" si="157"/>
        <v>-1</v>
      </c>
      <c r="BX51" s="37">
        <f t="shared" si="39"/>
        <v>38360</v>
      </c>
      <c r="BY51" s="274"/>
    </row>
    <row r="52" spans="2:77" x14ac:dyDescent="0.3">
      <c r="B52" s="343"/>
      <c r="C52" s="344"/>
      <c r="D52" s="350" t="s">
        <v>43</v>
      </c>
      <c r="E52" s="351"/>
      <c r="F52" s="152">
        <v>55801</v>
      </c>
      <c r="G52" s="46">
        <v>55801</v>
      </c>
      <c r="H52" s="40">
        <f>H38</f>
        <v>84000</v>
      </c>
      <c r="I52" s="17">
        <f>I38</f>
        <v>-9.6404982681095541E-2</v>
      </c>
      <c r="J52" s="137">
        <f t="shared" si="158"/>
        <v>70595</v>
      </c>
      <c r="K52" s="137">
        <f t="shared" si="159"/>
        <v>63000</v>
      </c>
      <c r="L52" s="137">
        <f t="shared" si="160"/>
        <v>79480</v>
      </c>
      <c r="M52" s="88">
        <f t="shared" si="161"/>
        <v>0.26158730158730159</v>
      </c>
      <c r="N52" s="33">
        <f t="shared" si="133"/>
        <v>0.12585877186769601</v>
      </c>
      <c r="O52" s="16">
        <f>O38</f>
        <v>6906</v>
      </c>
      <c r="P52" s="40">
        <f>P38</f>
        <v>7000</v>
      </c>
      <c r="Q52" s="40">
        <f>Q38</f>
        <v>13207</v>
      </c>
      <c r="R52" s="88">
        <f t="shared" si="134"/>
        <v>1.8867142857142858</v>
      </c>
      <c r="S52" s="15">
        <f t="shared" si="135"/>
        <v>0.91239501882421092</v>
      </c>
      <c r="T52" s="16">
        <f>T38</f>
        <v>6821</v>
      </c>
      <c r="U52" s="16">
        <f>U38</f>
        <v>7000</v>
      </c>
      <c r="V52" s="16">
        <f>V38</f>
        <v>7003</v>
      </c>
      <c r="W52" s="88">
        <f t="shared" si="136"/>
        <v>1.0004285714285714</v>
      </c>
      <c r="X52" s="15">
        <f t="shared" si="137"/>
        <v>2.6682304647412503E-2</v>
      </c>
      <c r="Y52" s="16">
        <f>Y38</f>
        <v>5904</v>
      </c>
      <c r="Z52" s="16">
        <f>Z38</f>
        <v>7000</v>
      </c>
      <c r="AA52" s="16">
        <f>AA38</f>
        <v>6956</v>
      </c>
      <c r="AB52" s="88">
        <f t="shared" si="138"/>
        <v>0.99371428571428566</v>
      </c>
      <c r="AC52" s="15">
        <f t="shared" si="139"/>
        <v>0.17818428184281854</v>
      </c>
      <c r="AD52" s="16">
        <f>AD38</f>
        <v>10023</v>
      </c>
      <c r="AE52" s="16">
        <f>AE38</f>
        <v>7000</v>
      </c>
      <c r="AF52" s="16">
        <f>AF38</f>
        <v>4063</v>
      </c>
      <c r="AG52" s="88">
        <f t="shared" si="140"/>
        <v>0.5804285714285714</v>
      </c>
      <c r="AH52" s="15">
        <f t="shared" si="141"/>
        <v>-0.59463234560510825</v>
      </c>
      <c r="AI52" s="16">
        <f>AI38</f>
        <v>9644</v>
      </c>
      <c r="AJ52" s="16">
        <f>AJ38</f>
        <v>7000</v>
      </c>
      <c r="AK52" s="16">
        <f>AK38</f>
        <v>9605</v>
      </c>
      <c r="AL52" s="88">
        <f t="shared" si="142"/>
        <v>1.3721428571428571</v>
      </c>
      <c r="AM52" s="15">
        <f t="shared" si="143"/>
        <v>-4.0439651596847481E-3</v>
      </c>
      <c r="AN52" s="16">
        <f>AN38</f>
        <v>6815</v>
      </c>
      <c r="AO52" s="16">
        <f>AO38</f>
        <v>7000</v>
      </c>
      <c r="AP52" s="16">
        <f>AP38</f>
        <v>6900</v>
      </c>
      <c r="AQ52" s="88">
        <f t="shared" si="144"/>
        <v>0.98571428571428577</v>
      </c>
      <c r="AR52" s="15">
        <f t="shared" si="145"/>
        <v>1.247248716067495E-2</v>
      </c>
      <c r="AS52" s="16">
        <f>AS38</f>
        <v>5618</v>
      </c>
      <c r="AT52" s="16">
        <f>AT38</f>
        <v>7000</v>
      </c>
      <c r="AU52" s="16">
        <f>AU38</f>
        <v>6453</v>
      </c>
      <c r="AV52" s="88">
        <f t="shared" si="146"/>
        <v>0.92185714285714282</v>
      </c>
      <c r="AW52" s="15">
        <f t="shared" si="147"/>
        <v>0.14862940548237802</v>
      </c>
      <c r="AX52" s="16">
        <f>AX38</f>
        <v>6755</v>
      </c>
      <c r="AY52" s="16">
        <f>AY38</f>
        <v>7000</v>
      </c>
      <c r="AZ52" s="16">
        <f>AZ38</f>
        <v>7671</v>
      </c>
      <c r="BA52" s="88">
        <f t="shared" si="148"/>
        <v>1.0958571428571429</v>
      </c>
      <c r="BB52" s="15">
        <f t="shared" si="149"/>
        <v>0.13560325684678021</v>
      </c>
      <c r="BC52" s="16">
        <f>BC38</f>
        <v>12109</v>
      </c>
      <c r="BD52" s="16">
        <f>BD38</f>
        <v>7000</v>
      </c>
      <c r="BE52" s="16">
        <f>BE38</f>
        <v>17622</v>
      </c>
      <c r="BF52" s="88">
        <f t="shared" si="150"/>
        <v>2.5174285714285713</v>
      </c>
      <c r="BG52" s="15">
        <f t="shared" si="151"/>
        <v>0.45528119580477333</v>
      </c>
      <c r="BH52" s="16">
        <f>BH38</f>
        <v>9654</v>
      </c>
      <c r="BI52" s="16">
        <f>BI38</f>
        <v>7000</v>
      </c>
      <c r="BJ52" s="16">
        <f>BJ38</f>
        <v>6422</v>
      </c>
      <c r="BK52" s="88">
        <f t="shared" si="152"/>
        <v>0.91742857142857148</v>
      </c>
      <c r="BL52" s="15">
        <f t="shared" si="153"/>
        <v>-0.33478350942614465</v>
      </c>
      <c r="BM52" s="16">
        <f>BM38</f>
        <v>6197</v>
      </c>
      <c r="BN52" s="16">
        <f>BN38</f>
        <v>7000</v>
      </c>
      <c r="BO52" s="16">
        <f>BO38</f>
        <v>0</v>
      </c>
      <c r="BP52" s="88">
        <f t="shared" si="154"/>
        <v>0</v>
      </c>
      <c r="BQ52" s="15">
        <f t="shared" si="155"/>
        <v>-1</v>
      </c>
      <c r="BR52" s="16">
        <f>BR38</f>
        <v>6516</v>
      </c>
      <c r="BS52" s="16">
        <f>BS38</f>
        <v>7000</v>
      </c>
      <c r="BT52" s="16">
        <f>BT38</f>
        <v>0</v>
      </c>
      <c r="BU52" s="88">
        <f t="shared" si="156"/>
        <v>0</v>
      </c>
      <c r="BV52" s="15">
        <f t="shared" si="157"/>
        <v>-1</v>
      </c>
      <c r="BX52" s="37">
        <f t="shared" si="39"/>
        <v>8885</v>
      </c>
      <c r="BY52" s="274"/>
    </row>
    <row r="53" spans="2:77" x14ac:dyDescent="0.3">
      <c r="B53" s="343"/>
      <c r="C53" s="344"/>
      <c r="D53" s="301" t="s">
        <v>50</v>
      </c>
      <c r="E53" s="349"/>
      <c r="F53" s="151">
        <v>4650407</v>
      </c>
      <c r="G53" s="45">
        <v>4650407</v>
      </c>
      <c r="H53" s="39">
        <f>H9</f>
        <v>5700000</v>
      </c>
      <c r="I53" s="15">
        <f>I9</f>
        <v>0.12120810369876711</v>
      </c>
      <c r="J53" s="136">
        <f t="shared" si="158"/>
        <v>3632281</v>
      </c>
      <c r="K53" s="136">
        <f t="shared" si="159"/>
        <v>4104000</v>
      </c>
      <c r="L53" s="136">
        <f t="shared" si="160"/>
        <v>3961906</v>
      </c>
      <c r="M53" s="88">
        <f t="shared" si="161"/>
        <v>-3.4623294346978528E-2</v>
      </c>
      <c r="N53" s="33">
        <f t="shared" si="133"/>
        <v>9.0748760902584324E-2</v>
      </c>
      <c r="O53" s="13">
        <f>O9</f>
        <v>328580</v>
      </c>
      <c r="P53" s="39">
        <f>P9</f>
        <v>399000.00000000006</v>
      </c>
      <c r="Q53" s="39">
        <f>Q9</f>
        <v>346892</v>
      </c>
      <c r="R53" s="88">
        <f t="shared" si="134"/>
        <v>0.86940350877192973</v>
      </c>
      <c r="S53" s="15">
        <f t="shared" si="135"/>
        <v>5.5730720068172035E-2</v>
      </c>
      <c r="T53" s="13">
        <f>T9</f>
        <v>346389</v>
      </c>
      <c r="U53" s="13">
        <f>U9</f>
        <v>456000</v>
      </c>
      <c r="V53" s="13">
        <f>V9</f>
        <v>428944</v>
      </c>
      <c r="W53" s="88">
        <f t="shared" si="136"/>
        <v>0.94066666666666665</v>
      </c>
      <c r="X53" s="15">
        <f t="shared" si="137"/>
        <v>0.23833031649388414</v>
      </c>
      <c r="Y53" s="13">
        <f>Y9</f>
        <v>464840</v>
      </c>
      <c r="Z53" s="13">
        <f>Z9</f>
        <v>513000</v>
      </c>
      <c r="AA53" s="13">
        <f>AA9</f>
        <v>406769</v>
      </c>
      <c r="AB53" s="88">
        <f t="shared" si="138"/>
        <v>0.79292202729044836</v>
      </c>
      <c r="AC53" s="15">
        <f t="shared" si="139"/>
        <v>-0.12492685655279234</v>
      </c>
      <c r="AD53" s="13">
        <f>AD9</f>
        <v>455471</v>
      </c>
      <c r="AE53" s="13">
        <f>AE9</f>
        <v>456000</v>
      </c>
      <c r="AF53" s="13">
        <f>AF9</f>
        <v>471885</v>
      </c>
      <c r="AG53" s="88">
        <f t="shared" si="140"/>
        <v>1.0348355263157896</v>
      </c>
      <c r="AH53" s="15">
        <f t="shared" si="141"/>
        <v>3.6037420604165815E-2</v>
      </c>
      <c r="AI53" s="13">
        <f>AI9</f>
        <v>396406</v>
      </c>
      <c r="AJ53" s="13">
        <f>AJ9</f>
        <v>456000</v>
      </c>
      <c r="AK53" s="13">
        <f>AK9</f>
        <v>485185</v>
      </c>
      <c r="AL53" s="88">
        <f t="shared" si="142"/>
        <v>1.0640021929824561</v>
      </c>
      <c r="AM53" s="15">
        <f t="shared" si="143"/>
        <v>0.22395977861081828</v>
      </c>
      <c r="AN53" s="13">
        <f>AN9</f>
        <v>408513</v>
      </c>
      <c r="AO53" s="13">
        <f>AO9</f>
        <v>456000</v>
      </c>
      <c r="AP53" s="13">
        <f>AP9</f>
        <v>475620</v>
      </c>
      <c r="AQ53" s="88">
        <f t="shared" si="144"/>
        <v>1.0430263157894737</v>
      </c>
      <c r="AR53" s="15">
        <f t="shared" si="145"/>
        <v>0.16427139405600322</v>
      </c>
      <c r="AS53" s="13">
        <f>AS9</f>
        <v>432986</v>
      </c>
      <c r="AT53" s="13">
        <f>AT9</f>
        <v>456000</v>
      </c>
      <c r="AU53" s="13">
        <f>AU9</f>
        <v>426398</v>
      </c>
      <c r="AV53" s="88">
        <f t="shared" si="146"/>
        <v>0.93508333333333338</v>
      </c>
      <c r="AW53" s="15">
        <f t="shared" si="147"/>
        <v>-1.5215272549227943E-2</v>
      </c>
      <c r="AX53" s="13">
        <f>AX9</f>
        <v>415086</v>
      </c>
      <c r="AY53" s="13">
        <f>AY9</f>
        <v>456000</v>
      </c>
      <c r="AZ53" s="13">
        <f>AZ9</f>
        <v>435464</v>
      </c>
      <c r="BA53" s="88">
        <f t="shared" si="148"/>
        <v>0.95496491228070179</v>
      </c>
      <c r="BB53" s="15">
        <f t="shared" si="149"/>
        <v>4.9093440877312267E-2</v>
      </c>
      <c r="BC53" s="13">
        <f>BC9</f>
        <v>384010</v>
      </c>
      <c r="BD53" s="13">
        <f>BD9</f>
        <v>456000</v>
      </c>
      <c r="BE53" s="13">
        <f>BE9</f>
        <v>484749</v>
      </c>
      <c r="BF53" s="88">
        <f t="shared" si="150"/>
        <v>1.063046052631579</v>
      </c>
      <c r="BG53" s="15">
        <f t="shared" si="151"/>
        <v>0.26233431421056741</v>
      </c>
      <c r="BH53" s="13">
        <f>BH9</f>
        <v>543703</v>
      </c>
      <c r="BI53" s="13">
        <f>BI9</f>
        <v>541500</v>
      </c>
      <c r="BJ53" s="13">
        <f>BJ9</f>
        <v>481588</v>
      </c>
      <c r="BK53" s="88">
        <f t="shared" si="152"/>
        <v>0.88935918744228992</v>
      </c>
      <c r="BL53" s="15">
        <f t="shared" si="153"/>
        <v>-0.11424435767321495</v>
      </c>
      <c r="BM53" s="13">
        <f>BM9</f>
        <v>469271</v>
      </c>
      <c r="BN53" s="13">
        <f>BN9</f>
        <v>541500</v>
      </c>
      <c r="BO53" s="13">
        <f>BO9</f>
        <v>0</v>
      </c>
      <c r="BP53" s="88">
        <f t="shared" si="154"/>
        <v>0</v>
      </c>
      <c r="BQ53" s="15">
        <f t="shared" si="155"/>
        <v>-1</v>
      </c>
      <c r="BR53" s="13">
        <f>BR9</f>
        <v>438547</v>
      </c>
      <c r="BS53" s="13">
        <f>BS9</f>
        <v>513000</v>
      </c>
      <c r="BT53" s="13">
        <f>BT9</f>
        <v>0</v>
      </c>
      <c r="BU53" s="88">
        <f t="shared" si="156"/>
        <v>0</v>
      </c>
      <c r="BV53" s="15">
        <f t="shared" si="157"/>
        <v>-1</v>
      </c>
      <c r="BX53" s="37">
        <f t="shared" si="39"/>
        <v>329625</v>
      </c>
      <c r="BY53" s="274"/>
    </row>
    <row r="54" spans="2:77" ht="17.25" thickBot="1" x14ac:dyDescent="0.35">
      <c r="B54" s="345"/>
      <c r="C54" s="346"/>
      <c r="D54" s="302" t="s">
        <v>31</v>
      </c>
      <c r="E54" s="299"/>
      <c r="F54" s="154">
        <v>6053348.5</v>
      </c>
      <c r="G54" s="57">
        <v>6053348.5</v>
      </c>
      <c r="H54" s="42">
        <f>H29</f>
        <v>6125000</v>
      </c>
      <c r="I54" s="25">
        <f>I29</f>
        <v>0.1272676945139517</v>
      </c>
      <c r="J54" s="145">
        <f t="shared" si="158"/>
        <v>3910433</v>
      </c>
      <c r="K54" s="145">
        <f t="shared" si="159"/>
        <v>4593762</v>
      </c>
      <c r="L54" s="145">
        <f t="shared" si="160"/>
        <v>4102606</v>
      </c>
      <c r="M54" s="146">
        <f t="shared" si="161"/>
        <v>-0.10691803362908225</v>
      </c>
      <c r="N54" s="82">
        <f t="shared" si="133"/>
        <v>4.9143662607184391E-2</v>
      </c>
      <c r="O54" s="24">
        <f>O29</f>
        <v>422415</v>
      </c>
      <c r="P54" s="42">
        <f>P29</f>
        <v>510418</v>
      </c>
      <c r="Q54" s="42">
        <f>Q29</f>
        <v>382857</v>
      </c>
      <c r="R54" s="146">
        <f t="shared" si="134"/>
        <v>0.75008522426716928</v>
      </c>
      <c r="S54" s="25">
        <f t="shared" si="135"/>
        <v>-9.3647242640531259E-2</v>
      </c>
      <c r="T54" s="24">
        <f>T29</f>
        <v>385426</v>
      </c>
      <c r="U54" s="24">
        <f>U29</f>
        <v>510418</v>
      </c>
      <c r="V54" s="24">
        <f>V29</f>
        <v>456307</v>
      </c>
      <c r="W54" s="146">
        <f t="shared" si="136"/>
        <v>0.89398688917710578</v>
      </c>
      <c r="X54" s="25">
        <f t="shared" si="137"/>
        <v>0.18390300602450282</v>
      </c>
      <c r="Y54" s="24">
        <f>Y29</f>
        <v>475886</v>
      </c>
      <c r="Z54" s="24">
        <f>Z29</f>
        <v>510418</v>
      </c>
      <c r="AA54" s="24">
        <f>AA29</f>
        <v>427070</v>
      </c>
      <c r="AB54" s="146">
        <f t="shared" si="138"/>
        <v>0.83670638574658418</v>
      </c>
      <c r="AC54" s="25">
        <f t="shared" si="139"/>
        <v>-0.10257918913353203</v>
      </c>
      <c r="AD54" s="24">
        <f>AD29</f>
        <v>444047</v>
      </c>
      <c r="AE54" s="24">
        <f>AE29</f>
        <v>510418</v>
      </c>
      <c r="AF54" s="24">
        <f>AF29</f>
        <v>514992</v>
      </c>
      <c r="AG54" s="146">
        <f t="shared" si="140"/>
        <v>1.008961282713384</v>
      </c>
      <c r="AH54" s="25">
        <f t="shared" si="141"/>
        <v>0.15976912353872441</v>
      </c>
      <c r="AI54" s="24">
        <f>AI29</f>
        <v>492593</v>
      </c>
      <c r="AJ54" s="24">
        <f>AJ29</f>
        <v>510418</v>
      </c>
      <c r="AK54" s="24">
        <f>AK29</f>
        <v>464179</v>
      </c>
      <c r="AL54" s="146">
        <f t="shared" si="142"/>
        <v>0.90940954276690866</v>
      </c>
      <c r="AM54" s="25">
        <f t="shared" si="143"/>
        <v>-5.7682508683639444E-2</v>
      </c>
      <c r="AN54" s="24">
        <f>AN29</f>
        <v>401955</v>
      </c>
      <c r="AO54" s="24">
        <f>AO29</f>
        <v>510418</v>
      </c>
      <c r="AP54" s="24">
        <f>AP29</f>
        <v>491774</v>
      </c>
      <c r="AQ54" s="146">
        <f t="shared" si="144"/>
        <v>0.96347307500911017</v>
      </c>
      <c r="AR54" s="25">
        <f t="shared" si="145"/>
        <v>0.22345536191862281</v>
      </c>
      <c r="AS54" s="24">
        <f>AS29</f>
        <v>484454</v>
      </c>
      <c r="AT54" s="24">
        <f>AT29</f>
        <v>510418</v>
      </c>
      <c r="AU54" s="24">
        <f>AU29</f>
        <v>424605</v>
      </c>
      <c r="AV54" s="146">
        <f t="shared" si="146"/>
        <v>0.83187701060699271</v>
      </c>
      <c r="AW54" s="25">
        <f t="shared" si="147"/>
        <v>-0.12353907698150912</v>
      </c>
      <c r="AX54" s="24">
        <f>AX29</f>
        <v>424912</v>
      </c>
      <c r="AY54" s="24">
        <f>AY29</f>
        <v>510418</v>
      </c>
      <c r="AZ54" s="24">
        <f>AZ29</f>
        <v>444086</v>
      </c>
      <c r="BA54" s="146">
        <f t="shared" si="148"/>
        <v>0.87004376804893246</v>
      </c>
      <c r="BB54" s="25">
        <f t="shared" si="149"/>
        <v>4.5124637572014903E-2</v>
      </c>
      <c r="BC54" s="24">
        <f>BC29</f>
        <v>378745</v>
      </c>
      <c r="BD54" s="24">
        <f>BD29</f>
        <v>510418</v>
      </c>
      <c r="BE54" s="24">
        <f>BE29</f>
        <v>496736</v>
      </c>
      <c r="BF54" s="146">
        <f t="shared" si="150"/>
        <v>0.97319451900207277</v>
      </c>
      <c r="BG54" s="25">
        <f t="shared" si="151"/>
        <v>0.31153150536640739</v>
      </c>
      <c r="BH54" s="24">
        <f>BH29</f>
        <v>489218</v>
      </c>
      <c r="BI54" s="24">
        <f>BI29</f>
        <v>510418</v>
      </c>
      <c r="BJ54" s="24">
        <f>BJ29</f>
        <v>378043</v>
      </c>
      <c r="BK54" s="146">
        <f t="shared" si="152"/>
        <v>0.74065373870043771</v>
      </c>
      <c r="BL54" s="25">
        <f t="shared" si="153"/>
        <v>-0.22725042823444763</v>
      </c>
      <c r="BM54" s="24">
        <f>BM29</f>
        <v>501510</v>
      </c>
      <c r="BN54" s="24">
        <f>BN29</f>
        <v>510418</v>
      </c>
      <c r="BO54" s="24">
        <f>BO29</f>
        <v>0</v>
      </c>
      <c r="BP54" s="146">
        <f t="shared" si="154"/>
        <v>0</v>
      </c>
      <c r="BQ54" s="25">
        <f t="shared" si="155"/>
        <v>-1</v>
      </c>
      <c r="BR54" s="24">
        <f>BR29</f>
        <v>532331</v>
      </c>
      <c r="BS54" s="24">
        <f>BS29</f>
        <v>510418</v>
      </c>
      <c r="BT54" s="24">
        <f>BT29</f>
        <v>0</v>
      </c>
      <c r="BU54" s="146">
        <f t="shared" si="156"/>
        <v>0</v>
      </c>
      <c r="BV54" s="25">
        <f t="shared" si="157"/>
        <v>-1</v>
      </c>
      <c r="BX54" s="37">
        <f t="shared" si="39"/>
        <v>192173</v>
      </c>
      <c r="BY54" s="274"/>
    </row>
    <row r="55" spans="2:77" x14ac:dyDescent="0.3">
      <c r="B55" s="341" t="s">
        <v>51</v>
      </c>
      <c r="C55" s="342"/>
      <c r="D55" s="347" t="s">
        <v>49</v>
      </c>
      <c r="E55" s="348"/>
      <c r="F55" s="155">
        <v>13387033</v>
      </c>
      <c r="G55" s="147">
        <v>13387033</v>
      </c>
      <c r="H55" s="44">
        <f>SUM(H56:H59)</f>
        <v>15069000</v>
      </c>
      <c r="I55" s="19">
        <f>H55/G55-1</f>
        <v>0.12564150697170917</v>
      </c>
      <c r="J55" s="147">
        <f>SUM(J56:J59)</f>
        <v>9965402</v>
      </c>
      <c r="K55" s="44">
        <f>SUM(K56:K59)</f>
        <v>11054562</v>
      </c>
      <c r="L55" s="44">
        <f>SUM(L56:L59)</f>
        <v>10455475</v>
      </c>
      <c r="M55" s="148">
        <f t="shared" si="132"/>
        <v>0.94580635578325034</v>
      </c>
      <c r="N55" s="32">
        <f t="shared" si="133"/>
        <v>4.9177444121170533E-2</v>
      </c>
      <c r="O55" s="18">
        <f>SUM(O56:O59)</f>
        <v>954163</v>
      </c>
      <c r="P55" s="44">
        <f>SUM(P56:P59)</f>
        <v>1137618</v>
      </c>
      <c r="Q55" s="44">
        <f>SUM(Q56:Q59)</f>
        <v>895899</v>
      </c>
      <c r="R55" s="148">
        <f t="shared" si="134"/>
        <v>0.78752182191210052</v>
      </c>
      <c r="S55" s="19">
        <f t="shared" si="135"/>
        <v>-6.1062942075934656E-2</v>
      </c>
      <c r="T55" s="18">
        <f>SUM(T56:T59)</f>
        <v>976195</v>
      </c>
      <c r="U55" s="18">
        <f>SUM(U56:U59)</f>
        <v>1257818</v>
      </c>
      <c r="V55" s="18">
        <f>SUM(V56:V59)</f>
        <v>1286219</v>
      </c>
      <c r="W55" s="148">
        <f t="shared" si="136"/>
        <v>1.0225795782855707</v>
      </c>
      <c r="X55" s="19">
        <f t="shared" si="137"/>
        <v>0.31758408924446457</v>
      </c>
      <c r="Y55" s="18">
        <f>SUM(Y56:Y59)</f>
        <v>1136359</v>
      </c>
      <c r="Z55" s="18">
        <f>SUM(Z56:Z59)</f>
        <v>1283218</v>
      </c>
      <c r="AA55" s="18">
        <f>SUM(AA56:AA59)</f>
        <v>1045971</v>
      </c>
      <c r="AB55" s="148">
        <f t="shared" si="138"/>
        <v>0.81511559220646845</v>
      </c>
      <c r="AC55" s="19">
        <f t="shared" si="139"/>
        <v>-7.9541764530399295E-2</v>
      </c>
      <c r="AD55" s="18">
        <f>SUM(AD56:AD59)</f>
        <v>1254909</v>
      </c>
      <c r="AE55" s="18">
        <f>SUM(AE56:AE59)</f>
        <v>1226218</v>
      </c>
      <c r="AF55" s="18">
        <f>SUM(AF56:AF59)</f>
        <v>1290137</v>
      </c>
      <c r="AG55" s="148">
        <f t="shared" si="140"/>
        <v>1.0521269464320373</v>
      </c>
      <c r="AH55" s="19">
        <f t="shared" si="141"/>
        <v>2.8072155032755397E-2</v>
      </c>
      <c r="AI55" s="18">
        <f>SUM(AI56:AI59)</f>
        <v>1256636</v>
      </c>
      <c r="AJ55" s="18">
        <f>SUM(AJ56:AJ59)</f>
        <v>1244818</v>
      </c>
      <c r="AK55" s="18">
        <f>SUM(AK56:AK59)</f>
        <v>1194762</v>
      </c>
      <c r="AL55" s="148">
        <f t="shared" si="142"/>
        <v>0.95978849920229303</v>
      </c>
      <c r="AM55" s="19">
        <f t="shared" si="143"/>
        <v>-4.9237806333735423E-2</v>
      </c>
      <c r="AN55" s="18">
        <f>SUM(AN56:AN59)</f>
        <v>1107408</v>
      </c>
      <c r="AO55" s="18">
        <f>SUM(AO56:AO59)</f>
        <v>1226218</v>
      </c>
      <c r="AP55" s="18">
        <f>SUM(AP56:AP59)</f>
        <v>1322674</v>
      </c>
      <c r="AQ55" s="148">
        <f t="shared" si="144"/>
        <v>1.0786613799503841</v>
      </c>
      <c r="AR55" s="19">
        <f t="shared" si="145"/>
        <v>0.19438725383959654</v>
      </c>
      <c r="AS55" s="18">
        <f>SUM(AS56:AS59)</f>
        <v>1227414</v>
      </c>
      <c r="AT55" s="18">
        <f>SUM(AT56:AT59)</f>
        <v>1226218</v>
      </c>
      <c r="AU55" s="18">
        <f>SUM(AU56:AU59)</f>
        <v>1070064</v>
      </c>
      <c r="AV55" s="148">
        <f t="shared" si="146"/>
        <v>0.87265396528186667</v>
      </c>
      <c r="AW55" s="19">
        <f t="shared" si="147"/>
        <v>-0.12819635428632881</v>
      </c>
      <c r="AX55" s="18">
        <f>SUM(AX56:AX59)</f>
        <v>1115030</v>
      </c>
      <c r="AY55" s="18">
        <f>SUM(AY56:AY59)</f>
        <v>1257818</v>
      </c>
      <c r="AZ55" s="18">
        <f>SUM(AZ56:AZ59)</f>
        <v>1060587</v>
      </c>
      <c r="BA55" s="148">
        <f t="shared" si="148"/>
        <v>0.84319591546630757</v>
      </c>
      <c r="BB55" s="19">
        <f t="shared" si="149"/>
        <v>-4.8826488973390814E-2</v>
      </c>
      <c r="BC55" s="18">
        <f>SUM(BC56:BC59)</f>
        <v>937288</v>
      </c>
      <c r="BD55" s="18">
        <f>SUM(BD56:BD59)</f>
        <v>1194618</v>
      </c>
      <c r="BE55" s="18">
        <f>SUM(BE56:BE59)</f>
        <v>1289162</v>
      </c>
      <c r="BF55" s="148">
        <f t="shared" si="150"/>
        <v>1.0791416168180958</v>
      </c>
      <c r="BG55" s="19">
        <f t="shared" si="151"/>
        <v>0.37541716100067424</v>
      </c>
      <c r="BH55" s="18">
        <f>SUM(BH56:BH59)</f>
        <v>1318541</v>
      </c>
      <c r="BI55" s="18">
        <f>SUM(BI56:BI59)</f>
        <v>1311718</v>
      </c>
      <c r="BJ55" s="18">
        <f>SUM(BJ56:BJ59)</f>
        <v>992153</v>
      </c>
      <c r="BK55" s="148">
        <f t="shared" si="152"/>
        <v>0.75637675171035235</v>
      </c>
      <c r="BL55" s="19">
        <f t="shared" si="153"/>
        <v>-0.24753724002514899</v>
      </c>
      <c r="BM55" s="18">
        <f>SUM(BM56:BM59)</f>
        <v>1203204</v>
      </c>
      <c r="BN55" s="18">
        <f>SUM(BN56:BN59)</f>
        <v>1374918</v>
      </c>
      <c r="BO55" s="18">
        <f>SUM(BO56:BO59)</f>
        <v>0</v>
      </c>
      <c r="BP55" s="148">
        <f t="shared" si="154"/>
        <v>0</v>
      </c>
      <c r="BQ55" s="19">
        <f t="shared" si="155"/>
        <v>-1</v>
      </c>
      <c r="BR55" s="18">
        <f>SUM(BR56:BR59)</f>
        <v>1182813</v>
      </c>
      <c r="BS55" s="18">
        <f>SUM(BS56:BS59)</f>
        <v>1314818</v>
      </c>
      <c r="BT55" s="18">
        <f>SUM(BT56:BT59)</f>
        <v>0</v>
      </c>
      <c r="BU55" s="148">
        <f t="shared" si="156"/>
        <v>0</v>
      </c>
      <c r="BV55" s="19">
        <f t="shared" si="157"/>
        <v>-1</v>
      </c>
      <c r="BX55" s="37">
        <f t="shared" si="39"/>
        <v>490073</v>
      </c>
      <c r="BY55" s="274"/>
    </row>
    <row r="56" spans="2:77" x14ac:dyDescent="0.3">
      <c r="B56" s="343"/>
      <c r="C56" s="344"/>
      <c r="D56" s="301" t="s">
        <v>44</v>
      </c>
      <c r="E56" s="349"/>
      <c r="F56" s="151">
        <v>3008984</v>
      </c>
      <c r="G56" s="45">
        <v>3008984</v>
      </c>
      <c r="H56" s="39">
        <f>H51</f>
        <v>3160000</v>
      </c>
      <c r="I56" s="15">
        <f>I42</f>
        <v>4.8487130304710746E-3</v>
      </c>
      <c r="J56" s="136">
        <f t="shared" ref="J56:J59" si="162">O56+T56+Y56+AD56+AI56+AN56+AS56+AX56+BC56</f>
        <v>2463552</v>
      </c>
      <c r="K56" s="136">
        <f t="shared" ref="K56:K59" si="163">P56+U56+Z56+AE56+AJ56+AO56+AT56+AY56+BD56</f>
        <v>2306800</v>
      </c>
      <c r="L56" s="136">
        <f t="shared" ref="L56:L59" si="164">Q56+V56+AA56+AF56+AK56+AP56+AU56+AZ56+BE56</f>
        <v>2179212</v>
      </c>
      <c r="M56" s="88">
        <f t="shared" ref="M56:M59" si="165">L56/K56-1</f>
        <v>-5.5309519680943331E-2</v>
      </c>
      <c r="N56" s="33">
        <f t="shared" si="133"/>
        <v>-0.11541871249318059</v>
      </c>
      <c r="O56" s="13">
        <f>O42</f>
        <v>308652</v>
      </c>
      <c r="P56" s="39">
        <f>P42</f>
        <v>221200</v>
      </c>
      <c r="Q56" s="39">
        <f>Q42</f>
        <v>217924</v>
      </c>
      <c r="R56" s="88">
        <f>R42</f>
        <v>-1.4810126582278427E-2</v>
      </c>
      <c r="S56" s="15">
        <f t="shared" si="135"/>
        <v>-0.29394917253087616</v>
      </c>
      <c r="T56" s="13">
        <f>T42</f>
        <v>251088</v>
      </c>
      <c r="U56" s="13">
        <f>U42</f>
        <v>284400</v>
      </c>
      <c r="V56" s="13">
        <f>V42</f>
        <v>329228</v>
      </c>
      <c r="W56" s="88">
        <f>W42</f>
        <v>0.15762306610407872</v>
      </c>
      <c r="X56" s="15">
        <f t="shared" si="137"/>
        <v>0.31120563308481497</v>
      </c>
      <c r="Y56" s="13">
        <f>Y42</f>
        <v>206792</v>
      </c>
      <c r="Z56" s="13">
        <f>Z42</f>
        <v>252800</v>
      </c>
      <c r="AA56" s="13">
        <f>AA42</f>
        <v>159020</v>
      </c>
      <c r="AB56" s="88">
        <f>AB42</f>
        <v>-0.37096518987341776</v>
      </c>
      <c r="AC56" s="15">
        <f t="shared" si="139"/>
        <v>-0.23101473944833451</v>
      </c>
      <c r="AD56" s="13">
        <f>AD42</f>
        <v>305820</v>
      </c>
      <c r="AE56" s="13">
        <f>AE42</f>
        <v>252800</v>
      </c>
      <c r="AF56" s="13">
        <f>AF42</f>
        <v>290116</v>
      </c>
      <c r="AG56" s="88">
        <f>AG42</f>
        <v>0.14761075949367086</v>
      </c>
      <c r="AH56" s="15">
        <f t="shared" si="141"/>
        <v>-5.1350467595317473E-2</v>
      </c>
      <c r="AI56" s="13">
        <f>AI42</f>
        <v>268064</v>
      </c>
      <c r="AJ56" s="13">
        <f>AJ42</f>
        <v>284400</v>
      </c>
      <c r="AK56" s="13">
        <f>AK42</f>
        <v>280612</v>
      </c>
      <c r="AL56" s="88">
        <f>AL42</f>
        <v>-1.3319268635724302E-2</v>
      </c>
      <c r="AM56" s="15">
        <f t="shared" si="143"/>
        <v>4.6809717082487712E-2</v>
      </c>
      <c r="AN56" s="13">
        <f>AN42</f>
        <v>264536</v>
      </c>
      <c r="AO56" s="13">
        <f>AO42</f>
        <v>252800</v>
      </c>
      <c r="AP56" s="13">
        <f>AP42</f>
        <v>296008</v>
      </c>
      <c r="AQ56" s="88">
        <f>AQ42</f>
        <v>0.17091772151898743</v>
      </c>
      <c r="AR56" s="15">
        <f t="shared" si="145"/>
        <v>0.11897057489339824</v>
      </c>
      <c r="AS56" s="13">
        <f>AS42</f>
        <v>396104</v>
      </c>
      <c r="AT56" s="13">
        <f>AT42</f>
        <v>252800</v>
      </c>
      <c r="AU56" s="13">
        <f>AU42</f>
        <v>177440</v>
      </c>
      <c r="AV56" s="88">
        <f>AV42</f>
        <v>-0.29810126582278484</v>
      </c>
      <c r="AW56" s="15">
        <f t="shared" si="147"/>
        <v>-0.55203683881000942</v>
      </c>
      <c r="AX56" s="13">
        <f>AX42</f>
        <v>250992</v>
      </c>
      <c r="AY56" s="13">
        <f>AY42</f>
        <v>284400</v>
      </c>
      <c r="AZ56" s="13">
        <f>AZ42</f>
        <v>223840</v>
      </c>
      <c r="BA56" s="88">
        <f>BA42</f>
        <v>-0.21293952180028131</v>
      </c>
      <c r="BB56" s="15">
        <f t="shared" si="149"/>
        <v>-0.10817874673296357</v>
      </c>
      <c r="BC56" s="13">
        <f>BC42</f>
        <v>211504</v>
      </c>
      <c r="BD56" s="13">
        <f>BD42</f>
        <v>221200</v>
      </c>
      <c r="BE56" s="13">
        <f>BE42</f>
        <v>205024</v>
      </c>
      <c r="BF56" s="88">
        <f>BF42</f>
        <v>-7.312839059674503E-2</v>
      </c>
      <c r="BG56" s="15">
        <f t="shared" si="151"/>
        <v>-3.063771843558516E-2</v>
      </c>
      <c r="BH56" s="13">
        <f>BH42</f>
        <v>187880</v>
      </c>
      <c r="BI56" s="13">
        <f>BI42</f>
        <v>252800</v>
      </c>
      <c r="BJ56" s="13">
        <f>BJ42</f>
        <v>263060</v>
      </c>
      <c r="BK56" s="88">
        <f>BK42</f>
        <v>4.0585443037974622E-2</v>
      </c>
      <c r="BL56" s="15">
        <f t="shared" si="153"/>
        <v>0.40014903129657231</v>
      </c>
      <c r="BM56" s="13">
        <f>BM42</f>
        <v>252064</v>
      </c>
      <c r="BN56" s="13">
        <f>BN42</f>
        <v>316000</v>
      </c>
      <c r="BO56" s="13">
        <f>BO42</f>
        <v>0</v>
      </c>
      <c r="BP56" s="88">
        <f>BP42</f>
        <v>-1</v>
      </c>
      <c r="BQ56" s="15">
        <f t="shared" si="155"/>
        <v>-1</v>
      </c>
      <c r="BR56" s="13">
        <f>BR42</f>
        <v>241256</v>
      </c>
      <c r="BS56" s="13">
        <f>BS42</f>
        <v>284400</v>
      </c>
      <c r="BT56" s="13">
        <f>BT42</f>
        <v>0</v>
      </c>
      <c r="BU56" s="88">
        <f>BU42</f>
        <v>-1</v>
      </c>
      <c r="BV56" s="15">
        <f t="shared" si="157"/>
        <v>-1</v>
      </c>
      <c r="BX56" s="37">
        <f t="shared" si="39"/>
        <v>-284340</v>
      </c>
      <c r="BY56" s="274"/>
    </row>
    <row r="57" spans="2:77" x14ac:dyDescent="0.3">
      <c r="B57" s="343"/>
      <c r="C57" s="344"/>
      <c r="D57" s="350" t="s">
        <v>43</v>
      </c>
      <c r="E57" s="351"/>
      <c r="F57" s="152">
        <v>56642</v>
      </c>
      <c r="G57" s="46">
        <v>56642</v>
      </c>
      <c r="H57" s="39">
        <f>H52</f>
        <v>84000</v>
      </c>
      <c r="I57" s="17">
        <f>I39</f>
        <v>-9.397819076073477E-2</v>
      </c>
      <c r="J57" s="137">
        <f t="shared" si="162"/>
        <v>70843</v>
      </c>
      <c r="K57" s="137">
        <f t="shared" si="163"/>
        <v>63000</v>
      </c>
      <c r="L57" s="137">
        <f t="shared" si="164"/>
        <v>87796</v>
      </c>
      <c r="M57" s="93">
        <f t="shared" si="165"/>
        <v>0.39358730158730149</v>
      </c>
      <c r="N57" s="33">
        <f t="shared" si="133"/>
        <v>0.23930381265615508</v>
      </c>
      <c r="O57" s="16">
        <f>O39</f>
        <v>6978</v>
      </c>
      <c r="P57" s="40">
        <f>P39</f>
        <v>7000</v>
      </c>
      <c r="Q57" s="40">
        <f>Q39</f>
        <v>13039</v>
      </c>
      <c r="R57" s="93">
        <f>R39</f>
        <v>0.86271428571428577</v>
      </c>
      <c r="S57" s="15">
        <f t="shared" si="135"/>
        <v>0.86858698767555165</v>
      </c>
      <c r="T57" s="16">
        <f>T39</f>
        <v>5680</v>
      </c>
      <c r="U57" s="16">
        <f>U39</f>
        <v>7000</v>
      </c>
      <c r="V57" s="16">
        <f>V39</f>
        <v>6819</v>
      </c>
      <c r="W57" s="93">
        <f>W39</f>
        <v>-2.5857142857142912E-2</v>
      </c>
      <c r="X57" s="15">
        <f t="shared" si="137"/>
        <v>0.20052816901408455</v>
      </c>
      <c r="Y57" s="16">
        <f>Y39</f>
        <v>4948</v>
      </c>
      <c r="Z57" s="16">
        <f>Z39</f>
        <v>7000</v>
      </c>
      <c r="AA57" s="16">
        <f>AA39</f>
        <v>7492</v>
      </c>
      <c r="AB57" s="93">
        <f>AB39</f>
        <v>7.0285714285714285E-2</v>
      </c>
      <c r="AC57" s="15">
        <f t="shared" si="139"/>
        <v>0.51414713015359736</v>
      </c>
      <c r="AD57" s="16">
        <f>AD39</f>
        <v>10425</v>
      </c>
      <c r="AE57" s="16">
        <f>AE39</f>
        <v>7000</v>
      </c>
      <c r="AF57" s="16">
        <f>AF39</f>
        <v>5239</v>
      </c>
      <c r="AG57" s="93">
        <f>AG39</f>
        <v>-0.25157142857142856</v>
      </c>
      <c r="AH57" s="15">
        <f t="shared" si="141"/>
        <v>-0.49745803357314144</v>
      </c>
      <c r="AI57" s="16">
        <f>AI39</f>
        <v>9916</v>
      </c>
      <c r="AJ57" s="16">
        <f>AJ39</f>
        <v>7000</v>
      </c>
      <c r="AK57" s="16">
        <f>AK39</f>
        <v>8777</v>
      </c>
      <c r="AL57" s="93">
        <f>AL39</f>
        <v>0.25385714285714278</v>
      </c>
      <c r="AM57" s="15">
        <f t="shared" si="143"/>
        <v>-0.11486486486486491</v>
      </c>
      <c r="AN57" s="16">
        <f>AN39</f>
        <v>8955</v>
      </c>
      <c r="AO57" s="16">
        <f>AO39</f>
        <v>7000</v>
      </c>
      <c r="AP57" s="16">
        <f>AP39</f>
        <v>6951</v>
      </c>
      <c r="AQ57" s="93">
        <f>AQ39</f>
        <v>-7.0000000000000062E-3</v>
      </c>
      <c r="AR57" s="15">
        <f t="shared" si="145"/>
        <v>-0.22378559463986603</v>
      </c>
      <c r="AS57" s="16">
        <f>AS39</f>
        <v>5834</v>
      </c>
      <c r="AT57" s="16">
        <f>AT39</f>
        <v>7000</v>
      </c>
      <c r="AU57" s="16">
        <f>AU39</f>
        <v>7466</v>
      </c>
      <c r="AV57" s="93">
        <f>AV39</f>
        <v>6.6571428571428504E-2</v>
      </c>
      <c r="AW57" s="15">
        <f t="shared" si="147"/>
        <v>0.27973945834761738</v>
      </c>
      <c r="AX57" s="16">
        <f>AX39</f>
        <v>12401</v>
      </c>
      <c r="AY57" s="16">
        <f>AY39</f>
        <v>7000</v>
      </c>
      <c r="AZ57" s="16">
        <f>AZ39</f>
        <v>8693</v>
      </c>
      <c r="BA57" s="93">
        <f>BA39</f>
        <v>0.24185714285714277</v>
      </c>
      <c r="BB57" s="15">
        <f t="shared" si="149"/>
        <v>-0.29900814450447544</v>
      </c>
      <c r="BC57" s="16">
        <f>BC39</f>
        <v>5706</v>
      </c>
      <c r="BD57" s="16">
        <f>BD39</f>
        <v>7000</v>
      </c>
      <c r="BE57" s="16">
        <f>BE39</f>
        <v>23320</v>
      </c>
      <c r="BF57" s="93">
        <f>BF39</f>
        <v>2.3314285714285714</v>
      </c>
      <c r="BG57" s="15">
        <f t="shared" si="151"/>
        <v>3.0869260427620047</v>
      </c>
      <c r="BH57" s="16">
        <f>BH39</f>
        <v>9731</v>
      </c>
      <c r="BI57" s="16">
        <f>BI39</f>
        <v>7000</v>
      </c>
      <c r="BJ57" s="16">
        <f>BJ39</f>
        <v>5073</v>
      </c>
      <c r="BK57" s="93">
        <f>BK39</f>
        <v>-0.27528571428571424</v>
      </c>
      <c r="BL57" s="15">
        <f t="shared" si="153"/>
        <v>-0.47867639502620496</v>
      </c>
      <c r="BM57" s="16">
        <f>BM39</f>
        <v>5759</v>
      </c>
      <c r="BN57" s="16">
        <f>BN39</f>
        <v>7000</v>
      </c>
      <c r="BO57" s="16">
        <f>BO39</f>
        <v>0</v>
      </c>
      <c r="BP57" s="93">
        <f>BP39</f>
        <v>-1</v>
      </c>
      <c r="BQ57" s="15">
        <f t="shared" si="155"/>
        <v>-1</v>
      </c>
      <c r="BR57" s="16">
        <f>BR39</f>
        <v>6380</v>
      </c>
      <c r="BS57" s="16">
        <f>BS39</f>
        <v>7000</v>
      </c>
      <c r="BT57" s="16">
        <f>BT39</f>
        <v>0</v>
      </c>
      <c r="BU57" s="93">
        <f>BU39</f>
        <v>-1</v>
      </c>
      <c r="BV57" s="15">
        <f t="shared" si="157"/>
        <v>-1</v>
      </c>
      <c r="BX57" s="37">
        <f t="shared" si="39"/>
        <v>16953</v>
      </c>
      <c r="BY57" s="274"/>
    </row>
    <row r="58" spans="2:77" x14ac:dyDescent="0.3">
      <c r="B58" s="343"/>
      <c r="C58" s="344"/>
      <c r="D58" s="301" t="s">
        <v>50</v>
      </c>
      <c r="E58" s="349"/>
      <c r="F58" s="151">
        <v>4617314</v>
      </c>
      <c r="G58" s="45">
        <v>4617314</v>
      </c>
      <c r="H58" s="39">
        <f>H53</f>
        <v>5700000</v>
      </c>
      <c r="I58" s="15">
        <f>I8</f>
        <v>0.12856626941133986</v>
      </c>
      <c r="J58" s="136">
        <f t="shared" si="162"/>
        <v>3625146</v>
      </c>
      <c r="K58" s="136">
        <f t="shared" si="163"/>
        <v>4091000</v>
      </c>
      <c r="L58" s="136">
        <f t="shared" si="164"/>
        <v>4058768</v>
      </c>
      <c r="M58" s="88">
        <f t="shared" si="165"/>
        <v>-7.8787582498166531E-3</v>
      </c>
      <c r="N58" s="33">
        <f t="shared" si="133"/>
        <v>0.1196150444699331</v>
      </c>
      <c r="O58" s="13">
        <f>O8</f>
        <v>297287</v>
      </c>
      <c r="P58" s="39">
        <f>P8</f>
        <v>399000.00000000006</v>
      </c>
      <c r="Q58" s="39">
        <f>Q8</f>
        <v>337645</v>
      </c>
      <c r="R58" s="88">
        <f>R8</f>
        <v>-0.15377192982456156</v>
      </c>
      <c r="S58" s="15">
        <f t="shared" si="135"/>
        <v>0.13575433840026641</v>
      </c>
      <c r="T58" s="13">
        <f>T8</f>
        <v>322387</v>
      </c>
      <c r="U58" s="13">
        <f>U8</f>
        <v>456000</v>
      </c>
      <c r="V58" s="13">
        <f>V8</f>
        <v>465225</v>
      </c>
      <c r="W58" s="88">
        <f>W8</f>
        <v>2.0230263157894779E-2</v>
      </c>
      <c r="X58" s="15">
        <f t="shared" si="137"/>
        <v>0.44306377118184037</v>
      </c>
      <c r="Y58" s="13">
        <f>Y8</f>
        <v>456333</v>
      </c>
      <c r="Z58" s="13">
        <f>Z8</f>
        <v>513000</v>
      </c>
      <c r="AA58" s="13">
        <f>AA8</f>
        <v>442991</v>
      </c>
      <c r="AB58" s="88">
        <f>AB8</f>
        <v>-0.13646978557504874</v>
      </c>
      <c r="AC58" s="15">
        <f t="shared" si="139"/>
        <v>-2.9237420918495904E-2</v>
      </c>
      <c r="AD58" s="13">
        <f>AD8</f>
        <v>491302</v>
      </c>
      <c r="AE58" s="13">
        <f>AE8</f>
        <v>456000</v>
      </c>
      <c r="AF58" s="13">
        <f>AF8</f>
        <v>446722</v>
      </c>
      <c r="AG58" s="88">
        <f>AG8</f>
        <v>-2.0346491228070196E-2</v>
      </c>
      <c r="AH58" s="15">
        <f t="shared" si="141"/>
        <v>-9.0738486714892264E-2</v>
      </c>
      <c r="AI58" s="13">
        <f>AI8</f>
        <v>427552</v>
      </c>
      <c r="AJ58" s="13">
        <f>AJ8</f>
        <v>443000</v>
      </c>
      <c r="AK58" s="13">
        <f>AK8</f>
        <v>468535</v>
      </c>
      <c r="AL58" s="88">
        <f>AL8</f>
        <v>5.7641083521444703E-2</v>
      </c>
      <c r="AM58" s="15">
        <f t="shared" si="143"/>
        <v>9.5855007110246193E-2</v>
      </c>
      <c r="AN58" s="13">
        <f>AN8</f>
        <v>417231</v>
      </c>
      <c r="AO58" s="13">
        <f>AO8</f>
        <v>456000</v>
      </c>
      <c r="AP58" s="13">
        <f>AP8</f>
        <v>546396</v>
      </c>
      <c r="AQ58" s="88">
        <f>AQ8</f>
        <v>0.19823684210526316</v>
      </c>
      <c r="AR58" s="15">
        <f t="shared" si="145"/>
        <v>0.30957670930491732</v>
      </c>
      <c r="AS58" s="13">
        <f>AS8</f>
        <v>425307</v>
      </c>
      <c r="AT58" s="13">
        <f>AT8</f>
        <v>456000</v>
      </c>
      <c r="AU58" s="13">
        <f>AU8</f>
        <v>412989</v>
      </c>
      <c r="AV58" s="88">
        <f>AV8</f>
        <v>-9.4322368421052682E-2</v>
      </c>
      <c r="AW58" s="15">
        <f t="shared" si="147"/>
        <v>-2.8962608186557048E-2</v>
      </c>
      <c r="AX58" s="13">
        <f>AX8</f>
        <v>410717</v>
      </c>
      <c r="AY58" s="13">
        <f>AY8</f>
        <v>456000</v>
      </c>
      <c r="AZ58" s="13">
        <f>AZ8</f>
        <v>418512</v>
      </c>
      <c r="BA58" s="88">
        <f>BA8</f>
        <v>-8.2210526315789512E-2</v>
      </c>
      <c r="BB58" s="15">
        <f t="shared" si="149"/>
        <v>1.8979005008314731E-2</v>
      </c>
      <c r="BC58" s="13">
        <f>BC8</f>
        <v>377030</v>
      </c>
      <c r="BD58" s="13">
        <f>BD8</f>
        <v>456000</v>
      </c>
      <c r="BE58" s="13">
        <f>BE8</f>
        <v>519753</v>
      </c>
      <c r="BF58" s="88">
        <f>BF8</f>
        <v>0.13980921052631579</v>
      </c>
      <c r="BG58" s="15">
        <f t="shared" si="151"/>
        <v>0.37854547383497339</v>
      </c>
      <c r="BH58" s="13">
        <f>BH8</f>
        <v>563230</v>
      </c>
      <c r="BI58" s="13">
        <f>BI8</f>
        <v>541500</v>
      </c>
      <c r="BJ58" s="13">
        <f>BJ8</f>
        <v>410778</v>
      </c>
      <c r="BK58" s="88">
        <f>BK8</f>
        <v>-0.24140720221606649</v>
      </c>
      <c r="BL58" s="15">
        <f t="shared" si="153"/>
        <v>-0.27067450242352142</v>
      </c>
      <c r="BM58" s="13">
        <f>BM8</f>
        <v>444511</v>
      </c>
      <c r="BN58" s="13">
        <f>BN8</f>
        <v>541500</v>
      </c>
      <c r="BO58" s="13">
        <f>BO8</f>
        <v>0</v>
      </c>
      <c r="BP58" s="88">
        <f>BP8</f>
        <v>-1</v>
      </c>
      <c r="BQ58" s="15">
        <f t="shared" si="155"/>
        <v>-1</v>
      </c>
      <c r="BR58" s="13">
        <f>BR8</f>
        <v>417769</v>
      </c>
      <c r="BS58" s="13">
        <f>BS8</f>
        <v>513000</v>
      </c>
      <c r="BT58" s="13">
        <f>BT8</f>
        <v>0</v>
      </c>
      <c r="BU58" s="88">
        <f>BU8</f>
        <v>-1</v>
      </c>
      <c r="BV58" s="15">
        <f t="shared" si="157"/>
        <v>-1</v>
      </c>
      <c r="BX58" s="37">
        <f t="shared" si="39"/>
        <v>433622</v>
      </c>
      <c r="BY58" s="274"/>
    </row>
    <row r="59" spans="2:77" ht="17.25" thickBot="1" x14ac:dyDescent="0.35">
      <c r="B59" s="345"/>
      <c r="C59" s="346"/>
      <c r="D59" s="302" t="s">
        <v>31</v>
      </c>
      <c r="E59" s="299"/>
      <c r="F59" s="156">
        <v>5704093</v>
      </c>
      <c r="G59" s="47">
        <v>5704093</v>
      </c>
      <c r="H59" s="43">
        <f>H54</f>
        <v>6125000</v>
      </c>
      <c r="I59" s="6">
        <f>I28</f>
        <v>0.13808681381958854</v>
      </c>
      <c r="J59" s="138">
        <f t="shared" si="162"/>
        <v>3805861</v>
      </c>
      <c r="K59" s="138">
        <f t="shared" si="163"/>
        <v>4593762</v>
      </c>
      <c r="L59" s="138">
        <f t="shared" si="164"/>
        <v>4129699</v>
      </c>
      <c r="M59" s="72">
        <f t="shared" si="165"/>
        <v>-0.1010202531171619</v>
      </c>
      <c r="N59" s="76">
        <f t="shared" si="133"/>
        <v>8.5089287286109538E-2</v>
      </c>
      <c r="O59" s="5">
        <f>O28</f>
        <v>341246</v>
      </c>
      <c r="P59" s="43">
        <f>P28</f>
        <v>510418</v>
      </c>
      <c r="Q59" s="43">
        <f>Q28</f>
        <v>327291</v>
      </c>
      <c r="R59" s="72">
        <f>R28</f>
        <v>-0.35877849135414508</v>
      </c>
      <c r="S59" s="6">
        <f t="shared" si="135"/>
        <v>-4.0894252240319284E-2</v>
      </c>
      <c r="T59" s="5">
        <f>T28</f>
        <v>397040</v>
      </c>
      <c r="U59" s="5">
        <f>U28</f>
        <v>510418</v>
      </c>
      <c r="V59" s="5">
        <f>V28</f>
        <v>484947</v>
      </c>
      <c r="W59" s="72">
        <f>W28</f>
        <v>-4.9902236990074789E-2</v>
      </c>
      <c r="X59" s="6">
        <f t="shared" si="137"/>
        <v>0.22140590368728597</v>
      </c>
      <c r="Y59" s="5">
        <f>Y28</f>
        <v>468286</v>
      </c>
      <c r="Z59" s="5">
        <f>Z28</f>
        <v>510418</v>
      </c>
      <c r="AA59" s="5">
        <f>AA28</f>
        <v>436468</v>
      </c>
      <c r="AB59" s="72">
        <f>AB28</f>
        <v>-0.14488125418774411</v>
      </c>
      <c r="AC59" s="6">
        <f t="shared" si="139"/>
        <v>-6.7945657141148752E-2</v>
      </c>
      <c r="AD59" s="5">
        <f>AD28</f>
        <v>447362</v>
      </c>
      <c r="AE59" s="5">
        <f>AE28</f>
        <v>510418</v>
      </c>
      <c r="AF59" s="5">
        <f>AF28</f>
        <v>548060</v>
      </c>
      <c r="AG59" s="72">
        <f>AG28</f>
        <v>7.3747399190467355E-2</v>
      </c>
      <c r="AH59" s="6">
        <f t="shared" si="141"/>
        <v>0.22509287780365783</v>
      </c>
      <c r="AI59" s="5">
        <f>AI28</f>
        <v>551104</v>
      </c>
      <c r="AJ59" s="5">
        <f>AJ28</f>
        <v>510418</v>
      </c>
      <c r="AK59" s="5">
        <f>AK28</f>
        <v>436838</v>
      </c>
      <c r="AL59" s="72">
        <f>AL28</f>
        <v>-0.14415635812216654</v>
      </c>
      <c r="AM59" s="6">
        <f t="shared" si="143"/>
        <v>-0.20734017535710136</v>
      </c>
      <c r="AN59" s="5">
        <f>AN28</f>
        <v>416686</v>
      </c>
      <c r="AO59" s="5">
        <f>AO28</f>
        <v>510418</v>
      </c>
      <c r="AP59" s="5">
        <f>AP28</f>
        <v>473319</v>
      </c>
      <c r="AQ59" s="72">
        <f>AQ28</f>
        <v>-7.2683565234768377E-2</v>
      </c>
      <c r="AR59" s="6">
        <f t="shared" si="145"/>
        <v>0.13591289364173509</v>
      </c>
      <c r="AS59" s="5">
        <f>AS28</f>
        <v>400169</v>
      </c>
      <c r="AT59" s="5">
        <f>AT28</f>
        <v>510418</v>
      </c>
      <c r="AU59" s="5">
        <f>AU28</f>
        <v>472169</v>
      </c>
      <c r="AV59" s="72">
        <f>AV28</f>
        <v>-7.4936620573725854E-2</v>
      </c>
      <c r="AW59" s="6">
        <f t="shared" si="147"/>
        <v>0.17992398211755534</v>
      </c>
      <c r="AX59" s="5">
        <f>AX28</f>
        <v>440920</v>
      </c>
      <c r="AY59" s="5">
        <f>AY28</f>
        <v>510418</v>
      </c>
      <c r="AZ59" s="5">
        <f>AZ28</f>
        <v>409542</v>
      </c>
      <c r="BA59" s="72">
        <f>BA28</f>
        <v>-0.19763409597623904</v>
      </c>
      <c r="BB59" s="6">
        <f t="shared" si="149"/>
        <v>-7.1164837158668282E-2</v>
      </c>
      <c r="BC59" s="5">
        <f>BC28</f>
        <v>343048</v>
      </c>
      <c r="BD59" s="5">
        <f>BD28</f>
        <v>510418</v>
      </c>
      <c r="BE59" s="5">
        <f>BE28</f>
        <v>541065</v>
      </c>
      <c r="BF59" s="72">
        <f>BF28</f>
        <v>6.0042945193939046E-2</v>
      </c>
      <c r="BG59" s="6">
        <f t="shared" si="151"/>
        <v>0.57722825960215474</v>
      </c>
      <c r="BH59" s="5">
        <f>BH28</f>
        <v>557700</v>
      </c>
      <c r="BI59" s="5">
        <f>BI28</f>
        <v>510418</v>
      </c>
      <c r="BJ59" s="5">
        <f>BJ28</f>
        <v>313242</v>
      </c>
      <c r="BK59" s="72">
        <f>BK28</f>
        <v>-0.38630299088198305</v>
      </c>
      <c r="BL59" s="6">
        <f t="shared" si="153"/>
        <v>-0.43833243679397527</v>
      </c>
      <c r="BM59" s="5">
        <f>BM28</f>
        <v>500870</v>
      </c>
      <c r="BN59" s="5">
        <f>BN28</f>
        <v>510418</v>
      </c>
      <c r="BO59" s="5">
        <f>BO28</f>
        <v>0</v>
      </c>
      <c r="BP59" s="72">
        <f>BP28</f>
        <v>-1</v>
      </c>
      <c r="BQ59" s="6">
        <f t="shared" si="155"/>
        <v>-1</v>
      </c>
      <c r="BR59" s="5">
        <f>BR28</f>
        <v>517408</v>
      </c>
      <c r="BS59" s="5">
        <f>BS28</f>
        <v>510418</v>
      </c>
      <c r="BT59" s="5">
        <f>BT28</f>
        <v>0</v>
      </c>
      <c r="BU59" s="72">
        <f>BU28</f>
        <v>-1</v>
      </c>
      <c r="BV59" s="6">
        <f t="shared" si="157"/>
        <v>-1</v>
      </c>
      <c r="BX59" s="37">
        <f t="shared" si="39"/>
        <v>323838</v>
      </c>
      <c r="BY59" s="274"/>
    </row>
    <row r="61" spans="2:77" x14ac:dyDescent="0.3"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</row>
    <row r="62" spans="2:77" x14ac:dyDescent="0.3"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</row>
    <row r="70" spans="2:74" ht="17.25" thickBot="1" x14ac:dyDescent="0.35"/>
    <row r="71" spans="2:74" x14ac:dyDescent="0.3">
      <c r="B71" s="331" t="s">
        <v>2</v>
      </c>
      <c r="C71" s="332"/>
      <c r="D71" s="332"/>
      <c r="E71" s="333"/>
      <c r="F71" s="329" t="s">
        <v>71</v>
      </c>
      <c r="G71" s="327" t="s">
        <v>3</v>
      </c>
      <c r="H71" s="327" t="s">
        <v>4</v>
      </c>
      <c r="I71" s="339" t="s">
        <v>5</v>
      </c>
      <c r="J71" s="326" t="s">
        <v>6</v>
      </c>
      <c r="K71" s="327"/>
      <c r="L71" s="327"/>
      <c r="M71" s="327"/>
      <c r="N71" s="328"/>
      <c r="O71" s="326" t="s">
        <v>7</v>
      </c>
      <c r="P71" s="327"/>
      <c r="Q71" s="327"/>
      <c r="R71" s="327"/>
      <c r="S71" s="328"/>
      <c r="T71" s="329" t="s">
        <v>58</v>
      </c>
      <c r="U71" s="327"/>
      <c r="V71" s="327"/>
      <c r="W71" s="327"/>
      <c r="X71" s="330"/>
      <c r="Y71" s="326" t="s">
        <v>59</v>
      </c>
      <c r="Z71" s="327"/>
      <c r="AA71" s="327"/>
      <c r="AB71" s="327"/>
      <c r="AC71" s="328"/>
      <c r="AD71" s="329" t="s">
        <v>60</v>
      </c>
      <c r="AE71" s="327"/>
      <c r="AF71" s="327"/>
      <c r="AG71" s="327"/>
      <c r="AH71" s="330"/>
      <c r="AI71" s="326" t="s">
        <v>61</v>
      </c>
      <c r="AJ71" s="327"/>
      <c r="AK71" s="327"/>
      <c r="AL71" s="327"/>
      <c r="AM71" s="328"/>
      <c r="AN71" s="329" t="s">
        <v>62</v>
      </c>
      <c r="AO71" s="327"/>
      <c r="AP71" s="327"/>
      <c r="AQ71" s="327"/>
      <c r="AR71" s="330"/>
      <c r="AS71" s="326" t="s">
        <v>63</v>
      </c>
      <c r="AT71" s="327"/>
      <c r="AU71" s="327"/>
      <c r="AV71" s="327"/>
      <c r="AW71" s="328"/>
      <c r="AX71" s="329" t="s">
        <v>64</v>
      </c>
      <c r="AY71" s="327"/>
      <c r="AZ71" s="327"/>
      <c r="BA71" s="327"/>
      <c r="BB71" s="330"/>
      <c r="BC71" s="326" t="s">
        <v>65</v>
      </c>
      <c r="BD71" s="327"/>
      <c r="BE71" s="327"/>
      <c r="BF71" s="327"/>
      <c r="BG71" s="328"/>
      <c r="BH71" s="329" t="s">
        <v>66</v>
      </c>
      <c r="BI71" s="327"/>
      <c r="BJ71" s="327"/>
      <c r="BK71" s="327"/>
      <c r="BL71" s="330"/>
      <c r="BM71" s="326" t="s">
        <v>67</v>
      </c>
      <c r="BN71" s="327"/>
      <c r="BO71" s="327"/>
      <c r="BP71" s="327"/>
      <c r="BQ71" s="328"/>
      <c r="BR71" s="329" t="s">
        <v>68</v>
      </c>
      <c r="BS71" s="327"/>
      <c r="BT71" s="327"/>
      <c r="BU71" s="327"/>
      <c r="BV71" s="328"/>
    </row>
    <row r="72" spans="2:74" ht="17.25" thickBot="1" x14ac:dyDescent="0.35">
      <c r="B72" s="334"/>
      <c r="C72" s="335"/>
      <c r="D72" s="335"/>
      <c r="E72" s="336"/>
      <c r="F72" s="337"/>
      <c r="G72" s="338"/>
      <c r="H72" s="338"/>
      <c r="I72" s="340"/>
      <c r="J72" s="104" t="s">
        <v>8</v>
      </c>
      <c r="K72" s="97" t="s">
        <v>9</v>
      </c>
      <c r="L72" s="97" t="s">
        <v>10</v>
      </c>
      <c r="M72" s="98" t="s">
        <v>11</v>
      </c>
      <c r="N72" s="99" t="s">
        <v>12</v>
      </c>
      <c r="O72" s="111" t="str">
        <f t="shared" ref="O72:BV72" si="166">J72</f>
        <v>2023년</v>
      </c>
      <c r="P72" s="97" t="str">
        <f t="shared" si="166"/>
        <v>목표</v>
      </c>
      <c r="Q72" s="97" t="str">
        <f t="shared" si="166"/>
        <v>2024년</v>
      </c>
      <c r="R72" s="98" t="str">
        <f t="shared" si="166"/>
        <v>달성율</v>
      </c>
      <c r="S72" s="99" t="str">
        <f t="shared" si="166"/>
        <v>전년대비</v>
      </c>
      <c r="T72" s="103" t="str">
        <f t="shared" si="166"/>
        <v>2023년</v>
      </c>
      <c r="U72" s="97" t="str">
        <f t="shared" si="166"/>
        <v>목표</v>
      </c>
      <c r="V72" s="97" t="str">
        <f t="shared" si="166"/>
        <v>2024년</v>
      </c>
      <c r="W72" s="98" t="str">
        <f t="shared" si="166"/>
        <v>달성율</v>
      </c>
      <c r="X72" s="109" t="str">
        <f t="shared" si="166"/>
        <v>전년대비</v>
      </c>
      <c r="Y72" s="111" t="str">
        <f t="shared" si="166"/>
        <v>2023년</v>
      </c>
      <c r="Z72" s="97" t="str">
        <f t="shared" si="166"/>
        <v>목표</v>
      </c>
      <c r="AA72" s="97" t="str">
        <f t="shared" si="166"/>
        <v>2024년</v>
      </c>
      <c r="AB72" s="98" t="str">
        <f t="shared" si="166"/>
        <v>달성율</v>
      </c>
      <c r="AC72" s="99" t="str">
        <f t="shared" si="166"/>
        <v>전년대비</v>
      </c>
      <c r="AD72" s="103" t="str">
        <f t="shared" si="166"/>
        <v>2023년</v>
      </c>
      <c r="AE72" s="97" t="str">
        <f t="shared" si="166"/>
        <v>목표</v>
      </c>
      <c r="AF72" s="97" t="str">
        <f t="shared" si="166"/>
        <v>2024년</v>
      </c>
      <c r="AG72" s="98" t="str">
        <f t="shared" si="166"/>
        <v>달성율</v>
      </c>
      <c r="AH72" s="109" t="str">
        <f t="shared" si="166"/>
        <v>전년대비</v>
      </c>
      <c r="AI72" s="111" t="str">
        <f t="shared" si="166"/>
        <v>2023년</v>
      </c>
      <c r="AJ72" s="97" t="str">
        <f t="shared" si="166"/>
        <v>목표</v>
      </c>
      <c r="AK72" s="97" t="str">
        <f t="shared" si="166"/>
        <v>2024년</v>
      </c>
      <c r="AL72" s="98" t="str">
        <f t="shared" si="166"/>
        <v>달성율</v>
      </c>
      <c r="AM72" s="99" t="str">
        <f t="shared" si="166"/>
        <v>전년대비</v>
      </c>
      <c r="AN72" s="103" t="str">
        <f t="shared" si="166"/>
        <v>2023년</v>
      </c>
      <c r="AO72" s="97" t="str">
        <f t="shared" si="166"/>
        <v>목표</v>
      </c>
      <c r="AP72" s="97" t="str">
        <f t="shared" si="166"/>
        <v>2024년</v>
      </c>
      <c r="AQ72" s="98" t="str">
        <f t="shared" si="166"/>
        <v>달성율</v>
      </c>
      <c r="AR72" s="109" t="str">
        <f t="shared" si="166"/>
        <v>전년대비</v>
      </c>
      <c r="AS72" s="111" t="str">
        <f t="shared" si="166"/>
        <v>2023년</v>
      </c>
      <c r="AT72" s="97" t="str">
        <f t="shared" si="166"/>
        <v>목표</v>
      </c>
      <c r="AU72" s="97" t="str">
        <f t="shared" si="166"/>
        <v>2024년</v>
      </c>
      <c r="AV72" s="98" t="str">
        <f t="shared" si="166"/>
        <v>달성율</v>
      </c>
      <c r="AW72" s="99" t="str">
        <f t="shared" si="166"/>
        <v>전년대비</v>
      </c>
      <c r="AX72" s="103" t="str">
        <f t="shared" si="166"/>
        <v>2023년</v>
      </c>
      <c r="AY72" s="97" t="str">
        <f t="shared" si="166"/>
        <v>목표</v>
      </c>
      <c r="AZ72" s="97" t="str">
        <f t="shared" si="166"/>
        <v>2024년</v>
      </c>
      <c r="BA72" s="98" t="str">
        <f t="shared" si="166"/>
        <v>달성율</v>
      </c>
      <c r="BB72" s="109" t="str">
        <f t="shared" si="166"/>
        <v>전년대비</v>
      </c>
      <c r="BC72" s="111" t="str">
        <f t="shared" si="166"/>
        <v>2023년</v>
      </c>
      <c r="BD72" s="97" t="str">
        <f t="shared" si="166"/>
        <v>목표</v>
      </c>
      <c r="BE72" s="97" t="str">
        <f t="shared" si="166"/>
        <v>2024년</v>
      </c>
      <c r="BF72" s="98" t="str">
        <f t="shared" si="166"/>
        <v>달성율</v>
      </c>
      <c r="BG72" s="99" t="str">
        <f t="shared" si="166"/>
        <v>전년대비</v>
      </c>
      <c r="BH72" s="103" t="str">
        <f t="shared" si="166"/>
        <v>2023년</v>
      </c>
      <c r="BI72" s="97" t="str">
        <f t="shared" si="166"/>
        <v>목표</v>
      </c>
      <c r="BJ72" s="97" t="str">
        <f t="shared" si="166"/>
        <v>2024년</v>
      </c>
      <c r="BK72" s="98" t="str">
        <f t="shared" si="166"/>
        <v>달성율</v>
      </c>
      <c r="BL72" s="109" t="str">
        <f t="shared" si="166"/>
        <v>전년대비</v>
      </c>
      <c r="BM72" s="111" t="str">
        <f t="shared" si="166"/>
        <v>2023년</v>
      </c>
      <c r="BN72" s="97" t="str">
        <f t="shared" si="166"/>
        <v>목표</v>
      </c>
      <c r="BO72" s="97" t="str">
        <f t="shared" si="166"/>
        <v>2024년</v>
      </c>
      <c r="BP72" s="98" t="str">
        <f t="shared" si="166"/>
        <v>달성율</v>
      </c>
      <c r="BQ72" s="99" t="str">
        <f t="shared" si="166"/>
        <v>전년대비</v>
      </c>
      <c r="BR72" s="103" t="str">
        <f t="shared" si="166"/>
        <v>2023년</v>
      </c>
      <c r="BS72" s="97" t="str">
        <f t="shared" si="166"/>
        <v>목표</v>
      </c>
      <c r="BT72" s="97" t="str">
        <f t="shared" si="166"/>
        <v>2024년</v>
      </c>
      <c r="BU72" s="98" t="str">
        <f t="shared" si="166"/>
        <v>달성율</v>
      </c>
      <c r="BV72" s="99" t="str">
        <f t="shared" si="166"/>
        <v>전년대비</v>
      </c>
    </row>
    <row r="73" spans="2:74" x14ac:dyDescent="0.3">
      <c r="B73" s="288" t="s">
        <v>57</v>
      </c>
      <c r="C73" s="289"/>
      <c r="D73" s="294" t="s">
        <v>13</v>
      </c>
      <c r="E73" s="295"/>
      <c r="F73" s="161">
        <f>F78+F97</f>
        <v>11895992.9</v>
      </c>
      <c r="G73" s="158">
        <f>G78+G97</f>
        <v>12003856</v>
      </c>
      <c r="H73" s="158">
        <f>H78+H97</f>
        <v>13542824.880000001</v>
      </c>
      <c r="I73" s="162">
        <f>H73/G73-1</f>
        <v>0.1282062097379375</v>
      </c>
      <c r="J73" s="163">
        <f t="shared" ref="J73:L74" si="167">O73+T73+Y73+AD73+AI73+AN73+AS73+AX73+BC73+BH73+BM73+BR73</f>
        <v>12003784</v>
      </c>
      <c r="K73" s="158">
        <f t="shared" si="167"/>
        <v>12843694.033333333</v>
      </c>
      <c r="L73" s="158">
        <f t="shared" si="167"/>
        <v>7386253</v>
      </c>
      <c r="M73" s="159">
        <f>L73/K73-1</f>
        <v>-0.42491210232582588</v>
      </c>
      <c r="N73" s="160">
        <f>L73/J73-1</f>
        <v>-0.38467294979649747</v>
      </c>
      <c r="O73" s="163">
        <f>O78+O97</f>
        <v>892391</v>
      </c>
      <c r="P73" s="158">
        <f>P78+P97</f>
        <v>1010001</v>
      </c>
      <c r="Q73" s="158">
        <f>Q78+Q97</f>
        <v>795943</v>
      </c>
      <c r="R73" s="159">
        <f>Q73/P73-1</f>
        <v>-0.2119384040213822</v>
      </c>
      <c r="S73" s="160">
        <f>Q73/O73-1</f>
        <v>-0.10807818545906445</v>
      </c>
      <c r="T73" s="161">
        <f>T78+T97</f>
        <v>1137930</v>
      </c>
      <c r="U73" s="158">
        <f>U78+U97</f>
        <v>1110110.4066666667</v>
      </c>
      <c r="V73" s="158">
        <f>V78+V97</f>
        <v>775023</v>
      </c>
      <c r="W73" s="159">
        <f>V73/U73-1</f>
        <v>-0.30185052284379099</v>
      </c>
      <c r="X73" s="162">
        <f>V73/T73-1</f>
        <v>-0.31891856265323881</v>
      </c>
      <c r="Y73" s="163">
        <f>Y78+Y97</f>
        <v>983736</v>
      </c>
      <c r="Z73" s="158">
        <f>Z78+Z97</f>
        <v>1110110.4066666667</v>
      </c>
      <c r="AA73" s="158">
        <f>AA78+AA97</f>
        <v>595429</v>
      </c>
      <c r="AB73" s="159">
        <f>AA73/Z73-1</f>
        <v>-0.46363082768686292</v>
      </c>
      <c r="AC73" s="160">
        <f>AA73/Y73-1</f>
        <v>-0.39472683728154712</v>
      </c>
      <c r="AD73" s="161">
        <f>AD78+AD97</f>
        <v>955870</v>
      </c>
      <c r="AE73" s="158">
        <f>AE78+AE97</f>
        <v>1110110.4066666667</v>
      </c>
      <c r="AF73" s="158">
        <f>AF78+AF97</f>
        <v>574755</v>
      </c>
      <c r="AG73" s="159">
        <f>AF73/AE73-1</f>
        <v>-0.48225420052963985</v>
      </c>
      <c r="AH73" s="162">
        <f>AF73/AD73-1</f>
        <v>-0.39871007563790051</v>
      </c>
      <c r="AI73" s="163">
        <f>AI78+AI97</f>
        <v>1034777</v>
      </c>
      <c r="AJ73" s="158">
        <f>AJ78+AJ97</f>
        <v>1095249.4066666667</v>
      </c>
      <c r="AK73" s="158">
        <f>AK78+AK97</f>
        <v>642827</v>
      </c>
      <c r="AL73" s="159">
        <f>AK73/AJ73-1</f>
        <v>-0.41307706163803393</v>
      </c>
      <c r="AM73" s="160">
        <f>AK73/AI73-1</f>
        <v>-0.37877726312045978</v>
      </c>
      <c r="AN73" s="161">
        <f>AN78+AN97</f>
        <v>945385</v>
      </c>
      <c r="AO73" s="158">
        <f>AO78+AO97</f>
        <v>1094288.4066666667</v>
      </c>
      <c r="AP73" s="158">
        <f>AP78+AP97</f>
        <v>506078</v>
      </c>
      <c r="AQ73" s="159">
        <f>AP73/AO73-1</f>
        <v>-0.53752776972062233</v>
      </c>
      <c r="AR73" s="162">
        <f>AP73/AN73-1</f>
        <v>-0.46468581583164525</v>
      </c>
      <c r="AS73" s="163">
        <f>AS78+AS97</f>
        <v>903311</v>
      </c>
      <c r="AT73" s="158">
        <f>AT78+AT97</f>
        <v>988569</v>
      </c>
      <c r="AU73" s="158">
        <f>AU78+AU97</f>
        <v>602774</v>
      </c>
      <c r="AV73" s="159">
        <f>AU73/AT73-1</f>
        <v>-0.39025601652489605</v>
      </c>
      <c r="AW73" s="160">
        <f>AU73/AS73-1</f>
        <v>-0.33270601155083912</v>
      </c>
      <c r="AX73" s="161">
        <f>AX78+AX97</f>
        <v>928433</v>
      </c>
      <c r="AY73" s="158">
        <f>AY78+AY97</f>
        <v>1024032</v>
      </c>
      <c r="AZ73" s="158">
        <f>AZ78+AZ97</f>
        <v>554339</v>
      </c>
      <c r="BA73" s="159">
        <f>AZ73/AY73-1</f>
        <v>-0.45867023686759789</v>
      </c>
      <c r="BB73" s="162">
        <f>AZ73/AX73-1</f>
        <v>-0.4029305291819657</v>
      </c>
      <c r="BC73" s="163">
        <f>BC78+BC97</f>
        <v>850293</v>
      </c>
      <c r="BD73" s="158">
        <f>BD78+BD97</f>
        <v>1001382</v>
      </c>
      <c r="BE73" s="158">
        <f>BE78+BE97</f>
        <v>484768</v>
      </c>
      <c r="BF73" s="159">
        <f>BE73/BD73-1</f>
        <v>-0.51590102478374888</v>
      </c>
      <c r="BG73" s="160">
        <f>BE73/BC73-1</f>
        <v>-0.42988122917629568</v>
      </c>
      <c r="BH73" s="161">
        <f>BH78+BH97</f>
        <v>1251882</v>
      </c>
      <c r="BI73" s="158">
        <f>BI78+BI97</f>
        <v>1125418</v>
      </c>
      <c r="BJ73" s="158">
        <f>BJ78+BJ97</f>
        <v>603717</v>
      </c>
      <c r="BK73" s="159">
        <f>BJ73/BI73-1</f>
        <v>-0.46356198319202291</v>
      </c>
      <c r="BL73" s="162">
        <f>BJ73/BH73-1</f>
        <v>-0.51775247187833995</v>
      </c>
      <c r="BM73" s="163">
        <f>BM78+BM97</f>
        <v>1131283</v>
      </c>
      <c r="BN73" s="158">
        <f>BN78+BN97</f>
        <v>1114811</v>
      </c>
      <c r="BO73" s="158">
        <f>BO78+BO97</f>
        <v>617592</v>
      </c>
      <c r="BP73" s="159">
        <f>BO73/BN73-1</f>
        <v>-0.44601192489130448</v>
      </c>
      <c r="BQ73" s="160">
        <f>BO73/BM73-1</f>
        <v>-0.45407824567327537</v>
      </c>
      <c r="BR73" s="161">
        <f>BR78+BR97</f>
        <v>988493</v>
      </c>
      <c r="BS73" s="158">
        <f>BS78+BS97</f>
        <v>1059612</v>
      </c>
      <c r="BT73" s="158">
        <f>BT78+BT97</f>
        <v>633008</v>
      </c>
      <c r="BU73" s="159">
        <f>BT73/BS73-1</f>
        <v>-0.40260397201994691</v>
      </c>
      <c r="BV73" s="160">
        <f>BT73/BR73-1</f>
        <v>-0.35962318397803528</v>
      </c>
    </row>
    <row r="74" spans="2:74" x14ac:dyDescent="0.3">
      <c r="B74" s="290"/>
      <c r="C74" s="291"/>
      <c r="D74" s="296" t="s">
        <v>14</v>
      </c>
      <c r="E74" s="297"/>
      <c r="F74" s="84">
        <f>F77+F96</f>
        <v>10804093</v>
      </c>
      <c r="G74" s="62">
        <f>G77+G96</f>
        <v>10505446</v>
      </c>
      <c r="H74" s="62">
        <f>H77+H96</f>
        <v>13542824.880000001</v>
      </c>
      <c r="I74" s="75">
        <f t="shared" ref="I74:I105" si="168">H74/G74-1</f>
        <v>0.28912421995220394</v>
      </c>
      <c r="J74" s="3">
        <f t="shared" si="167"/>
        <v>10628708</v>
      </c>
      <c r="K74" s="62">
        <f t="shared" si="167"/>
        <v>3230221.8133333335</v>
      </c>
      <c r="L74" s="62">
        <f t="shared" si="167"/>
        <v>1357960</v>
      </c>
      <c r="M74" s="86">
        <f t="shared" ref="M74:M105" si="169">L74/K74-1</f>
        <v>-0.57960781690137475</v>
      </c>
      <c r="N74" s="4">
        <f t="shared" ref="N74:N105" si="170">L74/J74-1</f>
        <v>-0.8722365879277143</v>
      </c>
      <c r="O74" s="3">
        <f>O77+O96</f>
        <v>984675</v>
      </c>
      <c r="P74" s="62">
        <f>P77+P96</f>
        <v>1010001</v>
      </c>
      <c r="Q74" s="62">
        <f>Q77+Q96</f>
        <v>638533</v>
      </c>
      <c r="R74" s="86">
        <f t="shared" ref="R74:R94" si="171">Q74/P74-1</f>
        <v>-0.36778973486164868</v>
      </c>
      <c r="S74" s="4">
        <f t="shared" ref="S74:S92" si="172">Q74/O74-1</f>
        <v>-0.35152918475639172</v>
      </c>
      <c r="T74" s="84">
        <f>T77+T96</f>
        <v>705345</v>
      </c>
      <c r="U74" s="62">
        <f>U77+U96</f>
        <v>1110110.4066666667</v>
      </c>
      <c r="V74" s="62">
        <f>V77+V96</f>
        <v>719427</v>
      </c>
      <c r="W74" s="86">
        <f t="shared" ref="W74:W105" si="173">V74/U74-1</f>
        <v>-0.35193202795006084</v>
      </c>
      <c r="X74" s="75">
        <f t="shared" ref="X74:X105" si="174">V74/T74-1</f>
        <v>1.9964698126448743E-2</v>
      </c>
      <c r="Y74" s="3">
        <f>Y77+Y96</f>
        <v>883127</v>
      </c>
      <c r="Z74" s="62">
        <f>Z77+Z96</f>
        <v>1110110.4066666667</v>
      </c>
      <c r="AA74" s="62">
        <f>AA77+AA96</f>
        <v>0</v>
      </c>
      <c r="AB74" s="86">
        <f t="shared" ref="AB74:AB105" si="175">AA74/Z74-1</f>
        <v>-1</v>
      </c>
      <c r="AC74" s="4">
        <f t="shared" ref="AC74:AC105" si="176">AA74/Y74-1</f>
        <v>-1</v>
      </c>
      <c r="AD74" s="84">
        <f>AD77+AD96</f>
        <v>948745</v>
      </c>
      <c r="AE74" s="62">
        <f>AE77+AE96</f>
        <v>0</v>
      </c>
      <c r="AF74" s="62">
        <f>AF77+AF96</f>
        <v>0</v>
      </c>
      <c r="AG74" s="86" t="e">
        <f t="shared" ref="AG74:AG105" si="177">AF74/AE74-1</f>
        <v>#DIV/0!</v>
      </c>
      <c r="AH74" s="75">
        <f t="shared" ref="AH74:AH105" si="178">AF74/AD74-1</f>
        <v>-1</v>
      </c>
      <c r="AI74" s="3">
        <f>AI77+AI96</f>
        <v>951450</v>
      </c>
      <c r="AJ74" s="62">
        <f>AJ77+AJ96</f>
        <v>0</v>
      </c>
      <c r="AK74" s="62">
        <f>AK77+AK96</f>
        <v>0</v>
      </c>
      <c r="AL74" s="86" t="e">
        <f t="shared" ref="AL74:AL105" si="179">AK74/AJ74-1</f>
        <v>#DIV/0!</v>
      </c>
      <c r="AM74" s="4">
        <f t="shared" ref="AM74:AM105" si="180">AK74/AI74-1</f>
        <v>-1</v>
      </c>
      <c r="AN74" s="84">
        <f>AN77+AN96</f>
        <v>681836</v>
      </c>
      <c r="AO74" s="62">
        <f>AO77+AO96</f>
        <v>0</v>
      </c>
      <c r="AP74" s="62">
        <f>AP77+AP96</f>
        <v>0</v>
      </c>
      <c r="AQ74" s="86" t="e">
        <f t="shared" ref="AQ74:AQ105" si="181">AP74/AO74-1</f>
        <v>#DIV/0!</v>
      </c>
      <c r="AR74" s="75">
        <f t="shared" ref="AR74:AR105" si="182">AP74/AN74-1</f>
        <v>-1</v>
      </c>
      <c r="AS74" s="3">
        <f>AS77+AS96</f>
        <v>729901</v>
      </c>
      <c r="AT74" s="62">
        <f>AT77+AT96</f>
        <v>0</v>
      </c>
      <c r="AU74" s="62">
        <f>AU77+AU96</f>
        <v>0</v>
      </c>
      <c r="AV74" s="86" t="e">
        <f t="shared" ref="AV74:AV105" si="183">AU74/AT74-1</f>
        <v>#DIV/0!</v>
      </c>
      <c r="AW74" s="4">
        <f t="shared" ref="AW74:AW105" si="184">AU74/AS74-1</f>
        <v>-1</v>
      </c>
      <c r="AX74" s="84">
        <f>AX77+AX96</f>
        <v>770531</v>
      </c>
      <c r="AY74" s="62">
        <f>AY77+AY96</f>
        <v>0</v>
      </c>
      <c r="AZ74" s="62">
        <f>AZ77+AZ96</f>
        <v>0</v>
      </c>
      <c r="BA74" s="86" t="e">
        <f t="shared" ref="BA74:BA105" si="185">AZ74/AY74-1</f>
        <v>#DIV/0!</v>
      </c>
      <c r="BB74" s="75">
        <f t="shared" ref="BB74:BB105" si="186">AZ74/AX74-1</f>
        <v>-1</v>
      </c>
      <c r="BC74" s="3">
        <f>BC77+BC96</f>
        <v>846538</v>
      </c>
      <c r="BD74" s="62">
        <f>BD77+BD96</f>
        <v>0</v>
      </c>
      <c r="BE74" s="62">
        <f>BE77+BE96</f>
        <v>0</v>
      </c>
      <c r="BF74" s="86" t="e">
        <f t="shared" ref="BF74:BF105" si="187">BE74/BD74-1</f>
        <v>#DIV/0!</v>
      </c>
      <c r="BG74" s="4">
        <f t="shared" ref="BG74:BG105" si="188">BE74/BC74-1</f>
        <v>-1</v>
      </c>
      <c r="BH74" s="84">
        <f>BH77+BH96</f>
        <v>1419367</v>
      </c>
      <c r="BI74" s="62">
        <f>BI77+BI96</f>
        <v>0</v>
      </c>
      <c r="BJ74" s="62">
        <f>BJ77+BJ96</f>
        <v>0</v>
      </c>
      <c r="BK74" s="86" t="e">
        <f t="shared" ref="BK74:BK105" si="189">BJ74/BI74-1</f>
        <v>#DIV/0!</v>
      </c>
      <c r="BL74" s="75">
        <f t="shared" ref="BL74:BL105" si="190">BJ74/BH74-1</f>
        <v>-1</v>
      </c>
      <c r="BM74" s="3">
        <f>BM77+BM96</f>
        <v>916099</v>
      </c>
      <c r="BN74" s="62">
        <f>BN77+BN96</f>
        <v>0</v>
      </c>
      <c r="BO74" s="62">
        <f>BO77+BO96</f>
        <v>0</v>
      </c>
      <c r="BP74" s="86" t="e">
        <f t="shared" ref="BP74:BP105" si="191">BO74/BN74-1</f>
        <v>#DIV/0!</v>
      </c>
      <c r="BQ74" s="4">
        <f t="shared" ref="BQ74:BQ105" si="192">BO74/BM74-1</f>
        <v>-1</v>
      </c>
      <c r="BR74" s="84">
        <f>BR77+BR96</f>
        <v>791094</v>
      </c>
      <c r="BS74" s="62">
        <f>BS77+BS96</f>
        <v>0</v>
      </c>
      <c r="BT74" s="62">
        <f>BT77+BT96</f>
        <v>0</v>
      </c>
      <c r="BU74" s="86" t="e">
        <f t="shared" ref="BU74:BU105" si="193">BT74/BS74-1</f>
        <v>#DIV/0!</v>
      </c>
      <c r="BV74" s="4">
        <f t="shared" ref="BV74:BV105" si="194">BT74/BR74-1</f>
        <v>-1</v>
      </c>
    </row>
    <row r="75" spans="2:74" ht="17.25" thickBot="1" x14ac:dyDescent="0.35">
      <c r="B75" s="292"/>
      <c r="C75" s="293"/>
      <c r="D75" s="298" t="s">
        <v>15</v>
      </c>
      <c r="E75" s="299"/>
      <c r="F75" s="57">
        <f>F76+F95</f>
        <v>664657</v>
      </c>
      <c r="G75" s="42">
        <f>G76+G95</f>
        <v>664658</v>
      </c>
      <c r="H75" s="42">
        <f>H76+H95</f>
        <v>564284</v>
      </c>
      <c r="I75" s="82">
        <f t="shared" si="168"/>
        <v>-0.15101601124187181</v>
      </c>
      <c r="J75" s="24">
        <f>J76+J96</f>
        <v>6202264</v>
      </c>
      <c r="K75" s="42">
        <f>K76+K96</f>
        <v>1901221.8133333335</v>
      </c>
      <c r="L75" s="42">
        <f>L76+L96</f>
        <v>738286</v>
      </c>
      <c r="M75" s="146">
        <f t="shared" si="169"/>
        <v>-0.61167813517477287</v>
      </c>
      <c r="N75" s="25">
        <f t="shared" si="170"/>
        <v>-0.88096507984826189</v>
      </c>
      <c r="O75" s="24">
        <f>O76+O95</f>
        <v>900864</v>
      </c>
      <c r="P75" s="42">
        <f>P76+P95</f>
        <v>505000.5</v>
      </c>
      <c r="Q75" s="42">
        <f>Q76+Q95</f>
        <v>639609</v>
      </c>
      <c r="R75" s="146">
        <f t="shared" si="171"/>
        <v>0.26655122123641473</v>
      </c>
      <c r="S75" s="25">
        <f t="shared" si="172"/>
        <v>-0.29000492860187554</v>
      </c>
      <c r="T75" s="57">
        <f>T76+T95</f>
        <v>608969</v>
      </c>
      <c r="U75" s="42">
        <f>U76+U95</f>
        <v>555055.20333333337</v>
      </c>
      <c r="V75" s="42">
        <f>V76+V95</f>
        <v>563024</v>
      </c>
      <c r="W75" s="146">
        <f t="shared" si="173"/>
        <v>1.4356764189959348E-2</v>
      </c>
      <c r="X75" s="82">
        <f t="shared" si="174"/>
        <v>-7.5447190251063723E-2</v>
      </c>
      <c r="Y75" s="24">
        <f>Y76+Y95</f>
        <v>618968</v>
      </c>
      <c r="Z75" s="42">
        <f>Z76+Z95</f>
        <v>555055.20333333337</v>
      </c>
      <c r="AA75" s="42">
        <f>AA76+AA95</f>
        <v>0</v>
      </c>
      <c r="AB75" s="146">
        <f t="shared" si="175"/>
        <v>-1</v>
      </c>
      <c r="AC75" s="25">
        <f t="shared" si="176"/>
        <v>-1</v>
      </c>
      <c r="AD75" s="57">
        <f>AD76+AD95</f>
        <v>703696</v>
      </c>
      <c r="AE75" s="42">
        <f>AE76+AE95</f>
        <v>0</v>
      </c>
      <c r="AF75" s="42">
        <f>AF76+AF95</f>
        <v>0</v>
      </c>
      <c r="AG75" s="146" t="e">
        <f t="shared" si="177"/>
        <v>#DIV/0!</v>
      </c>
      <c r="AH75" s="82">
        <f t="shared" si="178"/>
        <v>-1</v>
      </c>
      <c r="AI75" s="24">
        <f>AI76+AI95</f>
        <v>739260</v>
      </c>
      <c r="AJ75" s="42">
        <f>AJ76+AJ95</f>
        <v>0</v>
      </c>
      <c r="AK75" s="42">
        <f>AK76+AK95</f>
        <v>0</v>
      </c>
      <c r="AL75" s="146" t="e">
        <f t="shared" si="179"/>
        <v>#DIV/0!</v>
      </c>
      <c r="AM75" s="25">
        <f t="shared" si="180"/>
        <v>-1</v>
      </c>
      <c r="AN75" s="57">
        <f>AN76+AN95</f>
        <v>900864</v>
      </c>
      <c r="AO75" s="42">
        <f>AO76+AO95</f>
        <v>0</v>
      </c>
      <c r="AP75" s="42">
        <f>AP76+AP95</f>
        <v>0</v>
      </c>
      <c r="AQ75" s="146" t="e">
        <f t="shared" si="181"/>
        <v>#DIV/0!</v>
      </c>
      <c r="AR75" s="82">
        <f t="shared" si="182"/>
        <v>-1</v>
      </c>
      <c r="AS75" s="24">
        <f>AS76+AS95</f>
        <v>564752</v>
      </c>
      <c r="AT75" s="42">
        <f>AT76+AT95</f>
        <v>0</v>
      </c>
      <c r="AU75" s="42">
        <f>AU76+AU95</f>
        <v>0</v>
      </c>
      <c r="AV75" s="146" t="e">
        <f t="shared" si="183"/>
        <v>#DIV/0!</v>
      </c>
      <c r="AW75" s="25">
        <f t="shared" si="184"/>
        <v>-1</v>
      </c>
      <c r="AX75" s="57">
        <f>AX76+AX95</f>
        <v>513105</v>
      </c>
      <c r="AY75" s="42">
        <f>AY76+AY95</f>
        <v>0</v>
      </c>
      <c r="AZ75" s="42">
        <f>AZ76+AZ95</f>
        <v>0</v>
      </c>
      <c r="BA75" s="146" t="e">
        <f t="shared" si="185"/>
        <v>#DIV/0!</v>
      </c>
      <c r="BB75" s="82">
        <f t="shared" si="186"/>
        <v>-1</v>
      </c>
      <c r="BC75" s="24">
        <f>BC76+BC95</f>
        <v>616909</v>
      </c>
      <c r="BD75" s="42">
        <f>BD76+BD95</f>
        <v>0</v>
      </c>
      <c r="BE75" s="42">
        <f>BE76+BE95</f>
        <v>0</v>
      </c>
      <c r="BF75" s="146" t="e">
        <f t="shared" si="187"/>
        <v>#DIV/0!</v>
      </c>
      <c r="BG75" s="25">
        <f t="shared" si="188"/>
        <v>-1</v>
      </c>
      <c r="BH75" s="57">
        <f>BH76+BH95</f>
        <v>911497</v>
      </c>
      <c r="BI75" s="42">
        <f>BI76+BI95</f>
        <v>0</v>
      </c>
      <c r="BJ75" s="42">
        <f>BJ76+BJ95</f>
        <v>0</v>
      </c>
      <c r="BK75" s="146" t="e">
        <f t="shared" si="189"/>
        <v>#DIV/0!</v>
      </c>
      <c r="BL75" s="82">
        <f t="shared" si="190"/>
        <v>-1</v>
      </c>
      <c r="BM75" s="24">
        <f>BM76+BM95</f>
        <v>775102</v>
      </c>
      <c r="BN75" s="42">
        <f>BN76+BN95</f>
        <v>0</v>
      </c>
      <c r="BO75" s="42">
        <f>BO76+BO95</f>
        <v>0</v>
      </c>
      <c r="BP75" s="146" t="e">
        <f t="shared" si="191"/>
        <v>#DIV/0!</v>
      </c>
      <c r="BQ75" s="25">
        <f t="shared" si="192"/>
        <v>-1</v>
      </c>
      <c r="BR75" s="57">
        <f>BR76+BR95</f>
        <v>715478</v>
      </c>
      <c r="BS75" s="42">
        <f>BS76+BS95</f>
        <v>0</v>
      </c>
      <c r="BT75" s="42">
        <f>BT76+BT95</f>
        <v>0</v>
      </c>
      <c r="BU75" s="146" t="e">
        <f t="shared" si="193"/>
        <v>#DIV/0!</v>
      </c>
      <c r="BV75" s="25">
        <f t="shared" si="194"/>
        <v>-1</v>
      </c>
    </row>
    <row r="76" spans="2:74" ht="17.25" thickBot="1" x14ac:dyDescent="0.35">
      <c r="B76" s="300" t="s">
        <v>16</v>
      </c>
      <c r="C76" s="300" t="s">
        <v>17</v>
      </c>
      <c r="D76" s="303" t="s">
        <v>15</v>
      </c>
      <c r="E76" s="304"/>
      <c r="F76" s="52">
        <v>305936</v>
      </c>
      <c r="G76" s="38">
        <v>305937</v>
      </c>
      <c r="H76" s="38">
        <f>ROUND(H77/24,0)</f>
        <v>230729</v>
      </c>
      <c r="I76" s="77">
        <f t="shared" si="168"/>
        <v>-0.24582838950502883</v>
      </c>
      <c r="J76" s="8">
        <f>BR76</f>
        <v>374909</v>
      </c>
      <c r="K76" s="8">
        <f t="shared" ref="K76:L76" si="195">BS76</f>
        <v>0</v>
      </c>
      <c r="L76" s="8">
        <f t="shared" si="195"/>
        <v>0</v>
      </c>
      <c r="M76" s="115" t="e">
        <f t="shared" si="169"/>
        <v>#DIV/0!</v>
      </c>
      <c r="N76" s="10">
        <f t="shared" si="170"/>
        <v>-1</v>
      </c>
      <c r="O76" s="8">
        <f>'2023년 실적'!P76</f>
        <v>269436</v>
      </c>
      <c r="P76" s="38">
        <f>ROUND(P78/2,2)</f>
        <v>221500</v>
      </c>
      <c r="Q76" s="38">
        <v>309841</v>
      </c>
      <c r="R76" s="115">
        <f t="shared" si="171"/>
        <v>0.39883069977426633</v>
      </c>
      <c r="S76" s="10">
        <f t="shared" si="172"/>
        <v>0.14996140085215037</v>
      </c>
      <c r="T76" s="52">
        <f>'2023년 실적'!U76</f>
        <v>252179</v>
      </c>
      <c r="U76" s="38">
        <v>221500</v>
      </c>
      <c r="V76" s="38">
        <v>284901</v>
      </c>
      <c r="W76" s="115">
        <f t="shared" si="173"/>
        <v>0.28623476297968398</v>
      </c>
      <c r="X76" s="77">
        <f t="shared" si="174"/>
        <v>0.12975703765975766</v>
      </c>
      <c r="Y76" s="8">
        <f>'2023년 실적'!Z76</f>
        <v>275989</v>
      </c>
      <c r="Z76" s="38">
        <f>Z77/2</f>
        <v>221500</v>
      </c>
      <c r="AA76" s="38"/>
      <c r="AB76" s="115">
        <f t="shared" si="175"/>
        <v>-1</v>
      </c>
      <c r="AC76" s="10">
        <f t="shared" si="176"/>
        <v>-1</v>
      </c>
      <c r="AD76" s="52">
        <f>'2023년 실적'!AE76</f>
        <v>394563</v>
      </c>
      <c r="AE76" s="38"/>
      <c r="AF76" s="38"/>
      <c r="AG76" s="115" t="e">
        <f t="shared" si="177"/>
        <v>#DIV/0!</v>
      </c>
      <c r="AH76" s="77">
        <f t="shared" si="178"/>
        <v>-1</v>
      </c>
      <c r="AI76" s="8">
        <f>'2023년 실적'!AJ76</f>
        <v>389318</v>
      </c>
      <c r="AJ76" s="38"/>
      <c r="AK76" s="38"/>
      <c r="AL76" s="115" t="e">
        <f t="shared" si="179"/>
        <v>#DIV/0!</v>
      </c>
      <c r="AM76" s="10">
        <f t="shared" si="180"/>
        <v>-1</v>
      </c>
      <c r="AN76" s="52">
        <f>'2023년 실적'!AO76</f>
        <v>269436</v>
      </c>
      <c r="AO76" s="38"/>
      <c r="AP76" s="38"/>
      <c r="AQ76" s="115" t="e">
        <f t="shared" si="181"/>
        <v>#DIV/0!</v>
      </c>
      <c r="AR76" s="77">
        <f t="shared" si="182"/>
        <v>-1</v>
      </c>
      <c r="AS76" s="8">
        <f>'2023년 실적'!AT76</f>
        <v>312564</v>
      </c>
      <c r="AT76" s="38"/>
      <c r="AU76" s="38"/>
      <c r="AV76" s="115" t="e">
        <f t="shared" si="183"/>
        <v>#DIV/0!</v>
      </c>
      <c r="AW76" s="10">
        <f t="shared" si="184"/>
        <v>-1</v>
      </c>
      <c r="AX76" s="52">
        <f>'2023년 실적'!AY76</f>
        <v>280926</v>
      </c>
      <c r="AY76" s="38"/>
      <c r="AZ76" s="38"/>
      <c r="BA76" s="115" t="e">
        <f t="shared" si="185"/>
        <v>#DIV/0!</v>
      </c>
      <c r="BB76" s="77">
        <f t="shared" si="186"/>
        <v>-1</v>
      </c>
      <c r="BC76" s="8">
        <f>'2023년 실적'!BD76</f>
        <v>288915</v>
      </c>
      <c r="BD76" s="38"/>
      <c r="BE76" s="38"/>
      <c r="BF76" s="115" t="e">
        <f t="shared" si="187"/>
        <v>#DIV/0!</v>
      </c>
      <c r="BG76" s="10">
        <f t="shared" si="188"/>
        <v>-1</v>
      </c>
      <c r="BH76" s="52">
        <f>'2023년 실적'!BI76</f>
        <v>381965</v>
      </c>
      <c r="BI76" s="38"/>
      <c r="BJ76" s="38"/>
      <c r="BK76" s="115" t="e">
        <f t="shared" si="189"/>
        <v>#DIV/0!</v>
      </c>
      <c r="BL76" s="77">
        <f t="shared" si="190"/>
        <v>-1</v>
      </c>
      <c r="BM76" s="8">
        <f>'2023년 실적'!BN76</f>
        <v>327586</v>
      </c>
      <c r="BN76" s="38"/>
      <c r="BO76" s="38"/>
      <c r="BP76" s="115" t="e">
        <f t="shared" si="191"/>
        <v>#DIV/0!</v>
      </c>
      <c r="BQ76" s="10">
        <f t="shared" si="192"/>
        <v>-1</v>
      </c>
      <c r="BR76" s="52">
        <f>'2023년 실적'!BS76</f>
        <v>374909</v>
      </c>
      <c r="BS76" s="38"/>
      <c r="BT76" s="38"/>
      <c r="BU76" s="115" t="e">
        <f t="shared" si="193"/>
        <v>#DIV/0!</v>
      </c>
      <c r="BV76" s="10">
        <f t="shared" si="194"/>
        <v>-1</v>
      </c>
    </row>
    <row r="77" spans="2:74" ht="17.25" thickBot="1" x14ac:dyDescent="0.35">
      <c r="B77" s="301"/>
      <c r="C77" s="301"/>
      <c r="D77" s="305" t="s">
        <v>14</v>
      </c>
      <c r="E77" s="306"/>
      <c r="F77" s="164">
        <f>'2023년 실적'!J77</f>
        <v>5100000</v>
      </c>
      <c r="G77" s="165">
        <f>'2023년 실적'!K77</f>
        <v>4801353</v>
      </c>
      <c r="H77" s="165">
        <f>H78</f>
        <v>5537500</v>
      </c>
      <c r="I77" s="82">
        <f t="shared" si="168"/>
        <v>0.15332074104944993</v>
      </c>
      <c r="J77" s="131">
        <f>O77+T77+Y77+AD77+AI77+AN77+AS77+AX77+BC77+BH77+BM77+BR77</f>
        <v>4801353</v>
      </c>
      <c r="K77" s="132">
        <f t="shared" ref="K77" si="196">P77+U77+Z77+AE77+AJ77+AO77+AT77+AY77+BD77+BI77+BN77</f>
        <v>1329000</v>
      </c>
      <c r="L77" s="132">
        <f>Q77+V77+AA77+AF77+AK77+AP77+AU77+AZ77+BE77+BJ77+BO77</f>
        <v>619674</v>
      </c>
      <c r="M77" s="166">
        <f t="shared" si="169"/>
        <v>-0.53372911963882619</v>
      </c>
      <c r="N77" s="167">
        <f t="shared" si="170"/>
        <v>-0.87093762945569719</v>
      </c>
      <c r="O77" s="168">
        <f>'2023년 실적'!P77</f>
        <v>324323</v>
      </c>
      <c r="P77" s="165">
        <f>P78</f>
        <v>443000</v>
      </c>
      <c r="Q77" s="165">
        <v>297287</v>
      </c>
      <c r="R77" s="166">
        <f t="shared" si="171"/>
        <v>-0.32892325056433414</v>
      </c>
      <c r="S77" s="167">
        <f t="shared" si="172"/>
        <v>-8.3361340392139938E-2</v>
      </c>
      <c r="T77" s="57">
        <f>'2023년 실적'!U77</f>
        <v>320358</v>
      </c>
      <c r="U77" s="165">
        <f>U78</f>
        <v>443000</v>
      </c>
      <c r="V77" s="165">
        <v>322387</v>
      </c>
      <c r="W77" s="166">
        <f t="shared" si="173"/>
        <v>-0.27226410835214443</v>
      </c>
      <c r="X77" s="169">
        <f t="shared" si="174"/>
        <v>6.3335393528489714E-3</v>
      </c>
      <c r="Y77" s="24">
        <f>'2023년 실적'!Z77</f>
        <v>432930</v>
      </c>
      <c r="Z77" s="165">
        <f>Z78</f>
        <v>443000</v>
      </c>
      <c r="AA77" s="165"/>
      <c r="AB77" s="166">
        <f t="shared" si="175"/>
        <v>-1</v>
      </c>
      <c r="AC77" s="167">
        <f t="shared" si="176"/>
        <v>-1</v>
      </c>
      <c r="AD77" s="57">
        <f>'2023년 실적'!AE77</f>
        <v>472323</v>
      </c>
      <c r="AE77" s="165"/>
      <c r="AF77" s="165"/>
      <c r="AG77" s="166" t="e">
        <f t="shared" si="177"/>
        <v>#DIV/0!</v>
      </c>
      <c r="AH77" s="169">
        <f t="shared" si="178"/>
        <v>-1</v>
      </c>
      <c r="AI77" s="24">
        <f>'2023년 실적'!AJ77</f>
        <v>381307</v>
      </c>
      <c r="AJ77" s="165"/>
      <c r="AK77" s="165"/>
      <c r="AL77" s="166" t="e">
        <f t="shared" si="179"/>
        <v>#DIV/0!</v>
      </c>
      <c r="AM77" s="167">
        <f t="shared" si="180"/>
        <v>-1</v>
      </c>
      <c r="AN77" s="57">
        <f>'2023년 실적'!AO77</f>
        <v>280280</v>
      </c>
      <c r="AO77" s="165"/>
      <c r="AP77" s="165"/>
      <c r="AQ77" s="166" t="e">
        <f t="shared" si="181"/>
        <v>#DIV/0!</v>
      </c>
      <c r="AR77" s="169">
        <f t="shared" si="182"/>
        <v>-1</v>
      </c>
      <c r="AS77" s="24">
        <f>'2023년 실적'!AT77</f>
        <v>395242</v>
      </c>
      <c r="AT77" s="165"/>
      <c r="AU77" s="165"/>
      <c r="AV77" s="166" t="e">
        <f t="shared" si="183"/>
        <v>#DIV/0!</v>
      </c>
      <c r="AW77" s="167">
        <f t="shared" si="184"/>
        <v>-1</v>
      </c>
      <c r="AX77" s="57">
        <f>'2023년 실적'!AY77</f>
        <v>355318</v>
      </c>
      <c r="AY77" s="165"/>
      <c r="AZ77" s="165"/>
      <c r="BA77" s="166" t="e">
        <f t="shared" si="185"/>
        <v>#DIV/0!</v>
      </c>
      <c r="BB77" s="169">
        <f t="shared" si="186"/>
        <v>-1</v>
      </c>
      <c r="BC77" s="24">
        <f>'2023년 실적'!BD77</f>
        <v>370856</v>
      </c>
      <c r="BD77" s="165"/>
      <c r="BE77" s="165"/>
      <c r="BF77" s="166" t="e">
        <f t="shared" si="187"/>
        <v>#DIV/0!</v>
      </c>
      <c r="BG77" s="167">
        <f t="shared" si="188"/>
        <v>-1</v>
      </c>
      <c r="BH77" s="57">
        <f>'2023년 실적'!BI77</f>
        <v>611306</v>
      </c>
      <c r="BI77" s="165"/>
      <c r="BJ77" s="165"/>
      <c r="BK77" s="166" t="e">
        <f t="shared" si="189"/>
        <v>#DIV/0!</v>
      </c>
      <c r="BL77" s="169">
        <f t="shared" si="190"/>
        <v>-1</v>
      </c>
      <c r="BM77" s="24">
        <f>'2023년 실적'!BN77</f>
        <v>423746</v>
      </c>
      <c r="BN77" s="165"/>
      <c r="BO77" s="165"/>
      <c r="BP77" s="166" t="e">
        <f t="shared" si="191"/>
        <v>#DIV/0!</v>
      </c>
      <c r="BQ77" s="167">
        <f t="shared" si="192"/>
        <v>-1</v>
      </c>
      <c r="BR77" s="57">
        <f>'2023년 실적'!BS77</f>
        <v>433364</v>
      </c>
      <c r="BS77" s="165"/>
      <c r="BT77" s="165"/>
      <c r="BU77" s="166" t="e">
        <f t="shared" si="193"/>
        <v>#DIV/0!</v>
      </c>
      <c r="BV77" s="167">
        <f t="shared" si="194"/>
        <v>-1</v>
      </c>
    </row>
    <row r="78" spans="2:74" ht="17.25" thickBot="1" x14ac:dyDescent="0.35">
      <c r="B78" s="301"/>
      <c r="C78" s="301"/>
      <c r="D78" s="307" t="s">
        <v>18</v>
      </c>
      <c r="E78" s="308"/>
      <c r="F78" s="170">
        <f>F79+F94</f>
        <v>4648868</v>
      </c>
      <c r="G78" s="171">
        <f>G79+G94</f>
        <v>4859570</v>
      </c>
      <c r="H78" s="171">
        <f>H79+H94</f>
        <v>5537500</v>
      </c>
      <c r="I78" s="172">
        <f t="shared" si="168"/>
        <v>0.13950411250378125</v>
      </c>
      <c r="J78" s="173">
        <f>J79+J95</f>
        <v>2725918</v>
      </c>
      <c r="K78" s="173">
        <f t="shared" ref="K78:L78" si="197">K79+K95</f>
        <v>2618893</v>
      </c>
      <c r="L78" s="173">
        <f t="shared" si="197"/>
        <v>209741</v>
      </c>
      <c r="M78" s="174">
        <f t="shared" si="169"/>
        <v>-0.91991234464332827</v>
      </c>
      <c r="N78" s="175">
        <f t="shared" si="170"/>
        <v>-0.92305674638782242</v>
      </c>
      <c r="O78" s="173">
        <f>O79+O94</f>
        <v>404664</v>
      </c>
      <c r="P78" s="171">
        <f>P79+P94</f>
        <v>443000</v>
      </c>
      <c r="Q78" s="171">
        <f>Q79+Q94</f>
        <v>274687</v>
      </c>
      <c r="R78" s="174">
        <f t="shared" si="171"/>
        <v>-0.37993905191873589</v>
      </c>
      <c r="S78" s="175">
        <f t="shared" si="172"/>
        <v>-0.32119733902694581</v>
      </c>
      <c r="T78" s="170">
        <f>T79+T94</f>
        <v>393870</v>
      </c>
      <c r="U78" s="171">
        <f>U79+U94</f>
        <v>443000</v>
      </c>
      <c r="V78" s="171">
        <f>V79+V94</f>
        <v>268242</v>
      </c>
      <c r="W78" s="174">
        <f t="shared" si="173"/>
        <v>-0.39448758465011291</v>
      </c>
      <c r="X78" s="172">
        <f t="shared" si="174"/>
        <v>-0.31895803183791605</v>
      </c>
      <c r="Y78" s="173">
        <f>Y79+Y94</f>
        <v>406749</v>
      </c>
      <c r="Z78" s="171">
        <f>Z79+Z94</f>
        <v>443000</v>
      </c>
      <c r="AA78" s="171">
        <f>AA79+AA94</f>
        <v>0</v>
      </c>
      <c r="AB78" s="174">
        <f t="shared" si="175"/>
        <v>-1</v>
      </c>
      <c r="AC78" s="175">
        <f t="shared" si="176"/>
        <v>-1</v>
      </c>
      <c r="AD78" s="170">
        <f>AD79+AD94</f>
        <v>351763</v>
      </c>
      <c r="AE78" s="171">
        <f>AE79+AE94</f>
        <v>443000</v>
      </c>
      <c r="AF78" s="171">
        <f>AF79+AF94</f>
        <v>0</v>
      </c>
      <c r="AG78" s="174">
        <f t="shared" si="177"/>
        <v>-1</v>
      </c>
      <c r="AH78" s="172">
        <f t="shared" si="178"/>
        <v>-1</v>
      </c>
      <c r="AI78" s="173">
        <f>AI79+AI94</f>
        <v>387063</v>
      </c>
      <c r="AJ78" s="171">
        <f>AJ79+AJ94</f>
        <v>428139</v>
      </c>
      <c r="AK78" s="171">
        <f>AK79+AK94</f>
        <v>0</v>
      </c>
      <c r="AL78" s="174">
        <f t="shared" si="179"/>
        <v>-1</v>
      </c>
      <c r="AM78" s="175">
        <f t="shared" si="180"/>
        <v>-1</v>
      </c>
      <c r="AN78" s="170">
        <f>AN79+AN94</f>
        <v>365731</v>
      </c>
      <c r="AO78" s="171">
        <f>AO79+AO94</f>
        <v>427178</v>
      </c>
      <c r="AP78" s="171">
        <f>AP79+AP94</f>
        <v>0</v>
      </c>
      <c r="AQ78" s="174">
        <f t="shared" si="181"/>
        <v>-1</v>
      </c>
      <c r="AR78" s="172">
        <f t="shared" si="182"/>
        <v>-1</v>
      </c>
      <c r="AS78" s="173">
        <f>AS79+AS94</f>
        <v>384313</v>
      </c>
      <c r="AT78" s="171">
        <f>AT79+AT94</f>
        <v>421568</v>
      </c>
      <c r="AU78" s="171">
        <f>AU79+AU94</f>
        <v>0</v>
      </c>
      <c r="AV78" s="174">
        <f t="shared" si="183"/>
        <v>-1</v>
      </c>
      <c r="AW78" s="175">
        <f t="shared" si="184"/>
        <v>-1</v>
      </c>
      <c r="AX78" s="170">
        <f>AX79+AX94</f>
        <v>385877</v>
      </c>
      <c r="AY78" s="171">
        <f>AY79+AY94</f>
        <v>452364</v>
      </c>
      <c r="AZ78" s="171">
        <f>AZ79+AZ94</f>
        <v>0</v>
      </c>
      <c r="BA78" s="174">
        <f t="shared" si="185"/>
        <v>-1</v>
      </c>
      <c r="BB78" s="172">
        <f t="shared" si="186"/>
        <v>-1</v>
      </c>
      <c r="BC78" s="173">
        <f>BC79+BC94</f>
        <v>367503</v>
      </c>
      <c r="BD78" s="171">
        <f>BD79+BD94</f>
        <v>429714</v>
      </c>
      <c r="BE78" s="171">
        <f>BE79+BE94</f>
        <v>0</v>
      </c>
      <c r="BF78" s="174">
        <f t="shared" si="187"/>
        <v>-1</v>
      </c>
      <c r="BG78" s="175">
        <f t="shared" si="188"/>
        <v>-1</v>
      </c>
      <c r="BH78" s="170">
        <f>BH79+BH94</f>
        <v>518324</v>
      </c>
      <c r="BI78" s="171">
        <f>BI79+BI94</f>
        <v>553750</v>
      </c>
      <c r="BJ78" s="171">
        <f>BJ79+BJ94</f>
        <v>0</v>
      </c>
      <c r="BK78" s="174">
        <f t="shared" si="189"/>
        <v>-1</v>
      </c>
      <c r="BL78" s="172">
        <f t="shared" si="190"/>
        <v>-1</v>
      </c>
      <c r="BM78" s="173">
        <f>BM79+BM94</f>
        <v>478461</v>
      </c>
      <c r="BN78" s="171">
        <f>BN79+BN94</f>
        <v>543143</v>
      </c>
      <c r="BO78" s="171">
        <f>BO79+BO94</f>
        <v>0</v>
      </c>
      <c r="BP78" s="174">
        <f t="shared" si="191"/>
        <v>-1</v>
      </c>
      <c r="BQ78" s="175">
        <f t="shared" si="192"/>
        <v>-1</v>
      </c>
      <c r="BR78" s="170">
        <f>BR79+BR94</f>
        <v>415180</v>
      </c>
      <c r="BS78" s="171">
        <f>BS79+BS94</f>
        <v>487944</v>
      </c>
      <c r="BT78" s="171">
        <f>BT79+BT94</f>
        <v>0</v>
      </c>
      <c r="BU78" s="174">
        <f t="shared" si="193"/>
        <v>-1</v>
      </c>
      <c r="BV78" s="175">
        <f t="shared" si="194"/>
        <v>-1</v>
      </c>
    </row>
    <row r="79" spans="2:74" ht="17.25" thickBot="1" x14ac:dyDescent="0.35">
      <c r="B79" s="301"/>
      <c r="C79" s="301"/>
      <c r="D79" s="309" t="s">
        <v>19</v>
      </c>
      <c r="E79" s="310"/>
      <c r="F79" s="185">
        <f>F83+F88+F91+F92+F93</f>
        <v>3885312</v>
      </c>
      <c r="G79" s="186">
        <f>G83+G88+G91+G92+G93</f>
        <v>4024174</v>
      </c>
      <c r="H79" s="186">
        <f>H83+H88+H91+H92+H93</f>
        <v>4647500</v>
      </c>
      <c r="I79" s="187">
        <f t="shared" si="168"/>
        <v>0.15489538971227379</v>
      </c>
      <c r="J79" s="188">
        <f>J84+J89+J92+J93+J94</f>
        <v>2385349</v>
      </c>
      <c r="K79" s="188">
        <f t="shared" ref="K79:L79" si="198">K84+K89+K92+K93+K94</f>
        <v>2618893</v>
      </c>
      <c r="L79" s="188">
        <f t="shared" si="198"/>
        <v>209741</v>
      </c>
      <c r="M79" s="189">
        <f t="shared" si="169"/>
        <v>-0.91991234464332827</v>
      </c>
      <c r="N79" s="190">
        <f t="shared" si="170"/>
        <v>-0.91207114766015374</v>
      </c>
      <c r="O79" s="188">
        <f>O83+O88+O91+O92+O93</f>
        <v>354600</v>
      </c>
      <c r="P79" s="186">
        <f>P83+P88+P91+P92+P93</f>
        <v>371800</v>
      </c>
      <c r="Q79" s="186">
        <f>Q83+Q88+Q91+Q92+Q93</f>
        <v>274687</v>
      </c>
      <c r="R79" s="189">
        <f t="shared" si="171"/>
        <v>-0.26119688004303387</v>
      </c>
      <c r="S79" s="190">
        <f t="shared" si="172"/>
        <v>-0.22536097010716305</v>
      </c>
      <c r="T79" s="185">
        <f>T83+T88+T91+T92+T93</f>
        <v>319786</v>
      </c>
      <c r="U79" s="186">
        <f>U83+U88+U91+U92+U93</f>
        <v>371800</v>
      </c>
      <c r="V79" s="186">
        <f>V83+V88+V91+V92+V93</f>
        <v>268242</v>
      </c>
      <c r="W79" s="189">
        <f t="shared" si="173"/>
        <v>-0.27853146853146848</v>
      </c>
      <c r="X79" s="187">
        <f t="shared" si="174"/>
        <v>-0.16118279099147559</v>
      </c>
      <c r="Y79" s="188">
        <f>Y83+Y88+Y91+Y92+Y93</f>
        <v>338677</v>
      </c>
      <c r="Z79" s="186">
        <f>Z83+Z88+Z91+Z92+Z93</f>
        <v>371800</v>
      </c>
      <c r="AA79" s="186">
        <f>AA83+AA88+AA91+AA92+AA93</f>
        <v>0</v>
      </c>
      <c r="AB79" s="189">
        <f t="shared" si="175"/>
        <v>-1</v>
      </c>
      <c r="AC79" s="190">
        <f t="shared" si="176"/>
        <v>-1</v>
      </c>
      <c r="AD79" s="185">
        <f>AD83+AD88+AD91+AD92+AD93</f>
        <v>267228</v>
      </c>
      <c r="AE79" s="186">
        <f>AE83+AE88+AE91+AE92+AE93</f>
        <v>371800</v>
      </c>
      <c r="AF79" s="186">
        <f>AF83+AF88+AF91+AF92+AF93</f>
        <v>0</v>
      </c>
      <c r="AG79" s="189">
        <f t="shared" si="177"/>
        <v>-1</v>
      </c>
      <c r="AH79" s="187">
        <f t="shared" si="178"/>
        <v>-1</v>
      </c>
      <c r="AI79" s="188">
        <f>AI83+AI88+AI91+AI92+AI93</f>
        <v>312554</v>
      </c>
      <c r="AJ79" s="186">
        <f>AJ83+AJ88+AJ91+AJ92+AJ93</f>
        <v>359327</v>
      </c>
      <c r="AK79" s="186">
        <f>AK83+AK88+AK91+AK92+AK93</f>
        <v>0</v>
      </c>
      <c r="AL79" s="189">
        <f t="shared" si="179"/>
        <v>-1</v>
      </c>
      <c r="AM79" s="190">
        <f t="shared" si="180"/>
        <v>-1</v>
      </c>
      <c r="AN79" s="185">
        <f>AN83+AN88+AN91+AN92+AN93</f>
        <v>311518</v>
      </c>
      <c r="AO79" s="186">
        <f>AO83+AO88+AO91+AO92+AO93</f>
        <v>358523</v>
      </c>
      <c r="AP79" s="186">
        <f>AP83+AP88+AP91+AP92+AP93</f>
        <v>0</v>
      </c>
      <c r="AQ79" s="189">
        <f t="shared" si="181"/>
        <v>-1</v>
      </c>
      <c r="AR79" s="187">
        <f t="shared" si="182"/>
        <v>-1</v>
      </c>
      <c r="AS79" s="188">
        <f>AS83+AS88+AS91+AS92+AS93</f>
        <v>311734</v>
      </c>
      <c r="AT79" s="186">
        <f>AT83+AT88+AT91+AT92+AT93</f>
        <v>353813</v>
      </c>
      <c r="AU79" s="186">
        <f>AU83+AU88+AU91+AU92+AU93</f>
        <v>0</v>
      </c>
      <c r="AV79" s="189">
        <f t="shared" si="183"/>
        <v>-1</v>
      </c>
      <c r="AW79" s="190">
        <f t="shared" si="184"/>
        <v>-1</v>
      </c>
      <c r="AX79" s="185">
        <f>AX83+AX88+AX91+AX92+AX93</f>
        <v>319124</v>
      </c>
      <c r="AY79" s="186">
        <f>AY83+AY88+AY91+AY92+AY93</f>
        <v>379659</v>
      </c>
      <c r="AZ79" s="186">
        <f>AZ83+AZ88+AZ91+AZ92+AZ93</f>
        <v>0</v>
      </c>
      <c r="BA79" s="189">
        <f t="shared" si="185"/>
        <v>-1</v>
      </c>
      <c r="BB79" s="187">
        <f t="shared" si="186"/>
        <v>-1</v>
      </c>
      <c r="BC79" s="188">
        <f>BC83+BC88+BC91+BC92+BC93</f>
        <v>309742</v>
      </c>
      <c r="BD79" s="186">
        <f>BD83+BD88+BD91+BD92+BD93</f>
        <v>360649</v>
      </c>
      <c r="BE79" s="186">
        <f>BE83+BE88+BE91+BE92+BE93</f>
        <v>0</v>
      </c>
      <c r="BF79" s="189">
        <f t="shared" si="187"/>
        <v>-1</v>
      </c>
      <c r="BG79" s="190">
        <f t="shared" si="188"/>
        <v>-1</v>
      </c>
      <c r="BH79" s="185">
        <f>BH83+BH88+BH91+BH92+BH93</f>
        <v>438468</v>
      </c>
      <c r="BI79" s="186">
        <f>BI83+BI88+BI91+BI92+BI93</f>
        <v>464750</v>
      </c>
      <c r="BJ79" s="186">
        <f>BJ83+BJ88+BJ91+BJ92+BJ93</f>
        <v>0</v>
      </c>
      <c r="BK79" s="189">
        <f t="shared" si="189"/>
        <v>-1</v>
      </c>
      <c r="BL79" s="187">
        <f t="shared" si="190"/>
        <v>-1</v>
      </c>
      <c r="BM79" s="188">
        <f>BM83+BM88+BM91+BM92+BM93</f>
        <v>392437</v>
      </c>
      <c r="BN79" s="186">
        <f>BN83+BN88+BN91+BN92+BN93</f>
        <v>455848</v>
      </c>
      <c r="BO79" s="186">
        <f>BO83+BO88+BO91+BO92+BO93</f>
        <v>0</v>
      </c>
      <c r="BP79" s="189">
        <f t="shared" si="191"/>
        <v>-1</v>
      </c>
      <c r="BQ79" s="190">
        <f t="shared" si="192"/>
        <v>-1</v>
      </c>
      <c r="BR79" s="185">
        <f>BR83+BR88+BR91+BR92+BR93</f>
        <v>350626</v>
      </c>
      <c r="BS79" s="186">
        <f>BS83+BS88+BS91+BS92+BS93</f>
        <v>409520</v>
      </c>
      <c r="BT79" s="186">
        <f>BT83+BT88+BT91+BT92+BT93</f>
        <v>0</v>
      </c>
      <c r="BU79" s="189">
        <f t="shared" si="193"/>
        <v>-1</v>
      </c>
      <c r="BV79" s="190">
        <f t="shared" si="194"/>
        <v>-1</v>
      </c>
    </row>
    <row r="80" spans="2:74" x14ac:dyDescent="0.3">
      <c r="B80" s="301"/>
      <c r="C80" s="301"/>
      <c r="D80" s="311" t="s">
        <v>52</v>
      </c>
      <c r="E80" s="192" t="s">
        <v>20</v>
      </c>
      <c r="F80" s="52">
        <f>'2023년 실적'!F80</f>
        <v>274504</v>
      </c>
      <c r="G80" s="38">
        <f>'2023년 실적'!G80</f>
        <v>321951</v>
      </c>
      <c r="H80" s="38">
        <v>355000</v>
      </c>
      <c r="I80" s="77">
        <f t="shared" si="168"/>
        <v>0.10265226695987906</v>
      </c>
      <c r="J80" s="131">
        <f t="shared" ref="J80:L82" si="199">O80+T80+Y80+AD80+AI80+AN80+AS80+AX80+BC80+BH80+BM80+BR80</f>
        <v>321951</v>
      </c>
      <c r="K80" s="132">
        <f t="shared" si="199"/>
        <v>353607</v>
      </c>
      <c r="L80" s="132">
        <f t="shared" si="199"/>
        <v>48932</v>
      </c>
      <c r="M80" s="115">
        <f t="shared" si="169"/>
        <v>-0.86162038647424966</v>
      </c>
      <c r="N80" s="10">
        <f t="shared" si="170"/>
        <v>-0.84801413879751886</v>
      </c>
      <c r="O80" s="8">
        <f>'2023년 실적'!P80</f>
        <v>22882</v>
      </c>
      <c r="P80" s="38">
        <v>28400</v>
      </c>
      <c r="Q80" s="38">
        <v>25459</v>
      </c>
      <c r="R80" s="115">
        <f t="shared" si="171"/>
        <v>-0.10355633802816899</v>
      </c>
      <c r="S80" s="10">
        <f t="shared" si="172"/>
        <v>0.11262127436412905</v>
      </c>
      <c r="T80" s="52">
        <f>'2023년 실적'!U80</f>
        <v>25581</v>
      </c>
      <c r="U80" s="38">
        <v>28400</v>
      </c>
      <c r="V80" s="38">
        <v>23473</v>
      </c>
      <c r="W80" s="115">
        <f t="shared" si="173"/>
        <v>-0.17348591549295778</v>
      </c>
      <c r="X80" s="77">
        <f t="shared" si="174"/>
        <v>-8.2404909894062017E-2</v>
      </c>
      <c r="Y80" s="8">
        <f>'2023년 실적'!Z80</f>
        <v>21966</v>
      </c>
      <c r="Z80" s="38">
        <v>28400</v>
      </c>
      <c r="AA80" s="38"/>
      <c r="AB80" s="115">
        <f t="shared" si="175"/>
        <v>-1</v>
      </c>
      <c r="AC80" s="10">
        <f t="shared" si="176"/>
        <v>-1</v>
      </c>
      <c r="AD80" s="52">
        <f>'2023년 실적'!AE80</f>
        <v>23867</v>
      </c>
      <c r="AE80" s="38">
        <v>28400</v>
      </c>
      <c r="AF80" s="38"/>
      <c r="AG80" s="115">
        <f t="shared" si="177"/>
        <v>-1</v>
      </c>
      <c r="AH80" s="77">
        <f t="shared" si="178"/>
        <v>-1</v>
      </c>
      <c r="AI80" s="8">
        <f>'2023년 실적'!AJ80</f>
        <v>26277</v>
      </c>
      <c r="AJ80" s="38">
        <v>27447</v>
      </c>
      <c r="AK80" s="38"/>
      <c r="AL80" s="115">
        <f t="shared" si="179"/>
        <v>-1</v>
      </c>
      <c r="AM80" s="10">
        <f t="shared" si="180"/>
        <v>-1</v>
      </c>
      <c r="AN80" s="52">
        <f>'2023년 실적'!AO80</f>
        <v>28344</v>
      </c>
      <c r="AO80" s="38">
        <v>27385</v>
      </c>
      <c r="AP80" s="38"/>
      <c r="AQ80" s="115">
        <f t="shared" si="181"/>
        <v>-1</v>
      </c>
      <c r="AR80" s="77">
        <f t="shared" si="182"/>
        <v>-1</v>
      </c>
      <c r="AS80" s="8">
        <f>'2023년 실적'!AT80</f>
        <v>24918</v>
      </c>
      <c r="AT80" s="38">
        <v>27026</v>
      </c>
      <c r="AU80" s="38"/>
      <c r="AV80" s="115">
        <f t="shared" si="183"/>
        <v>-1</v>
      </c>
      <c r="AW80" s="10">
        <f t="shared" si="184"/>
        <v>-1</v>
      </c>
      <c r="AX80" s="52">
        <f>'2023년 실적'!AY80</f>
        <v>24874</v>
      </c>
      <c r="AY80" s="38">
        <v>29000</v>
      </c>
      <c r="AZ80" s="38"/>
      <c r="BA80" s="115">
        <f t="shared" si="185"/>
        <v>-1</v>
      </c>
      <c r="BB80" s="77">
        <f t="shared" si="186"/>
        <v>-1</v>
      </c>
      <c r="BC80" s="8">
        <f>'2023년 실적'!BD80</f>
        <v>27144</v>
      </c>
      <c r="BD80" s="38">
        <v>27548</v>
      </c>
      <c r="BE80" s="38"/>
      <c r="BF80" s="115">
        <f t="shared" si="187"/>
        <v>-1</v>
      </c>
      <c r="BG80" s="10">
        <f t="shared" si="188"/>
        <v>-1</v>
      </c>
      <c r="BH80" s="52">
        <f>'2023년 실적'!BI80</f>
        <v>30214</v>
      </c>
      <c r="BI80" s="38">
        <v>35500</v>
      </c>
      <c r="BJ80" s="38"/>
      <c r="BK80" s="115">
        <f t="shared" si="189"/>
        <v>-1</v>
      </c>
      <c r="BL80" s="77">
        <f t="shared" si="190"/>
        <v>-1</v>
      </c>
      <c r="BM80" s="8">
        <f>'2023년 실적'!BN80</f>
        <v>34230</v>
      </c>
      <c r="BN80" s="38">
        <v>34820</v>
      </c>
      <c r="BO80" s="38"/>
      <c r="BP80" s="115">
        <f t="shared" si="191"/>
        <v>-1</v>
      </c>
      <c r="BQ80" s="10">
        <f t="shared" si="192"/>
        <v>-1</v>
      </c>
      <c r="BR80" s="52">
        <f>'2023년 실적'!BS80</f>
        <v>31654</v>
      </c>
      <c r="BS80" s="38">
        <v>31281</v>
      </c>
      <c r="BT80" s="38"/>
      <c r="BU80" s="115">
        <f t="shared" si="193"/>
        <v>-1</v>
      </c>
      <c r="BV80" s="10">
        <f t="shared" si="194"/>
        <v>-1</v>
      </c>
    </row>
    <row r="81" spans="2:74" x14ac:dyDescent="0.3">
      <c r="B81" s="301"/>
      <c r="C81" s="301"/>
      <c r="D81" s="312"/>
      <c r="E81" s="67" t="s">
        <v>21</v>
      </c>
      <c r="F81" s="45">
        <f>'2023년 실적'!F81</f>
        <v>394629</v>
      </c>
      <c r="G81" s="39">
        <f>'2023년 실적'!G81</f>
        <v>419768</v>
      </c>
      <c r="H81" s="39">
        <v>574000</v>
      </c>
      <c r="I81" s="33">
        <f t="shared" si="168"/>
        <v>0.36742200453583895</v>
      </c>
      <c r="J81" s="107">
        <f t="shared" si="199"/>
        <v>419768</v>
      </c>
      <c r="K81" s="87">
        <f t="shared" si="199"/>
        <v>571751</v>
      </c>
      <c r="L81" s="87">
        <f t="shared" si="199"/>
        <v>46154</v>
      </c>
      <c r="M81" s="88">
        <f t="shared" si="169"/>
        <v>-0.91927604848963973</v>
      </c>
      <c r="N81" s="15">
        <f t="shared" si="170"/>
        <v>-0.89004878885479599</v>
      </c>
      <c r="O81" s="13">
        <f>'2023년 실적'!P81</f>
        <v>24520</v>
      </c>
      <c r="P81" s="39">
        <v>45920</v>
      </c>
      <c r="Q81" s="39">
        <v>23114</v>
      </c>
      <c r="R81" s="88">
        <f t="shared" si="171"/>
        <v>-0.49664634146341469</v>
      </c>
      <c r="S81" s="15">
        <f t="shared" si="172"/>
        <v>-5.7340946166394735E-2</v>
      </c>
      <c r="T81" s="45">
        <f>'2023년 실적'!U81</f>
        <v>42820</v>
      </c>
      <c r="U81" s="39">
        <v>45920</v>
      </c>
      <c r="V81" s="39">
        <v>23040</v>
      </c>
      <c r="W81" s="88">
        <f t="shared" si="173"/>
        <v>-0.49825783972125437</v>
      </c>
      <c r="X81" s="33">
        <f t="shared" si="174"/>
        <v>-0.46193367585240541</v>
      </c>
      <c r="Y81" s="13">
        <f>'2023년 실적'!Z81</f>
        <v>27988</v>
      </c>
      <c r="Z81" s="39">
        <v>45920</v>
      </c>
      <c r="AA81" s="39"/>
      <c r="AB81" s="88">
        <f t="shared" si="175"/>
        <v>-1</v>
      </c>
      <c r="AC81" s="15">
        <f t="shared" si="176"/>
        <v>-1</v>
      </c>
      <c r="AD81" s="45">
        <f>'2023년 실적'!AE81</f>
        <v>27340</v>
      </c>
      <c r="AE81" s="39">
        <v>45920</v>
      </c>
      <c r="AF81" s="39"/>
      <c r="AG81" s="88">
        <f t="shared" si="177"/>
        <v>-1</v>
      </c>
      <c r="AH81" s="33">
        <f t="shared" si="178"/>
        <v>-1</v>
      </c>
      <c r="AI81" s="13">
        <f>'2023년 실적'!AJ81</f>
        <v>29937</v>
      </c>
      <c r="AJ81" s="39">
        <v>44380</v>
      </c>
      <c r="AK81" s="39"/>
      <c r="AL81" s="88">
        <f t="shared" si="179"/>
        <v>-1</v>
      </c>
      <c r="AM81" s="15">
        <f t="shared" si="180"/>
        <v>-1</v>
      </c>
      <c r="AN81" s="45">
        <f>'2023년 실적'!AO81</f>
        <v>31700</v>
      </c>
      <c r="AO81" s="39">
        <v>44279</v>
      </c>
      <c r="AP81" s="39"/>
      <c r="AQ81" s="88">
        <f t="shared" si="181"/>
        <v>-1</v>
      </c>
      <c r="AR81" s="33">
        <f t="shared" si="182"/>
        <v>-1</v>
      </c>
      <c r="AS81" s="13">
        <f>'2023년 실적'!AT81</f>
        <v>33415</v>
      </c>
      <c r="AT81" s="39">
        <v>43698</v>
      </c>
      <c r="AU81" s="39"/>
      <c r="AV81" s="88">
        <f t="shared" si="183"/>
        <v>-1</v>
      </c>
      <c r="AW81" s="15">
        <f t="shared" si="184"/>
        <v>-1</v>
      </c>
      <c r="AX81" s="45">
        <f>'2023년 실적'!AY81</f>
        <v>33368</v>
      </c>
      <c r="AY81" s="39">
        <v>46891</v>
      </c>
      <c r="AZ81" s="39"/>
      <c r="BA81" s="88">
        <f t="shared" si="185"/>
        <v>-1</v>
      </c>
      <c r="BB81" s="33">
        <f t="shared" si="186"/>
        <v>-1</v>
      </c>
      <c r="BC81" s="13">
        <f>'2023년 실적'!BD81</f>
        <v>32470</v>
      </c>
      <c r="BD81" s="39">
        <v>44543</v>
      </c>
      <c r="BE81" s="39"/>
      <c r="BF81" s="88">
        <f t="shared" si="187"/>
        <v>-1</v>
      </c>
      <c r="BG81" s="15">
        <f t="shared" si="188"/>
        <v>-1</v>
      </c>
      <c r="BH81" s="45">
        <f>'2023년 실적'!BI81</f>
        <v>39064</v>
      </c>
      <c r="BI81" s="39">
        <v>57400</v>
      </c>
      <c r="BJ81" s="39"/>
      <c r="BK81" s="88">
        <f t="shared" si="189"/>
        <v>-1</v>
      </c>
      <c r="BL81" s="33">
        <f t="shared" si="190"/>
        <v>-1</v>
      </c>
      <c r="BM81" s="13">
        <f>'2023년 실적'!BN81</f>
        <v>62218</v>
      </c>
      <c r="BN81" s="39">
        <v>56301</v>
      </c>
      <c r="BO81" s="39"/>
      <c r="BP81" s="88">
        <f t="shared" si="191"/>
        <v>-1</v>
      </c>
      <c r="BQ81" s="15">
        <f t="shared" si="192"/>
        <v>-1</v>
      </c>
      <c r="BR81" s="45">
        <f>'2023년 실적'!BS81</f>
        <v>34928</v>
      </c>
      <c r="BS81" s="39">
        <v>50579</v>
      </c>
      <c r="BT81" s="39"/>
      <c r="BU81" s="88">
        <f t="shared" si="193"/>
        <v>-1</v>
      </c>
      <c r="BV81" s="15">
        <f t="shared" si="194"/>
        <v>-1</v>
      </c>
    </row>
    <row r="82" spans="2:74" x14ac:dyDescent="0.3">
      <c r="B82" s="301"/>
      <c r="C82" s="301"/>
      <c r="D82" s="312"/>
      <c r="E82" s="67" t="s">
        <v>27</v>
      </c>
      <c r="F82" s="45">
        <f>'2023년 실적'!F82</f>
        <v>398047</v>
      </c>
      <c r="G82" s="39">
        <f>'2023년 실적'!G82</f>
        <v>207830</v>
      </c>
      <c r="H82" s="39">
        <v>260000</v>
      </c>
      <c r="I82" s="33">
        <f t="shared" si="168"/>
        <v>0.25102247028821623</v>
      </c>
      <c r="J82" s="107">
        <f t="shared" si="199"/>
        <v>210150</v>
      </c>
      <c r="K82" s="87">
        <f t="shared" si="199"/>
        <v>258981</v>
      </c>
      <c r="L82" s="87">
        <f t="shared" si="199"/>
        <v>21983</v>
      </c>
      <c r="M82" s="88">
        <f t="shared" si="169"/>
        <v>-0.91511732520918521</v>
      </c>
      <c r="N82" s="15">
        <f t="shared" si="170"/>
        <v>-0.89539376635736379</v>
      </c>
      <c r="O82" s="13">
        <f>'2023년 실적'!P82</f>
        <v>24502</v>
      </c>
      <c r="P82" s="39">
        <v>20800</v>
      </c>
      <c r="Q82" s="39">
        <v>13981</v>
      </c>
      <c r="R82" s="88">
        <f t="shared" si="171"/>
        <v>-0.32783653846153848</v>
      </c>
      <c r="S82" s="15">
        <f t="shared" si="172"/>
        <v>-0.42939351889641664</v>
      </c>
      <c r="T82" s="45">
        <f>'2023년 실적'!U82</f>
        <v>24132</v>
      </c>
      <c r="U82" s="39">
        <v>20800</v>
      </c>
      <c r="V82" s="39">
        <v>8002</v>
      </c>
      <c r="W82" s="88">
        <f t="shared" si="173"/>
        <v>-0.61528846153846151</v>
      </c>
      <c r="X82" s="33">
        <f t="shared" si="174"/>
        <v>-0.66840709431460299</v>
      </c>
      <c r="Y82" s="13">
        <f>'2023년 실적'!Z82</f>
        <v>30839</v>
      </c>
      <c r="Z82" s="39">
        <v>20800</v>
      </c>
      <c r="AA82" s="39"/>
      <c r="AB82" s="88">
        <f t="shared" si="175"/>
        <v>-1</v>
      </c>
      <c r="AC82" s="15">
        <f t="shared" si="176"/>
        <v>-1</v>
      </c>
      <c r="AD82" s="45">
        <f>'2023년 실적'!AE82</f>
        <v>12990</v>
      </c>
      <c r="AE82" s="39">
        <v>20800</v>
      </c>
      <c r="AF82" s="39"/>
      <c r="AG82" s="88">
        <f t="shared" si="177"/>
        <v>-1</v>
      </c>
      <c r="AH82" s="33">
        <f t="shared" si="178"/>
        <v>-1</v>
      </c>
      <c r="AI82" s="13">
        <f>'2023년 실적'!AJ82</f>
        <v>18058</v>
      </c>
      <c r="AJ82" s="39">
        <v>20102</v>
      </c>
      <c r="AK82" s="39"/>
      <c r="AL82" s="88">
        <f t="shared" si="179"/>
        <v>-1</v>
      </c>
      <c r="AM82" s="15">
        <f t="shared" si="180"/>
        <v>-1</v>
      </c>
      <c r="AN82" s="45">
        <f>'2023년 실적'!AO82</f>
        <v>15305</v>
      </c>
      <c r="AO82" s="39">
        <v>20057</v>
      </c>
      <c r="AP82" s="39"/>
      <c r="AQ82" s="88">
        <f t="shared" si="181"/>
        <v>-1</v>
      </c>
      <c r="AR82" s="33">
        <f t="shared" si="182"/>
        <v>-1</v>
      </c>
      <c r="AS82" s="13">
        <f>'2023년 실적'!AT82</f>
        <v>20578</v>
      </c>
      <c r="AT82" s="39">
        <v>19794</v>
      </c>
      <c r="AU82" s="39"/>
      <c r="AV82" s="88">
        <f t="shared" si="183"/>
        <v>-1</v>
      </c>
      <c r="AW82" s="15">
        <f t="shared" si="184"/>
        <v>-1</v>
      </c>
      <c r="AX82" s="45">
        <f>'2023년 실적'!AY82</f>
        <v>7942</v>
      </c>
      <c r="AY82" s="39">
        <v>21240</v>
      </c>
      <c r="AZ82" s="39"/>
      <c r="BA82" s="88">
        <f t="shared" si="185"/>
        <v>-1</v>
      </c>
      <c r="BB82" s="33">
        <f t="shared" si="186"/>
        <v>-1</v>
      </c>
      <c r="BC82" s="13">
        <f>'2023년 실적'!BD82</f>
        <v>11650</v>
      </c>
      <c r="BD82" s="39">
        <v>20176</v>
      </c>
      <c r="BE82" s="39"/>
      <c r="BF82" s="88">
        <f t="shared" si="187"/>
        <v>-1</v>
      </c>
      <c r="BG82" s="15">
        <f t="shared" si="188"/>
        <v>-1</v>
      </c>
      <c r="BH82" s="45">
        <f>'2023년 실적'!BI82</f>
        <v>6298</v>
      </c>
      <c r="BI82" s="39">
        <v>26000</v>
      </c>
      <c r="BJ82" s="39"/>
      <c r="BK82" s="88">
        <f t="shared" si="189"/>
        <v>-1</v>
      </c>
      <c r="BL82" s="33">
        <f t="shared" si="190"/>
        <v>-1</v>
      </c>
      <c r="BM82" s="13">
        <f>'2023년 실적'!BN82</f>
        <v>21384</v>
      </c>
      <c r="BN82" s="39">
        <v>25502</v>
      </c>
      <c r="BO82" s="39"/>
      <c r="BP82" s="88">
        <f t="shared" si="191"/>
        <v>-1</v>
      </c>
      <c r="BQ82" s="15">
        <f t="shared" si="192"/>
        <v>-1</v>
      </c>
      <c r="BR82" s="45">
        <f>'2023년 실적'!BS82</f>
        <v>16472</v>
      </c>
      <c r="BS82" s="39">
        <v>22910</v>
      </c>
      <c r="BT82" s="39"/>
      <c r="BU82" s="88">
        <f t="shared" si="193"/>
        <v>-1</v>
      </c>
      <c r="BV82" s="15">
        <f t="shared" si="194"/>
        <v>-1</v>
      </c>
    </row>
    <row r="83" spans="2:74" ht="17.25" thickBot="1" x14ac:dyDescent="0.35">
      <c r="B83" s="301"/>
      <c r="C83" s="301"/>
      <c r="D83" s="313"/>
      <c r="E83" s="193" t="s">
        <v>53</v>
      </c>
      <c r="F83" s="194">
        <f>SUM(F80:F82)</f>
        <v>1067180</v>
      </c>
      <c r="G83" s="195">
        <f>SUM(G80:G82)</f>
        <v>949549</v>
      </c>
      <c r="H83" s="195">
        <f>SUM(H80:H82)</f>
        <v>1189000</v>
      </c>
      <c r="I83" s="196">
        <f t="shared" si="168"/>
        <v>0.25217340021420687</v>
      </c>
      <c r="J83" s="197">
        <f t="shared" ref="J83:L83" si="200">SUM(J80:J82)</f>
        <v>951869</v>
      </c>
      <c r="K83" s="195">
        <f t="shared" si="200"/>
        <v>1184339</v>
      </c>
      <c r="L83" s="195">
        <f t="shared" si="200"/>
        <v>117069</v>
      </c>
      <c r="M83" s="198">
        <f t="shared" si="169"/>
        <v>-0.90115245719342185</v>
      </c>
      <c r="N83" s="199">
        <f t="shared" si="170"/>
        <v>-0.87701143749822719</v>
      </c>
      <c r="O83" s="197">
        <f t="shared" ref="O83:Q83" si="201">SUM(O80:O82)</f>
        <v>71904</v>
      </c>
      <c r="P83" s="195">
        <f t="shared" si="201"/>
        <v>95120</v>
      </c>
      <c r="Q83" s="195">
        <f t="shared" si="201"/>
        <v>62554</v>
      </c>
      <c r="R83" s="198">
        <f t="shared" si="171"/>
        <v>-0.34236753574432299</v>
      </c>
      <c r="S83" s="199">
        <f t="shared" si="172"/>
        <v>-0.13003449043168669</v>
      </c>
      <c r="T83" s="194">
        <f>SUM(T80:T82)</f>
        <v>92533</v>
      </c>
      <c r="U83" s="195">
        <f>SUM(U80:U82)</f>
        <v>95120</v>
      </c>
      <c r="V83" s="195">
        <f>SUM(V80:V82)</f>
        <v>54515</v>
      </c>
      <c r="W83" s="198">
        <f t="shared" si="173"/>
        <v>-0.42688183347350717</v>
      </c>
      <c r="X83" s="196">
        <f t="shared" si="174"/>
        <v>-0.41085882874217849</v>
      </c>
      <c r="Y83" s="197">
        <f>SUM(Y80:Y82)</f>
        <v>80793</v>
      </c>
      <c r="Z83" s="195">
        <f>SUM(Z80:Z82)</f>
        <v>95120</v>
      </c>
      <c r="AA83" s="195">
        <f>SUM(AA80:AA82)</f>
        <v>0</v>
      </c>
      <c r="AB83" s="198">
        <f t="shared" si="175"/>
        <v>-1</v>
      </c>
      <c r="AC83" s="199">
        <f t="shared" si="176"/>
        <v>-1</v>
      </c>
      <c r="AD83" s="194">
        <f>SUM(AD80:AD82)</f>
        <v>64197</v>
      </c>
      <c r="AE83" s="195">
        <f>SUM(AE80:AE82)</f>
        <v>95120</v>
      </c>
      <c r="AF83" s="195">
        <f>SUM(AF80:AF82)</f>
        <v>0</v>
      </c>
      <c r="AG83" s="198">
        <f t="shared" si="177"/>
        <v>-1</v>
      </c>
      <c r="AH83" s="196">
        <f t="shared" si="178"/>
        <v>-1</v>
      </c>
      <c r="AI83" s="197">
        <f>SUM(AI80:AI82)</f>
        <v>74272</v>
      </c>
      <c r="AJ83" s="195">
        <f>SUM(AJ80:AJ82)</f>
        <v>91929</v>
      </c>
      <c r="AK83" s="195">
        <f>SUM(AK80:AK82)</f>
        <v>0</v>
      </c>
      <c r="AL83" s="198">
        <f t="shared" si="179"/>
        <v>-1</v>
      </c>
      <c r="AM83" s="199">
        <f t="shared" si="180"/>
        <v>-1</v>
      </c>
      <c r="AN83" s="194">
        <f>SUM(AN80:AN82)</f>
        <v>75349</v>
      </c>
      <c r="AO83" s="195">
        <f>SUM(AO80:AO82)</f>
        <v>91721</v>
      </c>
      <c r="AP83" s="195">
        <f>SUM(AP80:AP82)</f>
        <v>0</v>
      </c>
      <c r="AQ83" s="198">
        <f t="shared" si="181"/>
        <v>-1</v>
      </c>
      <c r="AR83" s="196">
        <f t="shared" si="182"/>
        <v>-1</v>
      </c>
      <c r="AS83" s="197">
        <f>SUM(AS80:AS82)</f>
        <v>78911</v>
      </c>
      <c r="AT83" s="195">
        <f>SUM(AT80:AT82)</f>
        <v>90518</v>
      </c>
      <c r="AU83" s="195">
        <f>SUM(AU80:AU82)</f>
        <v>0</v>
      </c>
      <c r="AV83" s="198">
        <f t="shared" si="183"/>
        <v>-1</v>
      </c>
      <c r="AW83" s="199">
        <f t="shared" si="184"/>
        <v>-1</v>
      </c>
      <c r="AX83" s="194">
        <f>SUM(AX80:AX82)</f>
        <v>66184</v>
      </c>
      <c r="AY83" s="195">
        <f>SUM(AY80:AY82)</f>
        <v>97131</v>
      </c>
      <c r="AZ83" s="195">
        <f>SUM(AZ80:AZ82)</f>
        <v>0</v>
      </c>
      <c r="BA83" s="198">
        <f t="shared" si="185"/>
        <v>-1</v>
      </c>
      <c r="BB83" s="196">
        <f t="shared" si="186"/>
        <v>-1</v>
      </c>
      <c r="BC83" s="197">
        <f>SUM(BC80:BC82)</f>
        <v>71264</v>
      </c>
      <c r="BD83" s="195">
        <f>SUM(BD80:BD82)</f>
        <v>92267</v>
      </c>
      <c r="BE83" s="195">
        <f>SUM(BE80:BE82)</f>
        <v>0</v>
      </c>
      <c r="BF83" s="198">
        <f t="shared" si="187"/>
        <v>-1</v>
      </c>
      <c r="BG83" s="199">
        <f t="shared" si="188"/>
        <v>-1</v>
      </c>
      <c r="BH83" s="194">
        <f>SUM(BH80:BH82)</f>
        <v>75576</v>
      </c>
      <c r="BI83" s="195">
        <f>SUM(BI80:BI82)</f>
        <v>118900</v>
      </c>
      <c r="BJ83" s="195">
        <f>SUM(BJ80:BJ82)</f>
        <v>0</v>
      </c>
      <c r="BK83" s="198">
        <f t="shared" si="189"/>
        <v>-1</v>
      </c>
      <c r="BL83" s="196">
        <f t="shared" si="190"/>
        <v>-1</v>
      </c>
      <c r="BM83" s="197">
        <f>SUM(BM80:BM82)</f>
        <v>117832</v>
      </c>
      <c r="BN83" s="195">
        <f>SUM(BN80:BN82)</f>
        <v>116623</v>
      </c>
      <c r="BO83" s="195">
        <f>SUM(BO80:BO82)</f>
        <v>0</v>
      </c>
      <c r="BP83" s="198">
        <f t="shared" si="191"/>
        <v>-1</v>
      </c>
      <c r="BQ83" s="199">
        <f t="shared" si="192"/>
        <v>-1</v>
      </c>
      <c r="BR83" s="194">
        <f>SUM(BR80:BR82)</f>
        <v>83054</v>
      </c>
      <c r="BS83" s="195">
        <f>SUM(BS80:BS82)</f>
        <v>104770</v>
      </c>
      <c r="BT83" s="195">
        <f>SUM(BT80:BT82)</f>
        <v>0</v>
      </c>
      <c r="BU83" s="198">
        <f t="shared" si="193"/>
        <v>-1</v>
      </c>
      <c r="BV83" s="199">
        <f t="shared" si="194"/>
        <v>-1</v>
      </c>
    </row>
    <row r="84" spans="2:74" x14ac:dyDescent="0.3">
      <c r="B84" s="301"/>
      <c r="C84" s="301"/>
      <c r="D84" s="314" t="s">
        <v>54</v>
      </c>
      <c r="E84" s="191" t="s">
        <v>22</v>
      </c>
      <c r="F84" s="56">
        <f>'2023년 실적'!F84</f>
        <v>255674</v>
      </c>
      <c r="G84" s="41">
        <f>'2023년 실적'!G84</f>
        <v>265892</v>
      </c>
      <c r="H84" s="41">
        <v>300000</v>
      </c>
      <c r="I84" s="81">
        <f t="shared" si="168"/>
        <v>0.12827764656326623</v>
      </c>
      <c r="J84" s="129">
        <f t="shared" ref="J84:L87" si="202">O84+T84+Y84+AD84+AI84+AN84+AS84+AX84+BC84+BH84+BM84+BR84</f>
        <v>294977</v>
      </c>
      <c r="K84" s="130">
        <f t="shared" si="202"/>
        <v>298823</v>
      </c>
      <c r="L84" s="130">
        <f t="shared" si="202"/>
        <v>47610</v>
      </c>
      <c r="M84" s="112">
        <f t="shared" si="169"/>
        <v>-0.84067491458154153</v>
      </c>
      <c r="N84" s="23">
        <f t="shared" si="170"/>
        <v>-0.83859758557446851</v>
      </c>
      <c r="O84" s="21">
        <f>'2023년 실적'!P84</f>
        <v>19273</v>
      </c>
      <c r="P84" s="41">
        <v>24000</v>
      </c>
      <c r="Q84" s="41">
        <v>24956</v>
      </c>
      <c r="R84" s="112">
        <f t="shared" si="171"/>
        <v>3.9833333333333387E-2</v>
      </c>
      <c r="S84" s="23">
        <f t="shared" si="172"/>
        <v>0.29486846884242213</v>
      </c>
      <c r="T84" s="56">
        <f>'2023년 실적'!U84</f>
        <v>32026</v>
      </c>
      <c r="U84" s="41">
        <v>24000</v>
      </c>
      <c r="V84" s="41">
        <v>22654</v>
      </c>
      <c r="W84" s="112">
        <f t="shared" si="173"/>
        <v>-5.6083333333333374E-2</v>
      </c>
      <c r="X84" s="81">
        <f t="shared" si="174"/>
        <v>-0.2926372322487979</v>
      </c>
      <c r="Y84" s="21">
        <f>'2023년 실적'!Z84</f>
        <v>19043</v>
      </c>
      <c r="Z84" s="41">
        <v>24000</v>
      </c>
      <c r="AA84" s="41"/>
      <c r="AB84" s="112">
        <f t="shared" si="175"/>
        <v>-1</v>
      </c>
      <c r="AC84" s="23">
        <f t="shared" si="176"/>
        <v>-1</v>
      </c>
      <c r="AD84" s="56">
        <f>'2023년 실적'!AE84</f>
        <v>20732</v>
      </c>
      <c r="AE84" s="41">
        <v>24000</v>
      </c>
      <c r="AF84" s="41"/>
      <c r="AG84" s="112">
        <f t="shared" si="177"/>
        <v>-1</v>
      </c>
      <c r="AH84" s="81">
        <f t="shared" si="178"/>
        <v>-1</v>
      </c>
      <c r="AI84" s="21">
        <f>'2023년 실적'!AJ84</f>
        <v>23468</v>
      </c>
      <c r="AJ84" s="41">
        <v>23195</v>
      </c>
      <c r="AK84" s="41"/>
      <c r="AL84" s="112">
        <f t="shared" si="179"/>
        <v>-1</v>
      </c>
      <c r="AM84" s="23">
        <f t="shared" si="180"/>
        <v>-1</v>
      </c>
      <c r="AN84" s="56">
        <f>'2023년 실적'!AO84</f>
        <v>24188</v>
      </c>
      <c r="AO84" s="41">
        <v>23142</v>
      </c>
      <c r="AP84" s="41"/>
      <c r="AQ84" s="112">
        <f t="shared" si="181"/>
        <v>-1</v>
      </c>
      <c r="AR84" s="81">
        <f t="shared" si="182"/>
        <v>-1</v>
      </c>
      <c r="AS84" s="21">
        <f>'2023년 실적'!AT84</f>
        <v>22316</v>
      </c>
      <c r="AT84" s="41">
        <v>22839</v>
      </c>
      <c r="AU84" s="41"/>
      <c r="AV84" s="112">
        <f t="shared" si="183"/>
        <v>-1</v>
      </c>
      <c r="AW84" s="23">
        <f t="shared" si="184"/>
        <v>-1</v>
      </c>
      <c r="AX84" s="56">
        <f>'2023년 실적'!AY84</f>
        <v>25544</v>
      </c>
      <c r="AY84" s="41">
        <v>24507</v>
      </c>
      <c r="AZ84" s="41"/>
      <c r="BA84" s="112">
        <f t="shared" si="185"/>
        <v>-1</v>
      </c>
      <c r="BB84" s="81">
        <f t="shared" si="186"/>
        <v>-1</v>
      </c>
      <c r="BC84" s="21">
        <f>'2023년 실적'!BD84</f>
        <v>24514</v>
      </c>
      <c r="BD84" s="41">
        <v>23280</v>
      </c>
      <c r="BE84" s="41"/>
      <c r="BF84" s="112">
        <f t="shared" si="187"/>
        <v>-1</v>
      </c>
      <c r="BG84" s="23">
        <f t="shared" si="188"/>
        <v>-1</v>
      </c>
      <c r="BH84" s="56">
        <f>'2023년 실적'!BI84</f>
        <v>27828</v>
      </c>
      <c r="BI84" s="41">
        <v>30000</v>
      </c>
      <c r="BJ84" s="41"/>
      <c r="BK84" s="112">
        <f t="shared" si="189"/>
        <v>-1</v>
      </c>
      <c r="BL84" s="81">
        <f t="shared" si="190"/>
        <v>-1</v>
      </c>
      <c r="BM84" s="21">
        <f>'2023년 실적'!BN84</f>
        <v>30920</v>
      </c>
      <c r="BN84" s="41">
        <v>29425</v>
      </c>
      <c r="BO84" s="41"/>
      <c r="BP84" s="112">
        <f t="shared" si="191"/>
        <v>-1</v>
      </c>
      <c r="BQ84" s="23">
        <f t="shared" si="192"/>
        <v>-1</v>
      </c>
      <c r="BR84" s="56">
        <f>'2023년 실적'!BS84</f>
        <v>25125</v>
      </c>
      <c r="BS84" s="41">
        <v>26435</v>
      </c>
      <c r="BT84" s="41"/>
      <c r="BU84" s="112">
        <f t="shared" si="193"/>
        <v>-1</v>
      </c>
      <c r="BV84" s="23">
        <f t="shared" si="194"/>
        <v>-1</v>
      </c>
    </row>
    <row r="85" spans="2:74" x14ac:dyDescent="0.3">
      <c r="B85" s="301"/>
      <c r="C85" s="301"/>
      <c r="D85" s="312"/>
      <c r="E85" s="67" t="s">
        <v>23</v>
      </c>
      <c r="F85" s="45">
        <f>'2023년 실적'!F85</f>
        <v>583012</v>
      </c>
      <c r="G85" s="39">
        <f>'2023년 실적'!G85</f>
        <v>554782</v>
      </c>
      <c r="H85" s="39">
        <v>600300</v>
      </c>
      <c r="I85" s="33">
        <f t="shared" si="168"/>
        <v>8.2046641743964255E-2</v>
      </c>
      <c r="J85" s="107">
        <f t="shared" si="202"/>
        <v>611068</v>
      </c>
      <c r="K85" s="87">
        <f t="shared" si="202"/>
        <v>597947</v>
      </c>
      <c r="L85" s="87">
        <f t="shared" si="202"/>
        <v>93030</v>
      </c>
      <c r="M85" s="88">
        <f t="shared" si="169"/>
        <v>-0.84441764905585281</v>
      </c>
      <c r="N85" s="15">
        <f t="shared" si="170"/>
        <v>-0.84775835095275809</v>
      </c>
      <c r="O85" s="13">
        <f>'2023년 실적'!P85</f>
        <v>50990</v>
      </c>
      <c r="P85" s="39">
        <v>48024</v>
      </c>
      <c r="Q85" s="39">
        <v>51458</v>
      </c>
      <c r="R85" s="88">
        <f t="shared" si="171"/>
        <v>7.1505913709811741E-2</v>
      </c>
      <c r="S85" s="15">
        <f t="shared" si="172"/>
        <v>9.1782702490683654E-3</v>
      </c>
      <c r="T85" s="45">
        <f>'2023년 실적'!U85</f>
        <v>45016</v>
      </c>
      <c r="U85" s="39">
        <v>48024</v>
      </c>
      <c r="V85" s="39">
        <v>41572</v>
      </c>
      <c r="W85" s="88">
        <f t="shared" si="173"/>
        <v>-0.13434949192070633</v>
      </c>
      <c r="X85" s="33">
        <f t="shared" si="174"/>
        <v>-7.6506131153367685E-2</v>
      </c>
      <c r="Y85" s="13">
        <f>'2023년 실적'!Z85</f>
        <v>75300</v>
      </c>
      <c r="Z85" s="39">
        <v>48024</v>
      </c>
      <c r="AA85" s="39"/>
      <c r="AB85" s="88">
        <f t="shared" si="175"/>
        <v>-1</v>
      </c>
      <c r="AC85" s="15">
        <f t="shared" si="176"/>
        <v>-1</v>
      </c>
      <c r="AD85" s="45">
        <f>'2023년 실적'!AE85</f>
        <v>37975</v>
      </c>
      <c r="AE85" s="39">
        <v>48024</v>
      </c>
      <c r="AF85" s="39"/>
      <c r="AG85" s="88">
        <f t="shared" si="177"/>
        <v>-1</v>
      </c>
      <c r="AH85" s="33">
        <f t="shared" si="178"/>
        <v>-1</v>
      </c>
      <c r="AI85" s="13">
        <f>'2023년 실적'!AJ85</f>
        <v>44598</v>
      </c>
      <c r="AJ85" s="39">
        <v>46413</v>
      </c>
      <c r="AK85" s="39"/>
      <c r="AL85" s="88">
        <f t="shared" si="179"/>
        <v>-1</v>
      </c>
      <c r="AM85" s="15">
        <f t="shared" si="180"/>
        <v>-1</v>
      </c>
      <c r="AN85" s="45">
        <f>'2023년 실적'!AO85</f>
        <v>50986</v>
      </c>
      <c r="AO85" s="39">
        <v>46308</v>
      </c>
      <c r="AP85" s="39"/>
      <c r="AQ85" s="88">
        <f t="shared" si="181"/>
        <v>-1</v>
      </c>
      <c r="AR85" s="33">
        <f t="shared" si="182"/>
        <v>-1</v>
      </c>
      <c r="AS85" s="13">
        <f>'2023년 실적'!AT85</f>
        <v>48452</v>
      </c>
      <c r="AT85" s="39">
        <v>45701</v>
      </c>
      <c r="AU85" s="39"/>
      <c r="AV85" s="88">
        <f t="shared" si="183"/>
        <v>-1</v>
      </c>
      <c r="AW85" s="15">
        <f t="shared" si="184"/>
        <v>-1</v>
      </c>
      <c r="AX85" s="45">
        <f>'2023년 실적'!AY85</f>
        <v>45980</v>
      </c>
      <c r="AY85" s="39">
        <v>49039</v>
      </c>
      <c r="AZ85" s="39"/>
      <c r="BA85" s="88">
        <f t="shared" si="185"/>
        <v>-1</v>
      </c>
      <c r="BB85" s="33">
        <f t="shared" si="186"/>
        <v>-1</v>
      </c>
      <c r="BC85" s="13">
        <f>'2023년 실적'!BD85</f>
        <v>47436</v>
      </c>
      <c r="BD85" s="39">
        <v>46584</v>
      </c>
      <c r="BE85" s="39"/>
      <c r="BF85" s="88">
        <f t="shared" si="187"/>
        <v>-1</v>
      </c>
      <c r="BG85" s="15">
        <f t="shared" si="188"/>
        <v>-1</v>
      </c>
      <c r="BH85" s="45">
        <f>'2023년 실적'!BI85</f>
        <v>54452</v>
      </c>
      <c r="BI85" s="39">
        <v>60030</v>
      </c>
      <c r="BJ85" s="39"/>
      <c r="BK85" s="88">
        <f t="shared" si="189"/>
        <v>-1</v>
      </c>
      <c r="BL85" s="33">
        <f t="shared" si="190"/>
        <v>-1</v>
      </c>
      <c r="BM85" s="13">
        <f>'2023년 실적'!BN85</f>
        <v>64781</v>
      </c>
      <c r="BN85" s="39">
        <v>58880</v>
      </c>
      <c r="BO85" s="39"/>
      <c r="BP85" s="88">
        <f t="shared" si="191"/>
        <v>-1</v>
      </c>
      <c r="BQ85" s="15">
        <f t="shared" si="192"/>
        <v>-1</v>
      </c>
      <c r="BR85" s="45">
        <f>'2023년 실적'!BS85</f>
        <v>45102</v>
      </c>
      <c r="BS85" s="39">
        <v>52896</v>
      </c>
      <c r="BT85" s="39"/>
      <c r="BU85" s="88">
        <f t="shared" si="193"/>
        <v>-1</v>
      </c>
      <c r="BV85" s="15">
        <f t="shared" si="194"/>
        <v>-1</v>
      </c>
    </row>
    <row r="86" spans="2:74" x14ac:dyDescent="0.3">
      <c r="B86" s="301"/>
      <c r="C86" s="301"/>
      <c r="D86" s="312"/>
      <c r="E86" s="67" t="s">
        <v>24</v>
      </c>
      <c r="F86" s="45">
        <f>'2023년 실적'!F86</f>
        <v>255841</v>
      </c>
      <c r="G86" s="39">
        <f>'2023년 실적'!G86</f>
        <v>316827</v>
      </c>
      <c r="H86" s="39">
        <v>355000</v>
      </c>
      <c r="I86" s="33">
        <f t="shared" si="168"/>
        <v>0.12048531217352054</v>
      </c>
      <c r="J86" s="107">
        <f t="shared" si="202"/>
        <v>231456</v>
      </c>
      <c r="K86" s="87">
        <f t="shared" si="202"/>
        <v>353607</v>
      </c>
      <c r="L86" s="87">
        <f t="shared" si="202"/>
        <v>41197</v>
      </c>
      <c r="M86" s="88">
        <f t="shared" si="169"/>
        <v>-0.88349495343700779</v>
      </c>
      <c r="N86" s="15">
        <f t="shared" si="170"/>
        <v>-0.82200936679109637</v>
      </c>
      <c r="O86" s="13">
        <f>'2023년 실적'!P86</f>
        <v>19114</v>
      </c>
      <c r="P86" s="39">
        <v>28400</v>
      </c>
      <c r="Q86" s="39">
        <v>21467</v>
      </c>
      <c r="R86" s="88">
        <f t="shared" si="171"/>
        <v>-0.24411971830985912</v>
      </c>
      <c r="S86" s="15">
        <f t="shared" si="172"/>
        <v>0.12310348435701579</v>
      </c>
      <c r="T86" s="45">
        <f>'2023년 실적'!U86</f>
        <v>23518</v>
      </c>
      <c r="U86" s="39">
        <v>28400</v>
      </c>
      <c r="V86" s="39">
        <v>19730</v>
      </c>
      <c r="W86" s="88">
        <f t="shared" si="173"/>
        <v>-0.30528169014084505</v>
      </c>
      <c r="X86" s="33">
        <f t="shared" si="174"/>
        <v>-0.16106811803724808</v>
      </c>
      <c r="Y86" s="13">
        <f>'2023년 실적'!Z86</f>
        <v>18054</v>
      </c>
      <c r="Z86" s="39">
        <v>28400</v>
      </c>
      <c r="AA86" s="39"/>
      <c r="AB86" s="88">
        <f t="shared" si="175"/>
        <v>-1</v>
      </c>
      <c r="AC86" s="15">
        <f t="shared" si="176"/>
        <v>-1</v>
      </c>
      <c r="AD86" s="45">
        <f>'2023년 실적'!AE86</f>
        <v>15328</v>
      </c>
      <c r="AE86" s="39">
        <v>28400</v>
      </c>
      <c r="AF86" s="39"/>
      <c r="AG86" s="88">
        <f t="shared" si="177"/>
        <v>-1</v>
      </c>
      <c r="AH86" s="33">
        <f t="shared" si="178"/>
        <v>-1</v>
      </c>
      <c r="AI86" s="13">
        <f>'2023년 실적'!AJ86</f>
        <v>17800</v>
      </c>
      <c r="AJ86" s="39">
        <v>27447</v>
      </c>
      <c r="AK86" s="39"/>
      <c r="AL86" s="88">
        <f t="shared" si="179"/>
        <v>-1</v>
      </c>
      <c r="AM86" s="15">
        <f t="shared" si="180"/>
        <v>-1</v>
      </c>
      <c r="AN86" s="45">
        <f>'2023년 실적'!AO86</f>
        <v>20036</v>
      </c>
      <c r="AO86" s="39">
        <v>27385</v>
      </c>
      <c r="AP86" s="39"/>
      <c r="AQ86" s="88">
        <f t="shared" si="181"/>
        <v>-1</v>
      </c>
      <c r="AR86" s="33">
        <f t="shared" si="182"/>
        <v>-1</v>
      </c>
      <c r="AS86" s="13">
        <f>'2023년 실적'!AT86</f>
        <v>19118</v>
      </c>
      <c r="AT86" s="39">
        <v>27026</v>
      </c>
      <c r="AU86" s="39"/>
      <c r="AV86" s="88">
        <f t="shared" si="183"/>
        <v>-1</v>
      </c>
      <c r="AW86" s="15">
        <f t="shared" si="184"/>
        <v>-1</v>
      </c>
      <c r="AX86" s="45">
        <f>'2023년 실적'!AY86</f>
        <v>17860</v>
      </c>
      <c r="AY86" s="39">
        <v>29000</v>
      </c>
      <c r="AZ86" s="39"/>
      <c r="BA86" s="88">
        <f t="shared" si="185"/>
        <v>-1</v>
      </c>
      <c r="BB86" s="33">
        <f t="shared" si="186"/>
        <v>-1</v>
      </c>
      <c r="BC86" s="13">
        <f>'2023년 실적'!BD86</f>
        <v>17672</v>
      </c>
      <c r="BD86" s="39">
        <v>27548</v>
      </c>
      <c r="BE86" s="39"/>
      <c r="BF86" s="88">
        <f t="shared" si="187"/>
        <v>-1</v>
      </c>
      <c r="BG86" s="15">
        <f t="shared" si="188"/>
        <v>-1</v>
      </c>
      <c r="BH86" s="45">
        <f>'2023년 실적'!BI86</f>
        <v>21934</v>
      </c>
      <c r="BI86" s="39">
        <v>35500</v>
      </c>
      <c r="BJ86" s="39"/>
      <c r="BK86" s="88">
        <f t="shared" si="189"/>
        <v>-1</v>
      </c>
      <c r="BL86" s="33">
        <f t="shared" si="190"/>
        <v>-1</v>
      </c>
      <c r="BM86" s="13">
        <f>'2023년 실적'!BN86</f>
        <v>23514</v>
      </c>
      <c r="BN86" s="39">
        <v>34820</v>
      </c>
      <c r="BO86" s="39"/>
      <c r="BP86" s="88">
        <f t="shared" si="191"/>
        <v>-1</v>
      </c>
      <c r="BQ86" s="15">
        <f t="shared" si="192"/>
        <v>-1</v>
      </c>
      <c r="BR86" s="45">
        <f>'2023년 실적'!BS86</f>
        <v>17508</v>
      </c>
      <c r="BS86" s="39">
        <v>31281</v>
      </c>
      <c r="BT86" s="39"/>
      <c r="BU86" s="88">
        <f t="shared" si="193"/>
        <v>-1</v>
      </c>
      <c r="BV86" s="15">
        <f t="shared" si="194"/>
        <v>-1</v>
      </c>
    </row>
    <row r="87" spans="2:74" x14ac:dyDescent="0.3">
      <c r="B87" s="301"/>
      <c r="C87" s="301"/>
      <c r="D87" s="312"/>
      <c r="E87" s="67" t="s">
        <v>27</v>
      </c>
      <c r="F87" s="45">
        <f>'2023년 실적'!F87</f>
        <v>621242</v>
      </c>
      <c r="G87" s="39">
        <f>'2023년 실적'!G87</f>
        <v>666952</v>
      </c>
      <c r="H87" s="39">
        <v>750000</v>
      </c>
      <c r="I87" s="33">
        <f t="shared" si="168"/>
        <v>0.12451870599383463</v>
      </c>
      <c r="J87" s="107">
        <f t="shared" si="202"/>
        <v>666952</v>
      </c>
      <c r="K87" s="87">
        <f t="shared" si="202"/>
        <v>747069</v>
      </c>
      <c r="L87" s="87">
        <f t="shared" si="202"/>
        <v>81892</v>
      </c>
      <c r="M87" s="88">
        <f t="shared" si="169"/>
        <v>-0.890382280619327</v>
      </c>
      <c r="N87" s="15">
        <f t="shared" si="170"/>
        <v>-0.87721455217167055</v>
      </c>
      <c r="O87" s="13">
        <f>'2023년 실적'!P87</f>
        <v>69905</v>
      </c>
      <c r="P87" s="39">
        <v>60000</v>
      </c>
      <c r="Q87" s="39">
        <v>41892</v>
      </c>
      <c r="R87" s="88">
        <f t="shared" si="171"/>
        <v>-0.30179999999999996</v>
      </c>
      <c r="S87" s="15">
        <f t="shared" si="172"/>
        <v>-0.40072956154781492</v>
      </c>
      <c r="T87" s="45">
        <f>'2023년 실적'!U87</f>
        <v>38673</v>
      </c>
      <c r="U87" s="39">
        <v>60000</v>
      </c>
      <c r="V87" s="39">
        <v>40000</v>
      </c>
      <c r="W87" s="88">
        <f t="shared" si="173"/>
        <v>-0.33333333333333337</v>
      </c>
      <c r="X87" s="33">
        <f t="shared" si="174"/>
        <v>3.431334522793672E-2</v>
      </c>
      <c r="Y87" s="13">
        <f>'2023년 실적'!Z87</f>
        <v>51187</v>
      </c>
      <c r="Z87" s="39">
        <v>60000</v>
      </c>
      <c r="AA87" s="39"/>
      <c r="AB87" s="88">
        <f t="shared" si="175"/>
        <v>-1</v>
      </c>
      <c r="AC87" s="15">
        <f t="shared" si="176"/>
        <v>-1</v>
      </c>
      <c r="AD87" s="45">
        <f>'2023년 실적'!AE87</f>
        <v>43489</v>
      </c>
      <c r="AE87" s="39">
        <v>60000</v>
      </c>
      <c r="AF87" s="39"/>
      <c r="AG87" s="88">
        <f t="shared" si="177"/>
        <v>-1</v>
      </c>
      <c r="AH87" s="33">
        <f t="shared" si="178"/>
        <v>-1</v>
      </c>
      <c r="AI87" s="13">
        <f>'2023년 실적'!AJ87</f>
        <v>48780</v>
      </c>
      <c r="AJ87" s="39">
        <v>57987</v>
      </c>
      <c r="AK87" s="39"/>
      <c r="AL87" s="88">
        <f t="shared" si="179"/>
        <v>-1</v>
      </c>
      <c r="AM87" s="15">
        <f t="shared" si="180"/>
        <v>-1</v>
      </c>
      <c r="AN87" s="45">
        <f>'2023년 실적'!AO87</f>
        <v>54835</v>
      </c>
      <c r="AO87" s="39">
        <v>57865</v>
      </c>
      <c r="AP87" s="39"/>
      <c r="AQ87" s="88">
        <f t="shared" si="181"/>
        <v>-1</v>
      </c>
      <c r="AR87" s="33">
        <f t="shared" si="182"/>
        <v>-1</v>
      </c>
      <c r="AS87" s="13">
        <f>'2023년 실적'!AT87</f>
        <v>44913</v>
      </c>
      <c r="AT87" s="39">
        <v>57097</v>
      </c>
      <c r="AU87" s="39"/>
      <c r="AV87" s="88">
        <f t="shared" si="183"/>
        <v>-1</v>
      </c>
      <c r="AW87" s="15">
        <f t="shared" si="184"/>
        <v>-1</v>
      </c>
      <c r="AX87" s="45">
        <f>'2023년 실적'!AY87</f>
        <v>59304</v>
      </c>
      <c r="AY87" s="39">
        <v>61268</v>
      </c>
      <c r="AZ87" s="39"/>
      <c r="BA87" s="88">
        <f t="shared" si="185"/>
        <v>-1</v>
      </c>
      <c r="BB87" s="33">
        <f t="shared" si="186"/>
        <v>-1</v>
      </c>
      <c r="BC87" s="13">
        <f>'2023년 실적'!BD87</f>
        <v>51388</v>
      </c>
      <c r="BD87" s="39">
        <v>58201</v>
      </c>
      <c r="BE87" s="39"/>
      <c r="BF87" s="88">
        <f t="shared" si="187"/>
        <v>-1</v>
      </c>
      <c r="BG87" s="15">
        <f t="shared" si="188"/>
        <v>-1</v>
      </c>
      <c r="BH87" s="45">
        <f>'2023년 실적'!BI87</f>
        <v>89119</v>
      </c>
      <c r="BI87" s="39">
        <v>75000</v>
      </c>
      <c r="BJ87" s="39"/>
      <c r="BK87" s="88">
        <f t="shared" si="189"/>
        <v>-1</v>
      </c>
      <c r="BL87" s="33">
        <f t="shared" si="190"/>
        <v>-1</v>
      </c>
      <c r="BM87" s="13">
        <f>'2023년 실적'!BN87</f>
        <v>54183</v>
      </c>
      <c r="BN87" s="39">
        <v>73564</v>
      </c>
      <c r="BO87" s="39"/>
      <c r="BP87" s="88">
        <f t="shared" si="191"/>
        <v>-1</v>
      </c>
      <c r="BQ87" s="15">
        <f t="shared" si="192"/>
        <v>-1</v>
      </c>
      <c r="BR87" s="45">
        <f>'2023년 실적'!BS87</f>
        <v>61176</v>
      </c>
      <c r="BS87" s="39">
        <v>66087</v>
      </c>
      <c r="BT87" s="39"/>
      <c r="BU87" s="88">
        <f t="shared" si="193"/>
        <v>-1</v>
      </c>
      <c r="BV87" s="15">
        <f t="shared" si="194"/>
        <v>-1</v>
      </c>
    </row>
    <row r="88" spans="2:74" ht="17.25" thickBot="1" x14ac:dyDescent="0.35">
      <c r="B88" s="301"/>
      <c r="C88" s="301"/>
      <c r="D88" s="315"/>
      <c r="E88" s="200" t="s">
        <v>53</v>
      </c>
      <c r="F88" s="201">
        <f>SUM(F84:F87)</f>
        <v>1715769</v>
      </c>
      <c r="G88" s="202">
        <f>SUM(G84:G87)</f>
        <v>1804453</v>
      </c>
      <c r="H88" s="202">
        <f>SUM(H84:H87)</f>
        <v>2005300</v>
      </c>
      <c r="I88" s="203">
        <f t="shared" si="168"/>
        <v>0.11130630722994717</v>
      </c>
      <c r="J88" s="204">
        <f t="shared" ref="J88:L88" si="203">SUM(J84:J87)</f>
        <v>1804453</v>
      </c>
      <c r="K88" s="202">
        <f t="shared" si="203"/>
        <v>1997446</v>
      </c>
      <c r="L88" s="202">
        <f t="shared" si="203"/>
        <v>263729</v>
      </c>
      <c r="M88" s="205">
        <f t="shared" si="169"/>
        <v>-0.86796689372328462</v>
      </c>
      <c r="N88" s="206">
        <f t="shared" si="170"/>
        <v>-0.85384545898396913</v>
      </c>
      <c r="O88" s="204">
        <f t="shared" ref="O88:Q88" si="204">SUM(O84:O87)</f>
        <v>159282</v>
      </c>
      <c r="P88" s="202">
        <f t="shared" si="204"/>
        <v>160424</v>
      </c>
      <c r="Q88" s="202">
        <f t="shared" si="204"/>
        <v>139773</v>
      </c>
      <c r="R88" s="205">
        <f t="shared" si="171"/>
        <v>-0.12872762180222408</v>
      </c>
      <c r="S88" s="206">
        <f t="shared" si="172"/>
        <v>-0.12248088296229331</v>
      </c>
      <c r="T88" s="201">
        <f>SUM(T84:T87)</f>
        <v>139233</v>
      </c>
      <c r="U88" s="202">
        <f>SUM(U84:U87)</f>
        <v>160424</v>
      </c>
      <c r="V88" s="202">
        <f>SUM(V84:V87)</f>
        <v>123956</v>
      </c>
      <c r="W88" s="205">
        <f t="shared" si="173"/>
        <v>-0.2273225951229243</v>
      </c>
      <c r="X88" s="203">
        <f t="shared" si="174"/>
        <v>-0.10972255140663489</v>
      </c>
      <c r="Y88" s="204">
        <f>SUM(Y84:Y87)</f>
        <v>163584</v>
      </c>
      <c r="Z88" s="202">
        <f>SUM(Z84:Z87)</f>
        <v>160424</v>
      </c>
      <c r="AA88" s="202">
        <f>SUM(AA84:AA87)</f>
        <v>0</v>
      </c>
      <c r="AB88" s="205">
        <f t="shared" si="175"/>
        <v>-1</v>
      </c>
      <c r="AC88" s="206">
        <f t="shared" si="176"/>
        <v>-1</v>
      </c>
      <c r="AD88" s="201">
        <f>SUM(AD84:AD87)</f>
        <v>117524</v>
      </c>
      <c r="AE88" s="202">
        <f>SUM(AE84:AE87)</f>
        <v>160424</v>
      </c>
      <c r="AF88" s="202">
        <f>SUM(AF84:AF87)</f>
        <v>0</v>
      </c>
      <c r="AG88" s="205">
        <f t="shared" si="177"/>
        <v>-1</v>
      </c>
      <c r="AH88" s="203">
        <f t="shared" si="178"/>
        <v>-1</v>
      </c>
      <c r="AI88" s="204">
        <f>SUM(AI84:AI87)</f>
        <v>134646</v>
      </c>
      <c r="AJ88" s="202">
        <f>SUM(AJ84:AJ87)</f>
        <v>155042</v>
      </c>
      <c r="AK88" s="202">
        <f>SUM(AK84:AK87)</f>
        <v>0</v>
      </c>
      <c r="AL88" s="205">
        <f t="shared" si="179"/>
        <v>-1</v>
      </c>
      <c r="AM88" s="206">
        <f t="shared" si="180"/>
        <v>-1</v>
      </c>
      <c r="AN88" s="201">
        <f>SUM(AN84:AN87)</f>
        <v>150045</v>
      </c>
      <c r="AO88" s="202">
        <f>SUM(AO84:AO87)</f>
        <v>154700</v>
      </c>
      <c r="AP88" s="202">
        <f>SUM(AP84:AP87)</f>
        <v>0</v>
      </c>
      <c r="AQ88" s="205">
        <f t="shared" si="181"/>
        <v>-1</v>
      </c>
      <c r="AR88" s="203">
        <f t="shared" si="182"/>
        <v>-1</v>
      </c>
      <c r="AS88" s="204">
        <f>SUM(AS84:AS87)</f>
        <v>134799</v>
      </c>
      <c r="AT88" s="202">
        <f>SUM(AT84:AT87)</f>
        <v>152663</v>
      </c>
      <c r="AU88" s="202">
        <f>SUM(AU84:AU87)</f>
        <v>0</v>
      </c>
      <c r="AV88" s="205">
        <f t="shared" si="183"/>
        <v>-1</v>
      </c>
      <c r="AW88" s="206">
        <f t="shared" si="184"/>
        <v>-1</v>
      </c>
      <c r="AX88" s="201">
        <f>SUM(AX84:AX87)</f>
        <v>148688</v>
      </c>
      <c r="AY88" s="202">
        <f>SUM(AY84:AY87)</f>
        <v>163814</v>
      </c>
      <c r="AZ88" s="202">
        <f>SUM(AZ84:AZ87)</f>
        <v>0</v>
      </c>
      <c r="BA88" s="205">
        <f t="shared" si="185"/>
        <v>-1</v>
      </c>
      <c r="BB88" s="203">
        <f t="shared" si="186"/>
        <v>-1</v>
      </c>
      <c r="BC88" s="204">
        <f>SUM(BC84:BC87)</f>
        <v>141010</v>
      </c>
      <c r="BD88" s="202">
        <f>SUM(BD84:BD87)</f>
        <v>155613</v>
      </c>
      <c r="BE88" s="202">
        <f>SUM(BE84:BE87)</f>
        <v>0</v>
      </c>
      <c r="BF88" s="205">
        <f t="shared" si="187"/>
        <v>-1</v>
      </c>
      <c r="BG88" s="206">
        <f t="shared" si="188"/>
        <v>-1</v>
      </c>
      <c r="BH88" s="201">
        <f>SUM(BH84:BH87)</f>
        <v>193333</v>
      </c>
      <c r="BI88" s="202">
        <f>SUM(BI84:BI87)</f>
        <v>200530</v>
      </c>
      <c r="BJ88" s="202">
        <f>SUM(BJ84:BJ87)</f>
        <v>0</v>
      </c>
      <c r="BK88" s="205">
        <f t="shared" si="189"/>
        <v>-1</v>
      </c>
      <c r="BL88" s="203">
        <f t="shared" si="190"/>
        <v>-1</v>
      </c>
      <c r="BM88" s="204">
        <f>SUM(BM84:BM87)</f>
        <v>173398</v>
      </c>
      <c r="BN88" s="202">
        <f>SUM(BN84:BN87)</f>
        <v>196689</v>
      </c>
      <c r="BO88" s="202">
        <f>SUM(BO84:BO87)</f>
        <v>0</v>
      </c>
      <c r="BP88" s="205">
        <f t="shared" si="191"/>
        <v>-1</v>
      </c>
      <c r="BQ88" s="206">
        <f t="shared" si="192"/>
        <v>-1</v>
      </c>
      <c r="BR88" s="201">
        <f>SUM(BR84:BR87)</f>
        <v>148911</v>
      </c>
      <c r="BS88" s="202">
        <f>SUM(BS84:BS87)</f>
        <v>176699</v>
      </c>
      <c r="BT88" s="202">
        <f>SUM(BT84:BT87)</f>
        <v>0</v>
      </c>
      <c r="BU88" s="205">
        <f t="shared" si="193"/>
        <v>-1</v>
      </c>
      <c r="BV88" s="206">
        <f t="shared" si="194"/>
        <v>-1</v>
      </c>
    </row>
    <row r="89" spans="2:74" x14ac:dyDescent="0.3">
      <c r="B89" s="301"/>
      <c r="C89" s="301"/>
      <c r="D89" s="311" t="s">
        <v>55</v>
      </c>
      <c r="E89" s="192" t="s">
        <v>25</v>
      </c>
      <c r="F89" s="52">
        <f>'2023년 실적'!F89</f>
        <v>492921</v>
      </c>
      <c r="G89" s="38">
        <f>'2023년 실적'!G89</f>
        <v>567346</v>
      </c>
      <c r="H89" s="38">
        <v>646000</v>
      </c>
      <c r="I89" s="77">
        <f t="shared" si="168"/>
        <v>0.13863497759744492</v>
      </c>
      <c r="J89" s="131">
        <f t="shared" ref="J89:L90" si="205">O89+T89+Y89+AD89+AI89+AN89+AS89+AX89+BC89+BH89+BM89+BR89</f>
        <v>567346</v>
      </c>
      <c r="K89" s="132">
        <f t="shared" si="205"/>
        <v>643467</v>
      </c>
      <c r="L89" s="132">
        <f t="shared" si="205"/>
        <v>83226</v>
      </c>
      <c r="M89" s="115">
        <f t="shared" si="169"/>
        <v>-0.87066003384788959</v>
      </c>
      <c r="N89" s="10">
        <f t="shared" si="170"/>
        <v>-0.85330644791714405</v>
      </c>
      <c r="O89" s="8">
        <f>'2023년 실적'!P89</f>
        <v>34826</v>
      </c>
      <c r="P89" s="38">
        <v>51680</v>
      </c>
      <c r="Q89" s="38">
        <v>44434</v>
      </c>
      <c r="R89" s="115">
        <f t="shared" si="171"/>
        <v>-0.14020897832817336</v>
      </c>
      <c r="S89" s="10">
        <f t="shared" si="172"/>
        <v>0.27588583242405096</v>
      </c>
      <c r="T89" s="52">
        <f>'2023년 실적'!U89</f>
        <v>64908</v>
      </c>
      <c r="U89" s="38">
        <v>51680</v>
      </c>
      <c r="V89" s="38">
        <v>38792</v>
      </c>
      <c r="W89" s="115">
        <f t="shared" si="173"/>
        <v>-0.24938080495356041</v>
      </c>
      <c r="X89" s="77">
        <f t="shared" si="174"/>
        <v>-0.40235410118937576</v>
      </c>
      <c r="Y89" s="8">
        <f>'2023년 실적'!Z89</f>
        <v>35386</v>
      </c>
      <c r="Z89" s="38">
        <v>51680</v>
      </c>
      <c r="AA89" s="38"/>
      <c r="AB89" s="115">
        <f t="shared" si="175"/>
        <v>-1</v>
      </c>
      <c r="AC89" s="10">
        <f t="shared" si="176"/>
        <v>-1</v>
      </c>
      <c r="AD89" s="52">
        <f>'2023년 실적'!AE89</f>
        <v>36862</v>
      </c>
      <c r="AE89" s="38">
        <v>51680</v>
      </c>
      <c r="AF89" s="38"/>
      <c r="AG89" s="115">
        <f t="shared" si="177"/>
        <v>-1</v>
      </c>
      <c r="AH89" s="77">
        <f t="shared" si="178"/>
        <v>-1</v>
      </c>
      <c r="AI89" s="8">
        <f>'2023년 실적'!AJ89</f>
        <v>40524</v>
      </c>
      <c r="AJ89" s="38">
        <v>49946</v>
      </c>
      <c r="AK89" s="38"/>
      <c r="AL89" s="115">
        <f t="shared" si="179"/>
        <v>-1</v>
      </c>
      <c r="AM89" s="10">
        <f t="shared" si="180"/>
        <v>-1</v>
      </c>
      <c r="AN89" s="52">
        <f>'2023년 실적'!AO89</f>
        <v>43794</v>
      </c>
      <c r="AO89" s="38">
        <v>49833</v>
      </c>
      <c r="AP89" s="38"/>
      <c r="AQ89" s="115">
        <f t="shared" si="181"/>
        <v>-1</v>
      </c>
      <c r="AR89" s="77">
        <f t="shared" si="182"/>
        <v>-1</v>
      </c>
      <c r="AS89" s="8">
        <f>'2023년 실적'!AT89</f>
        <v>48814</v>
      </c>
      <c r="AT89" s="38">
        <v>49180</v>
      </c>
      <c r="AU89" s="38"/>
      <c r="AV89" s="115">
        <f t="shared" si="183"/>
        <v>-1</v>
      </c>
      <c r="AW89" s="10">
        <f t="shared" si="184"/>
        <v>-1</v>
      </c>
      <c r="AX89" s="52">
        <f>'2023년 실적'!AY89</f>
        <v>45134</v>
      </c>
      <c r="AY89" s="38">
        <v>52772</v>
      </c>
      <c r="AZ89" s="38"/>
      <c r="BA89" s="115">
        <f t="shared" si="185"/>
        <v>-1</v>
      </c>
      <c r="BB89" s="77">
        <f t="shared" si="186"/>
        <v>-1</v>
      </c>
      <c r="BC89" s="8">
        <f>'2023년 실적'!BD89</f>
        <v>42492</v>
      </c>
      <c r="BD89" s="38">
        <v>50130</v>
      </c>
      <c r="BE89" s="38"/>
      <c r="BF89" s="115">
        <f t="shared" si="187"/>
        <v>-1</v>
      </c>
      <c r="BG89" s="10">
        <f t="shared" si="188"/>
        <v>-1</v>
      </c>
      <c r="BH89" s="52">
        <f>'2023년 실적'!BI89</f>
        <v>50076</v>
      </c>
      <c r="BI89" s="38">
        <v>64600</v>
      </c>
      <c r="BJ89" s="38"/>
      <c r="BK89" s="115">
        <f t="shared" si="189"/>
        <v>-1</v>
      </c>
      <c r="BL89" s="77">
        <f t="shared" si="190"/>
        <v>-1</v>
      </c>
      <c r="BM89" s="8">
        <f>'2023년 실적'!BN89</f>
        <v>82518</v>
      </c>
      <c r="BN89" s="38">
        <v>63363</v>
      </c>
      <c r="BO89" s="38"/>
      <c r="BP89" s="115">
        <f t="shared" si="191"/>
        <v>-1</v>
      </c>
      <c r="BQ89" s="10">
        <f t="shared" si="192"/>
        <v>-1</v>
      </c>
      <c r="BR89" s="52">
        <f>'2023년 실적'!BS89</f>
        <v>42012</v>
      </c>
      <c r="BS89" s="38">
        <v>56923</v>
      </c>
      <c r="BT89" s="38"/>
      <c r="BU89" s="115">
        <f t="shared" si="193"/>
        <v>-1</v>
      </c>
      <c r="BV89" s="10">
        <f t="shared" si="194"/>
        <v>-1</v>
      </c>
    </row>
    <row r="90" spans="2:74" x14ac:dyDescent="0.3">
      <c r="B90" s="301"/>
      <c r="C90" s="301"/>
      <c r="D90" s="312"/>
      <c r="E90" s="67" t="s">
        <v>27</v>
      </c>
      <c r="F90" s="45">
        <f>'2023년 실적'!F90</f>
        <v>7464</v>
      </c>
      <c r="G90" s="39">
        <f>'2023년 실적'!G90</f>
        <v>12804</v>
      </c>
      <c r="H90" s="39">
        <v>14000</v>
      </c>
      <c r="I90" s="33">
        <f t="shared" si="168"/>
        <v>9.3408309903155295E-2</v>
      </c>
      <c r="J90" s="107">
        <f t="shared" si="205"/>
        <v>12804</v>
      </c>
      <c r="K90" s="87">
        <f t="shared" si="205"/>
        <v>13945</v>
      </c>
      <c r="L90" s="87">
        <f t="shared" si="205"/>
        <v>0</v>
      </c>
      <c r="M90" s="88">
        <f t="shared" si="169"/>
        <v>-1</v>
      </c>
      <c r="N90" s="15">
        <f t="shared" si="170"/>
        <v>-1</v>
      </c>
      <c r="O90" s="13">
        <f>'2023년 실적'!P90</f>
        <v>2260</v>
      </c>
      <c r="P90" s="39">
        <v>1120</v>
      </c>
      <c r="Q90" s="39"/>
      <c r="R90" s="88">
        <f t="shared" si="171"/>
        <v>-1</v>
      </c>
      <c r="S90" s="15">
        <f t="shared" si="172"/>
        <v>-1</v>
      </c>
      <c r="T90" s="45">
        <f>'2023년 실적'!U90</f>
        <v>400</v>
      </c>
      <c r="U90" s="39">
        <v>1120</v>
      </c>
      <c r="V90" s="39"/>
      <c r="W90" s="88">
        <f t="shared" si="173"/>
        <v>-1</v>
      </c>
      <c r="X90" s="33">
        <f t="shared" si="174"/>
        <v>-1</v>
      </c>
      <c r="Y90" s="13">
        <f>'2023년 실적'!Z90</f>
        <v>0</v>
      </c>
      <c r="Z90" s="39">
        <v>1120</v>
      </c>
      <c r="AA90" s="39"/>
      <c r="AB90" s="88">
        <f t="shared" si="175"/>
        <v>-1</v>
      </c>
      <c r="AC90" s="15" t="e">
        <f t="shared" si="176"/>
        <v>#DIV/0!</v>
      </c>
      <c r="AD90" s="45">
        <f>'2023년 실적'!AE90</f>
        <v>1584</v>
      </c>
      <c r="AE90" s="39">
        <v>1120</v>
      </c>
      <c r="AF90" s="39"/>
      <c r="AG90" s="88">
        <f t="shared" si="177"/>
        <v>-1</v>
      </c>
      <c r="AH90" s="33">
        <f t="shared" si="178"/>
        <v>-1</v>
      </c>
      <c r="AI90" s="13">
        <f>'2023년 실적'!AJ90</f>
        <v>440</v>
      </c>
      <c r="AJ90" s="39">
        <v>1082</v>
      </c>
      <c r="AK90" s="39"/>
      <c r="AL90" s="88">
        <f t="shared" si="179"/>
        <v>-1</v>
      </c>
      <c r="AM90" s="15">
        <f t="shared" si="180"/>
        <v>-1</v>
      </c>
      <c r="AN90" s="45">
        <f>'2023년 실적'!AO90</f>
        <v>120</v>
      </c>
      <c r="AO90" s="39">
        <v>1080</v>
      </c>
      <c r="AP90" s="39"/>
      <c r="AQ90" s="88">
        <f t="shared" si="181"/>
        <v>-1</v>
      </c>
      <c r="AR90" s="33">
        <f t="shared" si="182"/>
        <v>-1</v>
      </c>
      <c r="AS90" s="13">
        <f>'2023년 실적'!AT90</f>
        <v>120</v>
      </c>
      <c r="AT90" s="39">
        <v>1066</v>
      </c>
      <c r="AU90" s="39"/>
      <c r="AV90" s="88">
        <f t="shared" si="183"/>
        <v>-1</v>
      </c>
      <c r="AW90" s="15">
        <f t="shared" si="184"/>
        <v>-1</v>
      </c>
      <c r="AX90" s="45">
        <f>'2023년 실적'!AY90</f>
        <v>2340</v>
      </c>
      <c r="AY90" s="39">
        <v>1144</v>
      </c>
      <c r="AZ90" s="39"/>
      <c r="BA90" s="88">
        <f t="shared" si="185"/>
        <v>-1</v>
      </c>
      <c r="BB90" s="33">
        <f t="shared" si="186"/>
        <v>-1</v>
      </c>
      <c r="BC90" s="13">
        <f>'2023년 실적'!BD90</f>
        <v>1084</v>
      </c>
      <c r="BD90" s="39">
        <v>1086</v>
      </c>
      <c r="BE90" s="39"/>
      <c r="BF90" s="88">
        <f t="shared" si="187"/>
        <v>-1</v>
      </c>
      <c r="BG90" s="15">
        <f t="shared" si="188"/>
        <v>-1</v>
      </c>
      <c r="BH90" s="45">
        <f>'2023년 실적'!BI90</f>
        <v>2372</v>
      </c>
      <c r="BI90" s="39">
        <v>1400</v>
      </c>
      <c r="BJ90" s="39"/>
      <c r="BK90" s="88">
        <f t="shared" si="189"/>
        <v>-1</v>
      </c>
      <c r="BL90" s="33">
        <f t="shared" si="190"/>
        <v>-1</v>
      </c>
      <c r="BM90" s="13">
        <f>'2023년 실적'!BN90</f>
        <v>256</v>
      </c>
      <c r="BN90" s="39">
        <v>1373</v>
      </c>
      <c r="BO90" s="39"/>
      <c r="BP90" s="88">
        <f t="shared" si="191"/>
        <v>-1</v>
      </c>
      <c r="BQ90" s="15">
        <f t="shared" si="192"/>
        <v>-1</v>
      </c>
      <c r="BR90" s="45">
        <f>'2023년 실적'!BS90</f>
        <v>1828</v>
      </c>
      <c r="BS90" s="39">
        <v>1234</v>
      </c>
      <c r="BT90" s="39"/>
      <c r="BU90" s="88">
        <f t="shared" si="193"/>
        <v>-1</v>
      </c>
      <c r="BV90" s="15">
        <f t="shared" si="194"/>
        <v>-1</v>
      </c>
    </row>
    <row r="91" spans="2:74" ht="17.25" thickBot="1" x14ac:dyDescent="0.35">
      <c r="B91" s="301"/>
      <c r="C91" s="301"/>
      <c r="D91" s="313"/>
      <c r="E91" s="193" t="s">
        <v>53</v>
      </c>
      <c r="F91" s="194">
        <f>SUM(F89:F90)</f>
        <v>500385</v>
      </c>
      <c r="G91" s="195">
        <f>SUM(G89:G90)</f>
        <v>580150</v>
      </c>
      <c r="H91" s="195">
        <f>SUM(H89:H90)</f>
        <v>660000</v>
      </c>
      <c r="I91" s="196">
        <f t="shared" si="168"/>
        <v>0.13763681806429373</v>
      </c>
      <c r="J91" s="197">
        <f t="shared" ref="J91:L91" si="206">SUM(J89:J90)</f>
        <v>580150</v>
      </c>
      <c r="K91" s="195">
        <f t="shared" si="206"/>
        <v>657412</v>
      </c>
      <c r="L91" s="195">
        <f t="shared" si="206"/>
        <v>83226</v>
      </c>
      <c r="M91" s="198">
        <f t="shared" si="169"/>
        <v>-0.87340358861718381</v>
      </c>
      <c r="N91" s="199">
        <f t="shared" si="170"/>
        <v>-0.85654399724209251</v>
      </c>
      <c r="O91" s="197">
        <f t="shared" ref="O91:Q91" si="207">SUM(O89:O90)</f>
        <v>37086</v>
      </c>
      <c r="P91" s="195">
        <f t="shared" si="207"/>
        <v>52800</v>
      </c>
      <c r="Q91" s="195">
        <f t="shared" si="207"/>
        <v>44434</v>
      </c>
      <c r="R91" s="198">
        <f t="shared" si="171"/>
        <v>-0.1584469696969697</v>
      </c>
      <c r="S91" s="199">
        <f t="shared" si="172"/>
        <v>0.19813406676373835</v>
      </c>
      <c r="T91" s="194">
        <f>SUM(T89:T90)</f>
        <v>65308</v>
      </c>
      <c r="U91" s="195">
        <f>SUM(U89:U90)</f>
        <v>52800</v>
      </c>
      <c r="V91" s="195">
        <f>SUM(V89:V90)</f>
        <v>38792</v>
      </c>
      <c r="W91" s="198">
        <f t="shared" si="173"/>
        <v>-0.26530303030303026</v>
      </c>
      <c r="X91" s="196">
        <f t="shared" si="174"/>
        <v>-0.40601457708090893</v>
      </c>
      <c r="Y91" s="197">
        <f>SUM(Y89:Y90)</f>
        <v>35386</v>
      </c>
      <c r="Z91" s="195">
        <f>SUM(Z89:Z90)</f>
        <v>52800</v>
      </c>
      <c r="AA91" s="195">
        <f>SUM(AA89:AA90)</f>
        <v>0</v>
      </c>
      <c r="AB91" s="198">
        <f t="shared" si="175"/>
        <v>-1</v>
      </c>
      <c r="AC91" s="199">
        <f t="shared" si="176"/>
        <v>-1</v>
      </c>
      <c r="AD91" s="194">
        <f>SUM(AD89:AD90)</f>
        <v>38446</v>
      </c>
      <c r="AE91" s="195">
        <f>SUM(AE89:AE90)</f>
        <v>52800</v>
      </c>
      <c r="AF91" s="195">
        <f>SUM(AF89:AF90)</f>
        <v>0</v>
      </c>
      <c r="AG91" s="198">
        <f t="shared" si="177"/>
        <v>-1</v>
      </c>
      <c r="AH91" s="196">
        <f t="shared" si="178"/>
        <v>-1</v>
      </c>
      <c r="AI91" s="197">
        <f>SUM(AI89:AI90)</f>
        <v>40964</v>
      </c>
      <c r="AJ91" s="195">
        <f>SUM(AJ89:AJ90)</f>
        <v>51028</v>
      </c>
      <c r="AK91" s="195">
        <f>SUM(AK89:AK90)</f>
        <v>0</v>
      </c>
      <c r="AL91" s="198">
        <f t="shared" si="179"/>
        <v>-1</v>
      </c>
      <c r="AM91" s="199">
        <f t="shared" si="180"/>
        <v>-1</v>
      </c>
      <c r="AN91" s="194">
        <f>SUM(AN89:AN90)</f>
        <v>43914</v>
      </c>
      <c r="AO91" s="195">
        <f>SUM(AO89:AO90)</f>
        <v>50913</v>
      </c>
      <c r="AP91" s="195">
        <f>SUM(AP89:AP90)</f>
        <v>0</v>
      </c>
      <c r="AQ91" s="198">
        <f t="shared" si="181"/>
        <v>-1</v>
      </c>
      <c r="AR91" s="196">
        <f t="shared" si="182"/>
        <v>-1</v>
      </c>
      <c r="AS91" s="197">
        <f>SUM(AS89:AS90)</f>
        <v>48934</v>
      </c>
      <c r="AT91" s="195">
        <f>SUM(AT89:AT90)</f>
        <v>50246</v>
      </c>
      <c r="AU91" s="195">
        <f>SUM(AU89:AU90)</f>
        <v>0</v>
      </c>
      <c r="AV91" s="198">
        <f t="shared" si="183"/>
        <v>-1</v>
      </c>
      <c r="AW91" s="199">
        <f t="shared" si="184"/>
        <v>-1</v>
      </c>
      <c r="AX91" s="194">
        <f>SUM(AX89:AX90)</f>
        <v>47474</v>
      </c>
      <c r="AY91" s="195">
        <f>SUM(AY89:AY90)</f>
        <v>53916</v>
      </c>
      <c r="AZ91" s="195">
        <f>SUM(AZ89:AZ90)</f>
        <v>0</v>
      </c>
      <c r="BA91" s="198">
        <f t="shared" si="185"/>
        <v>-1</v>
      </c>
      <c r="BB91" s="196">
        <f t="shared" si="186"/>
        <v>-1</v>
      </c>
      <c r="BC91" s="197">
        <f>SUM(BC89:BC90)</f>
        <v>43576</v>
      </c>
      <c r="BD91" s="195">
        <f>SUM(BD89:BD90)</f>
        <v>51216</v>
      </c>
      <c r="BE91" s="195">
        <f>SUM(BE89:BE90)</f>
        <v>0</v>
      </c>
      <c r="BF91" s="198">
        <f t="shared" si="187"/>
        <v>-1</v>
      </c>
      <c r="BG91" s="199">
        <f t="shared" si="188"/>
        <v>-1</v>
      </c>
      <c r="BH91" s="194">
        <f>SUM(BH89:BH90)</f>
        <v>52448</v>
      </c>
      <c r="BI91" s="195">
        <f>SUM(BI89:BI90)</f>
        <v>66000</v>
      </c>
      <c r="BJ91" s="195">
        <f>SUM(BJ89:BJ90)</f>
        <v>0</v>
      </c>
      <c r="BK91" s="198">
        <f t="shared" si="189"/>
        <v>-1</v>
      </c>
      <c r="BL91" s="196">
        <f t="shared" si="190"/>
        <v>-1</v>
      </c>
      <c r="BM91" s="197">
        <f>SUM(BM89:BM90)</f>
        <v>82774</v>
      </c>
      <c r="BN91" s="195">
        <f>SUM(BN89:BN90)</f>
        <v>64736</v>
      </c>
      <c r="BO91" s="195">
        <f>SUM(BO89:BO90)</f>
        <v>0</v>
      </c>
      <c r="BP91" s="198">
        <f t="shared" si="191"/>
        <v>-1</v>
      </c>
      <c r="BQ91" s="199">
        <f t="shared" si="192"/>
        <v>-1</v>
      </c>
      <c r="BR91" s="194">
        <f>SUM(BR89:BR90)</f>
        <v>43840</v>
      </c>
      <c r="BS91" s="195">
        <f>SUM(BS89:BS90)</f>
        <v>58157</v>
      </c>
      <c r="BT91" s="195">
        <f>SUM(BT89:BT90)</f>
        <v>0</v>
      </c>
      <c r="BU91" s="198">
        <f t="shared" si="193"/>
        <v>-1</v>
      </c>
      <c r="BV91" s="199">
        <f t="shared" si="194"/>
        <v>-1</v>
      </c>
    </row>
    <row r="92" spans="2:74" x14ac:dyDescent="0.3">
      <c r="B92" s="301"/>
      <c r="C92" s="301"/>
      <c r="D92" s="207" t="s">
        <v>56</v>
      </c>
      <c r="E92" s="208" t="s">
        <v>26</v>
      </c>
      <c r="F92" s="209">
        <f>'2023년 실적'!F92</f>
        <v>63204</v>
      </c>
      <c r="G92" s="210">
        <f>'2023년 실적'!G92</f>
        <v>79851</v>
      </c>
      <c r="H92" s="210">
        <v>93200</v>
      </c>
      <c r="I92" s="211">
        <f t="shared" si="168"/>
        <v>0.16717386131670242</v>
      </c>
      <c r="J92" s="212">
        <f t="shared" ref="J92:L94" si="208">O92+T92+Y92+AD92+AI92+AN92+AS92+AX92+BC92+BH92+BM92+BR92</f>
        <v>79851</v>
      </c>
      <c r="K92" s="213">
        <f t="shared" si="208"/>
        <v>92834</v>
      </c>
      <c r="L92" s="213">
        <f t="shared" si="208"/>
        <v>12478</v>
      </c>
      <c r="M92" s="214">
        <f t="shared" si="169"/>
        <v>-0.86558803886507096</v>
      </c>
      <c r="N92" s="215">
        <f t="shared" si="170"/>
        <v>-0.84373395449023803</v>
      </c>
      <c r="O92" s="216">
        <f>'2023년 실적'!P92</f>
        <v>4644</v>
      </c>
      <c r="P92" s="210">
        <v>7456</v>
      </c>
      <c r="Q92" s="210">
        <v>6046</v>
      </c>
      <c r="R92" s="214">
        <f t="shared" si="171"/>
        <v>-0.18910944206008584</v>
      </c>
      <c r="S92" s="215">
        <f t="shared" si="172"/>
        <v>0.30189491817398784</v>
      </c>
      <c r="T92" s="56">
        <f>'2023년 실적'!U92</f>
        <v>5468</v>
      </c>
      <c r="U92" s="210">
        <v>7456</v>
      </c>
      <c r="V92" s="210">
        <v>6432</v>
      </c>
      <c r="W92" s="214">
        <f t="shared" si="173"/>
        <v>-0.13733905579399142</v>
      </c>
      <c r="X92" s="211">
        <f t="shared" si="174"/>
        <v>0.17629846378931968</v>
      </c>
      <c r="Y92" s="21">
        <f>'2023년 실적'!Z92</f>
        <v>5318</v>
      </c>
      <c r="Z92" s="210">
        <v>7456</v>
      </c>
      <c r="AA92" s="210"/>
      <c r="AB92" s="214">
        <f t="shared" si="175"/>
        <v>-1</v>
      </c>
      <c r="AC92" s="215">
        <f t="shared" si="176"/>
        <v>-1</v>
      </c>
      <c r="AD92" s="56">
        <f>'2023년 실적'!AE92</f>
        <v>5171</v>
      </c>
      <c r="AE92" s="210">
        <v>7456</v>
      </c>
      <c r="AF92" s="210"/>
      <c r="AG92" s="214">
        <f t="shared" si="177"/>
        <v>-1</v>
      </c>
      <c r="AH92" s="211">
        <f t="shared" si="178"/>
        <v>-1</v>
      </c>
      <c r="AI92" s="21">
        <f>'2023년 실적'!AJ92</f>
        <v>8324</v>
      </c>
      <c r="AJ92" s="210">
        <v>7206</v>
      </c>
      <c r="AK92" s="210"/>
      <c r="AL92" s="214">
        <f t="shared" si="179"/>
        <v>-1</v>
      </c>
      <c r="AM92" s="215">
        <f t="shared" si="180"/>
        <v>-1</v>
      </c>
      <c r="AN92" s="56">
        <f>'2023년 실적'!AO92</f>
        <v>5546</v>
      </c>
      <c r="AO92" s="210">
        <v>7190</v>
      </c>
      <c r="AP92" s="210"/>
      <c r="AQ92" s="214">
        <f t="shared" si="181"/>
        <v>-1</v>
      </c>
      <c r="AR92" s="211">
        <f t="shared" si="182"/>
        <v>-1</v>
      </c>
      <c r="AS92" s="21">
        <f>'2023년 실적'!AT92</f>
        <v>7534</v>
      </c>
      <c r="AT92" s="210">
        <v>7095</v>
      </c>
      <c r="AU92" s="210"/>
      <c r="AV92" s="214">
        <f t="shared" si="183"/>
        <v>-1</v>
      </c>
      <c r="AW92" s="215">
        <f t="shared" si="184"/>
        <v>-1</v>
      </c>
      <c r="AX92" s="56">
        <f>'2023년 실적'!AY92</f>
        <v>6522</v>
      </c>
      <c r="AY92" s="210">
        <v>7614</v>
      </c>
      <c r="AZ92" s="210"/>
      <c r="BA92" s="214">
        <f t="shared" si="185"/>
        <v>-1</v>
      </c>
      <c r="BB92" s="211">
        <f t="shared" si="186"/>
        <v>-1</v>
      </c>
      <c r="BC92" s="21">
        <f>'2023년 실적'!BD92</f>
        <v>7472</v>
      </c>
      <c r="BD92" s="210">
        <v>7232</v>
      </c>
      <c r="BE92" s="210"/>
      <c r="BF92" s="214">
        <f t="shared" si="187"/>
        <v>-1</v>
      </c>
      <c r="BG92" s="215">
        <f t="shared" si="188"/>
        <v>-1</v>
      </c>
      <c r="BH92" s="56">
        <f>'2023년 실적'!BI92</f>
        <v>6844</v>
      </c>
      <c r="BI92" s="210">
        <v>9320</v>
      </c>
      <c r="BJ92" s="210"/>
      <c r="BK92" s="214">
        <f t="shared" si="189"/>
        <v>-1</v>
      </c>
      <c r="BL92" s="211">
        <f t="shared" si="190"/>
        <v>-1</v>
      </c>
      <c r="BM92" s="21">
        <f>'2023년 실적'!BN92</f>
        <v>10654</v>
      </c>
      <c r="BN92" s="210">
        <v>9141</v>
      </c>
      <c r="BO92" s="210"/>
      <c r="BP92" s="214">
        <f t="shared" si="191"/>
        <v>-1</v>
      </c>
      <c r="BQ92" s="215">
        <f t="shared" si="192"/>
        <v>-1</v>
      </c>
      <c r="BR92" s="56">
        <f>'2023년 실적'!BS92</f>
        <v>6354</v>
      </c>
      <c r="BS92" s="210">
        <v>8212</v>
      </c>
      <c r="BT92" s="210"/>
      <c r="BU92" s="214">
        <f t="shared" si="193"/>
        <v>-1</v>
      </c>
      <c r="BV92" s="215">
        <f t="shared" si="194"/>
        <v>-1</v>
      </c>
    </row>
    <row r="93" spans="2:74" ht="17.25" thickBot="1" x14ac:dyDescent="0.35">
      <c r="B93" s="301"/>
      <c r="C93" s="301"/>
      <c r="D93" s="217" t="s">
        <v>28</v>
      </c>
      <c r="E93" s="218" t="s">
        <v>28</v>
      </c>
      <c r="F93" s="219">
        <f>'2023년 실적'!F93</f>
        <v>538774</v>
      </c>
      <c r="G93" s="220">
        <f>'2023년 실적'!G93</f>
        <v>610171</v>
      </c>
      <c r="H93" s="220">
        <v>700000</v>
      </c>
      <c r="I93" s="221">
        <f t="shared" si="168"/>
        <v>0.1472193860409623</v>
      </c>
      <c r="J93" s="222">
        <f t="shared" si="208"/>
        <v>610171</v>
      </c>
      <c r="K93" s="223">
        <f t="shared" si="208"/>
        <v>697258</v>
      </c>
      <c r="L93" s="223">
        <f t="shared" si="208"/>
        <v>66427</v>
      </c>
      <c r="M93" s="224">
        <f t="shared" si="169"/>
        <v>-0.90473110383817756</v>
      </c>
      <c r="N93" s="225">
        <f t="shared" si="170"/>
        <v>-0.89113379691922434</v>
      </c>
      <c r="O93" s="226">
        <f>'2023년 실적'!P93</f>
        <v>81684</v>
      </c>
      <c r="P93" s="220">
        <v>56000</v>
      </c>
      <c r="Q93" s="220">
        <v>21880</v>
      </c>
      <c r="R93" s="224">
        <f t="shared" si="171"/>
        <v>-0.60928571428571421</v>
      </c>
      <c r="S93" s="225">
        <f>Q93/O93-1</f>
        <v>-0.73213848489300237</v>
      </c>
      <c r="T93" s="57">
        <f>'2023년 실적'!U93</f>
        <v>17244</v>
      </c>
      <c r="U93" s="220">
        <v>56000</v>
      </c>
      <c r="V93" s="220">
        <v>44547</v>
      </c>
      <c r="W93" s="224">
        <f t="shared" si="173"/>
        <v>-0.2045178571428572</v>
      </c>
      <c r="X93" s="221">
        <f t="shared" si="174"/>
        <v>1.5833333333333335</v>
      </c>
      <c r="Y93" s="24">
        <f>'2023년 실적'!Z93</f>
        <v>53596</v>
      </c>
      <c r="Z93" s="220">
        <v>56000</v>
      </c>
      <c r="AA93" s="220"/>
      <c r="AB93" s="224">
        <f t="shared" si="175"/>
        <v>-1</v>
      </c>
      <c r="AC93" s="225">
        <f t="shared" si="176"/>
        <v>-1</v>
      </c>
      <c r="AD93" s="57">
        <f>'2023년 실적'!AE93</f>
        <v>41890</v>
      </c>
      <c r="AE93" s="220">
        <v>56000</v>
      </c>
      <c r="AF93" s="220"/>
      <c r="AG93" s="224">
        <f t="shared" si="177"/>
        <v>-1</v>
      </c>
      <c r="AH93" s="221">
        <f t="shared" si="178"/>
        <v>-1</v>
      </c>
      <c r="AI93" s="24">
        <f>'2023년 실적'!AJ93</f>
        <v>54348</v>
      </c>
      <c r="AJ93" s="220">
        <v>54122</v>
      </c>
      <c r="AK93" s="220"/>
      <c r="AL93" s="224">
        <f t="shared" si="179"/>
        <v>-1</v>
      </c>
      <c r="AM93" s="225">
        <f t="shared" si="180"/>
        <v>-1</v>
      </c>
      <c r="AN93" s="57">
        <f>'2023년 실적'!AO93</f>
        <v>36664</v>
      </c>
      <c r="AO93" s="220">
        <v>53999</v>
      </c>
      <c r="AP93" s="220"/>
      <c r="AQ93" s="224">
        <f t="shared" si="181"/>
        <v>-1</v>
      </c>
      <c r="AR93" s="221">
        <f t="shared" si="182"/>
        <v>-1</v>
      </c>
      <c r="AS93" s="24">
        <f>'2023년 실적'!AT93</f>
        <v>41556</v>
      </c>
      <c r="AT93" s="220">
        <v>53291</v>
      </c>
      <c r="AU93" s="220"/>
      <c r="AV93" s="224">
        <f t="shared" si="183"/>
        <v>-1</v>
      </c>
      <c r="AW93" s="225">
        <f t="shared" si="184"/>
        <v>-1</v>
      </c>
      <c r="AX93" s="57">
        <f>'2023년 실적'!AY93</f>
        <v>50256</v>
      </c>
      <c r="AY93" s="220">
        <v>57184</v>
      </c>
      <c r="AZ93" s="220"/>
      <c r="BA93" s="224">
        <f t="shared" si="185"/>
        <v>-1</v>
      </c>
      <c r="BB93" s="221">
        <f t="shared" si="186"/>
        <v>-1</v>
      </c>
      <c r="BC93" s="24">
        <f>'2023년 실적'!BD93</f>
        <v>46420</v>
      </c>
      <c r="BD93" s="220">
        <v>54321</v>
      </c>
      <c r="BE93" s="220"/>
      <c r="BF93" s="224">
        <f t="shared" si="187"/>
        <v>-1</v>
      </c>
      <c r="BG93" s="225">
        <f t="shared" si="188"/>
        <v>-1</v>
      </c>
      <c r="BH93" s="57">
        <f>'2023년 실적'!BI93</f>
        <v>110267</v>
      </c>
      <c r="BI93" s="220">
        <v>70000</v>
      </c>
      <c r="BJ93" s="220"/>
      <c r="BK93" s="224">
        <f t="shared" si="189"/>
        <v>-1</v>
      </c>
      <c r="BL93" s="221">
        <f t="shared" si="190"/>
        <v>-1</v>
      </c>
      <c r="BM93" s="24">
        <f>'2023년 실적'!BN93</f>
        <v>7779</v>
      </c>
      <c r="BN93" s="220">
        <v>68659</v>
      </c>
      <c r="BO93" s="220"/>
      <c r="BP93" s="224">
        <f t="shared" si="191"/>
        <v>-1</v>
      </c>
      <c r="BQ93" s="225">
        <f t="shared" si="192"/>
        <v>-1</v>
      </c>
      <c r="BR93" s="57">
        <f>'2023년 실적'!BS93</f>
        <v>68467</v>
      </c>
      <c r="BS93" s="220">
        <v>61682</v>
      </c>
      <c r="BT93" s="220"/>
      <c r="BU93" s="224">
        <f t="shared" si="193"/>
        <v>-1</v>
      </c>
      <c r="BV93" s="225">
        <f t="shared" si="194"/>
        <v>-1</v>
      </c>
    </row>
    <row r="94" spans="2:74" ht="17.25" thickBot="1" x14ac:dyDescent="0.35">
      <c r="B94" s="301" t="s">
        <v>29</v>
      </c>
      <c r="C94" s="302"/>
      <c r="D94" s="316" t="s">
        <v>30</v>
      </c>
      <c r="E94" s="317"/>
      <c r="F94" s="227">
        <f>'2023년 실적'!F94</f>
        <v>763556</v>
      </c>
      <c r="G94" s="228">
        <f>'2023년 실적'!G94</f>
        <v>835396</v>
      </c>
      <c r="H94" s="228">
        <v>890000</v>
      </c>
      <c r="I94" s="229">
        <f t="shared" si="168"/>
        <v>6.5363013469061482E-2</v>
      </c>
      <c r="J94" s="230">
        <f t="shared" si="208"/>
        <v>833004</v>
      </c>
      <c r="K94" s="231">
        <f t="shared" si="208"/>
        <v>886511</v>
      </c>
      <c r="L94" s="231">
        <f t="shared" si="208"/>
        <v>0</v>
      </c>
      <c r="M94" s="232">
        <f t="shared" si="169"/>
        <v>-1</v>
      </c>
      <c r="N94" s="233">
        <f t="shared" si="170"/>
        <v>-1</v>
      </c>
      <c r="O94" s="234">
        <f>'2023년 실적'!P94</f>
        <v>50064</v>
      </c>
      <c r="P94" s="228">
        <v>71200</v>
      </c>
      <c r="Q94" s="228"/>
      <c r="R94" s="232">
        <f t="shared" si="171"/>
        <v>-1</v>
      </c>
      <c r="S94" s="233">
        <f>Q94/O94-1</f>
        <v>-1</v>
      </c>
      <c r="T94" s="227">
        <f>'2023년 실적'!U94</f>
        <v>74084</v>
      </c>
      <c r="U94" s="228">
        <v>71200</v>
      </c>
      <c r="V94" s="228"/>
      <c r="W94" s="232">
        <f t="shared" si="173"/>
        <v>-1</v>
      </c>
      <c r="X94" s="229">
        <f t="shared" si="174"/>
        <v>-1</v>
      </c>
      <c r="Y94" s="157">
        <f>'2023년 실적'!Z94</f>
        <v>68072</v>
      </c>
      <c r="Z94" s="228">
        <v>71200</v>
      </c>
      <c r="AA94" s="228"/>
      <c r="AB94" s="232">
        <f t="shared" si="175"/>
        <v>-1</v>
      </c>
      <c r="AC94" s="233">
        <f t="shared" si="176"/>
        <v>-1</v>
      </c>
      <c r="AD94" s="235">
        <f>'2023년 실적'!AE94</f>
        <v>84535</v>
      </c>
      <c r="AE94" s="228">
        <v>71200</v>
      </c>
      <c r="AF94" s="228"/>
      <c r="AG94" s="232">
        <f t="shared" si="177"/>
        <v>-1</v>
      </c>
      <c r="AH94" s="229">
        <f t="shared" si="178"/>
        <v>-1</v>
      </c>
      <c r="AI94" s="157">
        <f>'2023년 실적'!AJ94</f>
        <v>74509</v>
      </c>
      <c r="AJ94" s="228">
        <v>68812</v>
      </c>
      <c r="AK94" s="228"/>
      <c r="AL94" s="232">
        <f t="shared" si="179"/>
        <v>-1</v>
      </c>
      <c r="AM94" s="233">
        <f t="shared" si="180"/>
        <v>-1</v>
      </c>
      <c r="AN94" s="227">
        <f>'2023년 실적'!AO94</f>
        <v>54213</v>
      </c>
      <c r="AO94" s="228">
        <v>68655</v>
      </c>
      <c r="AP94" s="228"/>
      <c r="AQ94" s="232">
        <f t="shared" si="181"/>
        <v>-1</v>
      </c>
      <c r="AR94" s="229">
        <f t="shared" si="182"/>
        <v>-1</v>
      </c>
      <c r="AS94" s="157">
        <f>'2023년 실적'!AT94</f>
        <v>72579</v>
      </c>
      <c r="AT94" s="228">
        <v>67755</v>
      </c>
      <c r="AU94" s="228"/>
      <c r="AV94" s="232">
        <f t="shared" si="183"/>
        <v>-1</v>
      </c>
      <c r="AW94" s="233">
        <f t="shared" si="184"/>
        <v>-1</v>
      </c>
      <c r="AX94" s="235">
        <f>'2023년 실적'!AY94</f>
        <v>66753</v>
      </c>
      <c r="AY94" s="228">
        <v>72705</v>
      </c>
      <c r="AZ94" s="228"/>
      <c r="BA94" s="232">
        <f t="shared" si="185"/>
        <v>-1</v>
      </c>
      <c r="BB94" s="229">
        <f t="shared" si="186"/>
        <v>-1</v>
      </c>
      <c r="BC94" s="157">
        <f>'2023년 실적'!BD94</f>
        <v>57761</v>
      </c>
      <c r="BD94" s="228">
        <v>69065</v>
      </c>
      <c r="BE94" s="228"/>
      <c r="BF94" s="232">
        <f t="shared" si="187"/>
        <v>-1</v>
      </c>
      <c r="BG94" s="233">
        <f t="shared" si="188"/>
        <v>-1</v>
      </c>
      <c r="BH94" s="235">
        <f>'2023년 실적'!BI94</f>
        <v>79856</v>
      </c>
      <c r="BI94" s="228">
        <v>89000</v>
      </c>
      <c r="BJ94" s="228"/>
      <c r="BK94" s="232">
        <f t="shared" si="189"/>
        <v>-1</v>
      </c>
      <c r="BL94" s="229">
        <f t="shared" si="190"/>
        <v>-1</v>
      </c>
      <c r="BM94" s="234">
        <f>'2023년 실적'!BN94</f>
        <v>86024</v>
      </c>
      <c r="BN94" s="228">
        <v>87295</v>
      </c>
      <c r="BO94" s="228"/>
      <c r="BP94" s="232">
        <f t="shared" si="191"/>
        <v>-1</v>
      </c>
      <c r="BQ94" s="233">
        <f t="shared" si="192"/>
        <v>-1</v>
      </c>
      <c r="BR94" s="227">
        <f>'2023년 실적'!BS94</f>
        <v>64554</v>
      </c>
      <c r="BS94" s="228">
        <v>78424</v>
      </c>
      <c r="BT94" s="228"/>
      <c r="BU94" s="232">
        <f t="shared" si="193"/>
        <v>-1</v>
      </c>
      <c r="BV94" s="233">
        <f t="shared" si="194"/>
        <v>-1</v>
      </c>
    </row>
    <row r="95" spans="2:74" ht="17.25" thickBot="1" x14ac:dyDescent="0.35">
      <c r="B95" s="312"/>
      <c r="C95" s="318" t="s">
        <v>31</v>
      </c>
      <c r="D95" s="321" t="s">
        <v>32</v>
      </c>
      <c r="E95" s="322"/>
      <c r="F95" s="56">
        <v>358721</v>
      </c>
      <c r="G95" s="41">
        <v>358721</v>
      </c>
      <c r="H95" s="41">
        <f>ROUND(H96/24,0)</f>
        <v>333555</v>
      </c>
      <c r="I95" s="81">
        <f t="shared" si="168"/>
        <v>-7.0154799969893045E-2</v>
      </c>
      <c r="J95" s="8">
        <f t="shared" ref="J95:L95" si="209">BR95</f>
        <v>340569</v>
      </c>
      <c r="K95" s="8">
        <f t="shared" si="209"/>
        <v>0</v>
      </c>
      <c r="L95" s="8">
        <f t="shared" si="209"/>
        <v>0</v>
      </c>
      <c r="M95" s="112" t="e">
        <f t="shared" si="169"/>
        <v>#DIV/0!</v>
      </c>
      <c r="N95" s="23">
        <f t="shared" si="170"/>
        <v>-1</v>
      </c>
      <c r="O95" s="21">
        <f>'2023년 실적'!P95</f>
        <v>631428</v>
      </c>
      <c r="P95" s="41">
        <f>ROUND(P96/2,2)</f>
        <v>283500.5</v>
      </c>
      <c r="Q95" s="41">
        <v>329768</v>
      </c>
      <c r="R95" s="112"/>
      <c r="S95" s="23">
        <f t="shared" ref="S95:S105" si="210">Q95/O95-1</f>
        <v>-0.47774251379413013</v>
      </c>
      <c r="T95" s="56">
        <f>'2023년 실적'!U95</f>
        <v>356790</v>
      </c>
      <c r="U95" s="41">
        <f>U96/2</f>
        <v>333555.20333333337</v>
      </c>
      <c r="V95" s="41">
        <v>278123</v>
      </c>
      <c r="W95" s="112">
        <f t="shared" si="173"/>
        <v>-0.16618599493990815</v>
      </c>
      <c r="X95" s="81">
        <f t="shared" si="174"/>
        <v>-0.22048543961433897</v>
      </c>
      <c r="Y95" s="21">
        <f>'2023년 실적'!Z95</f>
        <v>342979</v>
      </c>
      <c r="Z95" s="41">
        <f>Z96/2</f>
        <v>333555.20333333337</v>
      </c>
      <c r="AA95" s="41"/>
      <c r="AB95" s="112">
        <f t="shared" si="175"/>
        <v>-1</v>
      </c>
      <c r="AC95" s="23">
        <f t="shared" si="176"/>
        <v>-1</v>
      </c>
      <c r="AD95" s="56">
        <f>'2023년 실적'!AE95</f>
        <v>309133</v>
      </c>
      <c r="AE95" s="41"/>
      <c r="AF95" s="41"/>
      <c r="AG95" s="112" t="e">
        <f t="shared" si="177"/>
        <v>#DIV/0!</v>
      </c>
      <c r="AH95" s="81">
        <f t="shared" si="178"/>
        <v>-1</v>
      </c>
      <c r="AI95" s="21">
        <f>'2023년 실적'!AJ95</f>
        <v>349942</v>
      </c>
      <c r="AJ95" s="41"/>
      <c r="AK95" s="41"/>
      <c r="AL95" s="112" t="e">
        <f t="shared" si="179"/>
        <v>#DIV/0!</v>
      </c>
      <c r="AM95" s="23">
        <f t="shared" si="180"/>
        <v>-1</v>
      </c>
      <c r="AN95" s="56">
        <f>'2023년 실적'!AO95</f>
        <v>631428</v>
      </c>
      <c r="AO95" s="41"/>
      <c r="AP95" s="41"/>
      <c r="AQ95" s="112" t="e">
        <f t="shared" si="181"/>
        <v>#DIV/0!</v>
      </c>
      <c r="AR95" s="81">
        <f t="shared" si="182"/>
        <v>-1</v>
      </c>
      <c r="AS95" s="21">
        <f>'2023년 실적'!AT95</f>
        <v>252188</v>
      </c>
      <c r="AT95" s="41"/>
      <c r="AU95" s="41"/>
      <c r="AV95" s="112" t="e">
        <f t="shared" si="183"/>
        <v>#DIV/0!</v>
      </c>
      <c r="AW95" s="23">
        <f t="shared" si="184"/>
        <v>-1</v>
      </c>
      <c r="AX95" s="56">
        <f>'2023년 실적'!AY95</f>
        <v>232179</v>
      </c>
      <c r="AY95" s="41"/>
      <c r="AZ95" s="41"/>
      <c r="BA95" s="112" t="e">
        <f t="shared" si="185"/>
        <v>#DIV/0!</v>
      </c>
      <c r="BB95" s="81">
        <f t="shared" si="186"/>
        <v>-1</v>
      </c>
      <c r="BC95" s="21">
        <f>'2023년 실적'!BD95</f>
        <v>327994</v>
      </c>
      <c r="BD95" s="41"/>
      <c r="BE95" s="41"/>
      <c r="BF95" s="112" t="e">
        <f t="shared" si="187"/>
        <v>#DIV/0!</v>
      </c>
      <c r="BG95" s="23">
        <f t="shared" si="188"/>
        <v>-1</v>
      </c>
      <c r="BH95" s="56">
        <f>'2023년 실적'!BI95</f>
        <v>529532</v>
      </c>
      <c r="BI95" s="41"/>
      <c r="BJ95" s="41"/>
      <c r="BK95" s="112" t="e">
        <f t="shared" si="189"/>
        <v>#DIV/0!</v>
      </c>
      <c r="BL95" s="81">
        <f t="shared" si="190"/>
        <v>-1</v>
      </c>
      <c r="BM95" s="21">
        <f>'2023년 실적'!BN95</f>
        <v>447516</v>
      </c>
      <c r="BN95" s="41"/>
      <c r="BO95" s="41"/>
      <c r="BP95" s="112" t="e">
        <f t="shared" si="191"/>
        <v>#DIV/0!</v>
      </c>
      <c r="BQ95" s="23">
        <f t="shared" si="192"/>
        <v>-1</v>
      </c>
      <c r="BR95" s="56">
        <f>'2023년 실적'!BS95</f>
        <v>340569</v>
      </c>
      <c r="BS95" s="41"/>
      <c r="BT95" s="41"/>
      <c r="BU95" s="112" t="e">
        <f t="shared" si="193"/>
        <v>#DIV/0!</v>
      </c>
      <c r="BV95" s="23">
        <f t="shared" si="194"/>
        <v>-1</v>
      </c>
    </row>
    <row r="96" spans="2:74" ht="17.25" thickBot="1" x14ac:dyDescent="0.35">
      <c r="B96" s="312"/>
      <c r="C96" s="319"/>
      <c r="D96" s="305" t="s">
        <v>33</v>
      </c>
      <c r="E96" s="306"/>
      <c r="F96" s="164">
        <v>5704093</v>
      </c>
      <c r="G96" s="165">
        <v>5704093</v>
      </c>
      <c r="H96" s="165">
        <f>H97</f>
        <v>8005324.8800000008</v>
      </c>
      <c r="I96" s="169">
        <f t="shared" si="168"/>
        <v>0.4034351964457803</v>
      </c>
      <c r="J96" s="131">
        <f t="shared" ref="J96:L96" si="211">O96+T96+Y96+AD96+AI96+AN96+AS96+AX96+BC96+BH96+BM96+BR96</f>
        <v>5827355</v>
      </c>
      <c r="K96" s="132">
        <f t="shared" si="211"/>
        <v>1901221.8133333335</v>
      </c>
      <c r="L96" s="132">
        <f t="shared" si="211"/>
        <v>738286</v>
      </c>
      <c r="M96" s="166">
        <f t="shared" si="169"/>
        <v>-0.61167813517477287</v>
      </c>
      <c r="N96" s="25">
        <f t="shared" si="170"/>
        <v>-0.87330684332771902</v>
      </c>
      <c r="O96" s="24">
        <f>'2023년 실적'!P96</f>
        <v>660352</v>
      </c>
      <c r="P96" s="165">
        <f>P97</f>
        <v>567001</v>
      </c>
      <c r="Q96" s="165">
        <v>341246</v>
      </c>
      <c r="R96" s="166">
        <f t="shared" ref="R96:R105" si="212">Q96/P96-1</f>
        <v>-0.39815626427466622</v>
      </c>
      <c r="S96" s="25">
        <f t="shared" si="210"/>
        <v>-0.48323621341345224</v>
      </c>
      <c r="T96" s="57">
        <f>'2023년 실적'!U96</f>
        <v>384987</v>
      </c>
      <c r="U96" s="165">
        <f>U97</f>
        <v>667110.40666666673</v>
      </c>
      <c r="V96" s="165">
        <v>397040</v>
      </c>
      <c r="W96" s="166">
        <f t="shared" si="173"/>
        <v>-0.40483614701218729</v>
      </c>
      <c r="X96" s="82">
        <f t="shared" si="174"/>
        <v>3.130755064456725E-2</v>
      </c>
      <c r="Y96" s="24">
        <f>'2023년 실적'!Z96</f>
        <v>450197</v>
      </c>
      <c r="Z96" s="165">
        <f>Z97</f>
        <v>667110.40666666673</v>
      </c>
      <c r="AA96" s="165"/>
      <c r="AB96" s="166">
        <f t="shared" si="175"/>
        <v>-1</v>
      </c>
      <c r="AC96" s="25">
        <f t="shared" si="176"/>
        <v>-1</v>
      </c>
      <c r="AD96" s="57">
        <f>'2023년 실적'!AE96</f>
        <v>476422</v>
      </c>
      <c r="AE96" s="165"/>
      <c r="AF96" s="165"/>
      <c r="AG96" s="166" t="e">
        <f t="shared" si="177"/>
        <v>#DIV/0!</v>
      </c>
      <c r="AH96" s="82">
        <f t="shared" si="178"/>
        <v>-1</v>
      </c>
      <c r="AI96" s="24">
        <f>'2023년 실적'!AJ96</f>
        <v>570143</v>
      </c>
      <c r="AJ96" s="165"/>
      <c r="AK96" s="165"/>
      <c r="AL96" s="166" t="e">
        <f t="shared" si="179"/>
        <v>#DIV/0!</v>
      </c>
      <c r="AM96" s="25">
        <f t="shared" si="180"/>
        <v>-1</v>
      </c>
      <c r="AN96" s="57">
        <f>'2023년 실적'!AO96</f>
        <v>401556</v>
      </c>
      <c r="AO96" s="165"/>
      <c r="AP96" s="165"/>
      <c r="AQ96" s="166" t="e">
        <f t="shared" si="181"/>
        <v>#DIV/0!</v>
      </c>
      <c r="AR96" s="82">
        <f t="shared" si="182"/>
        <v>-1</v>
      </c>
      <c r="AS96" s="24">
        <f>'2023년 실적'!AT96</f>
        <v>334659</v>
      </c>
      <c r="AT96" s="165"/>
      <c r="AU96" s="165"/>
      <c r="AV96" s="166" t="e">
        <f t="shared" si="183"/>
        <v>#DIV/0!</v>
      </c>
      <c r="AW96" s="25">
        <f t="shared" si="184"/>
        <v>-1</v>
      </c>
      <c r="AX96" s="57">
        <f>'2023년 실적'!AY96</f>
        <v>415213</v>
      </c>
      <c r="AY96" s="165"/>
      <c r="AZ96" s="165"/>
      <c r="BA96" s="166" t="e">
        <f t="shared" si="185"/>
        <v>#DIV/0!</v>
      </c>
      <c r="BB96" s="82">
        <f t="shared" si="186"/>
        <v>-1</v>
      </c>
      <c r="BC96" s="24">
        <f>'2023년 실적'!BD96</f>
        <v>475682</v>
      </c>
      <c r="BD96" s="165"/>
      <c r="BE96" s="165"/>
      <c r="BF96" s="166" t="e">
        <f t="shared" si="187"/>
        <v>#DIV/0!</v>
      </c>
      <c r="BG96" s="25">
        <f t="shared" si="188"/>
        <v>-1</v>
      </c>
      <c r="BH96" s="57">
        <f>'2023년 실적'!BI96</f>
        <v>808061</v>
      </c>
      <c r="BI96" s="165"/>
      <c r="BJ96" s="165"/>
      <c r="BK96" s="166" t="e">
        <f t="shared" si="189"/>
        <v>#DIV/0!</v>
      </c>
      <c r="BL96" s="82">
        <f t="shared" si="190"/>
        <v>-1</v>
      </c>
      <c r="BM96" s="24">
        <f>'2023년 실적'!BN96</f>
        <v>492353</v>
      </c>
      <c r="BN96" s="165"/>
      <c r="BO96" s="165"/>
      <c r="BP96" s="166" t="e">
        <f t="shared" si="191"/>
        <v>#DIV/0!</v>
      </c>
      <c r="BQ96" s="25">
        <f t="shared" si="192"/>
        <v>-1</v>
      </c>
      <c r="BR96" s="57">
        <f>'2023년 실적'!BS96</f>
        <v>357730</v>
      </c>
      <c r="BS96" s="165"/>
      <c r="BT96" s="165"/>
      <c r="BU96" s="166" t="e">
        <f t="shared" si="193"/>
        <v>#DIV/0!</v>
      </c>
      <c r="BV96" s="25">
        <f t="shared" si="194"/>
        <v>-1</v>
      </c>
    </row>
    <row r="97" spans="2:74" ht="17.25" thickBot="1" x14ac:dyDescent="0.35">
      <c r="B97" s="312"/>
      <c r="C97" s="319"/>
      <c r="D97" s="307" t="s">
        <v>34</v>
      </c>
      <c r="E97" s="308"/>
      <c r="F97" s="170">
        <f>SUM(F98:F104)</f>
        <v>7247124.9000000004</v>
      </c>
      <c r="G97" s="171">
        <f>SUM(G98:G104)</f>
        <v>7144286</v>
      </c>
      <c r="H97" s="171">
        <f>SUM(H98:H104)</f>
        <v>8005324.8800000008</v>
      </c>
      <c r="I97" s="172">
        <f t="shared" si="168"/>
        <v>0.12052133411232435</v>
      </c>
      <c r="J97" s="173">
        <f>SUM(J98:J104)</f>
        <v>7144286</v>
      </c>
      <c r="K97" s="171">
        <f>SUM(K98:K104)</f>
        <v>7327894.0333333341</v>
      </c>
      <c r="L97" s="171">
        <f>SUM(L98:L104)</f>
        <v>6843324</v>
      </c>
      <c r="M97" s="174">
        <f t="shared" si="169"/>
        <v>-6.6126779553458026E-2</v>
      </c>
      <c r="N97" s="175">
        <f t="shared" si="170"/>
        <v>-4.2126253064337038E-2</v>
      </c>
      <c r="O97" s="173">
        <f>SUM(O98:O104)</f>
        <v>487727</v>
      </c>
      <c r="P97" s="171">
        <f>SUM(P98:P104)</f>
        <v>567001</v>
      </c>
      <c r="Q97" s="171">
        <f>SUM(Q98:Q104)</f>
        <v>521256</v>
      </c>
      <c r="R97" s="174">
        <f t="shared" si="212"/>
        <v>-8.0678870054902929E-2</v>
      </c>
      <c r="S97" s="175">
        <f t="shared" si="210"/>
        <v>6.8745425207134225E-2</v>
      </c>
      <c r="T97" s="170">
        <f>SUM(T98:T104)</f>
        <v>744060</v>
      </c>
      <c r="U97" s="171">
        <f>SUM(U98:U104)</f>
        <v>667110.40666666673</v>
      </c>
      <c r="V97" s="171">
        <f>SUM(V98:V104)</f>
        <v>506781</v>
      </c>
      <c r="W97" s="174">
        <f t="shared" si="173"/>
        <v>-0.24033414119228114</v>
      </c>
      <c r="X97" s="172">
        <f t="shared" si="174"/>
        <v>-0.31889766954277876</v>
      </c>
      <c r="Y97" s="173">
        <f>SUM(Y98:Y104)</f>
        <v>576987</v>
      </c>
      <c r="Z97" s="171">
        <f>SUM(Z98:Z104)</f>
        <v>667110.40666666673</v>
      </c>
      <c r="AA97" s="171">
        <f>SUM(AA98:AA104)</f>
        <v>595429</v>
      </c>
      <c r="AB97" s="174">
        <f t="shared" si="175"/>
        <v>-0.10745058981291467</v>
      </c>
      <c r="AC97" s="175">
        <f t="shared" si="176"/>
        <v>3.1962591878153201E-2</v>
      </c>
      <c r="AD97" s="170">
        <f>SUM(AD98:AD104)</f>
        <v>604107</v>
      </c>
      <c r="AE97" s="171">
        <f>SUM(AE98:AE104)</f>
        <v>667110.40666666673</v>
      </c>
      <c r="AF97" s="171">
        <f>SUM(AF98:AF104)</f>
        <v>574755</v>
      </c>
      <c r="AG97" s="174">
        <f t="shared" si="177"/>
        <v>-0.13844096231107617</v>
      </c>
      <c r="AH97" s="172">
        <f t="shared" si="178"/>
        <v>-4.8587419116149944E-2</v>
      </c>
      <c r="AI97" s="173">
        <f>SUM(AI98:AI104)</f>
        <v>647714</v>
      </c>
      <c r="AJ97" s="171">
        <f>SUM(AJ98:AJ104)</f>
        <v>667110.40666666673</v>
      </c>
      <c r="AK97" s="171">
        <f>SUM(AK98:AK104)</f>
        <v>642827</v>
      </c>
      <c r="AL97" s="174">
        <f t="shared" si="179"/>
        <v>-3.640088120945828E-2</v>
      </c>
      <c r="AM97" s="175">
        <f t="shared" si="180"/>
        <v>-7.5449967115115424E-3</v>
      </c>
      <c r="AN97" s="170">
        <f>SUM(AN98:AN104)</f>
        <v>579654</v>
      </c>
      <c r="AO97" s="171">
        <f>SUM(AO98:AO104)</f>
        <v>667110.40666666673</v>
      </c>
      <c r="AP97" s="171">
        <f>SUM(AP98:AP104)</f>
        <v>506078</v>
      </c>
      <c r="AQ97" s="174">
        <f t="shared" si="181"/>
        <v>-0.24138793977340745</v>
      </c>
      <c r="AR97" s="172">
        <f t="shared" si="182"/>
        <v>-0.1269308932570119</v>
      </c>
      <c r="AS97" s="173">
        <f>SUM(AS98:AS104)</f>
        <v>518998</v>
      </c>
      <c r="AT97" s="171">
        <f>SUM(AT98:AT104)</f>
        <v>567001</v>
      </c>
      <c r="AU97" s="171">
        <f>SUM(AU98:AU104)</f>
        <v>602774</v>
      </c>
      <c r="AV97" s="174">
        <f t="shared" si="183"/>
        <v>6.30915994857153E-2</v>
      </c>
      <c r="AW97" s="175">
        <f t="shared" si="184"/>
        <v>0.16141873379088167</v>
      </c>
      <c r="AX97" s="170">
        <f>SUM(AX98:AX104)</f>
        <v>542556</v>
      </c>
      <c r="AY97" s="171">
        <f>SUM(AY98:AY104)</f>
        <v>571668</v>
      </c>
      <c r="AZ97" s="171">
        <f>SUM(AZ98:AZ104)</f>
        <v>554339</v>
      </c>
      <c r="BA97" s="174">
        <f t="shared" si="185"/>
        <v>-3.0313048832539158E-2</v>
      </c>
      <c r="BB97" s="172">
        <f t="shared" si="186"/>
        <v>2.1717573854127536E-2</v>
      </c>
      <c r="BC97" s="173">
        <f>SUM(BC98:BC104)</f>
        <v>482790</v>
      </c>
      <c r="BD97" s="171">
        <f>SUM(BD98:BD104)</f>
        <v>571668</v>
      </c>
      <c r="BE97" s="171">
        <f>SUM(BE98:BE104)</f>
        <v>484768</v>
      </c>
      <c r="BF97" s="174">
        <f t="shared" si="187"/>
        <v>-0.15201130726225709</v>
      </c>
      <c r="BG97" s="175">
        <f t="shared" si="188"/>
        <v>4.097019408024094E-3</v>
      </c>
      <c r="BH97" s="170">
        <f>SUM(BH98:BH104)</f>
        <v>733558</v>
      </c>
      <c r="BI97" s="171">
        <f>SUM(BI98:BI104)</f>
        <v>571668</v>
      </c>
      <c r="BJ97" s="171">
        <f>SUM(BJ98:BJ104)</f>
        <v>603717</v>
      </c>
      <c r="BK97" s="174">
        <f t="shared" si="189"/>
        <v>5.6062259913096435E-2</v>
      </c>
      <c r="BL97" s="172">
        <f t="shared" si="190"/>
        <v>-0.17700168221190415</v>
      </c>
      <c r="BM97" s="173">
        <f>SUM(BM98:BM104)</f>
        <v>652822</v>
      </c>
      <c r="BN97" s="171">
        <f>SUM(BN98:BN104)</f>
        <v>571668</v>
      </c>
      <c r="BO97" s="171">
        <f>SUM(BO98:BO104)</f>
        <v>617592</v>
      </c>
      <c r="BP97" s="174">
        <f t="shared" si="191"/>
        <v>8.0333340330401626E-2</v>
      </c>
      <c r="BQ97" s="175">
        <f t="shared" si="192"/>
        <v>-5.3965705812610509E-2</v>
      </c>
      <c r="BR97" s="170">
        <f>SUM(BR98:BR104)</f>
        <v>573313</v>
      </c>
      <c r="BS97" s="171">
        <f>SUM(BS98:BS104)</f>
        <v>571668</v>
      </c>
      <c r="BT97" s="171">
        <f>SUM(BT98:BT104)</f>
        <v>633008</v>
      </c>
      <c r="BU97" s="174">
        <f t="shared" si="193"/>
        <v>0.10730004128270254</v>
      </c>
      <c r="BV97" s="175">
        <f t="shared" si="194"/>
        <v>0.10412287877651472</v>
      </c>
    </row>
    <row r="98" spans="2:74" x14ac:dyDescent="0.3">
      <c r="B98" s="312"/>
      <c r="C98" s="319"/>
      <c r="D98" s="321" t="s">
        <v>35</v>
      </c>
      <c r="E98" s="322"/>
      <c r="F98" s="56">
        <v>1353342</v>
      </c>
      <c r="G98" s="41">
        <f>'2023년 실적'!G98</f>
        <v>1326210</v>
      </c>
      <c r="H98" s="41">
        <f>G98*1.12</f>
        <v>1485355.2000000002</v>
      </c>
      <c r="I98" s="81">
        <f t="shared" si="168"/>
        <v>0.12000000000000011</v>
      </c>
      <c r="J98" s="129">
        <f t="shared" ref="J98:L104" si="213">O98+T98+Y98+AD98+AI98+AN98+AS98+AX98+BC98+BH98+BM98+BR98</f>
        <v>1326210</v>
      </c>
      <c r="K98" s="130">
        <f t="shared" si="213"/>
        <v>1136338</v>
      </c>
      <c r="L98" s="130">
        <f t="shared" si="213"/>
        <v>1143380</v>
      </c>
      <c r="M98" s="112">
        <f t="shared" si="169"/>
        <v>6.197099806571682E-3</v>
      </c>
      <c r="N98" s="23">
        <f t="shared" si="170"/>
        <v>-0.13785901177038329</v>
      </c>
      <c r="O98" s="21">
        <v>76068</v>
      </c>
      <c r="P98" s="41">
        <f>ROUND($H30/12*1.12,0)</f>
        <v>73920</v>
      </c>
      <c r="Q98" s="41">
        <v>106467</v>
      </c>
      <c r="R98" s="112">
        <f t="shared" si="212"/>
        <v>0.44030032467532476</v>
      </c>
      <c r="S98" s="23">
        <f t="shared" si="210"/>
        <v>0.39962927906609869</v>
      </c>
      <c r="T98" s="56">
        <v>363330</v>
      </c>
      <c r="U98" s="41">
        <f>$H98/12</f>
        <v>123779.60000000002</v>
      </c>
      <c r="V98" s="41">
        <v>82544</v>
      </c>
      <c r="W98" s="112">
        <f t="shared" si="173"/>
        <v>-0.33313728595018899</v>
      </c>
      <c r="X98" s="81">
        <f t="shared" si="174"/>
        <v>-0.77281259461095975</v>
      </c>
      <c r="Y98" s="21">
        <v>105164</v>
      </c>
      <c r="Z98" s="41">
        <f>$H98/12</f>
        <v>123779.60000000002</v>
      </c>
      <c r="AA98" s="41">
        <v>89636</v>
      </c>
      <c r="AB98" s="112">
        <f t="shared" si="175"/>
        <v>-0.27584189963451178</v>
      </c>
      <c r="AC98" s="23">
        <f t="shared" si="176"/>
        <v>-0.14765509109581221</v>
      </c>
      <c r="AD98" s="56">
        <v>85232</v>
      </c>
      <c r="AE98" s="41">
        <f>$H98/12</f>
        <v>123779.60000000002</v>
      </c>
      <c r="AF98" s="41">
        <v>94960</v>
      </c>
      <c r="AG98" s="112">
        <f t="shared" si="177"/>
        <v>-0.23282996551935875</v>
      </c>
      <c r="AH98" s="81">
        <f t="shared" si="178"/>
        <v>0.11413553594893933</v>
      </c>
      <c r="AI98" s="21">
        <v>64334</v>
      </c>
      <c r="AJ98" s="41">
        <f>$H98/12</f>
        <v>123779.60000000002</v>
      </c>
      <c r="AK98" s="41">
        <v>107330</v>
      </c>
      <c r="AL98" s="112">
        <f t="shared" si="179"/>
        <v>-0.13289427336976378</v>
      </c>
      <c r="AM98" s="23">
        <f t="shared" si="180"/>
        <v>0.66832468057325833</v>
      </c>
      <c r="AN98" s="56">
        <v>88553</v>
      </c>
      <c r="AO98" s="41">
        <f>$H98/12</f>
        <v>123779.60000000002</v>
      </c>
      <c r="AP98" s="41">
        <v>79246</v>
      </c>
      <c r="AQ98" s="112">
        <f t="shared" si="181"/>
        <v>-0.35978141793962826</v>
      </c>
      <c r="AR98" s="81">
        <f t="shared" si="182"/>
        <v>-0.10510090002597317</v>
      </c>
      <c r="AS98" s="21">
        <f>'2023년 실적'!AT98</f>
        <v>61108</v>
      </c>
      <c r="AT98" s="41">
        <f>ROUND($H30/12*1.12,0)</f>
        <v>73920</v>
      </c>
      <c r="AU98" s="41">
        <v>139716</v>
      </c>
      <c r="AV98" s="112">
        <f t="shared" si="183"/>
        <v>0.89009740259740266</v>
      </c>
      <c r="AW98" s="23">
        <f t="shared" si="184"/>
        <v>1.2863782156182495</v>
      </c>
      <c r="AX98" s="56">
        <f>'2023년 실적'!AY98</f>
        <v>62670</v>
      </c>
      <c r="AY98" s="41">
        <f>ROUND($H30/12*1.12,0)</f>
        <v>73920</v>
      </c>
      <c r="AZ98" s="41">
        <v>69464</v>
      </c>
      <c r="BA98" s="112">
        <f t="shared" si="185"/>
        <v>-6.0281385281385269E-2</v>
      </c>
      <c r="BB98" s="81">
        <f t="shared" si="186"/>
        <v>0.10840912717408657</v>
      </c>
      <c r="BC98" s="21">
        <f>'2023년 실적'!BD98</f>
        <v>51833</v>
      </c>
      <c r="BD98" s="41">
        <f>ROUND($H30/12*1.12,0)</f>
        <v>73920</v>
      </c>
      <c r="BE98" s="41">
        <v>88899</v>
      </c>
      <c r="BF98" s="112">
        <f t="shared" si="187"/>
        <v>0.20263798701298708</v>
      </c>
      <c r="BG98" s="23">
        <f t="shared" si="188"/>
        <v>0.71510427719792413</v>
      </c>
      <c r="BH98" s="56">
        <f>'2023년 실적'!BI98</f>
        <v>129938</v>
      </c>
      <c r="BI98" s="41">
        <f>ROUND($H30/12*1.12,0)</f>
        <v>73920</v>
      </c>
      <c r="BJ98" s="41">
        <v>93449</v>
      </c>
      <c r="BK98" s="112">
        <f t="shared" si="189"/>
        <v>0.26419101731601735</v>
      </c>
      <c r="BL98" s="81">
        <f t="shared" si="190"/>
        <v>-0.28081854422878605</v>
      </c>
      <c r="BM98" s="21">
        <f>'2023년 실적'!BN98</f>
        <v>155213</v>
      </c>
      <c r="BN98" s="41">
        <f>ROUND($H30/12*1.12,0)</f>
        <v>73920</v>
      </c>
      <c r="BO98" s="41">
        <v>77886</v>
      </c>
      <c r="BP98" s="112">
        <f t="shared" si="191"/>
        <v>5.3652597402597424E-2</v>
      </c>
      <c r="BQ98" s="23">
        <f t="shared" si="192"/>
        <v>-0.49819924877426502</v>
      </c>
      <c r="BR98" s="56">
        <f>'2023년 실적'!BS98</f>
        <v>82767</v>
      </c>
      <c r="BS98" s="41">
        <f>ROUND($H30/12*1.12,0)</f>
        <v>73920</v>
      </c>
      <c r="BT98" s="41">
        <v>113783</v>
      </c>
      <c r="BU98" s="112">
        <f t="shared" si="193"/>
        <v>0.53927218614718608</v>
      </c>
      <c r="BV98" s="23">
        <f t="shared" si="194"/>
        <v>0.37473872437082423</v>
      </c>
    </row>
    <row r="99" spans="2:74" x14ac:dyDescent="0.3">
      <c r="B99" s="312"/>
      <c r="C99" s="319"/>
      <c r="D99" s="284" t="s">
        <v>36</v>
      </c>
      <c r="E99" s="285"/>
      <c r="F99" s="45">
        <v>2591261</v>
      </c>
      <c r="G99" s="39">
        <f>'2023년 실적'!G99</f>
        <v>2250544</v>
      </c>
      <c r="H99" s="39">
        <f>G99*1.1</f>
        <v>2475598.4000000004</v>
      </c>
      <c r="I99" s="33">
        <f t="shared" si="168"/>
        <v>0.10000000000000009</v>
      </c>
      <c r="J99" s="107">
        <f t="shared" si="213"/>
        <v>2250544</v>
      </c>
      <c r="K99" s="87">
        <f t="shared" si="213"/>
        <v>2326408.3333333335</v>
      </c>
      <c r="L99" s="87">
        <f t="shared" si="213"/>
        <v>2156128</v>
      </c>
      <c r="M99" s="88">
        <f t="shared" si="169"/>
        <v>-7.319451658314502E-2</v>
      </c>
      <c r="N99" s="15">
        <f t="shared" si="170"/>
        <v>-4.1952523478767767E-2</v>
      </c>
      <c r="O99" s="13">
        <v>158374</v>
      </c>
      <c r="P99" s="41">
        <f t="shared" ref="P99:P103" si="214">ROUND($H31/12*1.12,0)</f>
        <v>184987</v>
      </c>
      <c r="Q99" s="41">
        <v>133396</v>
      </c>
      <c r="R99" s="88">
        <f t="shared" si="212"/>
        <v>-0.27888986793666581</v>
      </c>
      <c r="S99" s="15">
        <f t="shared" si="210"/>
        <v>-0.15771528154873904</v>
      </c>
      <c r="T99" s="45">
        <v>165054</v>
      </c>
      <c r="U99" s="41">
        <f t="shared" ref="U99:U103" si="215">$H99/12</f>
        <v>206299.8666666667</v>
      </c>
      <c r="V99" s="39">
        <v>166552</v>
      </c>
      <c r="W99" s="88">
        <f t="shared" si="173"/>
        <v>-0.19267034588485765</v>
      </c>
      <c r="X99" s="33">
        <f t="shared" si="174"/>
        <v>9.0758176112060163E-3</v>
      </c>
      <c r="Y99" s="13">
        <v>183672</v>
      </c>
      <c r="Z99" s="41">
        <f t="shared" ref="Z99:Z103" si="216">$H99/12</f>
        <v>206299.8666666667</v>
      </c>
      <c r="AA99" s="39">
        <v>156562</v>
      </c>
      <c r="AB99" s="88">
        <f t="shared" si="175"/>
        <v>-0.24109500151559327</v>
      </c>
      <c r="AC99" s="15">
        <f t="shared" si="176"/>
        <v>-0.14760006968944639</v>
      </c>
      <c r="AD99" s="45">
        <v>209776</v>
      </c>
      <c r="AE99" s="41">
        <f t="shared" ref="AE99:AE103" si="217">$H99/12</f>
        <v>206299.8666666667</v>
      </c>
      <c r="AF99" s="39">
        <v>169571</v>
      </c>
      <c r="AG99" s="88">
        <f t="shared" si="177"/>
        <v>-0.17803630831236616</v>
      </c>
      <c r="AH99" s="33">
        <f t="shared" si="178"/>
        <v>-0.19165681488826181</v>
      </c>
      <c r="AI99" s="13">
        <v>239161</v>
      </c>
      <c r="AJ99" s="41">
        <f t="shared" ref="AJ99:AJ103" si="218">$H99/12</f>
        <v>206299.8666666667</v>
      </c>
      <c r="AK99" s="39">
        <v>192212</v>
      </c>
      <c r="AL99" s="88">
        <f t="shared" si="179"/>
        <v>-6.8288297487993366E-2</v>
      </c>
      <c r="AM99" s="15">
        <f t="shared" si="180"/>
        <v>-0.1963070902028341</v>
      </c>
      <c r="AN99" s="45">
        <v>208643</v>
      </c>
      <c r="AO99" s="41">
        <f t="shared" ref="AO99:AO103" si="219">$H99/12</f>
        <v>206299.8666666667</v>
      </c>
      <c r="AP99" s="39">
        <v>181339</v>
      </c>
      <c r="AQ99" s="88">
        <f t="shared" si="181"/>
        <v>-0.12099313038819237</v>
      </c>
      <c r="AR99" s="33">
        <f t="shared" si="182"/>
        <v>-0.13086468273558183</v>
      </c>
      <c r="AS99" s="13">
        <f>'2023년 실적'!AT99</f>
        <v>159982</v>
      </c>
      <c r="AT99" s="39">
        <f t="shared" ref="AT99:AT103" si="220">ROUND($H31/12*1.12,0)</f>
        <v>184987</v>
      </c>
      <c r="AU99" s="39">
        <v>189474</v>
      </c>
      <c r="AV99" s="88">
        <f t="shared" si="183"/>
        <v>2.4255758512760295E-2</v>
      </c>
      <c r="AW99" s="15">
        <f t="shared" si="184"/>
        <v>0.18434573889562578</v>
      </c>
      <c r="AX99" s="45">
        <f>'2023년 실적'!AY99</f>
        <v>164230</v>
      </c>
      <c r="AY99" s="39">
        <f t="shared" ref="AY99:AY104" si="221">ROUND($H31/12*1.12,0)</f>
        <v>184987</v>
      </c>
      <c r="AZ99" s="39">
        <v>205184</v>
      </c>
      <c r="BA99" s="88">
        <f t="shared" si="185"/>
        <v>0.10918064512641434</v>
      </c>
      <c r="BB99" s="33">
        <f t="shared" si="186"/>
        <v>0.24936978627534545</v>
      </c>
      <c r="BC99" s="13">
        <f>'2023년 실적'!BD99</f>
        <v>144069</v>
      </c>
      <c r="BD99" s="39">
        <f t="shared" ref="BD99:BD104" si="222">ROUND($H31/12*1.12,0)</f>
        <v>184987</v>
      </c>
      <c r="BE99" s="39">
        <v>135040</v>
      </c>
      <c r="BF99" s="88">
        <f t="shared" si="187"/>
        <v>-0.27000275695048837</v>
      </c>
      <c r="BG99" s="15">
        <f t="shared" si="188"/>
        <v>-6.2671358862767201E-2</v>
      </c>
      <c r="BH99" s="45">
        <f>'2023년 실적'!BI99</f>
        <v>272519</v>
      </c>
      <c r="BI99" s="39">
        <f t="shared" ref="BI99:BI104" si="223">ROUND($H31/12*1.12,0)</f>
        <v>184987</v>
      </c>
      <c r="BJ99" s="39">
        <v>215469</v>
      </c>
      <c r="BK99" s="88">
        <f t="shared" si="189"/>
        <v>0.16477914664273707</v>
      </c>
      <c r="BL99" s="33">
        <f t="shared" si="190"/>
        <v>-0.20934320175840948</v>
      </c>
      <c r="BM99" s="13">
        <f>'2023년 실적'!BN99</f>
        <v>188466</v>
      </c>
      <c r="BN99" s="39">
        <f t="shared" ref="BN99:BN104" si="224">ROUND($H31/12*1.12,0)</f>
        <v>184987</v>
      </c>
      <c r="BO99" s="39">
        <v>201729</v>
      </c>
      <c r="BP99" s="88">
        <f t="shared" si="191"/>
        <v>9.0503657013736083E-2</v>
      </c>
      <c r="BQ99" s="15">
        <f t="shared" si="192"/>
        <v>7.0373436057432182E-2</v>
      </c>
      <c r="BR99" s="45">
        <f>'2023년 실적'!BS99</f>
        <v>156598</v>
      </c>
      <c r="BS99" s="39">
        <f t="shared" ref="BS99:BS104" si="225">ROUND($H31/12*1.12,0)</f>
        <v>184987</v>
      </c>
      <c r="BT99" s="39">
        <v>209600</v>
      </c>
      <c r="BU99" s="88">
        <f t="shared" si="193"/>
        <v>0.13305259288490534</v>
      </c>
      <c r="BV99" s="15">
        <f t="shared" si="194"/>
        <v>0.33845898415049991</v>
      </c>
    </row>
    <row r="100" spans="2:74" x14ac:dyDescent="0.3">
      <c r="B100" s="312"/>
      <c r="C100" s="319"/>
      <c r="D100" s="284" t="s">
        <v>37</v>
      </c>
      <c r="E100" s="285"/>
      <c r="F100" s="45">
        <v>611472</v>
      </c>
      <c r="G100" s="39">
        <f>'2023년 실적'!G100</f>
        <v>646705</v>
      </c>
      <c r="H100" s="39">
        <f>G100*1.3</f>
        <v>840716.5</v>
      </c>
      <c r="I100" s="33">
        <f t="shared" si="168"/>
        <v>0.30000000000000004</v>
      </c>
      <c r="J100" s="107">
        <f t="shared" si="213"/>
        <v>646705</v>
      </c>
      <c r="K100" s="87">
        <f t="shared" si="213"/>
        <v>765818.54166666663</v>
      </c>
      <c r="L100" s="87">
        <f t="shared" si="213"/>
        <v>675683</v>
      </c>
      <c r="M100" s="88">
        <f t="shared" si="169"/>
        <v>-0.11769830157220118</v>
      </c>
      <c r="N100" s="15">
        <f t="shared" si="170"/>
        <v>4.4808684021307998E-2</v>
      </c>
      <c r="O100" s="13">
        <v>74738</v>
      </c>
      <c r="P100" s="41">
        <f t="shared" si="214"/>
        <v>59360</v>
      </c>
      <c r="Q100" s="41">
        <v>42097</v>
      </c>
      <c r="R100" s="88">
        <f t="shared" si="212"/>
        <v>-0.29081873315363882</v>
      </c>
      <c r="S100" s="15">
        <f t="shared" si="210"/>
        <v>-0.43673900826888601</v>
      </c>
      <c r="T100" s="45">
        <v>32744</v>
      </c>
      <c r="U100" s="41">
        <f t="shared" si="215"/>
        <v>70059.708333333328</v>
      </c>
      <c r="V100" s="39">
        <v>21151</v>
      </c>
      <c r="W100" s="88">
        <f t="shared" si="173"/>
        <v>-0.69810037033887162</v>
      </c>
      <c r="X100" s="33">
        <f t="shared" si="174"/>
        <v>-0.35404959687270954</v>
      </c>
      <c r="Y100" s="13">
        <v>86411</v>
      </c>
      <c r="Z100" s="41">
        <f t="shared" si="216"/>
        <v>70059.708333333328</v>
      </c>
      <c r="AA100" s="39">
        <v>137128</v>
      </c>
      <c r="AB100" s="88">
        <f t="shared" si="175"/>
        <v>0.95730189665600718</v>
      </c>
      <c r="AC100" s="15">
        <f t="shared" si="176"/>
        <v>0.58692759023735408</v>
      </c>
      <c r="AD100" s="45">
        <v>66876</v>
      </c>
      <c r="AE100" s="41">
        <f t="shared" si="217"/>
        <v>70059.708333333328</v>
      </c>
      <c r="AF100" s="39">
        <v>91367</v>
      </c>
      <c r="AG100" s="88">
        <f t="shared" si="177"/>
        <v>0.3041304649070169</v>
      </c>
      <c r="AH100" s="33">
        <f t="shared" si="178"/>
        <v>0.36621508463424846</v>
      </c>
      <c r="AI100" s="13">
        <v>51856</v>
      </c>
      <c r="AJ100" s="41">
        <f t="shared" si="218"/>
        <v>70059.708333333328</v>
      </c>
      <c r="AK100" s="39">
        <v>96508</v>
      </c>
      <c r="AL100" s="88">
        <f t="shared" si="179"/>
        <v>0.37751073043053163</v>
      </c>
      <c r="AM100" s="15">
        <f t="shared" si="180"/>
        <v>0.86107682813946318</v>
      </c>
      <c r="AN100" s="45">
        <v>36605</v>
      </c>
      <c r="AO100" s="41">
        <f t="shared" si="219"/>
        <v>70059.708333333328</v>
      </c>
      <c r="AP100" s="39">
        <v>37311</v>
      </c>
      <c r="AQ100" s="88">
        <f t="shared" si="181"/>
        <v>-0.46743997530677694</v>
      </c>
      <c r="AR100" s="33">
        <f t="shared" si="182"/>
        <v>1.928698265264317E-2</v>
      </c>
      <c r="AS100" s="13">
        <f>'2023년 실적'!AT100</f>
        <v>39928</v>
      </c>
      <c r="AT100" s="39">
        <f t="shared" si="220"/>
        <v>59360</v>
      </c>
      <c r="AU100" s="39">
        <v>29294</v>
      </c>
      <c r="AV100" s="88">
        <f t="shared" si="183"/>
        <v>-0.50650269541778981</v>
      </c>
      <c r="AW100" s="15">
        <f t="shared" si="184"/>
        <v>-0.26632939290723301</v>
      </c>
      <c r="AX100" s="45">
        <f>'2023년 실적'!AY100</f>
        <v>33534</v>
      </c>
      <c r="AY100" s="39">
        <f t="shared" si="221"/>
        <v>59360</v>
      </c>
      <c r="AZ100" s="39">
        <v>45756</v>
      </c>
      <c r="BA100" s="88">
        <f t="shared" si="185"/>
        <v>-0.22917789757412399</v>
      </c>
      <c r="BB100" s="33">
        <f t="shared" si="186"/>
        <v>0.36446591519055294</v>
      </c>
      <c r="BC100" s="13">
        <f>'2023년 실적'!BD100</f>
        <v>36838</v>
      </c>
      <c r="BD100" s="39">
        <f t="shared" si="222"/>
        <v>59360</v>
      </c>
      <c r="BE100" s="39">
        <v>25076</v>
      </c>
      <c r="BF100" s="88">
        <f t="shared" si="187"/>
        <v>-0.57756064690026954</v>
      </c>
      <c r="BG100" s="15">
        <f t="shared" si="188"/>
        <v>-0.31928986372767254</v>
      </c>
      <c r="BH100" s="45">
        <f>'2023년 실적'!BI100</f>
        <v>34948</v>
      </c>
      <c r="BI100" s="39">
        <f t="shared" si="223"/>
        <v>59360</v>
      </c>
      <c r="BJ100" s="39">
        <v>55291</v>
      </c>
      <c r="BK100" s="88">
        <f t="shared" si="189"/>
        <v>-6.854784366576816E-2</v>
      </c>
      <c r="BL100" s="33">
        <f t="shared" si="190"/>
        <v>0.58209339590248366</v>
      </c>
      <c r="BM100" s="13">
        <f>'2023년 실적'!BN100</f>
        <v>61613</v>
      </c>
      <c r="BN100" s="39">
        <f t="shared" si="224"/>
        <v>59360</v>
      </c>
      <c r="BO100" s="39">
        <v>28137</v>
      </c>
      <c r="BP100" s="88">
        <f t="shared" si="191"/>
        <v>-0.52599393530997307</v>
      </c>
      <c r="BQ100" s="15">
        <f t="shared" si="192"/>
        <v>-0.54332689529807021</v>
      </c>
      <c r="BR100" s="45">
        <f>'2023년 실적'!BS100</f>
        <v>90614</v>
      </c>
      <c r="BS100" s="39">
        <f t="shared" si="225"/>
        <v>59360</v>
      </c>
      <c r="BT100" s="39">
        <v>66567</v>
      </c>
      <c r="BU100" s="88">
        <f t="shared" si="193"/>
        <v>0.1214117250673854</v>
      </c>
      <c r="BV100" s="15">
        <f t="shared" si="194"/>
        <v>-0.26537841834595099</v>
      </c>
    </row>
    <row r="101" spans="2:74" x14ac:dyDescent="0.3">
      <c r="B101" s="312"/>
      <c r="C101" s="319"/>
      <c r="D101" s="284" t="s">
        <v>38</v>
      </c>
      <c r="E101" s="285"/>
      <c r="F101" s="45">
        <v>366503</v>
      </c>
      <c r="G101" s="39">
        <f>'2023년 실적'!G101</f>
        <v>448798</v>
      </c>
      <c r="H101" s="39">
        <f>G101*1.12</f>
        <v>502653.76000000007</v>
      </c>
      <c r="I101" s="33">
        <f t="shared" si="168"/>
        <v>0.12000000000000011</v>
      </c>
      <c r="J101" s="107">
        <f t="shared" si="213"/>
        <v>448798</v>
      </c>
      <c r="K101" s="87">
        <f t="shared" si="213"/>
        <v>523039.06666666671</v>
      </c>
      <c r="L101" s="87">
        <f t="shared" si="213"/>
        <v>377418</v>
      </c>
      <c r="M101" s="88">
        <f t="shared" si="169"/>
        <v>-0.27841336517119308</v>
      </c>
      <c r="N101" s="15">
        <f t="shared" si="170"/>
        <v>-0.15904705457689206</v>
      </c>
      <c r="O101" s="13">
        <v>31656</v>
      </c>
      <c r="P101" s="41">
        <f t="shared" si="214"/>
        <v>44800</v>
      </c>
      <c r="Q101" s="41">
        <v>36269</v>
      </c>
      <c r="R101" s="88">
        <f t="shared" si="212"/>
        <v>-0.19042410714285718</v>
      </c>
      <c r="S101" s="15">
        <f t="shared" si="210"/>
        <v>0.14572276977508203</v>
      </c>
      <c r="T101" s="45">
        <v>31010</v>
      </c>
      <c r="U101" s="41">
        <f t="shared" si="215"/>
        <v>41887.813333333339</v>
      </c>
      <c r="V101" s="39">
        <v>38167</v>
      </c>
      <c r="W101" s="88">
        <f t="shared" si="173"/>
        <v>-8.8828063277593072E-2</v>
      </c>
      <c r="X101" s="33">
        <f t="shared" si="174"/>
        <v>0.23079651725249928</v>
      </c>
      <c r="Y101" s="13">
        <v>45307</v>
      </c>
      <c r="Z101" s="41">
        <f t="shared" si="216"/>
        <v>41887.813333333339</v>
      </c>
      <c r="AA101" s="39">
        <v>29231</v>
      </c>
      <c r="AB101" s="88">
        <f t="shared" si="175"/>
        <v>-0.30215980081398386</v>
      </c>
      <c r="AC101" s="15">
        <f t="shared" si="176"/>
        <v>-0.35482375791820253</v>
      </c>
      <c r="AD101" s="45">
        <v>26657</v>
      </c>
      <c r="AE101" s="41">
        <f t="shared" si="217"/>
        <v>41887.813333333339</v>
      </c>
      <c r="AF101" s="39">
        <v>34198</v>
      </c>
      <c r="AG101" s="88">
        <f t="shared" si="177"/>
        <v>-0.18358115932525809</v>
      </c>
      <c r="AH101" s="33">
        <f t="shared" si="178"/>
        <v>0.28289004764227021</v>
      </c>
      <c r="AI101" s="13">
        <v>74601</v>
      </c>
      <c r="AJ101" s="41">
        <f t="shared" si="218"/>
        <v>41887.813333333339</v>
      </c>
      <c r="AK101" s="39">
        <v>34057</v>
      </c>
      <c r="AL101" s="88">
        <f t="shared" si="179"/>
        <v>-0.18694729350079875</v>
      </c>
      <c r="AM101" s="15">
        <f t="shared" si="180"/>
        <v>-0.54347796946421623</v>
      </c>
      <c r="AN101" s="45">
        <v>29149</v>
      </c>
      <c r="AO101" s="41">
        <f t="shared" si="219"/>
        <v>41887.813333333339</v>
      </c>
      <c r="AP101" s="39">
        <v>29068</v>
      </c>
      <c r="AQ101" s="88">
        <f t="shared" si="181"/>
        <v>-0.30605114741407691</v>
      </c>
      <c r="AR101" s="33">
        <f t="shared" si="182"/>
        <v>-2.7788260317678226E-3</v>
      </c>
      <c r="AS101" s="13">
        <f>'2023년 실적'!AT101</f>
        <v>33566</v>
      </c>
      <c r="AT101" s="39">
        <f t="shared" si="220"/>
        <v>44800</v>
      </c>
      <c r="AU101" s="39">
        <v>34229</v>
      </c>
      <c r="AV101" s="88">
        <f t="shared" si="183"/>
        <v>-0.23595982142857141</v>
      </c>
      <c r="AW101" s="15">
        <f t="shared" si="184"/>
        <v>1.9752130131680978E-2</v>
      </c>
      <c r="AX101" s="45">
        <f>'2023년 실적'!AY101</f>
        <v>33377</v>
      </c>
      <c r="AY101" s="39">
        <f t="shared" si="221"/>
        <v>44800</v>
      </c>
      <c r="AZ101" s="39">
        <v>24254</v>
      </c>
      <c r="BA101" s="88">
        <f t="shared" si="185"/>
        <v>-0.45861607142857141</v>
      </c>
      <c r="BB101" s="33">
        <f t="shared" si="186"/>
        <v>-0.27333193516493393</v>
      </c>
      <c r="BC101" s="13">
        <f>'2023년 실적'!BD101</f>
        <v>39909</v>
      </c>
      <c r="BD101" s="39">
        <f t="shared" si="222"/>
        <v>44800</v>
      </c>
      <c r="BE101" s="39">
        <v>26328</v>
      </c>
      <c r="BF101" s="88">
        <f t="shared" si="187"/>
        <v>-0.41232142857142862</v>
      </c>
      <c r="BG101" s="15">
        <f t="shared" si="188"/>
        <v>-0.34029918063594677</v>
      </c>
      <c r="BH101" s="45">
        <f>'2023년 실적'!BI101</f>
        <v>29119</v>
      </c>
      <c r="BI101" s="39">
        <f t="shared" si="223"/>
        <v>44800</v>
      </c>
      <c r="BJ101" s="39">
        <v>28867</v>
      </c>
      <c r="BK101" s="88">
        <f t="shared" si="189"/>
        <v>-0.35564732142857147</v>
      </c>
      <c r="BL101" s="33">
        <f t="shared" si="190"/>
        <v>-8.6541433428345416E-3</v>
      </c>
      <c r="BM101" s="13">
        <f>'2023년 실적'!BN101</f>
        <v>35105</v>
      </c>
      <c r="BN101" s="39">
        <f t="shared" si="224"/>
        <v>44800</v>
      </c>
      <c r="BO101" s="39">
        <v>35031</v>
      </c>
      <c r="BP101" s="88">
        <f t="shared" si="191"/>
        <v>-0.21805803571428573</v>
      </c>
      <c r="BQ101" s="15">
        <f t="shared" si="192"/>
        <v>-2.107961828799354E-3</v>
      </c>
      <c r="BR101" s="45">
        <f>'2023년 실적'!BS101</f>
        <v>39342</v>
      </c>
      <c r="BS101" s="39">
        <f t="shared" si="225"/>
        <v>44800</v>
      </c>
      <c r="BT101" s="39">
        <v>27719</v>
      </c>
      <c r="BU101" s="88">
        <f t="shared" si="193"/>
        <v>-0.38127232142857148</v>
      </c>
      <c r="BV101" s="15">
        <f t="shared" si="194"/>
        <v>-0.2954349041736567</v>
      </c>
    </row>
    <row r="102" spans="2:74" x14ac:dyDescent="0.3">
      <c r="B102" s="312"/>
      <c r="C102" s="319"/>
      <c r="D102" s="284" t="s">
        <v>39</v>
      </c>
      <c r="E102" s="285"/>
      <c r="F102" s="45">
        <v>1914925.7000000004</v>
      </c>
      <c r="G102" s="39">
        <f>'2023년 실적'!G102</f>
        <v>1823088</v>
      </c>
      <c r="H102" s="39">
        <f>G102*1.09</f>
        <v>1987165.9200000002</v>
      </c>
      <c r="I102" s="33">
        <f t="shared" si="168"/>
        <v>9.000000000000008E-2</v>
      </c>
      <c r="J102" s="107">
        <f t="shared" si="213"/>
        <v>1823088</v>
      </c>
      <c r="K102" s="87">
        <f t="shared" si="213"/>
        <v>1875934.8000000003</v>
      </c>
      <c r="L102" s="87">
        <f t="shared" si="213"/>
        <v>1865152</v>
      </c>
      <c r="M102" s="88">
        <f t="shared" si="169"/>
        <v>-5.7479609632490325E-3</v>
      </c>
      <c r="N102" s="15">
        <f t="shared" si="170"/>
        <v>2.3072939978761253E-2</v>
      </c>
      <c r="O102" s="13">
        <v>112118</v>
      </c>
      <c r="P102" s="41">
        <f t="shared" si="214"/>
        <v>149707</v>
      </c>
      <c r="Q102" s="41">
        <v>171127</v>
      </c>
      <c r="R102" s="88">
        <f t="shared" si="212"/>
        <v>0.143079481921353</v>
      </c>
      <c r="S102" s="15">
        <f t="shared" si="210"/>
        <v>0.52631156460158057</v>
      </c>
      <c r="T102" s="45">
        <v>120772</v>
      </c>
      <c r="U102" s="41">
        <f t="shared" si="215"/>
        <v>165597.16</v>
      </c>
      <c r="V102" s="39">
        <v>156033</v>
      </c>
      <c r="W102" s="88">
        <f t="shared" si="173"/>
        <v>-5.7755579866224815E-2</v>
      </c>
      <c r="X102" s="33">
        <f t="shared" si="174"/>
        <v>0.29196336899281294</v>
      </c>
      <c r="Y102" s="13">
        <v>124667</v>
      </c>
      <c r="Z102" s="41">
        <f t="shared" si="216"/>
        <v>165597.16</v>
      </c>
      <c r="AA102" s="39">
        <v>140166</v>
      </c>
      <c r="AB102" s="88">
        <f t="shared" si="175"/>
        <v>-0.15357244049354468</v>
      </c>
      <c r="AC102" s="15">
        <f t="shared" si="176"/>
        <v>0.1243231969967995</v>
      </c>
      <c r="AD102" s="45">
        <v>171103</v>
      </c>
      <c r="AE102" s="41">
        <f t="shared" si="217"/>
        <v>165597.16</v>
      </c>
      <c r="AF102" s="39">
        <v>142290</v>
      </c>
      <c r="AG102" s="88">
        <f t="shared" si="177"/>
        <v>-0.14074613356895738</v>
      </c>
      <c r="AH102" s="33">
        <f t="shared" si="178"/>
        <v>-0.16839564472861379</v>
      </c>
      <c r="AI102" s="13">
        <v>149552</v>
      </c>
      <c r="AJ102" s="41">
        <f t="shared" si="218"/>
        <v>165597.16</v>
      </c>
      <c r="AK102" s="39">
        <v>162618</v>
      </c>
      <c r="AL102" s="88">
        <f t="shared" si="179"/>
        <v>-1.7990405149460265E-2</v>
      </c>
      <c r="AM102" s="15">
        <f t="shared" si="180"/>
        <v>8.7367604579009273E-2</v>
      </c>
      <c r="AN102" s="45">
        <v>160153</v>
      </c>
      <c r="AO102" s="41">
        <f t="shared" si="219"/>
        <v>165597.16</v>
      </c>
      <c r="AP102" s="39">
        <v>136432</v>
      </c>
      <c r="AQ102" s="88">
        <f t="shared" si="181"/>
        <v>-0.17612113637697657</v>
      </c>
      <c r="AR102" s="33">
        <f t="shared" si="182"/>
        <v>-0.14811461539902471</v>
      </c>
      <c r="AS102" s="13">
        <f>'2023년 실적'!AT102</f>
        <v>182333</v>
      </c>
      <c r="AT102" s="39">
        <f t="shared" si="220"/>
        <v>149707</v>
      </c>
      <c r="AU102" s="39">
        <v>147569</v>
      </c>
      <c r="AV102" s="88">
        <f t="shared" si="183"/>
        <v>-1.4281229334633605E-2</v>
      </c>
      <c r="AW102" s="15">
        <f t="shared" si="184"/>
        <v>-0.1906621401501648</v>
      </c>
      <c r="AX102" s="45">
        <f>'2023년 실적'!AY102</f>
        <v>161455</v>
      </c>
      <c r="AY102" s="39">
        <f t="shared" si="221"/>
        <v>149707</v>
      </c>
      <c r="AZ102" s="39">
        <v>145563</v>
      </c>
      <c r="BA102" s="88">
        <f t="shared" si="185"/>
        <v>-2.7680736371712755E-2</v>
      </c>
      <c r="BB102" s="33">
        <f t="shared" si="186"/>
        <v>-9.8429903068966595E-2</v>
      </c>
      <c r="BC102" s="13">
        <f>'2023년 실적'!BD102</f>
        <v>144563</v>
      </c>
      <c r="BD102" s="39">
        <f t="shared" si="222"/>
        <v>149707</v>
      </c>
      <c r="BE102" s="39">
        <v>158945</v>
      </c>
      <c r="BF102" s="88">
        <f t="shared" si="187"/>
        <v>6.1707201400068135E-2</v>
      </c>
      <c r="BG102" s="15">
        <f t="shared" si="188"/>
        <v>9.9486037229443269E-2</v>
      </c>
      <c r="BH102" s="45">
        <f>'2023년 실적'!BI102</f>
        <v>174863</v>
      </c>
      <c r="BI102" s="39">
        <f t="shared" si="223"/>
        <v>149707</v>
      </c>
      <c r="BJ102" s="39">
        <v>168289</v>
      </c>
      <c r="BK102" s="88">
        <f t="shared" si="189"/>
        <v>0.12412245252393017</v>
      </c>
      <c r="BL102" s="33">
        <f t="shared" si="190"/>
        <v>-3.7595145914229966E-2</v>
      </c>
      <c r="BM102" s="13">
        <f>'2023년 실적'!BN102</f>
        <v>160592</v>
      </c>
      <c r="BN102" s="39">
        <f t="shared" si="224"/>
        <v>149707</v>
      </c>
      <c r="BO102" s="39">
        <v>189220</v>
      </c>
      <c r="BP102" s="88">
        <f t="shared" si="191"/>
        <v>0.26393555411570602</v>
      </c>
      <c r="BQ102" s="15">
        <f t="shared" si="192"/>
        <v>0.17826541795357187</v>
      </c>
      <c r="BR102" s="45">
        <f>'2023년 실적'!BS102</f>
        <v>160917</v>
      </c>
      <c r="BS102" s="39">
        <f t="shared" si="225"/>
        <v>149707</v>
      </c>
      <c r="BT102" s="39">
        <v>146900</v>
      </c>
      <c r="BU102" s="88">
        <f t="shared" si="193"/>
        <v>-1.8749958251785159E-2</v>
      </c>
      <c r="BV102" s="15">
        <f t="shared" si="194"/>
        <v>-8.7107017903639727E-2</v>
      </c>
    </row>
    <row r="103" spans="2:74" x14ac:dyDescent="0.3">
      <c r="B103" s="312"/>
      <c r="C103" s="319"/>
      <c r="D103" s="284" t="s">
        <v>40</v>
      </c>
      <c r="E103" s="285"/>
      <c r="F103" s="45">
        <v>409621.2</v>
      </c>
      <c r="G103" s="39">
        <f>'2023년 실적'!G103</f>
        <v>648941</v>
      </c>
      <c r="H103" s="39">
        <f>G103*1.1</f>
        <v>713835.10000000009</v>
      </c>
      <c r="I103" s="33">
        <f t="shared" si="168"/>
        <v>0.10000000000000009</v>
      </c>
      <c r="J103" s="107">
        <f t="shared" si="213"/>
        <v>648941</v>
      </c>
      <c r="K103" s="87">
        <f t="shared" si="213"/>
        <v>677020.29166666674</v>
      </c>
      <c r="L103" s="87">
        <f t="shared" si="213"/>
        <v>552545</v>
      </c>
      <c r="M103" s="88">
        <f t="shared" si="169"/>
        <v>-0.18385754932136156</v>
      </c>
      <c r="N103" s="15">
        <f t="shared" si="170"/>
        <v>-0.14854355018406917</v>
      </c>
      <c r="O103" s="13">
        <v>34773</v>
      </c>
      <c r="P103" s="41">
        <f t="shared" si="214"/>
        <v>54227</v>
      </c>
      <c r="Q103" s="41">
        <v>27316</v>
      </c>
      <c r="R103" s="88">
        <f t="shared" si="212"/>
        <v>-0.49626569789957031</v>
      </c>
      <c r="S103" s="15">
        <f t="shared" si="210"/>
        <v>-0.21444799125758496</v>
      </c>
      <c r="T103" s="45">
        <v>31150</v>
      </c>
      <c r="U103" s="41">
        <f t="shared" si="215"/>
        <v>59486.258333333339</v>
      </c>
      <c r="V103" s="39">
        <v>36258</v>
      </c>
      <c r="W103" s="88">
        <f t="shared" si="173"/>
        <v>-0.39048107889343076</v>
      </c>
      <c r="X103" s="33">
        <f t="shared" si="174"/>
        <v>0.16398073836276073</v>
      </c>
      <c r="Y103" s="13">
        <v>31766</v>
      </c>
      <c r="Z103" s="41">
        <f t="shared" si="216"/>
        <v>59486.258333333339</v>
      </c>
      <c r="AA103" s="39">
        <v>39040</v>
      </c>
      <c r="AB103" s="88">
        <f t="shared" si="175"/>
        <v>-0.34371397539852</v>
      </c>
      <c r="AC103" s="15">
        <f t="shared" si="176"/>
        <v>0.22898696719763278</v>
      </c>
      <c r="AD103" s="45">
        <v>44463</v>
      </c>
      <c r="AE103" s="41">
        <f t="shared" si="217"/>
        <v>59486.258333333339</v>
      </c>
      <c r="AF103" s="39">
        <v>39561</v>
      </c>
      <c r="AG103" s="88">
        <f t="shared" si="177"/>
        <v>-0.33495565012143569</v>
      </c>
      <c r="AH103" s="33">
        <f t="shared" si="178"/>
        <v>-0.11024897105458475</v>
      </c>
      <c r="AI103" s="13">
        <v>68210</v>
      </c>
      <c r="AJ103" s="41">
        <f t="shared" si="218"/>
        <v>59486.258333333339</v>
      </c>
      <c r="AK103" s="39">
        <v>42238</v>
      </c>
      <c r="AL103" s="88">
        <f t="shared" si="179"/>
        <v>-0.2899536601660524</v>
      </c>
      <c r="AM103" s="15">
        <f t="shared" si="180"/>
        <v>-0.38076528368274443</v>
      </c>
      <c r="AN103" s="45">
        <v>56551</v>
      </c>
      <c r="AO103" s="41">
        <f t="shared" si="219"/>
        <v>59486.258333333339</v>
      </c>
      <c r="AP103" s="39">
        <v>39215</v>
      </c>
      <c r="AQ103" s="88">
        <f t="shared" si="181"/>
        <v>-0.34077211949930741</v>
      </c>
      <c r="AR103" s="33">
        <f t="shared" si="182"/>
        <v>-0.30655514491344094</v>
      </c>
      <c r="AS103" s="13">
        <f>'2023년 실적'!AT103</f>
        <v>42081</v>
      </c>
      <c r="AT103" s="39">
        <f t="shared" si="220"/>
        <v>54227</v>
      </c>
      <c r="AU103" s="39">
        <v>51943</v>
      </c>
      <c r="AV103" s="88">
        <f t="shared" si="183"/>
        <v>-4.2119239493241367E-2</v>
      </c>
      <c r="AW103" s="15">
        <f t="shared" si="184"/>
        <v>0.23435754853734458</v>
      </c>
      <c r="AX103" s="45">
        <f>'2023년 실적'!AY103</f>
        <v>87290</v>
      </c>
      <c r="AY103" s="39">
        <f t="shared" si="221"/>
        <v>54227</v>
      </c>
      <c r="AZ103" s="39">
        <v>59462</v>
      </c>
      <c r="BA103" s="88">
        <f t="shared" si="185"/>
        <v>9.6538624670367224E-2</v>
      </c>
      <c r="BB103" s="33">
        <f t="shared" si="186"/>
        <v>-0.31879940428456865</v>
      </c>
      <c r="BC103" s="13">
        <f>'2023년 실적'!BD103</f>
        <v>65578</v>
      </c>
      <c r="BD103" s="39">
        <f t="shared" si="222"/>
        <v>54227</v>
      </c>
      <c r="BE103" s="39">
        <v>41681</v>
      </c>
      <c r="BF103" s="88">
        <f t="shared" si="187"/>
        <v>-0.23136076124439853</v>
      </c>
      <c r="BG103" s="15">
        <f t="shared" si="188"/>
        <v>-0.364405745829394</v>
      </c>
      <c r="BH103" s="45">
        <f>'2023년 실적'!BI103</f>
        <v>92171</v>
      </c>
      <c r="BI103" s="39">
        <f t="shared" si="223"/>
        <v>54227</v>
      </c>
      <c r="BJ103" s="39">
        <v>36941</v>
      </c>
      <c r="BK103" s="88">
        <f t="shared" si="189"/>
        <v>-0.31877109189149322</v>
      </c>
      <c r="BL103" s="33">
        <f t="shared" si="190"/>
        <v>-0.59921233359733539</v>
      </c>
      <c r="BM103" s="13">
        <f>'2023년 실적'!BN103</f>
        <v>51833</v>
      </c>
      <c r="BN103" s="39">
        <f t="shared" si="224"/>
        <v>54227</v>
      </c>
      <c r="BO103" s="39">
        <v>75579</v>
      </c>
      <c r="BP103" s="88">
        <f t="shared" si="191"/>
        <v>0.39375218986851568</v>
      </c>
      <c r="BQ103" s="15">
        <f t="shared" si="192"/>
        <v>0.45812513263750887</v>
      </c>
      <c r="BR103" s="45">
        <f>'2023년 실적'!BS103</f>
        <v>43075</v>
      </c>
      <c r="BS103" s="39">
        <f t="shared" si="225"/>
        <v>54227</v>
      </c>
      <c r="BT103" s="39">
        <v>63311</v>
      </c>
      <c r="BU103" s="88">
        <f t="shared" si="193"/>
        <v>0.16751802607557131</v>
      </c>
      <c r="BV103" s="15">
        <f t="shared" si="194"/>
        <v>0.46978525827045847</v>
      </c>
    </row>
    <row r="104" spans="2:74" ht="17.25" thickBot="1" x14ac:dyDescent="0.35">
      <c r="B104" s="312"/>
      <c r="C104" s="320"/>
      <c r="D104" s="286" t="s">
        <v>41</v>
      </c>
      <c r="E104" s="287"/>
      <c r="F104" s="57"/>
      <c r="G104" s="42"/>
      <c r="H104" s="42"/>
      <c r="I104" s="82"/>
      <c r="J104" s="176">
        <f t="shared" si="213"/>
        <v>0</v>
      </c>
      <c r="K104" s="177">
        <f t="shared" si="213"/>
        <v>23335</v>
      </c>
      <c r="L104" s="177">
        <f t="shared" si="213"/>
        <v>73018</v>
      </c>
      <c r="M104" s="146">
        <f t="shared" si="169"/>
        <v>2.129119348617956</v>
      </c>
      <c r="N104" s="25" t="e">
        <f t="shared" si="170"/>
        <v>#DIV/0!</v>
      </c>
      <c r="O104" s="24"/>
      <c r="P104" s="41"/>
      <c r="Q104" s="42">
        <v>4584</v>
      </c>
      <c r="R104" s="146"/>
      <c r="S104" s="25"/>
      <c r="T104" s="57"/>
      <c r="U104" s="42"/>
      <c r="V104" s="42">
        <v>6076</v>
      </c>
      <c r="W104" s="146"/>
      <c r="X104" s="82"/>
      <c r="Y104" s="24"/>
      <c r="Z104" s="42"/>
      <c r="AA104" s="42">
        <v>3666</v>
      </c>
      <c r="AB104" s="146"/>
      <c r="AC104" s="25"/>
      <c r="AD104" s="57"/>
      <c r="AE104" s="42"/>
      <c r="AF104" s="42">
        <v>2808</v>
      </c>
      <c r="AG104" s="146"/>
      <c r="AH104" s="82"/>
      <c r="AI104" s="24"/>
      <c r="AJ104" s="42"/>
      <c r="AK104" s="42">
        <v>7864</v>
      </c>
      <c r="AL104" s="146"/>
      <c r="AM104" s="25"/>
      <c r="AN104" s="57"/>
      <c r="AO104" s="42"/>
      <c r="AP104" s="42">
        <v>3467</v>
      </c>
      <c r="AQ104" s="146"/>
      <c r="AR104" s="82"/>
      <c r="AS104" s="24"/>
      <c r="AT104" s="42"/>
      <c r="AU104" s="42">
        <v>10549</v>
      </c>
      <c r="AV104" s="146" t="e">
        <f t="shared" si="183"/>
        <v>#DIV/0!</v>
      </c>
      <c r="AW104" s="25" t="e">
        <f t="shared" si="184"/>
        <v>#DIV/0!</v>
      </c>
      <c r="AX104" s="57">
        <f>'2023년 실적'!AY104</f>
        <v>0</v>
      </c>
      <c r="AY104" s="42">
        <f t="shared" si="221"/>
        <v>4667</v>
      </c>
      <c r="AZ104" s="42">
        <v>4656</v>
      </c>
      <c r="BA104" s="146">
        <f t="shared" si="185"/>
        <v>-2.3569745018212629E-3</v>
      </c>
      <c r="BB104" s="82" t="e">
        <f t="shared" si="186"/>
        <v>#DIV/0!</v>
      </c>
      <c r="BC104" s="24">
        <f>'2023년 실적'!BD104</f>
        <v>0</v>
      </c>
      <c r="BD104" s="42">
        <f t="shared" si="222"/>
        <v>4667</v>
      </c>
      <c r="BE104" s="42">
        <v>8799</v>
      </c>
      <c r="BF104" s="146">
        <f t="shared" si="187"/>
        <v>0.88536533104778226</v>
      </c>
      <c r="BG104" s="25" t="e">
        <f t="shared" si="188"/>
        <v>#DIV/0!</v>
      </c>
      <c r="BH104" s="57">
        <f>'2023년 실적'!BI104</f>
        <v>0</v>
      </c>
      <c r="BI104" s="42">
        <f t="shared" si="223"/>
        <v>4667</v>
      </c>
      <c r="BJ104" s="42">
        <v>5411</v>
      </c>
      <c r="BK104" s="146">
        <f t="shared" si="189"/>
        <v>0.15941718448682241</v>
      </c>
      <c r="BL104" s="82" t="e">
        <f t="shared" si="190"/>
        <v>#DIV/0!</v>
      </c>
      <c r="BM104" s="24">
        <f>'2023년 실적'!BN104</f>
        <v>0</v>
      </c>
      <c r="BN104" s="42">
        <f t="shared" si="224"/>
        <v>4667</v>
      </c>
      <c r="BO104" s="42">
        <v>10010</v>
      </c>
      <c r="BP104" s="146">
        <f t="shared" si="191"/>
        <v>1.1448467966573816</v>
      </c>
      <c r="BQ104" s="25" t="e">
        <f t="shared" si="192"/>
        <v>#DIV/0!</v>
      </c>
      <c r="BR104" s="57">
        <f>'2023년 실적'!BS104</f>
        <v>0</v>
      </c>
      <c r="BS104" s="42">
        <f t="shared" si="225"/>
        <v>4667</v>
      </c>
      <c r="BT104" s="42">
        <v>5128</v>
      </c>
      <c r="BU104" s="146">
        <f t="shared" si="193"/>
        <v>9.8778658667238117E-2</v>
      </c>
      <c r="BV104" s="25" t="e">
        <f t="shared" si="194"/>
        <v>#DIV/0!</v>
      </c>
    </row>
    <row r="105" spans="2:74" ht="17.25" thickBot="1" x14ac:dyDescent="0.35">
      <c r="B105" s="302"/>
      <c r="C105" s="323" t="s">
        <v>42</v>
      </c>
      <c r="D105" s="324"/>
      <c r="E105" s="325"/>
      <c r="F105" s="178">
        <f>F97+F94</f>
        <v>8010680.9000000004</v>
      </c>
      <c r="G105" s="179">
        <f>G97+G94</f>
        <v>7979682</v>
      </c>
      <c r="H105" s="179">
        <f>H97+H94</f>
        <v>8895324.8800000008</v>
      </c>
      <c r="I105" s="180">
        <f t="shared" si="168"/>
        <v>0.11474678815521733</v>
      </c>
      <c r="J105" s="181">
        <f>J97+J94</f>
        <v>7977290</v>
      </c>
      <c r="K105" s="179">
        <f>K97+K94</f>
        <v>8214405.0333333341</v>
      </c>
      <c r="L105" s="179">
        <f>L97+L94</f>
        <v>6843324</v>
      </c>
      <c r="M105" s="182">
        <f t="shared" si="169"/>
        <v>-0.1669117882268536</v>
      </c>
      <c r="N105" s="183">
        <f t="shared" si="170"/>
        <v>-0.14214927625797735</v>
      </c>
      <c r="O105" s="181">
        <f>O97+O94</f>
        <v>537791</v>
      </c>
      <c r="P105" s="179">
        <f>P97+P94</f>
        <v>638201</v>
      </c>
      <c r="Q105" s="179">
        <f>Q97+Q94</f>
        <v>521256</v>
      </c>
      <c r="R105" s="182">
        <f t="shared" si="212"/>
        <v>-0.18324164330673254</v>
      </c>
      <c r="S105" s="183">
        <f t="shared" si="210"/>
        <v>-3.0746144877842885E-2</v>
      </c>
      <c r="T105" s="178">
        <f>T97+T94</f>
        <v>818144</v>
      </c>
      <c r="U105" s="179">
        <f>U97+U94</f>
        <v>738310.40666666673</v>
      </c>
      <c r="V105" s="179">
        <f>V97+V94</f>
        <v>506781</v>
      </c>
      <c r="W105" s="182">
        <f t="shared" si="173"/>
        <v>-0.31359358418362093</v>
      </c>
      <c r="X105" s="184">
        <f t="shared" si="174"/>
        <v>-0.38057236867837452</v>
      </c>
      <c r="Y105" s="181">
        <f>Y97+Y94</f>
        <v>645059</v>
      </c>
      <c r="Z105" s="179">
        <f>Z97+Z94</f>
        <v>738310.40666666673</v>
      </c>
      <c r="AA105" s="179">
        <f>AA97+AA94</f>
        <v>595429</v>
      </c>
      <c r="AB105" s="182">
        <f t="shared" si="175"/>
        <v>-0.19352484453219276</v>
      </c>
      <c r="AC105" s="183">
        <f t="shared" si="176"/>
        <v>-7.6938698630667934E-2</v>
      </c>
      <c r="AD105" s="178">
        <f>AD97+AD94</f>
        <v>688642</v>
      </c>
      <c r="AE105" s="179">
        <f>AE97+AE94</f>
        <v>738310.40666666673</v>
      </c>
      <c r="AF105" s="179">
        <f>AF97+AF94</f>
        <v>574755</v>
      </c>
      <c r="AG105" s="182">
        <f t="shared" si="177"/>
        <v>-0.22152661697549247</v>
      </c>
      <c r="AH105" s="184">
        <f t="shared" si="178"/>
        <v>-0.16537910844822123</v>
      </c>
      <c r="AI105" s="181">
        <f>AI97+AI94</f>
        <v>722223</v>
      </c>
      <c r="AJ105" s="179">
        <f>AJ97+AJ94</f>
        <v>735922.40666666673</v>
      </c>
      <c r="AK105" s="179">
        <f>AK97+AK94</f>
        <v>642827</v>
      </c>
      <c r="AL105" s="182">
        <f t="shared" si="179"/>
        <v>-0.12650166080462055</v>
      </c>
      <c r="AM105" s="183">
        <f t="shared" si="180"/>
        <v>-0.1099328046877488</v>
      </c>
      <c r="AN105" s="178">
        <f>AN97+AN94</f>
        <v>633867</v>
      </c>
      <c r="AO105" s="179">
        <f>AO97+AO94</f>
        <v>735765.40666666673</v>
      </c>
      <c r="AP105" s="179">
        <f>AP97+AP94</f>
        <v>506078</v>
      </c>
      <c r="AQ105" s="182">
        <f t="shared" si="181"/>
        <v>-0.31217478368172991</v>
      </c>
      <c r="AR105" s="184">
        <f t="shared" si="182"/>
        <v>-0.20160222885873536</v>
      </c>
      <c r="AS105" s="181">
        <f>AS97+AS94</f>
        <v>591577</v>
      </c>
      <c r="AT105" s="179">
        <f>AT97+AT94</f>
        <v>634756</v>
      </c>
      <c r="AU105" s="179">
        <f>AU97+AU94</f>
        <v>602774</v>
      </c>
      <c r="AV105" s="182">
        <f t="shared" si="183"/>
        <v>-5.0384714756536386E-2</v>
      </c>
      <c r="AW105" s="183">
        <f t="shared" si="184"/>
        <v>1.892737547267731E-2</v>
      </c>
      <c r="AX105" s="178">
        <f>AX97+AX94</f>
        <v>609309</v>
      </c>
      <c r="AY105" s="179">
        <f>AY97+AY94</f>
        <v>644373</v>
      </c>
      <c r="AZ105" s="179">
        <f>AZ97+AZ94</f>
        <v>554339</v>
      </c>
      <c r="BA105" s="182">
        <f t="shared" si="185"/>
        <v>-0.13972342106202462</v>
      </c>
      <c r="BB105" s="184">
        <f t="shared" si="186"/>
        <v>-9.0216950676914376E-2</v>
      </c>
      <c r="BC105" s="181">
        <f>BC97+BC94</f>
        <v>540551</v>
      </c>
      <c r="BD105" s="179">
        <f>BD97+BD94</f>
        <v>640733</v>
      </c>
      <c r="BE105" s="179">
        <f>BE97+BE94</f>
        <v>484768</v>
      </c>
      <c r="BF105" s="182">
        <f t="shared" si="187"/>
        <v>-0.24341652451177009</v>
      </c>
      <c r="BG105" s="183">
        <f t="shared" si="188"/>
        <v>-0.10319655314669662</v>
      </c>
      <c r="BH105" s="178">
        <f>BH97+BH94</f>
        <v>813414</v>
      </c>
      <c r="BI105" s="179">
        <f>BI97+BI94</f>
        <v>660668</v>
      </c>
      <c r="BJ105" s="179">
        <f>BJ97+BJ94</f>
        <v>603717</v>
      </c>
      <c r="BK105" s="182">
        <f t="shared" si="189"/>
        <v>-8.6202146917967903E-2</v>
      </c>
      <c r="BL105" s="184">
        <f t="shared" si="190"/>
        <v>-0.25779861177702867</v>
      </c>
      <c r="BM105" s="181">
        <f>BM97+BM94</f>
        <v>738846</v>
      </c>
      <c r="BN105" s="179">
        <f>BN97+BN94</f>
        <v>658963</v>
      </c>
      <c r="BO105" s="179">
        <f>BO97+BO94</f>
        <v>617592</v>
      </c>
      <c r="BP105" s="182">
        <f t="shared" si="191"/>
        <v>-6.2781977136804334E-2</v>
      </c>
      <c r="BQ105" s="183">
        <f t="shared" si="192"/>
        <v>-0.16411268383397892</v>
      </c>
      <c r="BR105" s="178">
        <f>BR97+BR94</f>
        <v>637867</v>
      </c>
      <c r="BS105" s="179">
        <f>BS97+BS94</f>
        <v>650092</v>
      </c>
      <c r="BT105" s="179">
        <f>BT97+BT94</f>
        <v>633008</v>
      </c>
      <c r="BU105" s="182">
        <f t="shared" si="193"/>
        <v>-2.6279357383262703E-2</v>
      </c>
      <c r="BV105" s="183">
        <f t="shared" si="194"/>
        <v>-7.6175754506817572E-3</v>
      </c>
    </row>
  </sheetData>
  <mergeCells count="129">
    <mergeCell ref="B2:E3"/>
    <mergeCell ref="F2:F3"/>
    <mergeCell ref="G2:G3"/>
    <mergeCell ref="H2:H3"/>
    <mergeCell ref="I2:I3"/>
    <mergeCell ref="J2:N2"/>
    <mergeCell ref="AS2:AW2"/>
    <mergeCell ref="AX2:BB2"/>
    <mergeCell ref="BC2:BG2"/>
    <mergeCell ref="BH2:BL2"/>
    <mergeCell ref="BM2:BQ2"/>
    <mergeCell ref="BR2:BV2"/>
    <mergeCell ref="O2:S2"/>
    <mergeCell ref="T2:X2"/>
    <mergeCell ref="Y2:AC2"/>
    <mergeCell ref="AD2:AH2"/>
    <mergeCell ref="AI2:AM2"/>
    <mergeCell ref="AN2:AR2"/>
    <mergeCell ref="D11:E11"/>
    <mergeCell ref="D12:D15"/>
    <mergeCell ref="D16:D20"/>
    <mergeCell ref="D21:D23"/>
    <mergeCell ref="D26:E26"/>
    <mergeCell ref="D27:E27"/>
    <mergeCell ref="D28:E28"/>
    <mergeCell ref="D29:E29"/>
    <mergeCell ref="B4:C6"/>
    <mergeCell ref="D4:E4"/>
    <mergeCell ref="D5:E5"/>
    <mergeCell ref="D6:E6"/>
    <mergeCell ref="B7:B25"/>
    <mergeCell ref="C7:C26"/>
    <mergeCell ref="D7:E7"/>
    <mergeCell ref="D8:E8"/>
    <mergeCell ref="D9:E9"/>
    <mergeCell ref="D10:E10"/>
    <mergeCell ref="B41:B43"/>
    <mergeCell ref="C41:E41"/>
    <mergeCell ref="C42:E42"/>
    <mergeCell ref="C43:E43"/>
    <mergeCell ref="B48:E49"/>
    <mergeCell ref="F48:F49"/>
    <mergeCell ref="D36:E36"/>
    <mergeCell ref="C37:E37"/>
    <mergeCell ref="B38:B40"/>
    <mergeCell ref="C38:E38"/>
    <mergeCell ref="C39:E39"/>
    <mergeCell ref="C40:E40"/>
    <mergeCell ref="B26:B37"/>
    <mergeCell ref="C27:C36"/>
    <mergeCell ref="D30:E30"/>
    <mergeCell ref="D31:E31"/>
    <mergeCell ref="D32:E32"/>
    <mergeCell ref="D33:E33"/>
    <mergeCell ref="D34:E34"/>
    <mergeCell ref="D35:E35"/>
    <mergeCell ref="BR48:BV48"/>
    <mergeCell ref="B50:C54"/>
    <mergeCell ref="D50:E50"/>
    <mergeCell ref="D51:E51"/>
    <mergeCell ref="D52:E52"/>
    <mergeCell ref="D53:E53"/>
    <mergeCell ref="D54:E54"/>
    <mergeCell ref="Y48:AC48"/>
    <mergeCell ref="AD48:AH48"/>
    <mergeCell ref="AI48:AM48"/>
    <mergeCell ref="AN48:AR48"/>
    <mergeCell ref="AS48:AW48"/>
    <mergeCell ref="AX48:BB48"/>
    <mergeCell ref="G48:G49"/>
    <mergeCell ref="H48:H49"/>
    <mergeCell ref="I48:I49"/>
    <mergeCell ref="J48:N48"/>
    <mergeCell ref="O48:S48"/>
    <mergeCell ref="T48:X48"/>
    <mergeCell ref="B55:C59"/>
    <mergeCell ref="D55:E55"/>
    <mergeCell ref="D56:E56"/>
    <mergeCell ref="D57:E57"/>
    <mergeCell ref="D58:E58"/>
    <mergeCell ref="D59:E59"/>
    <mergeCell ref="BC48:BG48"/>
    <mergeCell ref="BH48:BL48"/>
    <mergeCell ref="BM48:BQ48"/>
    <mergeCell ref="D99:E99"/>
    <mergeCell ref="D100:E100"/>
    <mergeCell ref="D101:E101"/>
    <mergeCell ref="AS71:AW71"/>
    <mergeCell ref="AX71:BB71"/>
    <mergeCell ref="BC71:BG71"/>
    <mergeCell ref="BH71:BL71"/>
    <mergeCell ref="BM71:BQ71"/>
    <mergeCell ref="BR71:BV71"/>
    <mergeCell ref="O71:S71"/>
    <mergeCell ref="T71:X71"/>
    <mergeCell ref="Y71:AC71"/>
    <mergeCell ref="AD71:AH71"/>
    <mergeCell ref="AI71:AM71"/>
    <mergeCell ref="AN71:AR71"/>
    <mergeCell ref="B71:E72"/>
    <mergeCell ref="F71:F72"/>
    <mergeCell ref="G71:G72"/>
    <mergeCell ref="H71:H72"/>
    <mergeCell ref="I71:I72"/>
    <mergeCell ref="J71:N71"/>
    <mergeCell ref="D102:E102"/>
    <mergeCell ref="D103:E103"/>
    <mergeCell ref="D104:E104"/>
    <mergeCell ref="B73:C75"/>
    <mergeCell ref="D73:E73"/>
    <mergeCell ref="D74:E74"/>
    <mergeCell ref="D75:E75"/>
    <mergeCell ref="B76:B93"/>
    <mergeCell ref="C76:C94"/>
    <mergeCell ref="D76:E76"/>
    <mergeCell ref="D77:E77"/>
    <mergeCell ref="D78:E78"/>
    <mergeCell ref="D79:E79"/>
    <mergeCell ref="D80:D83"/>
    <mergeCell ref="D84:D88"/>
    <mergeCell ref="D89:D91"/>
    <mergeCell ref="B94:B105"/>
    <mergeCell ref="D94:E94"/>
    <mergeCell ref="C95:C104"/>
    <mergeCell ref="D95:E95"/>
    <mergeCell ref="D96:E96"/>
    <mergeCell ref="D97:E97"/>
    <mergeCell ref="D98:E98"/>
    <mergeCell ref="C105:E105"/>
  </mergeCells>
  <phoneticPr fontId="2" type="noConversion"/>
  <pageMargins left="0.25" right="0.25" top="0.75" bottom="0.75" header="0.3" footer="0.3"/>
  <pageSetup paperSize="9" scale="2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BDE74-1A1E-4CDC-9FCF-83453251AABC}">
  <dimension ref="B1:BZ105"/>
  <sheetViews>
    <sheetView workbookViewId="0">
      <pane xSplit="15" ySplit="3" topLeftCell="BM10" activePane="bottomRight" state="frozen"/>
      <selection pane="topRight" activeCell="P1" sqref="P1"/>
      <selection pane="bottomLeft" activeCell="A4" sqref="A4"/>
      <selection pane="bottomRight" activeCell="I30" sqref="I30:I36"/>
    </sheetView>
  </sheetViews>
  <sheetFormatPr defaultRowHeight="16.5" x14ac:dyDescent="0.3"/>
  <cols>
    <col min="1" max="1" width="3" customWidth="1"/>
    <col min="2" max="2" width="4.375" customWidth="1"/>
    <col min="3" max="3" width="4.5" customWidth="1"/>
    <col min="4" max="4" width="6" customWidth="1"/>
    <col min="5" max="5" width="8.625" customWidth="1"/>
    <col min="7" max="7" width="8.125" style="37" customWidth="1"/>
    <col min="8" max="9" width="8.25" style="37" customWidth="1"/>
    <col min="10" max="10" width="9" style="30"/>
    <col min="14" max="14" width="8.75" customWidth="1"/>
    <col min="15" max="15" width="11.25" bestFit="1" customWidth="1"/>
    <col min="16" max="16" width="7.375" bestFit="1" customWidth="1"/>
    <col min="17" max="17" width="6.75" bestFit="1" customWidth="1"/>
    <col min="18" max="18" width="7.375" bestFit="1" customWidth="1"/>
    <col min="19" max="19" width="7.125" bestFit="1" customWidth="1"/>
    <col min="21" max="21" width="7.375" bestFit="1" customWidth="1"/>
    <col min="22" max="22" width="6.75" bestFit="1" customWidth="1"/>
    <col min="23" max="23" width="7.375" bestFit="1" customWidth="1"/>
    <col min="24" max="24" width="8" bestFit="1" customWidth="1"/>
    <col min="26" max="26" width="7.375" bestFit="1" customWidth="1"/>
    <col min="27" max="27" width="6.75" bestFit="1" customWidth="1"/>
    <col min="28" max="28" width="7.375" bestFit="1" customWidth="1"/>
    <col min="29" max="29" width="7.5" bestFit="1" customWidth="1"/>
    <col min="31" max="31" width="7.375" bestFit="1" customWidth="1"/>
    <col min="32" max="32" width="6.75" bestFit="1" customWidth="1"/>
    <col min="33" max="33" width="7.375" bestFit="1" customWidth="1"/>
    <col min="34" max="34" width="8.75" bestFit="1" customWidth="1"/>
    <col min="36" max="36" width="7.375" bestFit="1" customWidth="1"/>
    <col min="37" max="37" width="6.75" bestFit="1" customWidth="1"/>
    <col min="38" max="38" width="7.375" bestFit="1" customWidth="1"/>
    <col min="39" max="39" width="8.75" bestFit="1" customWidth="1"/>
    <col min="41" max="41" width="7.375" bestFit="1" customWidth="1"/>
    <col min="42" max="42" width="6.75" bestFit="1" customWidth="1"/>
    <col min="43" max="43" width="7.375" bestFit="1" customWidth="1"/>
    <col min="44" max="44" width="8.75" bestFit="1" customWidth="1"/>
    <col min="46" max="46" width="7.375" bestFit="1" customWidth="1"/>
    <col min="47" max="47" width="6.75" bestFit="1" customWidth="1"/>
    <col min="48" max="48" width="7.375" bestFit="1" customWidth="1"/>
    <col min="49" max="49" width="8.75" bestFit="1" customWidth="1"/>
    <col min="51" max="51" width="7.375" bestFit="1" customWidth="1"/>
    <col min="52" max="52" width="6.75" bestFit="1" customWidth="1"/>
    <col min="53" max="53" width="7.375" bestFit="1" customWidth="1"/>
    <col min="54" max="54" width="8.75" bestFit="1" customWidth="1"/>
    <col min="56" max="56" width="7.375" bestFit="1" customWidth="1"/>
    <col min="57" max="57" width="6.75" bestFit="1" customWidth="1"/>
    <col min="58" max="58" width="7.375" bestFit="1" customWidth="1"/>
    <col min="59" max="59" width="8.75" bestFit="1" customWidth="1"/>
    <col min="61" max="61" width="7.375" bestFit="1" customWidth="1"/>
    <col min="62" max="62" width="6.75" bestFit="1" customWidth="1"/>
    <col min="63" max="63" width="7.375" bestFit="1" customWidth="1"/>
    <col min="64" max="64" width="8.75" bestFit="1" customWidth="1"/>
    <col min="66" max="66" width="7.375" bestFit="1" customWidth="1"/>
    <col min="67" max="67" width="6.75" bestFit="1" customWidth="1"/>
    <col min="68" max="68" width="7.375" bestFit="1" customWidth="1"/>
    <col min="69" max="69" width="8.75" bestFit="1" customWidth="1"/>
    <col min="71" max="71" width="7.375" bestFit="1" customWidth="1"/>
    <col min="72" max="72" width="6.75" bestFit="1" customWidth="1"/>
    <col min="73" max="73" width="7.375" bestFit="1" customWidth="1"/>
    <col min="74" max="74" width="8.75" bestFit="1" customWidth="1"/>
    <col min="78" max="78" width="10.875" style="150" bestFit="1" customWidth="1"/>
  </cols>
  <sheetData>
    <row r="1" spans="2:78" ht="17.25" thickBot="1" x14ac:dyDescent="0.35"/>
    <row r="2" spans="2:78" x14ac:dyDescent="0.3">
      <c r="B2" s="331" t="s">
        <v>2</v>
      </c>
      <c r="C2" s="332"/>
      <c r="D2" s="332"/>
      <c r="E2" s="333"/>
      <c r="F2" s="329" t="s">
        <v>71</v>
      </c>
      <c r="G2" s="327" t="s">
        <v>3</v>
      </c>
      <c r="H2" s="327" t="s">
        <v>74</v>
      </c>
      <c r="I2" s="372" t="s">
        <v>77</v>
      </c>
      <c r="J2" s="339" t="s">
        <v>5</v>
      </c>
      <c r="K2" s="326" t="s">
        <v>6</v>
      </c>
      <c r="L2" s="327"/>
      <c r="M2" s="327"/>
      <c r="N2" s="327"/>
      <c r="O2" s="328"/>
      <c r="P2" s="326" t="s">
        <v>7</v>
      </c>
      <c r="Q2" s="327"/>
      <c r="R2" s="327"/>
      <c r="S2" s="327"/>
      <c r="T2" s="328"/>
      <c r="U2" s="329" t="s">
        <v>58</v>
      </c>
      <c r="V2" s="327"/>
      <c r="W2" s="327"/>
      <c r="X2" s="327"/>
      <c r="Y2" s="330"/>
      <c r="Z2" s="326" t="s">
        <v>59</v>
      </c>
      <c r="AA2" s="327"/>
      <c r="AB2" s="327"/>
      <c r="AC2" s="327"/>
      <c r="AD2" s="328"/>
      <c r="AE2" s="329" t="s">
        <v>60</v>
      </c>
      <c r="AF2" s="327"/>
      <c r="AG2" s="327"/>
      <c r="AH2" s="327"/>
      <c r="AI2" s="330"/>
      <c r="AJ2" s="326" t="s">
        <v>61</v>
      </c>
      <c r="AK2" s="327"/>
      <c r="AL2" s="327"/>
      <c r="AM2" s="327"/>
      <c r="AN2" s="328"/>
      <c r="AO2" s="329" t="s">
        <v>62</v>
      </c>
      <c r="AP2" s="327"/>
      <c r="AQ2" s="327"/>
      <c r="AR2" s="327"/>
      <c r="AS2" s="330"/>
      <c r="AT2" s="326" t="s">
        <v>63</v>
      </c>
      <c r="AU2" s="327"/>
      <c r="AV2" s="327"/>
      <c r="AW2" s="327"/>
      <c r="AX2" s="328"/>
      <c r="AY2" s="329" t="s">
        <v>64</v>
      </c>
      <c r="AZ2" s="327"/>
      <c r="BA2" s="327"/>
      <c r="BB2" s="327"/>
      <c r="BC2" s="330"/>
      <c r="BD2" s="326" t="s">
        <v>65</v>
      </c>
      <c r="BE2" s="327"/>
      <c r="BF2" s="327"/>
      <c r="BG2" s="327"/>
      <c r="BH2" s="328"/>
      <c r="BI2" s="329" t="s">
        <v>66</v>
      </c>
      <c r="BJ2" s="327"/>
      <c r="BK2" s="327"/>
      <c r="BL2" s="327"/>
      <c r="BM2" s="330"/>
      <c r="BN2" s="326" t="s">
        <v>67</v>
      </c>
      <c r="BO2" s="327"/>
      <c r="BP2" s="327"/>
      <c r="BQ2" s="327"/>
      <c r="BR2" s="328"/>
      <c r="BS2" s="329" t="s">
        <v>68</v>
      </c>
      <c r="BT2" s="327"/>
      <c r="BU2" s="327"/>
      <c r="BV2" s="327"/>
      <c r="BW2" s="328"/>
    </row>
    <row r="3" spans="2:78" ht="17.25" thickBot="1" x14ac:dyDescent="0.35">
      <c r="B3" s="334"/>
      <c r="C3" s="335"/>
      <c r="D3" s="335"/>
      <c r="E3" s="336"/>
      <c r="F3" s="337"/>
      <c r="G3" s="338"/>
      <c r="H3" s="338"/>
      <c r="I3" s="373"/>
      <c r="J3" s="340"/>
      <c r="K3" s="104" t="s">
        <v>10</v>
      </c>
      <c r="L3" s="97" t="s">
        <v>9</v>
      </c>
      <c r="M3" s="97" t="s">
        <v>75</v>
      </c>
      <c r="N3" s="98" t="s">
        <v>11</v>
      </c>
      <c r="O3" s="99" t="s">
        <v>12</v>
      </c>
      <c r="P3" s="111" t="str">
        <f t="shared" ref="P3:BW3" si="0">K3</f>
        <v>2024년</v>
      </c>
      <c r="Q3" s="97" t="str">
        <f t="shared" si="0"/>
        <v>목표</v>
      </c>
      <c r="R3" s="97" t="str">
        <f t="shared" si="0"/>
        <v>2025년</v>
      </c>
      <c r="S3" s="98" t="str">
        <f t="shared" si="0"/>
        <v>달성율</v>
      </c>
      <c r="T3" s="99" t="str">
        <f t="shared" si="0"/>
        <v>전년대비</v>
      </c>
      <c r="U3" s="103" t="str">
        <f t="shared" si="0"/>
        <v>2024년</v>
      </c>
      <c r="V3" s="97" t="str">
        <f t="shared" si="0"/>
        <v>목표</v>
      </c>
      <c r="W3" s="97" t="str">
        <f t="shared" si="0"/>
        <v>2025년</v>
      </c>
      <c r="X3" s="98" t="str">
        <f t="shared" si="0"/>
        <v>달성율</v>
      </c>
      <c r="Y3" s="109" t="str">
        <f t="shared" si="0"/>
        <v>전년대비</v>
      </c>
      <c r="Z3" s="111" t="str">
        <f t="shared" si="0"/>
        <v>2024년</v>
      </c>
      <c r="AA3" s="97" t="str">
        <f t="shared" si="0"/>
        <v>목표</v>
      </c>
      <c r="AB3" s="97" t="str">
        <f t="shared" si="0"/>
        <v>2025년</v>
      </c>
      <c r="AC3" s="98" t="str">
        <f t="shared" si="0"/>
        <v>달성율</v>
      </c>
      <c r="AD3" s="99" t="str">
        <f t="shared" si="0"/>
        <v>전년대비</v>
      </c>
      <c r="AE3" s="103" t="str">
        <f t="shared" si="0"/>
        <v>2024년</v>
      </c>
      <c r="AF3" s="97" t="str">
        <f t="shared" si="0"/>
        <v>목표</v>
      </c>
      <c r="AG3" s="97" t="str">
        <f t="shared" si="0"/>
        <v>2025년</v>
      </c>
      <c r="AH3" s="98" t="str">
        <f t="shared" si="0"/>
        <v>달성율</v>
      </c>
      <c r="AI3" s="109" t="str">
        <f t="shared" si="0"/>
        <v>전년대비</v>
      </c>
      <c r="AJ3" s="111" t="str">
        <f t="shared" si="0"/>
        <v>2024년</v>
      </c>
      <c r="AK3" s="97" t="str">
        <f t="shared" si="0"/>
        <v>목표</v>
      </c>
      <c r="AL3" s="97" t="str">
        <f t="shared" si="0"/>
        <v>2025년</v>
      </c>
      <c r="AM3" s="98" t="str">
        <f t="shared" si="0"/>
        <v>달성율</v>
      </c>
      <c r="AN3" s="99" t="str">
        <f t="shared" si="0"/>
        <v>전년대비</v>
      </c>
      <c r="AO3" s="103" t="str">
        <f t="shared" si="0"/>
        <v>2024년</v>
      </c>
      <c r="AP3" s="97" t="str">
        <f t="shared" si="0"/>
        <v>목표</v>
      </c>
      <c r="AQ3" s="97" t="str">
        <f t="shared" si="0"/>
        <v>2025년</v>
      </c>
      <c r="AR3" s="98" t="str">
        <f t="shared" si="0"/>
        <v>달성율</v>
      </c>
      <c r="AS3" s="109" t="str">
        <f t="shared" si="0"/>
        <v>전년대비</v>
      </c>
      <c r="AT3" s="111" t="str">
        <f t="shared" si="0"/>
        <v>2024년</v>
      </c>
      <c r="AU3" s="97" t="str">
        <f t="shared" si="0"/>
        <v>목표</v>
      </c>
      <c r="AV3" s="97" t="str">
        <f t="shared" si="0"/>
        <v>2025년</v>
      </c>
      <c r="AW3" s="98" t="str">
        <f t="shared" si="0"/>
        <v>달성율</v>
      </c>
      <c r="AX3" s="99" t="str">
        <f t="shared" si="0"/>
        <v>전년대비</v>
      </c>
      <c r="AY3" s="103" t="str">
        <f t="shared" si="0"/>
        <v>2024년</v>
      </c>
      <c r="AZ3" s="97" t="str">
        <f t="shared" si="0"/>
        <v>목표</v>
      </c>
      <c r="BA3" s="97" t="str">
        <f t="shared" si="0"/>
        <v>2025년</v>
      </c>
      <c r="BB3" s="98" t="str">
        <f t="shared" si="0"/>
        <v>달성율</v>
      </c>
      <c r="BC3" s="109" t="str">
        <f t="shared" si="0"/>
        <v>전년대비</v>
      </c>
      <c r="BD3" s="111">
        <f>BD8+BD28</f>
        <v>1489022</v>
      </c>
      <c r="BE3" s="97" t="str">
        <f t="shared" si="0"/>
        <v>목표</v>
      </c>
      <c r="BF3" s="97" t="str">
        <f t="shared" si="0"/>
        <v>2025년</v>
      </c>
      <c r="BG3" s="98" t="str">
        <f t="shared" si="0"/>
        <v>달성율</v>
      </c>
      <c r="BH3" s="99" t="str">
        <f t="shared" si="0"/>
        <v>전년대비</v>
      </c>
      <c r="BI3" s="103">
        <f t="shared" si="0"/>
        <v>1489022</v>
      </c>
      <c r="BJ3" s="97" t="str">
        <f t="shared" si="0"/>
        <v>목표</v>
      </c>
      <c r="BK3" s="97" t="str">
        <f t="shared" si="0"/>
        <v>2025년</v>
      </c>
      <c r="BL3" s="98" t="str">
        <f t="shared" si="0"/>
        <v>달성율</v>
      </c>
      <c r="BM3" s="109" t="str">
        <f t="shared" si="0"/>
        <v>전년대비</v>
      </c>
      <c r="BN3" s="111">
        <f t="shared" si="0"/>
        <v>1489022</v>
      </c>
      <c r="BO3" s="97" t="str">
        <f t="shared" si="0"/>
        <v>목표</v>
      </c>
      <c r="BP3" s="97" t="str">
        <f t="shared" si="0"/>
        <v>2025년</v>
      </c>
      <c r="BQ3" s="98" t="str">
        <f t="shared" si="0"/>
        <v>달성율</v>
      </c>
      <c r="BR3" s="99" t="str">
        <f t="shared" si="0"/>
        <v>전년대비</v>
      </c>
      <c r="BS3" s="103">
        <f t="shared" si="0"/>
        <v>1489022</v>
      </c>
      <c r="BT3" s="97" t="str">
        <f t="shared" si="0"/>
        <v>목표</v>
      </c>
      <c r="BU3" s="97" t="str">
        <f t="shared" si="0"/>
        <v>2025년</v>
      </c>
      <c r="BV3" s="98" t="str">
        <f t="shared" si="0"/>
        <v>달성율</v>
      </c>
      <c r="BW3" s="99" t="str">
        <f t="shared" si="0"/>
        <v>전년대비</v>
      </c>
    </row>
    <row r="4" spans="2:78" ht="16.5" customHeight="1" x14ac:dyDescent="0.3">
      <c r="B4" s="288" t="s">
        <v>57</v>
      </c>
      <c r="C4" s="289"/>
      <c r="D4" s="294" t="s">
        <v>13</v>
      </c>
      <c r="E4" s="295"/>
      <c r="F4" s="161">
        <f>F9+F29</f>
        <v>10715192.9</v>
      </c>
      <c r="G4" s="158">
        <f>G9+G29</f>
        <v>10656512</v>
      </c>
      <c r="H4" s="158">
        <f>H9+H29</f>
        <v>10517294</v>
      </c>
      <c r="I4" s="158">
        <f>I9+I29</f>
        <v>11825000</v>
      </c>
      <c r="J4" s="162">
        <f>I4/H4-1</f>
        <v>0.12433863691554126</v>
      </c>
      <c r="K4" s="163">
        <f t="shared" ref="K4:M5" si="1">P4+U4+Z4+AE4+AJ4+AO4+AT4+AY4+BD4+BI4+BN4+BS4</f>
        <v>10358279</v>
      </c>
      <c r="L4" s="158">
        <f t="shared" si="1"/>
        <v>10824157</v>
      </c>
      <c r="M4" s="158">
        <f t="shared" si="1"/>
        <v>0</v>
      </c>
      <c r="N4" s="159">
        <f>M4/L4-1</f>
        <v>-1</v>
      </c>
      <c r="O4" s="160">
        <f>M4/K4-1</f>
        <v>-1</v>
      </c>
      <c r="P4" s="163">
        <f>P9+P29</f>
        <v>750995</v>
      </c>
      <c r="Q4" s="158">
        <f>Q9+Q29</f>
        <v>828693</v>
      </c>
      <c r="R4" s="158">
        <f>R9+R29</f>
        <v>0</v>
      </c>
      <c r="S4" s="159">
        <f>R4/Q4-1</f>
        <v>-1</v>
      </c>
      <c r="T4" s="160">
        <f>R4/P4-1</f>
        <v>-1</v>
      </c>
      <c r="U4" s="161">
        <f>U9+U29</f>
        <v>731815</v>
      </c>
      <c r="V4" s="158">
        <f>V9+V29</f>
        <v>914993</v>
      </c>
      <c r="W4" s="158">
        <f>W9+W29</f>
        <v>0</v>
      </c>
      <c r="X4" s="159">
        <f>W4/V4-1</f>
        <v>-1</v>
      </c>
      <c r="Y4" s="162">
        <f>W4/U4-1</f>
        <v>-1</v>
      </c>
      <c r="Z4" s="163">
        <f>Z9+Z29</f>
        <v>940726</v>
      </c>
      <c r="AA4" s="158">
        <f>AA9+AA29</f>
        <v>1032593</v>
      </c>
      <c r="AB4" s="158">
        <f>AB9+AB29</f>
        <v>0</v>
      </c>
      <c r="AC4" s="159">
        <f>AB4/AA4-1</f>
        <v>-1</v>
      </c>
      <c r="AD4" s="160">
        <f>AB4/Z4-1</f>
        <v>-1</v>
      </c>
      <c r="AE4" s="161">
        <f>AE9+AE29</f>
        <v>899518</v>
      </c>
      <c r="AF4" s="158">
        <f>AF9+AF29</f>
        <v>1046593</v>
      </c>
      <c r="AG4" s="158">
        <f>AG9+AG29</f>
        <v>0</v>
      </c>
      <c r="AH4" s="159">
        <f>AG4/AF4-1</f>
        <v>-1</v>
      </c>
      <c r="AI4" s="162">
        <f>AG4/AE4-1</f>
        <v>-1</v>
      </c>
      <c r="AJ4" s="163">
        <f>AJ9+AJ29</f>
        <v>888999</v>
      </c>
      <c r="AK4" s="158">
        <f>AK9+AK29</f>
        <v>1008193</v>
      </c>
      <c r="AL4" s="158">
        <f>AL9+AL29</f>
        <v>0</v>
      </c>
      <c r="AM4" s="159">
        <f>AL4/AK4-1</f>
        <v>-1</v>
      </c>
      <c r="AN4" s="160">
        <f>AL4/AJ4-1</f>
        <v>-1</v>
      </c>
      <c r="AO4" s="161">
        <f>AO9+AO29</f>
        <v>810468</v>
      </c>
      <c r="AP4" s="158">
        <f>AP9+AP29</f>
        <v>929793</v>
      </c>
      <c r="AQ4" s="158">
        <f>AQ9+AQ29</f>
        <v>0</v>
      </c>
      <c r="AR4" s="159">
        <f>AQ4/AP4-1</f>
        <v>-1</v>
      </c>
      <c r="AS4" s="162">
        <f>AQ4/AO4-1</f>
        <v>-1</v>
      </c>
      <c r="AT4" s="163">
        <f>AT9+AT29</f>
        <v>917440</v>
      </c>
      <c r="AU4" s="158">
        <f>AU9+AU29</f>
        <v>935593</v>
      </c>
      <c r="AV4" s="158">
        <f>AV9+AV29</f>
        <v>0</v>
      </c>
      <c r="AW4" s="159">
        <f>AV4/AU4-1</f>
        <v>-1</v>
      </c>
      <c r="AX4" s="160">
        <f>AV4/AT4-1</f>
        <v>-1</v>
      </c>
      <c r="AY4" s="161">
        <f>AY9+AY29</f>
        <v>839998</v>
      </c>
      <c r="AZ4" s="158">
        <f>AZ9+AZ29</f>
        <v>939293</v>
      </c>
      <c r="BA4" s="158">
        <f>BA9+BA29</f>
        <v>0</v>
      </c>
      <c r="BB4" s="159">
        <f>BA4/AZ4-1</f>
        <v>-1</v>
      </c>
      <c r="BC4" s="162">
        <f>BA4/AY4-1</f>
        <v>-1</v>
      </c>
      <c r="BD4" s="163">
        <f>BD7+BD27</f>
        <v>603740</v>
      </c>
      <c r="BE4" s="158">
        <v>0</v>
      </c>
      <c r="BF4" s="158">
        <v>0</v>
      </c>
      <c r="BG4" s="159" t="e">
        <f>BF4/BE4-1</f>
        <v>#DIV/0!</v>
      </c>
      <c r="BH4" s="160">
        <f>BF4/BD4-1</f>
        <v>-1</v>
      </c>
      <c r="BI4" s="161">
        <f>BI9+BI29</f>
        <v>1032921</v>
      </c>
      <c r="BJ4" s="158">
        <f>BJ9+BJ29</f>
        <v>1140793</v>
      </c>
      <c r="BK4" s="158">
        <f>BK9+BK29</f>
        <v>0</v>
      </c>
      <c r="BL4" s="159">
        <f>BK4/BJ4-1</f>
        <v>-1</v>
      </c>
      <c r="BM4" s="162">
        <f>BK4/BI4-1</f>
        <v>-1</v>
      </c>
      <c r="BN4" s="163">
        <f>BN9+BN29</f>
        <v>970781</v>
      </c>
      <c r="BO4" s="158">
        <f>BO9+BO29</f>
        <v>1029893</v>
      </c>
      <c r="BP4" s="158">
        <f>BP9+BP29</f>
        <v>0</v>
      </c>
      <c r="BQ4" s="159">
        <f>BP4/BO4-1</f>
        <v>-1</v>
      </c>
      <c r="BR4" s="160">
        <f>BP4/BN4-1</f>
        <v>-1</v>
      </c>
      <c r="BS4" s="161">
        <f>BS9+BS29</f>
        <v>970878</v>
      </c>
      <c r="BT4" s="158">
        <f>BT9+BT29</f>
        <v>1017727</v>
      </c>
      <c r="BU4" s="158">
        <f>BU9+BU29</f>
        <v>0</v>
      </c>
      <c r="BV4" s="159">
        <f>BU4/BT4-1</f>
        <v>-1</v>
      </c>
      <c r="BW4" s="160">
        <f>BU4/BS4-1</f>
        <v>-1</v>
      </c>
    </row>
    <row r="5" spans="2:78" x14ac:dyDescent="0.3">
      <c r="B5" s="290"/>
      <c r="C5" s="291"/>
      <c r="D5" s="296" t="s">
        <v>14</v>
      </c>
      <c r="E5" s="297"/>
      <c r="F5" s="84">
        <f>F8+F28</f>
        <v>10804093</v>
      </c>
      <c r="G5" s="62">
        <f>G8+G28</f>
        <v>10654645</v>
      </c>
      <c r="H5" s="62">
        <f>H8+H28</f>
        <v>10465641</v>
      </c>
      <c r="I5" s="62">
        <f>I8+I28</f>
        <v>11825000</v>
      </c>
      <c r="J5" s="75">
        <f t="shared" ref="J5:J43" si="2">I5/H5-1</f>
        <v>0.1298877918705601</v>
      </c>
      <c r="K5" s="3">
        <f t="shared" si="1"/>
        <v>10297865</v>
      </c>
      <c r="L5" s="62">
        <f t="shared" si="1"/>
        <v>10824157</v>
      </c>
      <c r="M5" s="62">
        <f t="shared" si="1"/>
        <v>0</v>
      </c>
      <c r="N5" s="86">
        <f t="shared" ref="N5:N43" si="3">M5/L5-1</f>
        <v>-1</v>
      </c>
      <c r="O5" s="4">
        <f t="shared" ref="O5:O43" si="4">M5/K5-1</f>
        <v>-1</v>
      </c>
      <c r="P5" s="3">
        <f>P8+P28</f>
        <v>810924</v>
      </c>
      <c r="Q5" s="62">
        <f>Q8+Q28</f>
        <v>828693</v>
      </c>
      <c r="R5" s="62">
        <f>R8+R28</f>
        <v>0</v>
      </c>
      <c r="S5" s="86">
        <f t="shared" ref="S5:S43" si="5">R5/Q5-1</f>
        <v>-1</v>
      </c>
      <c r="T5" s="4">
        <f t="shared" ref="T5:T43" si="6">R5/P5-1</f>
        <v>-1</v>
      </c>
      <c r="U5" s="84">
        <f>U8+U28</f>
        <v>717398</v>
      </c>
      <c r="V5" s="62">
        <f>V8+V28</f>
        <v>914993</v>
      </c>
      <c r="W5" s="62">
        <f>W8+W28</f>
        <v>0</v>
      </c>
      <c r="X5" s="86">
        <f t="shared" ref="X5:X43" si="7">W5/V5-1</f>
        <v>-1</v>
      </c>
      <c r="Y5" s="75">
        <f t="shared" ref="Y5:Y43" si="8">W5/U5-1</f>
        <v>-1</v>
      </c>
      <c r="Z5" s="3">
        <f>Z8+Z28</f>
        <v>901216</v>
      </c>
      <c r="AA5" s="62">
        <f>AA8+AA28</f>
        <v>1032593</v>
      </c>
      <c r="AB5" s="62">
        <f>AB8+AB28</f>
        <v>0</v>
      </c>
      <c r="AC5" s="86">
        <f t="shared" ref="AC5:AC43" si="9">AB5/AA5-1</f>
        <v>-1</v>
      </c>
      <c r="AD5" s="4">
        <f t="shared" ref="AD5:AD43" si="10">AB5/Z5-1</f>
        <v>-1</v>
      </c>
      <c r="AE5" s="84">
        <f>AE8+AE28</f>
        <v>919685</v>
      </c>
      <c r="AF5" s="62">
        <f>AF8+AF28</f>
        <v>1046593</v>
      </c>
      <c r="AG5" s="62">
        <f>AG8+AG28</f>
        <v>0</v>
      </c>
      <c r="AH5" s="86">
        <f t="shared" ref="AH5:AH43" si="11">AG5/AF5-1</f>
        <v>-1</v>
      </c>
      <c r="AI5" s="75">
        <f t="shared" ref="AI5:AI43" si="12">AG5/AE5-1</f>
        <v>-1</v>
      </c>
      <c r="AJ5" s="3">
        <f>AJ8+AJ28</f>
        <v>932411</v>
      </c>
      <c r="AK5" s="62">
        <f>AK8+AK28</f>
        <v>1008193</v>
      </c>
      <c r="AL5" s="62">
        <f>AL8+AL28</f>
        <v>0</v>
      </c>
      <c r="AM5" s="86">
        <f t="shared" ref="AM5:AM43" si="13">AL5/AK5-1</f>
        <v>-1</v>
      </c>
      <c r="AN5" s="4">
        <f t="shared" ref="AN5:AN43" si="14">AL5/AJ5-1</f>
        <v>-1</v>
      </c>
      <c r="AO5" s="84">
        <f>AO8+AO28</f>
        <v>696966</v>
      </c>
      <c r="AP5" s="62">
        <f>AP8+AP28</f>
        <v>929793</v>
      </c>
      <c r="AQ5" s="62">
        <f>AQ8+AQ28</f>
        <v>0</v>
      </c>
      <c r="AR5" s="86">
        <f t="shared" ref="AR5:AR43" si="15">AQ5/AP5-1</f>
        <v>-1</v>
      </c>
      <c r="AS5" s="75">
        <f t="shared" ref="AS5:AS43" si="16">AQ5/AO5-1</f>
        <v>-1</v>
      </c>
      <c r="AT5" s="3">
        <f>AT8+AT28</f>
        <v>795411</v>
      </c>
      <c r="AU5" s="62">
        <f>AU8+AU28</f>
        <v>935593</v>
      </c>
      <c r="AV5" s="62">
        <f>AV8+AV28</f>
        <v>0</v>
      </c>
      <c r="AW5" s="86">
        <f t="shared" ref="AW5:AW43" si="17">AV5/AU5-1</f>
        <v>-1</v>
      </c>
      <c r="AX5" s="4">
        <f t="shared" ref="AX5:AX43" si="18">AV5/AT5-1</f>
        <v>-1</v>
      </c>
      <c r="AY5" s="84">
        <f>AY8+AY28</f>
        <v>800922</v>
      </c>
      <c r="AZ5" s="62">
        <f>AZ8+AZ28</f>
        <v>939293</v>
      </c>
      <c r="BA5" s="62">
        <f>BA8+BA28</f>
        <v>0</v>
      </c>
      <c r="BB5" s="86">
        <f t="shared" ref="BB5:BB43" si="19">BA5/AZ5-1</f>
        <v>-1</v>
      </c>
      <c r="BC5" s="75">
        <f t="shared" ref="BC5:BC43" si="20">BA5/AY5-1</f>
        <v>-1</v>
      </c>
      <c r="BD5" s="3">
        <f>BD6+BD26</f>
        <v>679378</v>
      </c>
      <c r="BE5" s="62">
        <v>0</v>
      </c>
      <c r="BF5" s="62">
        <v>0</v>
      </c>
      <c r="BG5" s="86" t="e">
        <f t="shared" ref="BG5:BG43" si="21">BF5/BE5-1</f>
        <v>#DIV/0!</v>
      </c>
      <c r="BH5" s="4">
        <f t="shared" ref="BH5:BH43" si="22">BF5/BD5-1</f>
        <v>-1</v>
      </c>
      <c r="BI5" s="84">
        <f>BI8+BI28</f>
        <v>1169006</v>
      </c>
      <c r="BJ5" s="62">
        <f>BJ8+BJ28</f>
        <v>1140793</v>
      </c>
      <c r="BK5" s="62">
        <f>BK8+BK28</f>
        <v>0</v>
      </c>
      <c r="BL5" s="86">
        <f t="shared" ref="BL5:BL43" si="23">BK5/BJ5-1</f>
        <v>-1</v>
      </c>
      <c r="BM5" s="75">
        <f t="shared" ref="BM5:BM43" si="24">BK5/BI5-1</f>
        <v>-1</v>
      </c>
      <c r="BN5" s="3">
        <f>BN8+BN28</f>
        <v>924616</v>
      </c>
      <c r="BO5" s="62">
        <f>BO8+BO28</f>
        <v>1029893</v>
      </c>
      <c r="BP5" s="62">
        <f>BP8+BP28</f>
        <v>0</v>
      </c>
      <c r="BQ5" s="86">
        <f t="shared" ref="BQ5:BQ43" si="25">BP5/BO5-1</f>
        <v>-1</v>
      </c>
      <c r="BR5" s="4">
        <f t="shared" ref="BR5:BR43" si="26">BP5/BN5-1</f>
        <v>-1</v>
      </c>
      <c r="BS5" s="84">
        <f>BS8+BS28</f>
        <v>949932</v>
      </c>
      <c r="BT5" s="62">
        <f>BT8+BT28</f>
        <v>1017727</v>
      </c>
      <c r="BU5" s="62">
        <f>BU8+BU28</f>
        <v>0</v>
      </c>
      <c r="BV5" s="86">
        <f t="shared" ref="BV5:BV43" si="27">BU5/BT5-1</f>
        <v>-1</v>
      </c>
      <c r="BW5" s="4">
        <f t="shared" ref="BW5:BW43" si="28">BU5/BS5-1</f>
        <v>-1</v>
      </c>
    </row>
    <row r="6" spans="2:78" ht="17.25" thickBot="1" x14ac:dyDescent="0.35">
      <c r="B6" s="292"/>
      <c r="C6" s="293"/>
      <c r="D6" s="298" t="s">
        <v>15</v>
      </c>
      <c r="E6" s="299"/>
      <c r="F6" s="57">
        <f>F7+F27</f>
        <v>664657</v>
      </c>
      <c r="G6" s="42">
        <f>G7+G27</f>
        <v>703108</v>
      </c>
      <c r="H6" s="42">
        <f>H7+H27</f>
        <v>571814</v>
      </c>
      <c r="I6" s="42">
        <f>I7+I27</f>
        <v>492708</v>
      </c>
      <c r="J6" s="82">
        <f t="shared" si="2"/>
        <v>-0.13834218819406308</v>
      </c>
      <c r="K6" s="24">
        <f>K7+K27</f>
        <v>703108</v>
      </c>
      <c r="L6" s="42">
        <f>L7+L27</f>
        <v>508863.5</v>
      </c>
      <c r="M6" s="42">
        <f>M7+M27</f>
        <v>0</v>
      </c>
      <c r="N6" s="146">
        <f t="shared" si="3"/>
        <v>-1</v>
      </c>
      <c r="O6" s="25">
        <f t="shared" si="4"/>
        <v>-1</v>
      </c>
      <c r="P6" s="24">
        <f>P7+P27</f>
        <v>599204</v>
      </c>
      <c r="Q6" s="42">
        <f>Q7+Q27</f>
        <v>414346.5</v>
      </c>
      <c r="R6" s="42">
        <f>R7+R27</f>
        <v>0</v>
      </c>
      <c r="S6" s="146">
        <f t="shared" si="5"/>
        <v>-1</v>
      </c>
      <c r="T6" s="25">
        <f t="shared" si="6"/>
        <v>-1</v>
      </c>
      <c r="U6" s="57">
        <f>U7+U27</f>
        <v>530302</v>
      </c>
      <c r="V6" s="42">
        <f>V7+V27</f>
        <v>457496.5</v>
      </c>
      <c r="W6" s="42">
        <f>W7+W27</f>
        <v>0</v>
      </c>
      <c r="X6" s="146">
        <f t="shared" si="7"/>
        <v>-1</v>
      </c>
      <c r="Y6" s="82">
        <f t="shared" si="8"/>
        <v>-1</v>
      </c>
      <c r="Z6" s="24">
        <f>Z7+Z27</f>
        <v>617089</v>
      </c>
      <c r="AA6" s="42">
        <f>AA7+AA27</f>
        <v>516296.5</v>
      </c>
      <c r="AB6" s="42">
        <f>AB7+AB27</f>
        <v>0</v>
      </c>
      <c r="AC6" s="146">
        <f t="shared" si="9"/>
        <v>-1</v>
      </c>
      <c r="AD6" s="25">
        <f t="shared" si="10"/>
        <v>-1</v>
      </c>
      <c r="AE6" s="57">
        <f>AE7+AE27</f>
        <v>725498</v>
      </c>
      <c r="AF6" s="42">
        <f>AF7+AF27</f>
        <v>523296.5</v>
      </c>
      <c r="AG6" s="42">
        <f>AG7+AG27</f>
        <v>0</v>
      </c>
      <c r="AH6" s="146">
        <f t="shared" si="11"/>
        <v>-1</v>
      </c>
      <c r="AI6" s="82">
        <f t="shared" si="12"/>
        <v>-1</v>
      </c>
      <c r="AJ6" s="24">
        <f>AJ7+AJ27</f>
        <v>795245</v>
      </c>
      <c r="AK6" s="42">
        <f>AK7+AK27</f>
        <v>504096.5</v>
      </c>
      <c r="AL6" s="42">
        <f>AL7+AL27</f>
        <v>0</v>
      </c>
      <c r="AM6" s="146">
        <f t="shared" si="13"/>
        <v>-1</v>
      </c>
      <c r="AN6" s="25">
        <f t="shared" si="14"/>
        <v>-1</v>
      </c>
      <c r="AO6" s="57">
        <f>AO7+AO27</f>
        <v>688789</v>
      </c>
      <c r="AP6" s="42">
        <f>AP7+AP27</f>
        <v>464896.5</v>
      </c>
      <c r="AQ6" s="42">
        <f>AQ7+AQ27</f>
        <v>0</v>
      </c>
      <c r="AR6" s="146">
        <f t="shared" si="15"/>
        <v>-1</v>
      </c>
      <c r="AS6" s="82">
        <f t="shared" si="16"/>
        <v>-1</v>
      </c>
      <c r="AT6" s="24">
        <f>AT7+AT27</f>
        <v>604271</v>
      </c>
      <c r="AU6" s="42">
        <f>AU7+AU27</f>
        <v>467796.5</v>
      </c>
      <c r="AV6" s="42">
        <f>AV7+AV27</f>
        <v>0</v>
      </c>
      <c r="AW6" s="146">
        <f t="shared" si="17"/>
        <v>-1</v>
      </c>
      <c r="AX6" s="25">
        <f t="shared" si="18"/>
        <v>-1</v>
      </c>
      <c r="AY6" s="57">
        <f>AY7+AY27</f>
        <v>558098</v>
      </c>
      <c r="AZ6" s="42">
        <f>AZ7+AZ27</f>
        <v>469646.5</v>
      </c>
      <c r="BA6" s="42">
        <f>BA7+BA27</f>
        <v>0</v>
      </c>
      <c r="BB6" s="146">
        <f t="shared" si="19"/>
        <v>-1</v>
      </c>
      <c r="BC6" s="82">
        <f t="shared" si="20"/>
        <v>-1</v>
      </c>
      <c r="BD6" s="24">
        <f>'2023년 실적'!BD6</f>
        <v>616909</v>
      </c>
      <c r="BE6" s="42">
        <v>0</v>
      </c>
      <c r="BF6" s="42">
        <v>0</v>
      </c>
      <c r="BG6" s="146" t="e">
        <f t="shared" si="21"/>
        <v>#DIV/0!</v>
      </c>
      <c r="BH6" s="25">
        <f t="shared" si="22"/>
        <v>-1</v>
      </c>
      <c r="BI6" s="57">
        <f>BI7+BI27</f>
        <v>765577</v>
      </c>
      <c r="BJ6" s="42">
        <f>BJ7+BJ27</f>
        <v>570396.5</v>
      </c>
      <c r="BK6" s="42">
        <f>BK7+BK27</f>
        <v>0</v>
      </c>
      <c r="BL6" s="146">
        <f t="shared" si="23"/>
        <v>-1</v>
      </c>
      <c r="BM6" s="82">
        <f t="shared" si="24"/>
        <v>-1</v>
      </c>
      <c r="BN6" s="24">
        <f>BN7+BN27</f>
        <v>702555</v>
      </c>
      <c r="BO6" s="42">
        <f>BO7+BO27</f>
        <v>514946.5</v>
      </c>
      <c r="BP6" s="42">
        <f>BP7+BP27</f>
        <v>0</v>
      </c>
      <c r="BQ6" s="146">
        <f t="shared" si="25"/>
        <v>-1</v>
      </c>
      <c r="BR6" s="25">
        <f t="shared" si="26"/>
        <v>-1</v>
      </c>
      <c r="BS6" s="24">
        <f>BS7+BS27</f>
        <v>703108</v>
      </c>
      <c r="BT6" s="42">
        <f>BT7+BT27</f>
        <v>508863.5</v>
      </c>
      <c r="BU6" s="42">
        <f>BU7+BU27</f>
        <v>0</v>
      </c>
      <c r="BV6" s="146">
        <f t="shared" si="27"/>
        <v>-1</v>
      </c>
      <c r="BW6" s="25">
        <f t="shared" si="28"/>
        <v>-1</v>
      </c>
    </row>
    <row r="7" spans="2:78" ht="17.25" thickBot="1" x14ac:dyDescent="0.35">
      <c r="B7" s="300" t="s">
        <v>16</v>
      </c>
      <c r="C7" s="300" t="s">
        <v>17</v>
      </c>
      <c r="D7" s="303" t="s">
        <v>15</v>
      </c>
      <c r="E7" s="304"/>
      <c r="F7" s="52">
        <v>305936</v>
      </c>
      <c r="G7" s="38">
        <f>BS7</f>
        <v>343119</v>
      </c>
      <c r="H7" s="38">
        <f>ROUND(H8/24,0)</f>
        <v>211825</v>
      </c>
      <c r="I7" s="38">
        <f>ROUND(I8/24,0)</f>
        <v>237500</v>
      </c>
      <c r="J7" s="77">
        <f t="shared" si="2"/>
        <v>0.12120854478933074</v>
      </c>
      <c r="K7" s="8">
        <f>BS7</f>
        <v>343119</v>
      </c>
      <c r="L7" s="8">
        <f t="shared" ref="L7:M7" si="29">BT7</f>
        <v>256500</v>
      </c>
      <c r="M7" s="8">
        <f t="shared" si="29"/>
        <v>0</v>
      </c>
      <c r="N7" s="115">
        <f t="shared" si="3"/>
        <v>-1</v>
      </c>
      <c r="O7" s="10">
        <f t="shared" si="4"/>
        <v>-1</v>
      </c>
      <c r="P7" s="8">
        <f>'2023년 실적'!P7</f>
        <v>269436</v>
      </c>
      <c r="Q7" s="38">
        <f>ROUND(Q9/2,2)</f>
        <v>199500</v>
      </c>
      <c r="R7" s="38"/>
      <c r="S7" s="115">
        <f t="shared" si="5"/>
        <v>-1</v>
      </c>
      <c r="T7" s="10">
        <f t="shared" si="6"/>
        <v>-1</v>
      </c>
      <c r="U7" s="52">
        <f>'2023년 실적'!U7</f>
        <v>252179</v>
      </c>
      <c r="V7" s="38">
        <f>ROUND(V9/2,2)</f>
        <v>228000</v>
      </c>
      <c r="W7" s="38"/>
      <c r="X7" s="115">
        <f t="shared" si="7"/>
        <v>-1</v>
      </c>
      <c r="Y7" s="77">
        <f t="shared" si="8"/>
        <v>-1</v>
      </c>
      <c r="Z7" s="8">
        <f>'2023년 실적'!Z7</f>
        <v>275989</v>
      </c>
      <c r="AA7" s="38">
        <f>ROUND(AA9/2,2)</f>
        <v>256500</v>
      </c>
      <c r="AB7" s="38"/>
      <c r="AC7" s="115">
        <f t="shared" si="9"/>
        <v>-1</v>
      </c>
      <c r="AD7" s="10">
        <f t="shared" si="10"/>
        <v>-1</v>
      </c>
      <c r="AE7" s="52">
        <f>'2023년 실적'!AE7</f>
        <v>394563</v>
      </c>
      <c r="AF7" s="38">
        <f>ROUND(AF9/2,2)</f>
        <v>228000</v>
      </c>
      <c r="AG7" s="38"/>
      <c r="AH7" s="115">
        <f t="shared" si="11"/>
        <v>-1</v>
      </c>
      <c r="AI7" s="77">
        <f t="shared" si="12"/>
        <v>-1</v>
      </c>
      <c r="AJ7" s="8">
        <f>'2023년 실적'!AJ7</f>
        <v>389318</v>
      </c>
      <c r="AK7" s="38">
        <f>ROUND(AK9/2,2)</f>
        <v>228000</v>
      </c>
      <c r="AL7" s="38"/>
      <c r="AM7" s="115">
        <f t="shared" si="13"/>
        <v>-1</v>
      </c>
      <c r="AN7" s="10">
        <f t="shared" si="14"/>
        <v>-1</v>
      </c>
      <c r="AO7" s="52">
        <f>'2023년 실적'!AO7</f>
        <v>269436</v>
      </c>
      <c r="AP7" s="38">
        <f>ROUND(AP9/2,2)</f>
        <v>228000</v>
      </c>
      <c r="AQ7" s="38"/>
      <c r="AR7" s="115">
        <f t="shared" si="15"/>
        <v>-1</v>
      </c>
      <c r="AS7" s="77">
        <f t="shared" si="16"/>
        <v>-1</v>
      </c>
      <c r="AT7" s="8">
        <f>'2023년 실적'!AT7</f>
        <v>312564</v>
      </c>
      <c r="AU7" s="38">
        <f>ROUND(AU9/2,2)</f>
        <v>228000</v>
      </c>
      <c r="AV7" s="38"/>
      <c r="AW7" s="115">
        <f t="shared" si="17"/>
        <v>-1</v>
      </c>
      <c r="AX7" s="10">
        <f t="shared" si="18"/>
        <v>-1</v>
      </c>
      <c r="AY7" s="52">
        <f>'2023년 실적'!AY7</f>
        <v>280926</v>
      </c>
      <c r="AZ7" s="38">
        <f>ROUND(AZ9/2,2)</f>
        <v>228000</v>
      </c>
      <c r="BA7" s="38"/>
      <c r="BB7" s="115">
        <f t="shared" si="19"/>
        <v>-1</v>
      </c>
      <c r="BC7" s="77">
        <f t="shared" si="20"/>
        <v>-1</v>
      </c>
      <c r="BD7" s="8">
        <f>'2023년 실적'!BD7</f>
        <v>288915</v>
      </c>
      <c r="BE7" s="38">
        <v>0</v>
      </c>
      <c r="BF7" s="38"/>
      <c r="BG7" s="115" t="e">
        <f t="shared" si="21"/>
        <v>#DIV/0!</v>
      </c>
      <c r="BH7" s="10">
        <f t="shared" si="22"/>
        <v>-1</v>
      </c>
      <c r="BI7" s="52">
        <f>'2023년 실적'!BI7</f>
        <v>381965</v>
      </c>
      <c r="BJ7" s="38">
        <f>ROUND(BJ9/2,2)</f>
        <v>270750</v>
      </c>
      <c r="BK7" s="38"/>
      <c r="BL7" s="115">
        <f t="shared" si="23"/>
        <v>-1</v>
      </c>
      <c r="BM7" s="77">
        <f t="shared" si="24"/>
        <v>-1</v>
      </c>
      <c r="BN7" s="8">
        <f>'2023년 실적'!BN7</f>
        <v>327586</v>
      </c>
      <c r="BO7" s="38">
        <f>ROUND(BO9/2,2)</f>
        <v>270750</v>
      </c>
      <c r="BP7" s="38"/>
      <c r="BQ7" s="115">
        <f t="shared" si="25"/>
        <v>-1</v>
      </c>
      <c r="BR7" s="10">
        <f t="shared" si="26"/>
        <v>-1</v>
      </c>
      <c r="BS7" s="8">
        <f>'2023년 실적'!BS7</f>
        <v>343119</v>
      </c>
      <c r="BT7" s="38">
        <f>ROUND(BT9/2,2)</f>
        <v>256500</v>
      </c>
      <c r="BU7" s="38"/>
      <c r="BV7" s="115">
        <f t="shared" si="27"/>
        <v>-1</v>
      </c>
      <c r="BW7" s="10">
        <f t="shared" si="28"/>
        <v>-1</v>
      </c>
      <c r="BZ7" s="150">
        <v>309009</v>
      </c>
    </row>
    <row r="8" spans="2:78" ht="17.25" thickBot="1" x14ac:dyDescent="0.35">
      <c r="B8" s="301"/>
      <c r="C8" s="301"/>
      <c r="D8" s="305" t="s">
        <v>14</v>
      </c>
      <c r="E8" s="306"/>
      <c r="F8" s="164">
        <f>'2023년 실적'!J8</f>
        <v>5100000</v>
      </c>
      <c r="G8" s="165">
        <f>'2023년 실적'!K8</f>
        <v>4950552</v>
      </c>
      <c r="H8" s="165">
        <f>H9</f>
        <v>5083802</v>
      </c>
      <c r="I8" s="165">
        <f>I9</f>
        <v>5700000</v>
      </c>
      <c r="J8" s="82">
        <f t="shared" si="2"/>
        <v>0.12120810369876711</v>
      </c>
      <c r="K8" s="131">
        <f>P8+U8+Z8+AE8+AJ8+AO8+AT8+AY8+BD8+BI8+BN8+BS8</f>
        <v>5320027</v>
      </c>
      <c r="L8" s="132">
        <f t="shared" ref="L8:M8" si="30">Q8+V8+AA8+AF8+AK8+AP8+AU8+AZ8+BE8+BJ8+BO8+BT8</f>
        <v>5244000</v>
      </c>
      <c r="M8" s="132">
        <f t="shared" si="30"/>
        <v>0</v>
      </c>
      <c r="N8" s="166">
        <f t="shared" si="3"/>
        <v>-1</v>
      </c>
      <c r="O8" s="167">
        <f t="shared" si="4"/>
        <v>-1</v>
      </c>
      <c r="P8" s="168">
        <f>'2023년 실적'!P8</f>
        <v>469678</v>
      </c>
      <c r="Q8" s="165">
        <f>Q9</f>
        <v>399000.00000000006</v>
      </c>
      <c r="R8" s="165"/>
      <c r="S8" s="166">
        <f t="shared" si="5"/>
        <v>-1</v>
      </c>
      <c r="T8" s="167">
        <f t="shared" si="6"/>
        <v>-1</v>
      </c>
      <c r="U8" s="57">
        <f>'2023년 실적'!U8</f>
        <v>320358</v>
      </c>
      <c r="V8" s="165">
        <f>V9</f>
        <v>456000</v>
      </c>
      <c r="W8" s="165"/>
      <c r="X8" s="166">
        <f t="shared" si="7"/>
        <v>-1</v>
      </c>
      <c r="Y8" s="169">
        <f t="shared" si="8"/>
        <v>-1</v>
      </c>
      <c r="Z8" s="24">
        <f>'2023년 실적'!Z8</f>
        <v>432930</v>
      </c>
      <c r="AA8" s="165">
        <f>AA9</f>
        <v>513000</v>
      </c>
      <c r="AB8" s="165"/>
      <c r="AC8" s="166">
        <f t="shared" si="9"/>
        <v>-1</v>
      </c>
      <c r="AD8" s="167">
        <f t="shared" si="10"/>
        <v>-1</v>
      </c>
      <c r="AE8" s="57">
        <f>'2023년 실적'!AE8</f>
        <v>472323</v>
      </c>
      <c r="AF8" s="165">
        <f>AF9</f>
        <v>456000</v>
      </c>
      <c r="AG8" s="165"/>
      <c r="AH8" s="166">
        <f t="shared" si="11"/>
        <v>-1</v>
      </c>
      <c r="AI8" s="169">
        <f t="shared" si="12"/>
        <v>-1</v>
      </c>
      <c r="AJ8" s="24">
        <f>'2023년 실적'!AJ8</f>
        <v>381307</v>
      </c>
      <c r="AK8" s="165">
        <f>AK9</f>
        <v>456000</v>
      </c>
      <c r="AL8" s="165"/>
      <c r="AM8" s="166">
        <f t="shared" si="13"/>
        <v>-1</v>
      </c>
      <c r="AN8" s="167">
        <f t="shared" si="14"/>
        <v>-1</v>
      </c>
      <c r="AO8" s="57">
        <f>'2023년 실적'!AO8</f>
        <v>280280</v>
      </c>
      <c r="AP8" s="165">
        <f>AP9</f>
        <v>456000</v>
      </c>
      <c r="AQ8" s="165"/>
      <c r="AR8" s="166">
        <f t="shared" si="15"/>
        <v>-1</v>
      </c>
      <c r="AS8" s="169">
        <f t="shared" si="16"/>
        <v>-1</v>
      </c>
      <c r="AT8" s="24">
        <f>'2023년 실적'!AT8</f>
        <v>395242</v>
      </c>
      <c r="AU8" s="165">
        <f>AU9</f>
        <v>456000</v>
      </c>
      <c r="AV8" s="165"/>
      <c r="AW8" s="166">
        <f t="shared" si="17"/>
        <v>-1</v>
      </c>
      <c r="AX8" s="167">
        <f t="shared" si="18"/>
        <v>-1</v>
      </c>
      <c r="AY8" s="57">
        <f>'2023년 실적'!AY8</f>
        <v>360002</v>
      </c>
      <c r="AZ8" s="165">
        <f>AZ9</f>
        <v>456000</v>
      </c>
      <c r="BA8" s="165"/>
      <c r="BB8" s="166">
        <f t="shared" si="19"/>
        <v>-1</v>
      </c>
      <c r="BC8" s="169">
        <f t="shared" si="20"/>
        <v>-1</v>
      </c>
      <c r="BD8" s="24">
        <f>BD9+BD25</f>
        <v>740331</v>
      </c>
      <c r="BE8" s="165">
        <v>0</v>
      </c>
      <c r="BF8" s="165"/>
      <c r="BG8" s="166" t="e">
        <f t="shared" si="21"/>
        <v>#DIV/0!</v>
      </c>
      <c r="BH8" s="167">
        <f t="shared" si="22"/>
        <v>-1</v>
      </c>
      <c r="BI8" s="57">
        <f>'2023년 실적'!BI8</f>
        <v>611306</v>
      </c>
      <c r="BJ8" s="165">
        <f>BJ9</f>
        <v>541500</v>
      </c>
      <c r="BK8" s="165"/>
      <c r="BL8" s="166">
        <f t="shared" si="23"/>
        <v>-1</v>
      </c>
      <c r="BM8" s="169">
        <f t="shared" si="24"/>
        <v>-1</v>
      </c>
      <c r="BN8" s="24">
        <f>'2023년 실적'!BN8</f>
        <v>423746</v>
      </c>
      <c r="BO8" s="165">
        <f>BO9</f>
        <v>541500</v>
      </c>
      <c r="BP8" s="165"/>
      <c r="BQ8" s="166">
        <f t="shared" si="25"/>
        <v>-1</v>
      </c>
      <c r="BR8" s="167">
        <f t="shared" si="26"/>
        <v>-1</v>
      </c>
      <c r="BS8" s="57">
        <f>'2023년 실적'!BS8</f>
        <v>432524</v>
      </c>
      <c r="BT8" s="165">
        <f>BT9</f>
        <v>513000</v>
      </c>
      <c r="BU8" s="165"/>
      <c r="BV8" s="166">
        <f t="shared" si="27"/>
        <v>-1</v>
      </c>
      <c r="BW8" s="167">
        <f t="shared" si="28"/>
        <v>-1</v>
      </c>
    </row>
    <row r="9" spans="2:78" ht="17.25" thickBot="1" x14ac:dyDescent="0.35">
      <c r="B9" s="301"/>
      <c r="C9" s="301"/>
      <c r="D9" s="307" t="s">
        <v>18</v>
      </c>
      <c r="E9" s="308"/>
      <c r="F9" s="170">
        <f>F10+F26</f>
        <v>4648868</v>
      </c>
      <c r="G9" s="171">
        <f>G10+G26</f>
        <v>4859570</v>
      </c>
      <c r="H9" s="171">
        <f>H10+H26</f>
        <v>5083802</v>
      </c>
      <c r="I9" s="171">
        <f>I10+I26</f>
        <v>5700000</v>
      </c>
      <c r="J9" s="172">
        <f t="shared" si="2"/>
        <v>0.12120810369876711</v>
      </c>
      <c r="K9" s="173">
        <f>K10+K26</f>
        <v>5653302</v>
      </c>
      <c r="L9" s="173">
        <f t="shared" ref="L9:M9" si="31">L10+L26</f>
        <v>5700000</v>
      </c>
      <c r="M9" s="173">
        <f t="shared" si="31"/>
        <v>0</v>
      </c>
      <c r="N9" s="174">
        <f t="shared" si="3"/>
        <v>-1</v>
      </c>
      <c r="O9" s="175">
        <f t="shared" si="4"/>
        <v>-1</v>
      </c>
      <c r="P9" s="173">
        <f>P10+P26</f>
        <v>328580</v>
      </c>
      <c r="Q9" s="171">
        <f>Q10+Q26</f>
        <v>399000.00000000006</v>
      </c>
      <c r="R9" s="171">
        <f>R10+R26</f>
        <v>0</v>
      </c>
      <c r="S9" s="174">
        <f t="shared" si="5"/>
        <v>-1</v>
      </c>
      <c r="T9" s="175">
        <f t="shared" si="6"/>
        <v>-1</v>
      </c>
      <c r="U9" s="170">
        <f>U10+U26</f>
        <v>346389</v>
      </c>
      <c r="V9" s="171">
        <f>V10+V26</f>
        <v>456000</v>
      </c>
      <c r="W9" s="171">
        <f>W10+W26</f>
        <v>0</v>
      </c>
      <c r="X9" s="174">
        <f t="shared" si="7"/>
        <v>-1</v>
      </c>
      <c r="Y9" s="172">
        <f t="shared" si="8"/>
        <v>-1</v>
      </c>
      <c r="Z9" s="173">
        <f>Z10+Z26</f>
        <v>464840</v>
      </c>
      <c r="AA9" s="171">
        <f>AA10+AA26</f>
        <v>513000</v>
      </c>
      <c r="AB9" s="171">
        <f>AB10+AB26</f>
        <v>0</v>
      </c>
      <c r="AC9" s="174">
        <f t="shared" si="9"/>
        <v>-1</v>
      </c>
      <c r="AD9" s="175">
        <f t="shared" si="10"/>
        <v>-1</v>
      </c>
      <c r="AE9" s="170">
        <f>AE10+AE26</f>
        <v>455471</v>
      </c>
      <c r="AF9" s="171">
        <f>AF10+AF26</f>
        <v>456000</v>
      </c>
      <c r="AG9" s="171">
        <f>AG10+AG26</f>
        <v>0</v>
      </c>
      <c r="AH9" s="174">
        <f t="shared" si="11"/>
        <v>-1</v>
      </c>
      <c r="AI9" s="172">
        <f t="shared" si="12"/>
        <v>-1</v>
      </c>
      <c r="AJ9" s="173">
        <f>AJ10+AJ26</f>
        <v>396406</v>
      </c>
      <c r="AK9" s="171">
        <f>AK10+AK26</f>
        <v>456000</v>
      </c>
      <c r="AL9" s="171">
        <f>AL10+AL26</f>
        <v>0</v>
      </c>
      <c r="AM9" s="174">
        <f t="shared" si="13"/>
        <v>-1</v>
      </c>
      <c r="AN9" s="175">
        <f t="shared" si="14"/>
        <v>-1</v>
      </c>
      <c r="AO9" s="170">
        <f>AO10+AO26</f>
        <v>408513</v>
      </c>
      <c r="AP9" s="171">
        <f>AP10+AP26</f>
        <v>456000</v>
      </c>
      <c r="AQ9" s="171">
        <f>AQ10+AQ26</f>
        <v>0</v>
      </c>
      <c r="AR9" s="174">
        <f t="shared" si="15"/>
        <v>-1</v>
      </c>
      <c r="AS9" s="172">
        <f t="shared" si="16"/>
        <v>-1</v>
      </c>
      <c r="AT9" s="173">
        <f>AT10+AT26</f>
        <v>432986</v>
      </c>
      <c r="AU9" s="171">
        <f>AU10+AU26</f>
        <v>456000</v>
      </c>
      <c r="AV9" s="171">
        <f>AV10+AV26</f>
        <v>0</v>
      </c>
      <c r="AW9" s="174">
        <f t="shared" si="17"/>
        <v>-1</v>
      </c>
      <c r="AX9" s="175">
        <f t="shared" si="18"/>
        <v>-1</v>
      </c>
      <c r="AY9" s="170">
        <f>AY10+AY26</f>
        <v>415086</v>
      </c>
      <c r="AZ9" s="171">
        <f>AZ10+AZ26</f>
        <v>456000</v>
      </c>
      <c r="BA9" s="171">
        <f>BA10+BA26</f>
        <v>0</v>
      </c>
      <c r="BB9" s="174">
        <f t="shared" si="19"/>
        <v>-1</v>
      </c>
      <c r="BC9" s="172">
        <f t="shared" si="20"/>
        <v>-1</v>
      </c>
      <c r="BD9" s="173">
        <f>BD14+BD19+BD22+BD23+BD24</f>
        <v>699787</v>
      </c>
      <c r="BE9" s="171">
        <v>0</v>
      </c>
      <c r="BF9" s="171">
        <v>0</v>
      </c>
      <c r="BG9" s="174" t="e">
        <f t="shared" si="21"/>
        <v>#DIV/0!</v>
      </c>
      <c r="BH9" s="175">
        <f t="shared" si="22"/>
        <v>-1</v>
      </c>
      <c r="BI9" s="170">
        <f>BI10+BI26</f>
        <v>543703</v>
      </c>
      <c r="BJ9" s="171">
        <f>BJ10+BJ26</f>
        <v>541500</v>
      </c>
      <c r="BK9" s="171">
        <f>BK10+BK26</f>
        <v>0</v>
      </c>
      <c r="BL9" s="174">
        <f t="shared" si="23"/>
        <v>-1</v>
      </c>
      <c r="BM9" s="172">
        <f t="shared" si="24"/>
        <v>-1</v>
      </c>
      <c r="BN9" s="173">
        <f>BN10+BN26</f>
        <v>469271</v>
      </c>
      <c r="BO9" s="171">
        <f>BO10+BO26</f>
        <v>541500</v>
      </c>
      <c r="BP9" s="171">
        <f>BP10+BP26</f>
        <v>0</v>
      </c>
      <c r="BQ9" s="174">
        <f t="shared" si="25"/>
        <v>-1</v>
      </c>
      <c r="BR9" s="175">
        <f t="shared" si="26"/>
        <v>-1</v>
      </c>
      <c r="BS9" s="170">
        <f>BS10+BS26</f>
        <v>438547</v>
      </c>
      <c r="BT9" s="171">
        <f>BT10+BT26</f>
        <v>513000</v>
      </c>
      <c r="BU9" s="171">
        <f>BU10+BU26</f>
        <v>0</v>
      </c>
      <c r="BV9" s="174">
        <f t="shared" si="27"/>
        <v>-1</v>
      </c>
      <c r="BW9" s="175">
        <f t="shared" si="28"/>
        <v>-1</v>
      </c>
    </row>
    <row r="10" spans="2:78" ht="17.25" thickBot="1" x14ac:dyDescent="0.35">
      <c r="B10" s="301"/>
      <c r="C10" s="301"/>
      <c r="D10" s="309" t="s">
        <v>19</v>
      </c>
      <c r="E10" s="310"/>
      <c r="F10" s="185">
        <f>F15+F20+F23+F24+F25</f>
        <v>3885312</v>
      </c>
      <c r="G10" s="186">
        <f>G15+G20+G23+G24+G25</f>
        <v>4024174</v>
      </c>
      <c r="H10" s="186">
        <f>H15+H20+H23+H24+H25</f>
        <v>4179787</v>
      </c>
      <c r="I10" s="186">
        <f>I15+I20+I23+I24+I25</f>
        <v>4700000</v>
      </c>
      <c r="J10" s="187">
        <f t="shared" si="2"/>
        <v>0.12445921287376605</v>
      </c>
      <c r="K10" s="188">
        <f>K15+K20+K23+K24+K25</f>
        <v>4749287</v>
      </c>
      <c r="L10" s="188">
        <f t="shared" ref="L10:M10" si="32">L15+L20+L23+L24+L25</f>
        <v>4700000</v>
      </c>
      <c r="M10" s="188">
        <f t="shared" si="32"/>
        <v>0</v>
      </c>
      <c r="N10" s="189">
        <f t="shared" si="3"/>
        <v>-1</v>
      </c>
      <c r="O10" s="190">
        <f t="shared" si="4"/>
        <v>-1</v>
      </c>
      <c r="P10" s="188">
        <f>P15+P20+P23+P24+P25</f>
        <v>274687</v>
      </c>
      <c r="Q10" s="186">
        <f>Q15+Q20+Q23+Q24+Q25</f>
        <v>329000.00000000006</v>
      </c>
      <c r="R10" s="186">
        <f>R15+R20+R23+R24+R25</f>
        <v>0</v>
      </c>
      <c r="S10" s="189">
        <f t="shared" si="5"/>
        <v>-1</v>
      </c>
      <c r="T10" s="190">
        <f t="shared" si="6"/>
        <v>-1</v>
      </c>
      <c r="U10" s="185">
        <f>U15+U20+U23+U24+U25</f>
        <v>268242</v>
      </c>
      <c r="V10" s="186">
        <f>V15+V20+V23+V24+V25</f>
        <v>376000</v>
      </c>
      <c r="W10" s="186">
        <f>W15+W20+W23+W24+W25</f>
        <v>0</v>
      </c>
      <c r="X10" s="189">
        <f t="shared" si="7"/>
        <v>-1</v>
      </c>
      <c r="Y10" s="187">
        <f t="shared" si="8"/>
        <v>-1</v>
      </c>
      <c r="Z10" s="188">
        <f>Z15+Z20+Z23+Z24+Z25</f>
        <v>393184</v>
      </c>
      <c r="AA10" s="186">
        <f>AA15+AA20+AA23+AA24+AA25</f>
        <v>423000</v>
      </c>
      <c r="AB10" s="186">
        <f>AB15+AB20+AB23+AB24+AB25</f>
        <v>0</v>
      </c>
      <c r="AC10" s="189">
        <f t="shared" si="9"/>
        <v>-1</v>
      </c>
      <c r="AD10" s="190">
        <f t="shared" si="10"/>
        <v>-1</v>
      </c>
      <c r="AE10" s="185">
        <f>AE15+AE20+AE23+AE24+AE25</f>
        <v>372658</v>
      </c>
      <c r="AF10" s="186">
        <f>AF15+AF20+AF23+AF24+AF25</f>
        <v>376000</v>
      </c>
      <c r="AG10" s="186">
        <f>AG15+AG20+AG23+AG24+AG25</f>
        <v>0</v>
      </c>
      <c r="AH10" s="189">
        <f t="shared" si="11"/>
        <v>-1</v>
      </c>
      <c r="AI10" s="187">
        <f t="shared" si="12"/>
        <v>-1</v>
      </c>
      <c r="AJ10" s="188">
        <f>AJ15+AJ20+AJ23+AJ24+AJ25</f>
        <v>317789</v>
      </c>
      <c r="AK10" s="186">
        <f>AK15+AK20+AK23+AK24+AK25</f>
        <v>376000</v>
      </c>
      <c r="AL10" s="186">
        <f>AL15+AL20+AL23+AL24+AL25</f>
        <v>0</v>
      </c>
      <c r="AM10" s="189">
        <f t="shared" si="13"/>
        <v>-1</v>
      </c>
      <c r="AN10" s="190">
        <f t="shared" si="14"/>
        <v>-1</v>
      </c>
      <c r="AO10" s="185">
        <f>AO15+AO20+AO23+AO24+AO25</f>
        <v>341134</v>
      </c>
      <c r="AP10" s="186">
        <f>AP15+AP20+AP23+AP24+AP25</f>
        <v>376000</v>
      </c>
      <c r="AQ10" s="186">
        <f>AQ15+AQ20+AQ23+AQ24+AQ25</f>
        <v>0</v>
      </c>
      <c r="AR10" s="189">
        <f t="shared" si="15"/>
        <v>-1</v>
      </c>
      <c r="AS10" s="187">
        <f t="shared" si="16"/>
        <v>-1</v>
      </c>
      <c r="AT10" s="188">
        <f>AT15+AT20+AT23+AT24+AT25</f>
        <v>349793</v>
      </c>
      <c r="AU10" s="186">
        <f>AU15+AU20+AU23+AU24+AU25</f>
        <v>376000</v>
      </c>
      <c r="AV10" s="186">
        <f>AV15+AV20+AV23+AV24+AV25</f>
        <v>0</v>
      </c>
      <c r="AW10" s="189">
        <f t="shared" si="17"/>
        <v>-1</v>
      </c>
      <c r="AX10" s="190">
        <f t="shared" si="18"/>
        <v>-1</v>
      </c>
      <c r="AY10" s="185">
        <f>AY15+AY20+AY23+AY24+AY25</f>
        <v>333757</v>
      </c>
      <c r="AZ10" s="186">
        <f>AZ15+AZ20+AZ23+AZ24+AZ25</f>
        <v>376000</v>
      </c>
      <c r="BA10" s="186">
        <f>BA15+BA20+BA23+BA24+BA25</f>
        <v>0</v>
      </c>
      <c r="BB10" s="189">
        <f t="shared" si="19"/>
        <v>-1</v>
      </c>
      <c r="BC10" s="187">
        <f t="shared" si="20"/>
        <v>-1</v>
      </c>
      <c r="BD10" s="188">
        <f t="shared" ref="BD10" si="33">BD11+BD12+BD15+BD16+BD17+BD20+BD23</f>
        <v>585636</v>
      </c>
      <c r="BE10" s="186">
        <v>0</v>
      </c>
      <c r="BF10" s="186">
        <v>0</v>
      </c>
      <c r="BG10" s="189" t="e">
        <f t="shared" si="21"/>
        <v>#DIV/0!</v>
      </c>
      <c r="BH10" s="190">
        <f t="shared" si="22"/>
        <v>-1</v>
      </c>
      <c r="BI10" s="185">
        <f>BI15+BI20+BI23+BI24+BI25</f>
        <v>457529</v>
      </c>
      <c r="BJ10" s="186">
        <f>BJ15+BJ20+BJ23+BJ24+BJ25</f>
        <v>446500</v>
      </c>
      <c r="BK10" s="186">
        <f>BK15+BK20+BK23+BK24+BK25</f>
        <v>0</v>
      </c>
      <c r="BL10" s="189">
        <f t="shared" si="23"/>
        <v>-1</v>
      </c>
      <c r="BM10" s="187">
        <f t="shared" si="24"/>
        <v>-1</v>
      </c>
      <c r="BN10" s="188">
        <f>BN15+BN20+BN23+BN24+BN25</f>
        <v>381403</v>
      </c>
      <c r="BO10" s="186">
        <f>BO15+BO20+BO23+BO24+BO25</f>
        <v>446500</v>
      </c>
      <c r="BP10" s="186">
        <f>BP15+BP20+BP23+BP24+BP25</f>
        <v>0</v>
      </c>
      <c r="BQ10" s="189">
        <f t="shared" si="25"/>
        <v>-1</v>
      </c>
      <c r="BR10" s="190">
        <f t="shared" si="26"/>
        <v>-1</v>
      </c>
      <c r="BS10" s="185">
        <f>BS15+BS20+BS23+BS24+BS25</f>
        <v>368070</v>
      </c>
      <c r="BT10" s="186">
        <f>BT15+BT20+BT23+BT24+BT25</f>
        <v>423000</v>
      </c>
      <c r="BU10" s="186">
        <f>BU15+BU20+BU23+BU24+BU25</f>
        <v>0</v>
      </c>
      <c r="BV10" s="189">
        <f t="shared" si="27"/>
        <v>-1</v>
      </c>
      <c r="BW10" s="190">
        <f t="shared" si="28"/>
        <v>-1</v>
      </c>
    </row>
    <row r="11" spans="2:78" ht="17.25" thickBot="1" x14ac:dyDescent="0.35">
      <c r="B11" s="301"/>
      <c r="C11" s="301"/>
      <c r="D11" s="370" t="s">
        <v>73</v>
      </c>
      <c r="E11" s="371"/>
      <c r="F11" s="236">
        <f>F12+F13+F16+F17+F18+F21+F24</f>
        <v>2319785</v>
      </c>
      <c r="G11" s="236">
        <f t="shared" ref="G11:H11" si="34">G12+G13+G16+G17+G18+G21+G24</f>
        <v>2526417</v>
      </c>
      <c r="H11" s="236">
        <f t="shared" si="34"/>
        <v>2758457</v>
      </c>
      <c r="I11" s="236">
        <f t="shared" ref="I11" si="35">I12+I13+I16+I17+I18+I21+I24</f>
        <v>3150000</v>
      </c>
      <c r="J11" s="238">
        <f t="shared" si="2"/>
        <v>0.14194276002852324</v>
      </c>
      <c r="K11" s="239">
        <f>K12+K13+K16+K17+K18+K21+K24</f>
        <v>2758457</v>
      </c>
      <c r="L11" s="239">
        <f t="shared" ref="L11:M11" si="36">L12+L13+L16+L17+L18+L21+L24</f>
        <v>3150000</v>
      </c>
      <c r="M11" s="239">
        <f t="shared" si="36"/>
        <v>0</v>
      </c>
      <c r="N11" s="240">
        <f t="shared" si="3"/>
        <v>-1</v>
      </c>
      <c r="O11" s="241">
        <f t="shared" si="4"/>
        <v>-1</v>
      </c>
      <c r="P11" s="239">
        <f t="shared" ref="P11:R11" si="37">P12+P13+P16+P17+P18+P21+P24</f>
        <v>196934</v>
      </c>
      <c r="Q11" s="237">
        <f t="shared" si="37"/>
        <v>220500</v>
      </c>
      <c r="R11" s="237">
        <f t="shared" si="37"/>
        <v>0</v>
      </c>
      <c r="S11" s="240">
        <f t="shared" si="5"/>
        <v>-1</v>
      </c>
      <c r="T11" s="241">
        <f t="shared" si="6"/>
        <v>-1</v>
      </c>
      <c r="U11" s="236">
        <f t="shared" ref="U11:W11" si="38">U12+U13+U16+U17+U18+U21+U24</f>
        <v>175693</v>
      </c>
      <c r="V11" s="237">
        <f t="shared" si="38"/>
        <v>252000</v>
      </c>
      <c r="W11" s="237">
        <f t="shared" si="38"/>
        <v>0</v>
      </c>
      <c r="X11" s="240">
        <f t="shared" si="7"/>
        <v>-1</v>
      </c>
      <c r="Y11" s="238">
        <f t="shared" si="8"/>
        <v>-1</v>
      </c>
      <c r="Z11" s="239">
        <f t="shared" ref="Z11:AB11" si="39">Z12+Z13+Z16+Z17+Z18+Z21+Z24</f>
        <v>279353</v>
      </c>
      <c r="AA11" s="237">
        <f t="shared" si="39"/>
        <v>283500</v>
      </c>
      <c r="AB11" s="237">
        <f t="shared" si="39"/>
        <v>0</v>
      </c>
      <c r="AC11" s="240">
        <f t="shared" si="9"/>
        <v>-1</v>
      </c>
      <c r="AD11" s="241">
        <f t="shared" si="10"/>
        <v>-1</v>
      </c>
      <c r="AE11" s="236">
        <f t="shared" ref="AE11:AG11" si="40">AE12+AE13+AE16+AE17+AE18+AE21+AE24</f>
        <v>238174</v>
      </c>
      <c r="AF11" s="237">
        <f t="shared" si="40"/>
        <v>252000</v>
      </c>
      <c r="AG11" s="237">
        <f t="shared" si="40"/>
        <v>0</v>
      </c>
      <c r="AH11" s="240">
        <f t="shared" si="11"/>
        <v>-1</v>
      </c>
      <c r="AI11" s="238">
        <f t="shared" si="12"/>
        <v>-1</v>
      </c>
      <c r="AJ11" s="239">
        <f t="shared" ref="AJ11:AL11" si="41">AJ12+AJ13+AJ16+AJ17+AJ18+AJ21+AJ24</f>
        <v>202277</v>
      </c>
      <c r="AK11" s="237">
        <f t="shared" si="41"/>
        <v>252000</v>
      </c>
      <c r="AL11" s="237">
        <f t="shared" si="41"/>
        <v>0</v>
      </c>
      <c r="AM11" s="240">
        <f t="shared" si="13"/>
        <v>-1</v>
      </c>
      <c r="AN11" s="241">
        <f t="shared" si="14"/>
        <v>-1</v>
      </c>
      <c r="AO11" s="236">
        <f t="shared" ref="AO11:AQ11" si="42">AO12+AO13+AO16+AO17+AO18+AO21+AO24</f>
        <v>220110</v>
      </c>
      <c r="AP11" s="237">
        <f t="shared" si="42"/>
        <v>252000</v>
      </c>
      <c r="AQ11" s="237">
        <f t="shared" si="42"/>
        <v>0</v>
      </c>
      <c r="AR11" s="240">
        <f t="shared" si="15"/>
        <v>-1</v>
      </c>
      <c r="AS11" s="238">
        <f t="shared" si="16"/>
        <v>-1</v>
      </c>
      <c r="AT11" s="239">
        <f t="shared" ref="AT11:AV11" si="43">AT12+AT13+AT16+AT17+AT18+AT21+AT24</f>
        <v>213751</v>
      </c>
      <c r="AU11" s="237">
        <f t="shared" si="43"/>
        <v>252000</v>
      </c>
      <c r="AV11" s="237">
        <f t="shared" si="43"/>
        <v>0</v>
      </c>
      <c r="AW11" s="240">
        <f t="shared" si="17"/>
        <v>-1</v>
      </c>
      <c r="AX11" s="241">
        <f t="shared" si="18"/>
        <v>-1</v>
      </c>
      <c r="AY11" s="236">
        <f t="shared" ref="AY11:BA11" si="44">AY12+AY13+AY16+AY17+AY18+AY21+AY24</f>
        <v>221691</v>
      </c>
      <c r="AZ11" s="237">
        <f t="shared" si="44"/>
        <v>252000</v>
      </c>
      <c r="BA11" s="237">
        <f t="shared" si="44"/>
        <v>0</v>
      </c>
      <c r="BB11" s="240">
        <f t="shared" si="19"/>
        <v>-1</v>
      </c>
      <c r="BC11" s="238">
        <f t="shared" si="20"/>
        <v>-1</v>
      </c>
      <c r="BD11" s="239">
        <f>'2024년 실적'!BE11</f>
        <v>212618</v>
      </c>
      <c r="BE11" s="237">
        <v>0</v>
      </c>
      <c r="BF11" s="237">
        <v>0</v>
      </c>
      <c r="BG11" s="240" t="e">
        <f t="shared" si="21"/>
        <v>#DIV/0!</v>
      </c>
      <c r="BH11" s="241">
        <f t="shared" si="22"/>
        <v>-1</v>
      </c>
      <c r="BI11" s="236">
        <f t="shared" ref="BI11:BK11" si="45">BI12+BI13+BI16+BI17+BI18+BI21+BI24</f>
        <v>323624</v>
      </c>
      <c r="BJ11" s="237">
        <f t="shared" si="45"/>
        <v>299250</v>
      </c>
      <c r="BK11" s="237">
        <f t="shared" si="45"/>
        <v>0</v>
      </c>
      <c r="BL11" s="240">
        <f t="shared" si="23"/>
        <v>-1</v>
      </c>
      <c r="BM11" s="238">
        <f t="shared" si="24"/>
        <v>-1</v>
      </c>
      <c r="BN11" s="239">
        <f t="shared" ref="BN11:BP11" si="46">BN12+BN13+BN16+BN17+BN18+BN21+BN24</f>
        <v>238215</v>
      </c>
      <c r="BO11" s="237">
        <f t="shared" si="46"/>
        <v>299250</v>
      </c>
      <c r="BP11" s="237">
        <f t="shared" si="46"/>
        <v>0</v>
      </c>
      <c r="BQ11" s="240">
        <f t="shared" si="25"/>
        <v>-1</v>
      </c>
      <c r="BR11" s="241">
        <f t="shared" si="26"/>
        <v>-1</v>
      </c>
      <c r="BS11" s="236">
        <f t="shared" ref="BS11:BU11" si="47">BS12+BS13+BS16+BS17+BS18+BS21+BS24</f>
        <v>236017</v>
      </c>
      <c r="BT11" s="237">
        <f t="shared" si="47"/>
        <v>283500</v>
      </c>
      <c r="BU11" s="237">
        <f t="shared" si="47"/>
        <v>0</v>
      </c>
      <c r="BV11" s="240">
        <f t="shared" si="27"/>
        <v>-1</v>
      </c>
      <c r="BW11" s="241">
        <f t="shared" si="28"/>
        <v>-1</v>
      </c>
    </row>
    <row r="12" spans="2:78" ht="17.25" thickBot="1" x14ac:dyDescent="0.35">
      <c r="B12" s="301"/>
      <c r="C12" s="301"/>
      <c r="D12" s="311" t="s">
        <v>52</v>
      </c>
      <c r="E12" s="192" t="s">
        <v>20</v>
      </c>
      <c r="F12" s="52">
        <f>'2023년 실적'!F12</f>
        <v>274504</v>
      </c>
      <c r="G12" s="38">
        <f>'2023년 실적'!G12</f>
        <v>321951</v>
      </c>
      <c r="H12" s="38">
        <f>'2024년 실적'!L12</f>
        <v>326920</v>
      </c>
      <c r="I12" s="38">
        <f>L12</f>
        <v>380000</v>
      </c>
      <c r="J12" s="77">
        <f t="shared" si="2"/>
        <v>0.16236388107182176</v>
      </c>
      <c r="K12" s="131">
        <f>P12+U12+Z12+AE12+AJ12+AO12+AT12+AY12+BD12+BI12+BN12+BS12</f>
        <v>326920</v>
      </c>
      <c r="L12" s="132">
        <f t="shared" ref="L12:M14" si="48">Q12+V12+AA12+AF12+AK12+AP12+AU12+AZ12+BE12+BJ12+BO12+BT12</f>
        <v>380000</v>
      </c>
      <c r="M12" s="132">
        <f t="shared" si="48"/>
        <v>0</v>
      </c>
      <c r="N12" s="115">
        <f t="shared" si="3"/>
        <v>-1</v>
      </c>
      <c r="O12" s="10">
        <f t="shared" si="4"/>
        <v>-1</v>
      </c>
      <c r="P12" s="8">
        <f>'2024년 실적'!Q12</f>
        <v>25459</v>
      </c>
      <c r="Q12" s="38">
        <v>26600.000000000004</v>
      </c>
      <c r="R12" s="38"/>
      <c r="S12" s="115">
        <f t="shared" si="5"/>
        <v>-1</v>
      </c>
      <c r="T12" s="10">
        <f t="shared" si="6"/>
        <v>-1</v>
      </c>
      <c r="U12" s="52">
        <f>'2024년 실적'!V12</f>
        <v>23473</v>
      </c>
      <c r="V12" s="38">
        <v>30400</v>
      </c>
      <c r="W12" s="38"/>
      <c r="X12" s="115">
        <f t="shared" si="7"/>
        <v>-1</v>
      </c>
      <c r="Y12" s="77">
        <f t="shared" si="8"/>
        <v>-1</v>
      </c>
      <c r="Z12" s="8">
        <f>'2024년 실적'!AA12</f>
        <v>29112</v>
      </c>
      <c r="AA12" s="38">
        <v>34200</v>
      </c>
      <c r="AB12" s="38"/>
      <c r="AC12" s="115">
        <f t="shared" si="9"/>
        <v>-1</v>
      </c>
      <c r="AD12" s="10">
        <f t="shared" si="10"/>
        <v>-1</v>
      </c>
      <c r="AE12" s="52">
        <f>'2024년 실적'!AF12</f>
        <v>26275</v>
      </c>
      <c r="AF12" s="38">
        <v>30400</v>
      </c>
      <c r="AG12" s="38"/>
      <c r="AH12" s="115">
        <f t="shared" si="11"/>
        <v>-1</v>
      </c>
      <c r="AI12" s="77">
        <f t="shared" si="12"/>
        <v>-1</v>
      </c>
      <c r="AJ12" s="8">
        <f>'2024년 실적'!AK12</f>
        <v>25884</v>
      </c>
      <c r="AK12" s="38">
        <v>30400</v>
      </c>
      <c r="AL12" s="38"/>
      <c r="AM12" s="115">
        <f t="shared" si="13"/>
        <v>-1</v>
      </c>
      <c r="AN12" s="10">
        <f t="shared" si="14"/>
        <v>-1</v>
      </c>
      <c r="AO12" s="52">
        <f>'2024년 실적'!AP12</f>
        <v>25094</v>
      </c>
      <c r="AP12" s="38">
        <v>30400</v>
      </c>
      <c r="AQ12" s="38"/>
      <c r="AR12" s="115">
        <f t="shared" si="15"/>
        <v>-1</v>
      </c>
      <c r="AS12" s="77">
        <f t="shared" si="16"/>
        <v>-1</v>
      </c>
      <c r="AT12" s="8">
        <f>'2024년 실적'!AU12</f>
        <v>27682</v>
      </c>
      <c r="AU12" s="38">
        <v>30400</v>
      </c>
      <c r="AV12" s="38"/>
      <c r="AW12" s="115">
        <f t="shared" si="17"/>
        <v>-1</v>
      </c>
      <c r="AX12" s="10">
        <f t="shared" si="18"/>
        <v>-1</v>
      </c>
      <c r="AY12" s="52">
        <f>'2024년 실적'!AZ12</f>
        <v>30232</v>
      </c>
      <c r="AZ12" s="38">
        <v>30400</v>
      </c>
      <c r="BA12" s="38"/>
      <c r="BB12" s="115">
        <f t="shared" si="19"/>
        <v>-1</v>
      </c>
      <c r="BC12" s="77">
        <f t="shared" si="20"/>
        <v>-1</v>
      </c>
      <c r="BD12" s="8">
        <f>'2024년 실적'!BE12</f>
        <v>25176</v>
      </c>
      <c r="BE12" s="38">
        <v>30400</v>
      </c>
      <c r="BF12" s="38"/>
      <c r="BG12" s="115">
        <f t="shared" si="21"/>
        <v>-1</v>
      </c>
      <c r="BH12" s="10">
        <f t="shared" si="22"/>
        <v>-1</v>
      </c>
      <c r="BI12" s="52">
        <f>'2024년 실적'!BJ12</f>
        <v>28252</v>
      </c>
      <c r="BJ12" s="38">
        <v>36100</v>
      </c>
      <c r="BK12" s="38"/>
      <c r="BL12" s="115">
        <f t="shared" si="23"/>
        <v>-1</v>
      </c>
      <c r="BM12" s="77">
        <f t="shared" si="24"/>
        <v>-1</v>
      </c>
      <c r="BN12" s="8">
        <f>'2024년 실적'!BO12</f>
        <v>31261</v>
      </c>
      <c r="BO12" s="38">
        <v>36100</v>
      </c>
      <c r="BP12" s="38"/>
      <c r="BQ12" s="115">
        <f t="shared" si="25"/>
        <v>-1</v>
      </c>
      <c r="BR12" s="10">
        <f t="shared" si="26"/>
        <v>-1</v>
      </c>
      <c r="BS12" s="52">
        <f>'2024년 실적'!BT12</f>
        <v>29020</v>
      </c>
      <c r="BT12" s="38">
        <v>34200</v>
      </c>
      <c r="BU12" s="38"/>
      <c r="BV12" s="115">
        <f t="shared" si="27"/>
        <v>-1</v>
      </c>
      <c r="BW12" s="10">
        <f t="shared" si="28"/>
        <v>-1</v>
      </c>
    </row>
    <row r="13" spans="2:78" ht="17.25" thickBot="1" x14ac:dyDescent="0.35">
      <c r="B13" s="301"/>
      <c r="C13" s="301"/>
      <c r="D13" s="312"/>
      <c r="E13" s="67" t="s">
        <v>21</v>
      </c>
      <c r="F13" s="45">
        <f>'2023년 실적'!F13</f>
        <v>394629</v>
      </c>
      <c r="G13" s="39">
        <f>'2023년 실적'!G13</f>
        <v>419768</v>
      </c>
      <c r="H13" s="38">
        <f>'2024년 실적'!L13</f>
        <v>408254</v>
      </c>
      <c r="I13" s="39">
        <f t="shared" ref="I13:I14" si="49">L13</f>
        <v>500000</v>
      </c>
      <c r="J13" s="33">
        <f t="shared" si="2"/>
        <v>0.22472774302272613</v>
      </c>
      <c r="K13" s="107">
        <f t="shared" ref="K13:K14" si="50">P13+U13+Z13+AE13+AJ13+AO13+AT13+AY13+BD13+BI13+BN13+BS13</f>
        <v>408254</v>
      </c>
      <c r="L13" s="87">
        <f t="shared" si="48"/>
        <v>500000</v>
      </c>
      <c r="M13" s="87">
        <f t="shared" si="48"/>
        <v>0</v>
      </c>
      <c r="N13" s="88">
        <f t="shared" si="3"/>
        <v>-1</v>
      </c>
      <c r="O13" s="15">
        <f t="shared" si="4"/>
        <v>-1</v>
      </c>
      <c r="P13" s="13">
        <f>'2024년 실적'!Q13</f>
        <v>23114</v>
      </c>
      <c r="Q13" s="39">
        <v>35000</v>
      </c>
      <c r="R13" s="39"/>
      <c r="S13" s="88">
        <f t="shared" si="5"/>
        <v>-1</v>
      </c>
      <c r="T13" s="15">
        <f t="shared" si="6"/>
        <v>-1</v>
      </c>
      <c r="U13" s="45">
        <f>'2024년 실적'!V13</f>
        <v>23040</v>
      </c>
      <c r="V13" s="39">
        <v>40000</v>
      </c>
      <c r="W13" s="39"/>
      <c r="X13" s="88">
        <f t="shared" si="7"/>
        <v>-1</v>
      </c>
      <c r="Y13" s="33">
        <f t="shared" si="8"/>
        <v>-1</v>
      </c>
      <c r="Z13" s="13">
        <f>'2024년 실적'!AA13</f>
        <v>32253</v>
      </c>
      <c r="AA13" s="39">
        <v>45000</v>
      </c>
      <c r="AB13" s="39"/>
      <c r="AC13" s="88">
        <f t="shared" si="9"/>
        <v>-1</v>
      </c>
      <c r="AD13" s="15">
        <f t="shared" si="10"/>
        <v>-1</v>
      </c>
      <c r="AE13" s="45">
        <f>'2024년 실적'!AF13</f>
        <v>38343</v>
      </c>
      <c r="AF13" s="39">
        <v>40000</v>
      </c>
      <c r="AG13" s="39"/>
      <c r="AH13" s="88">
        <f t="shared" si="11"/>
        <v>-1</v>
      </c>
      <c r="AI13" s="33">
        <f t="shared" si="12"/>
        <v>-1</v>
      </c>
      <c r="AJ13" s="13">
        <f>'2024년 실적'!AK13</f>
        <v>27107</v>
      </c>
      <c r="AK13" s="39">
        <v>40000</v>
      </c>
      <c r="AL13" s="39"/>
      <c r="AM13" s="88">
        <f t="shared" si="13"/>
        <v>-1</v>
      </c>
      <c r="AN13" s="15">
        <f t="shared" si="14"/>
        <v>-1</v>
      </c>
      <c r="AO13" s="45">
        <f>'2024년 실적'!AP13</f>
        <v>31256</v>
      </c>
      <c r="AP13" s="39">
        <v>40000</v>
      </c>
      <c r="AQ13" s="39"/>
      <c r="AR13" s="88">
        <f t="shared" si="15"/>
        <v>-1</v>
      </c>
      <c r="AS13" s="33">
        <f t="shared" si="16"/>
        <v>-1</v>
      </c>
      <c r="AT13" s="13">
        <f>'2024년 실적'!AU13</f>
        <v>31416</v>
      </c>
      <c r="AU13" s="39">
        <v>40000</v>
      </c>
      <c r="AV13" s="39"/>
      <c r="AW13" s="88">
        <f t="shared" si="17"/>
        <v>-1</v>
      </c>
      <c r="AX13" s="15">
        <f t="shared" si="18"/>
        <v>-1</v>
      </c>
      <c r="AY13" s="45">
        <f>'2024년 실적'!AZ13</f>
        <v>30542</v>
      </c>
      <c r="AZ13" s="39">
        <v>40000</v>
      </c>
      <c r="BA13" s="39"/>
      <c r="BB13" s="88">
        <f t="shared" si="19"/>
        <v>-1</v>
      </c>
      <c r="BC13" s="33">
        <f t="shared" si="20"/>
        <v>-1</v>
      </c>
      <c r="BD13" s="13">
        <f>'2024년 실적'!BE13</f>
        <v>32278</v>
      </c>
      <c r="BE13" s="39">
        <v>40000</v>
      </c>
      <c r="BF13" s="39"/>
      <c r="BG13" s="88">
        <f t="shared" si="21"/>
        <v>-1</v>
      </c>
      <c r="BH13" s="15">
        <f t="shared" si="22"/>
        <v>-1</v>
      </c>
      <c r="BI13" s="45">
        <f>'2024년 실적'!BJ13</f>
        <v>63542</v>
      </c>
      <c r="BJ13" s="39">
        <v>47500</v>
      </c>
      <c r="BK13" s="39"/>
      <c r="BL13" s="88">
        <f t="shared" si="23"/>
        <v>-1</v>
      </c>
      <c r="BM13" s="33">
        <f t="shared" si="24"/>
        <v>-1</v>
      </c>
      <c r="BN13" s="13">
        <f>'2024년 실적'!BO13</f>
        <v>36878</v>
      </c>
      <c r="BO13" s="39">
        <v>47500</v>
      </c>
      <c r="BP13" s="39"/>
      <c r="BQ13" s="88">
        <f t="shared" si="25"/>
        <v>-1</v>
      </c>
      <c r="BR13" s="15">
        <f t="shared" si="26"/>
        <v>-1</v>
      </c>
      <c r="BS13" s="45">
        <f>'2024년 실적'!BT13</f>
        <v>38485</v>
      </c>
      <c r="BT13" s="39">
        <v>45000</v>
      </c>
      <c r="BU13" s="39"/>
      <c r="BV13" s="88">
        <f t="shared" si="27"/>
        <v>-1</v>
      </c>
      <c r="BW13" s="15">
        <f t="shared" si="28"/>
        <v>-1</v>
      </c>
    </row>
    <row r="14" spans="2:78" x14ac:dyDescent="0.3">
      <c r="B14" s="301"/>
      <c r="C14" s="301"/>
      <c r="D14" s="312"/>
      <c r="E14" s="67" t="s">
        <v>27</v>
      </c>
      <c r="F14" s="45">
        <f>'2023년 실적'!F14</f>
        <v>398047</v>
      </c>
      <c r="G14" s="39">
        <f>'2023년 실적'!G14</f>
        <v>207830</v>
      </c>
      <c r="H14" s="38">
        <f>'2024년 실적'!L14</f>
        <v>182489</v>
      </c>
      <c r="I14" s="39">
        <f t="shared" si="49"/>
        <v>190000</v>
      </c>
      <c r="J14" s="33">
        <f t="shared" si="2"/>
        <v>4.1158645178613451E-2</v>
      </c>
      <c r="K14" s="107">
        <f t="shared" si="50"/>
        <v>434229</v>
      </c>
      <c r="L14" s="87">
        <f t="shared" si="48"/>
        <v>190000</v>
      </c>
      <c r="M14" s="87">
        <f t="shared" si="48"/>
        <v>0</v>
      </c>
      <c r="N14" s="88">
        <f t="shared" si="3"/>
        <v>-1</v>
      </c>
      <c r="O14" s="15">
        <f t="shared" si="4"/>
        <v>-1</v>
      </c>
      <c r="P14" s="13">
        <f>'2024년 실적'!Q14</f>
        <v>13981</v>
      </c>
      <c r="Q14" s="39">
        <v>13300.000000000002</v>
      </c>
      <c r="R14" s="39"/>
      <c r="S14" s="88">
        <f t="shared" si="5"/>
        <v>-1</v>
      </c>
      <c r="T14" s="15">
        <f t="shared" si="6"/>
        <v>-1</v>
      </c>
      <c r="U14" s="45">
        <f>'2024년 실적'!V14</f>
        <v>8002</v>
      </c>
      <c r="V14" s="39">
        <v>15200</v>
      </c>
      <c r="W14" s="39"/>
      <c r="X14" s="88">
        <f t="shared" si="7"/>
        <v>-1</v>
      </c>
      <c r="Y14" s="33">
        <f t="shared" si="8"/>
        <v>-1</v>
      </c>
      <c r="Z14" s="13">
        <f>'2024년 실적'!AA14</f>
        <v>10718</v>
      </c>
      <c r="AA14" s="39">
        <v>17100</v>
      </c>
      <c r="AB14" s="39"/>
      <c r="AC14" s="88">
        <f t="shared" si="9"/>
        <v>-1</v>
      </c>
      <c r="AD14" s="15">
        <f t="shared" si="10"/>
        <v>-1</v>
      </c>
      <c r="AE14" s="45">
        <f>'2024년 실적'!AF14</f>
        <v>12080</v>
      </c>
      <c r="AF14" s="39">
        <v>15200</v>
      </c>
      <c r="AG14" s="39"/>
      <c r="AH14" s="88">
        <f t="shared" si="11"/>
        <v>-1</v>
      </c>
      <c r="AI14" s="33">
        <f t="shared" si="12"/>
        <v>-1</v>
      </c>
      <c r="AJ14" s="13">
        <f>'2024년 실적'!AK14</f>
        <v>15112</v>
      </c>
      <c r="AK14" s="39">
        <v>15200</v>
      </c>
      <c r="AL14" s="39"/>
      <c r="AM14" s="88">
        <f t="shared" si="13"/>
        <v>-1</v>
      </c>
      <c r="AN14" s="15">
        <f t="shared" si="14"/>
        <v>-1</v>
      </c>
      <c r="AO14" s="45">
        <f>'2024년 실적'!AP14</f>
        <v>14825</v>
      </c>
      <c r="AP14" s="39">
        <v>15200</v>
      </c>
      <c r="AQ14" s="39"/>
      <c r="AR14" s="88">
        <f t="shared" si="15"/>
        <v>-1</v>
      </c>
      <c r="AS14" s="33">
        <f t="shared" si="16"/>
        <v>-1</v>
      </c>
      <c r="AT14" s="13">
        <f>'2024년 실적'!AU14</f>
        <v>11788</v>
      </c>
      <c r="AU14" s="39">
        <v>15200</v>
      </c>
      <c r="AV14" s="39"/>
      <c r="AW14" s="88">
        <f t="shared" si="17"/>
        <v>-1</v>
      </c>
      <c r="AX14" s="15">
        <f t="shared" si="18"/>
        <v>-1</v>
      </c>
      <c r="AY14" s="45">
        <f>'2024년 실적'!AZ14</f>
        <v>21539</v>
      </c>
      <c r="AZ14" s="39">
        <v>15200</v>
      </c>
      <c r="BA14" s="39"/>
      <c r="BB14" s="88">
        <f t="shared" si="19"/>
        <v>-1</v>
      </c>
      <c r="BC14" s="33">
        <f t="shared" si="20"/>
        <v>-1</v>
      </c>
      <c r="BD14" s="13">
        <f t="shared" ref="BD14" si="51">SUM(BD11:BD13)</f>
        <v>270072</v>
      </c>
      <c r="BE14" s="39">
        <v>15200</v>
      </c>
      <c r="BF14" s="39"/>
      <c r="BG14" s="88">
        <f t="shared" si="21"/>
        <v>-1</v>
      </c>
      <c r="BH14" s="15">
        <f t="shared" si="22"/>
        <v>-1</v>
      </c>
      <c r="BI14" s="45">
        <f>'2024년 실적'!BJ14</f>
        <v>13216</v>
      </c>
      <c r="BJ14" s="39">
        <v>18050</v>
      </c>
      <c r="BK14" s="39"/>
      <c r="BL14" s="88">
        <f t="shared" si="23"/>
        <v>-1</v>
      </c>
      <c r="BM14" s="33">
        <f t="shared" si="24"/>
        <v>-1</v>
      </c>
      <c r="BN14" s="13">
        <f>'2024년 실적'!BO14</f>
        <v>21416</v>
      </c>
      <c r="BO14" s="39">
        <v>18050</v>
      </c>
      <c r="BP14" s="39"/>
      <c r="BQ14" s="88">
        <f t="shared" si="25"/>
        <v>-1</v>
      </c>
      <c r="BR14" s="15">
        <f t="shared" si="26"/>
        <v>-1</v>
      </c>
      <c r="BS14" s="45">
        <f>'2024년 실적'!BT14</f>
        <v>21480</v>
      </c>
      <c r="BT14" s="39">
        <v>17100</v>
      </c>
      <c r="BU14" s="39"/>
      <c r="BV14" s="88">
        <f t="shared" si="27"/>
        <v>-1</v>
      </c>
      <c r="BW14" s="15">
        <f t="shared" si="28"/>
        <v>-1</v>
      </c>
    </row>
    <row r="15" spans="2:78" ht="17.25" thickBot="1" x14ac:dyDescent="0.35">
      <c r="B15" s="301"/>
      <c r="C15" s="301"/>
      <c r="D15" s="313"/>
      <c r="E15" s="193" t="s">
        <v>53</v>
      </c>
      <c r="F15" s="194">
        <f>SUM(F12:F14)</f>
        <v>1067180</v>
      </c>
      <c r="G15" s="195">
        <f>SUM(G12:G14)</f>
        <v>949549</v>
      </c>
      <c r="H15" s="195">
        <f>SUM(H12:H14)</f>
        <v>917663</v>
      </c>
      <c r="I15" s="195">
        <f>SUM(I12:I14)</f>
        <v>1070000</v>
      </c>
      <c r="J15" s="196">
        <f t="shared" si="2"/>
        <v>0.16600538541926602</v>
      </c>
      <c r="K15" s="197">
        <f t="shared" ref="K15:R15" si="52">SUM(K12:K14)</f>
        <v>1169403</v>
      </c>
      <c r="L15" s="195">
        <f t="shared" si="52"/>
        <v>1070000</v>
      </c>
      <c r="M15" s="195">
        <f t="shared" si="52"/>
        <v>0</v>
      </c>
      <c r="N15" s="198">
        <f t="shared" si="3"/>
        <v>-1</v>
      </c>
      <c r="O15" s="199">
        <f t="shared" si="4"/>
        <v>-1</v>
      </c>
      <c r="P15" s="197">
        <f t="shared" si="52"/>
        <v>62554</v>
      </c>
      <c r="Q15" s="195">
        <f>SUM(Q12:Q14)</f>
        <v>74900</v>
      </c>
      <c r="R15" s="195">
        <f t="shared" si="52"/>
        <v>0</v>
      </c>
      <c r="S15" s="198">
        <f t="shared" si="5"/>
        <v>-1</v>
      </c>
      <c r="T15" s="199">
        <f t="shared" si="6"/>
        <v>-1</v>
      </c>
      <c r="U15" s="194">
        <f t="shared" ref="U15:W15" si="53">SUM(U12:U14)</f>
        <v>54515</v>
      </c>
      <c r="V15" s="195">
        <f t="shared" si="53"/>
        <v>85600</v>
      </c>
      <c r="W15" s="195">
        <f t="shared" si="53"/>
        <v>0</v>
      </c>
      <c r="X15" s="198">
        <f t="shared" si="7"/>
        <v>-1</v>
      </c>
      <c r="Y15" s="196">
        <f t="shared" si="8"/>
        <v>-1</v>
      </c>
      <c r="Z15" s="197">
        <f t="shared" ref="Z15:AB15" si="54">SUM(Z12:Z14)</f>
        <v>72083</v>
      </c>
      <c r="AA15" s="195">
        <f t="shared" si="54"/>
        <v>96300</v>
      </c>
      <c r="AB15" s="195">
        <f t="shared" si="54"/>
        <v>0</v>
      </c>
      <c r="AC15" s="198">
        <f t="shared" si="9"/>
        <v>-1</v>
      </c>
      <c r="AD15" s="199">
        <f t="shared" si="10"/>
        <v>-1</v>
      </c>
      <c r="AE15" s="194">
        <f t="shared" ref="AE15:AG15" si="55">SUM(AE12:AE14)</f>
        <v>76698</v>
      </c>
      <c r="AF15" s="195">
        <f t="shared" si="55"/>
        <v>85600</v>
      </c>
      <c r="AG15" s="195">
        <f t="shared" si="55"/>
        <v>0</v>
      </c>
      <c r="AH15" s="198">
        <f t="shared" si="11"/>
        <v>-1</v>
      </c>
      <c r="AI15" s="196">
        <f t="shared" si="12"/>
        <v>-1</v>
      </c>
      <c r="AJ15" s="197">
        <f t="shared" ref="AJ15:AL15" si="56">SUM(AJ12:AJ14)</f>
        <v>68103</v>
      </c>
      <c r="AK15" s="195">
        <f t="shared" si="56"/>
        <v>85600</v>
      </c>
      <c r="AL15" s="195">
        <f t="shared" si="56"/>
        <v>0</v>
      </c>
      <c r="AM15" s="198">
        <f t="shared" si="13"/>
        <v>-1</v>
      </c>
      <c r="AN15" s="199">
        <f t="shared" si="14"/>
        <v>-1</v>
      </c>
      <c r="AO15" s="194">
        <f t="shared" ref="AO15:AQ15" si="57">SUM(AO12:AO14)</f>
        <v>71175</v>
      </c>
      <c r="AP15" s="195">
        <f t="shared" si="57"/>
        <v>85600</v>
      </c>
      <c r="AQ15" s="195">
        <f t="shared" si="57"/>
        <v>0</v>
      </c>
      <c r="AR15" s="198">
        <f t="shared" si="15"/>
        <v>-1</v>
      </c>
      <c r="AS15" s="196">
        <f t="shared" si="16"/>
        <v>-1</v>
      </c>
      <c r="AT15" s="197">
        <f t="shared" ref="AT15:AV15" si="58">SUM(AT12:AT14)</f>
        <v>70886</v>
      </c>
      <c r="AU15" s="195">
        <f t="shared" si="58"/>
        <v>85600</v>
      </c>
      <c r="AV15" s="195">
        <f t="shared" si="58"/>
        <v>0</v>
      </c>
      <c r="AW15" s="198">
        <f t="shared" si="17"/>
        <v>-1</v>
      </c>
      <c r="AX15" s="199">
        <f t="shared" si="18"/>
        <v>-1</v>
      </c>
      <c r="AY15" s="194">
        <f t="shared" ref="AY15:BA15" si="59">SUM(AY12:AY14)</f>
        <v>82313</v>
      </c>
      <c r="AZ15" s="195">
        <f t="shared" si="59"/>
        <v>85600</v>
      </c>
      <c r="BA15" s="195">
        <f t="shared" si="59"/>
        <v>0</v>
      </c>
      <c r="BB15" s="198">
        <f t="shared" si="19"/>
        <v>-1</v>
      </c>
      <c r="BC15" s="196">
        <f t="shared" si="20"/>
        <v>-1</v>
      </c>
      <c r="BD15" s="197">
        <f>'2024년 실적'!BE15</f>
        <v>75786</v>
      </c>
      <c r="BE15" s="195">
        <f t="shared" ref="BE15" si="60">SUM(BE12:BE14)</f>
        <v>85600</v>
      </c>
      <c r="BF15" s="195">
        <v>0</v>
      </c>
      <c r="BG15" s="198">
        <f t="shared" si="21"/>
        <v>-1</v>
      </c>
      <c r="BH15" s="199">
        <f t="shared" si="22"/>
        <v>-1</v>
      </c>
      <c r="BI15" s="194">
        <f t="shared" ref="BI15:BK15" si="61">SUM(BI12:BI14)</f>
        <v>105010</v>
      </c>
      <c r="BJ15" s="195">
        <f t="shared" si="61"/>
        <v>101650</v>
      </c>
      <c r="BK15" s="195">
        <f t="shared" si="61"/>
        <v>0</v>
      </c>
      <c r="BL15" s="198">
        <f t="shared" si="23"/>
        <v>-1</v>
      </c>
      <c r="BM15" s="196">
        <f t="shared" si="24"/>
        <v>-1</v>
      </c>
      <c r="BN15" s="197">
        <f t="shared" ref="BN15:BP15" si="62">SUM(BN12:BN14)</f>
        <v>89555</v>
      </c>
      <c r="BO15" s="195">
        <f t="shared" si="62"/>
        <v>101650</v>
      </c>
      <c r="BP15" s="195">
        <f t="shared" si="62"/>
        <v>0</v>
      </c>
      <c r="BQ15" s="198">
        <f t="shared" si="25"/>
        <v>-1</v>
      </c>
      <c r="BR15" s="199">
        <f t="shared" si="26"/>
        <v>-1</v>
      </c>
      <c r="BS15" s="194">
        <f t="shared" ref="BS15:BU15" si="63">SUM(BS12:BS14)</f>
        <v>88985</v>
      </c>
      <c r="BT15" s="195">
        <f t="shared" si="63"/>
        <v>96300</v>
      </c>
      <c r="BU15" s="195">
        <f t="shared" si="63"/>
        <v>0</v>
      </c>
      <c r="BV15" s="198">
        <f t="shared" si="27"/>
        <v>-1</v>
      </c>
      <c r="BW15" s="199">
        <f t="shared" si="28"/>
        <v>-1</v>
      </c>
    </row>
    <row r="16" spans="2:78" x14ac:dyDescent="0.3">
      <c r="B16" s="301"/>
      <c r="C16" s="301"/>
      <c r="D16" s="314" t="s">
        <v>54</v>
      </c>
      <c r="E16" s="191" t="s">
        <v>22</v>
      </c>
      <c r="F16" s="56">
        <f>'2023년 실적'!F16</f>
        <v>255674</v>
      </c>
      <c r="G16" s="41">
        <f>'2023년 실적'!G16</f>
        <v>265892</v>
      </c>
      <c r="H16" s="41">
        <f>'2024년 실적'!L16</f>
        <v>345199</v>
      </c>
      <c r="I16" s="41">
        <f t="shared" ref="I16:I19" si="64">L16</f>
        <v>390000</v>
      </c>
      <c r="J16" s="81">
        <f t="shared" si="2"/>
        <v>0.12978311061156034</v>
      </c>
      <c r="K16" s="129">
        <f t="shared" ref="K16:M19" si="65">P16+U16+Z16+AE16+AJ16+AO16+AT16+AY16+BD16+BI16+BN16+BS16</f>
        <v>345199</v>
      </c>
      <c r="L16" s="130">
        <f t="shared" si="65"/>
        <v>390000</v>
      </c>
      <c r="M16" s="130">
        <f t="shared" si="65"/>
        <v>0</v>
      </c>
      <c r="N16" s="112">
        <f t="shared" si="3"/>
        <v>-1</v>
      </c>
      <c r="O16" s="23">
        <f t="shared" si="4"/>
        <v>-1</v>
      </c>
      <c r="P16" s="21">
        <f>'2024년 실적'!Q16</f>
        <v>24956</v>
      </c>
      <c r="Q16" s="41">
        <v>27300.000000000004</v>
      </c>
      <c r="R16" s="41"/>
      <c r="S16" s="112">
        <f t="shared" si="5"/>
        <v>-1</v>
      </c>
      <c r="T16" s="23">
        <f t="shared" si="6"/>
        <v>-1</v>
      </c>
      <c r="U16" s="56">
        <f>'2024년 실적'!V16</f>
        <v>22654</v>
      </c>
      <c r="V16" s="41">
        <v>31200</v>
      </c>
      <c r="W16" s="41"/>
      <c r="X16" s="112">
        <f t="shared" si="7"/>
        <v>-1</v>
      </c>
      <c r="Y16" s="81">
        <f t="shared" si="8"/>
        <v>-1</v>
      </c>
      <c r="Z16" s="21">
        <f>'2024년 실적'!AA16</f>
        <v>28088</v>
      </c>
      <c r="AA16" s="41">
        <v>35100</v>
      </c>
      <c r="AB16" s="41"/>
      <c r="AC16" s="112">
        <f t="shared" si="9"/>
        <v>-1</v>
      </c>
      <c r="AD16" s="23">
        <f t="shared" si="10"/>
        <v>-1</v>
      </c>
      <c r="AE16" s="56">
        <f>'2024년 실적'!AF16</f>
        <v>32132</v>
      </c>
      <c r="AF16" s="41">
        <v>31200</v>
      </c>
      <c r="AG16" s="41"/>
      <c r="AH16" s="112">
        <f t="shared" si="11"/>
        <v>-1</v>
      </c>
      <c r="AI16" s="81">
        <f t="shared" si="12"/>
        <v>-1</v>
      </c>
      <c r="AJ16" s="21">
        <f>'2024년 실적'!AK16</f>
        <v>27494</v>
      </c>
      <c r="AK16" s="41">
        <v>31200</v>
      </c>
      <c r="AL16" s="41"/>
      <c r="AM16" s="112">
        <f t="shared" si="13"/>
        <v>-1</v>
      </c>
      <c r="AN16" s="23">
        <f t="shared" si="14"/>
        <v>-1</v>
      </c>
      <c r="AO16" s="56">
        <f>'2024년 실적'!AP16</f>
        <v>28060</v>
      </c>
      <c r="AP16" s="41">
        <v>31200</v>
      </c>
      <c r="AQ16" s="41"/>
      <c r="AR16" s="112">
        <f t="shared" si="15"/>
        <v>-1</v>
      </c>
      <c r="AS16" s="81">
        <f t="shared" si="16"/>
        <v>-1</v>
      </c>
      <c r="AT16" s="21">
        <f>'2024년 실적'!AU16</f>
        <v>30993</v>
      </c>
      <c r="AU16" s="41">
        <v>31200</v>
      </c>
      <c r="AV16" s="41"/>
      <c r="AW16" s="112">
        <f t="shared" si="17"/>
        <v>-1</v>
      </c>
      <c r="AX16" s="23">
        <f t="shared" si="18"/>
        <v>-1</v>
      </c>
      <c r="AY16" s="56">
        <f>'2024년 실적'!AZ16</f>
        <v>30145</v>
      </c>
      <c r="AZ16" s="41">
        <v>31200</v>
      </c>
      <c r="BA16" s="41"/>
      <c r="BB16" s="112">
        <f t="shared" si="19"/>
        <v>-1</v>
      </c>
      <c r="BC16" s="81">
        <f t="shared" si="20"/>
        <v>-1</v>
      </c>
      <c r="BD16" s="21">
        <f>'2024년 실적'!BE16</f>
        <v>25653</v>
      </c>
      <c r="BE16" s="41">
        <v>31200</v>
      </c>
      <c r="BF16" s="41"/>
      <c r="BG16" s="112">
        <f t="shared" si="21"/>
        <v>-1</v>
      </c>
      <c r="BH16" s="23">
        <f t="shared" si="22"/>
        <v>-1</v>
      </c>
      <c r="BI16" s="56">
        <f>'2024년 실적'!BJ16</f>
        <v>32744</v>
      </c>
      <c r="BJ16" s="41">
        <v>37050</v>
      </c>
      <c r="BK16" s="41"/>
      <c r="BL16" s="112">
        <f t="shared" si="23"/>
        <v>-1</v>
      </c>
      <c r="BM16" s="81">
        <f t="shared" si="24"/>
        <v>-1</v>
      </c>
      <c r="BN16" s="21">
        <f>'2024년 실적'!BO16</f>
        <v>30570</v>
      </c>
      <c r="BO16" s="41">
        <v>37050</v>
      </c>
      <c r="BP16" s="41"/>
      <c r="BQ16" s="112">
        <f t="shared" si="25"/>
        <v>-1</v>
      </c>
      <c r="BR16" s="23">
        <f t="shared" si="26"/>
        <v>-1</v>
      </c>
      <c r="BS16" s="56">
        <f>'2024년 실적'!BT16</f>
        <v>31710</v>
      </c>
      <c r="BT16" s="41">
        <v>35100</v>
      </c>
      <c r="BU16" s="41"/>
      <c r="BV16" s="112">
        <f t="shared" si="27"/>
        <v>-1</v>
      </c>
      <c r="BW16" s="23">
        <f t="shared" si="28"/>
        <v>-1</v>
      </c>
    </row>
    <row r="17" spans="2:78" x14ac:dyDescent="0.3">
      <c r="B17" s="301"/>
      <c r="C17" s="301"/>
      <c r="D17" s="312"/>
      <c r="E17" s="67" t="s">
        <v>23</v>
      </c>
      <c r="F17" s="45">
        <f>'2023년 실적'!F17</f>
        <v>583012</v>
      </c>
      <c r="G17" s="39">
        <f>'2023년 실적'!G17</f>
        <v>554782</v>
      </c>
      <c r="H17" s="39">
        <f>'2024년 실적'!L17</f>
        <v>681035</v>
      </c>
      <c r="I17" s="39">
        <f t="shared" si="64"/>
        <v>750000</v>
      </c>
      <c r="J17" s="33">
        <f t="shared" si="2"/>
        <v>0.1012649863810231</v>
      </c>
      <c r="K17" s="107">
        <f t="shared" si="65"/>
        <v>681035</v>
      </c>
      <c r="L17" s="87">
        <f t="shared" si="65"/>
        <v>750000</v>
      </c>
      <c r="M17" s="87">
        <f t="shared" si="65"/>
        <v>0</v>
      </c>
      <c r="N17" s="88">
        <f t="shared" si="3"/>
        <v>-1</v>
      </c>
      <c r="O17" s="15">
        <f t="shared" si="4"/>
        <v>-1</v>
      </c>
      <c r="P17" s="13">
        <f>'2024년 실적'!Q17</f>
        <v>51458</v>
      </c>
      <c r="Q17" s="39">
        <v>52500.000000000007</v>
      </c>
      <c r="R17" s="39"/>
      <c r="S17" s="88">
        <f t="shared" si="5"/>
        <v>-1</v>
      </c>
      <c r="T17" s="15">
        <f t="shared" si="6"/>
        <v>-1</v>
      </c>
      <c r="U17" s="45">
        <f>'2024년 실적'!V17</f>
        <v>41572</v>
      </c>
      <c r="V17" s="39">
        <v>60000</v>
      </c>
      <c r="W17" s="39"/>
      <c r="X17" s="88">
        <f t="shared" si="7"/>
        <v>-1</v>
      </c>
      <c r="Y17" s="33">
        <f t="shared" si="8"/>
        <v>-1</v>
      </c>
      <c r="Z17" s="13">
        <f>'2024년 실적'!AA17</f>
        <v>111312</v>
      </c>
      <c r="AA17" s="39">
        <v>67500</v>
      </c>
      <c r="AB17" s="39"/>
      <c r="AC17" s="88">
        <f t="shared" si="9"/>
        <v>-1</v>
      </c>
      <c r="AD17" s="15">
        <f t="shared" si="10"/>
        <v>-1</v>
      </c>
      <c r="AE17" s="45">
        <f>'2024년 실적'!AF17</f>
        <v>45296</v>
      </c>
      <c r="AF17" s="39">
        <v>60000</v>
      </c>
      <c r="AG17" s="39"/>
      <c r="AH17" s="88">
        <f t="shared" si="11"/>
        <v>-1</v>
      </c>
      <c r="AI17" s="33">
        <f t="shared" si="12"/>
        <v>-1</v>
      </c>
      <c r="AJ17" s="13">
        <f>'2024년 실적'!AK17</f>
        <v>45576</v>
      </c>
      <c r="AK17" s="39">
        <v>60000</v>
      </c>
      <c r="AL17" s="39"/>
      <c r="AM17" s="88">
        <f t="shared" si="13"/>
        <v>-1</v>
      </c>
      <c r="AN17" s="15">
        <f t="shared" si="14"/>
        <v>-1</v>
      </c>
      <c r="AO17" s="45">
        <f>'2024년 실적'!AP17</f>
        <v>57196</v>
      </c>
      <c r="AP17" s="39">
        <v>60000</v>
      </c>
      <c r="AQ17" s="39"/>
      <c r="AR17" s="88">
        <f t="shared" si="15"/>
        <v>-1</v>
      </c>
      <c r="AS17" s="33">
        <f t="shared" si="16"/>
        <v>-1</v>
      </c>
      <c r="AT17" s="13">
        <f>'2024년 실적'!AU17</f>
        <v>45164</v>
      </c>
      <c r="AU17" s="39">
        <v>60000</v>
      </c>
      <c r="AV17" s="39"/>
      <c r="AW17" s="88">
        <f t="shared" si="17"/>
        <v>-1</v>
      </c>
      <c r="AX17" s="15">
        <f t="shared" si="18"/>
        <v>-1</v>
      </c>
      <c r="AY17" s="45">
        <f>'2024년 실적'!AZ17</f>
        <v>49634</v>
      </c>
      <c r="AZ17" s="39">
        <v>60000</v>
      </c>
      <c r="BA17" s="39"/>
      <c r="BB17" s="88">
        <f t="shared" si="19"/>
        <v>-1</v>
      </c>
      <c r="BC17" s="33">
        <f t="shared" si="20"/>
        <v>-1</v>
      </c>
      <c r="BD17" s="13">
        <f>'2024년 실적'!BE17</f>
        <v>47638</v>
      </c>
      <c r="BE17" s="39">
        <v>60000</v>
      </c>
      <c r="BF17" s="39"/>
      <c r="BG17" s="88">
        <f t="shared" si="21"/>
        <v>-1</v>
      </c>
      <c r="BH17" s="15">
        <f t="shared" si="22"/>
        <v>-1</v>
      </c>
      <c r="BI17" s="45">
        <f>'2024년 실적'!BJ17</f>
        <v>80623</v>
      </c>
      <c r="BJ17" s="39">
        <v>71250</v>
      </c>
      <c r="BK17" s="39"/>
      <c r="BL17" s="88">
        <f t="shared" si="23"/>
        <v>-1</v>
      </c>
      <c r="BM17" s="33">
        <f t="shared" si="24"/>
        <v>-1</v>
      </c>
      <c r="BN17" s="13">
        <f>'2024년 실적'!BO17</f>
        <v>51218</v>
      </c>
      <c r="BO17" s="39">
        <v>71250</v>
      </c>
      <c r="BP17" s="39"/>
      <c r="BQ17" s="88">
        <f t="shared" si="25"/>
        <v>-1</v>
      </c>
      <c r="BR17" s="15">
        <f t="shared" si="26"/>
        <v>-1</v>
      </c>
      <c r="BS17" s="45">
        <f>'2024년 실적'!BT17</f>
        <v>54348</v>
      </c>
      <c r="BT17" s="39">
        <v>67500</v>
      </c>
      <c r="BU17" s="39"/>
      <c r="BV17" s="88">
        <f t="shared" si="27"/>
        <v>-1</v>
      </c>
      <c r="BW17" s="15">
        <f t="shared" si="28"/>
        <v>-1</v>
      </c>
      <c r="BZ17" s="248"/>
    </row>
    <row r="18" spans="2:78" x14ac:dyDescent="0.3">
      <c r="B18" s="301"/>
      <c r="C18" s="301"/>
      <c r="D18" s="312"/>
      <c r="E18" s="67" t="s">
        <v>24</v>
      </c>
      <c r="F18" s="45">
        <f>'2023년 실적'!F18</f>
        <v>255841</v>
      </c>
      <c r="G18" s="39">
        <f>'2023년 실적'!G18</f>
        <v>316827</v>
      </c>
      <c r="H18" s="39">
        <f>'2024년 실적'!L18</f>
        <v>265074</v>
      </c>
      <c r="I18" s="39">
        <f t="shared" si="64"/>
        <v>300000</v>
      </c>
      <c r="J18" s="33">
        <f t="shared" si="2"/>
        <v>0.13175943321487593</v>
      </c>
      <c r="K18" s="107">
        <f t="shared" si="65"/>
        <v>265074</v>
      </c>
      <c r="L18" s="87">
        <f t="shared" si="65"/>
        <v>300000</v>
      </c>
      <c r="M18" s="87">
        <f t="shared" si="65"/>
        <v>0</v>
      </c>
      <c r="N18" s="88">
        <f t="shared" si="3"/>
        <v>-1</v>
      </c>
      <c r="O18" s="15">
        <f t="shared" si="4"/>
        <v>-1</v>
      </c>
      <c r="P18" s="13">
        <f>'2024년 실적'!Q18</f>
        <v>21467</v>
      </c>
      <c r="Q18" s="39">
        <v>21000.000000000004</v>
      </c>
      <c r="R18" s="39"/>
      <c r="S18" s="88">
        <f t="shared" si="5"/>
        <v>-1</v>
      </c>
      <c r="T18" s="15">
        <f t="shared" si="6"/>
        <v>-1</v>
      </c>
      <c r="U18" s="45">
        <f>'2024년 실적'!V18</f>
        <v>19730</v>
      </c>
      <c r="V18" s="39">
        <v>24000</v>
      </c>
      <c r="W18" s="39"/>
      <c r="X18" s="88">
        <f t="shared" si="7"/>
        <v>-1</v>
      </c>
      <c r="Y18" s="33">
        <f t="shared" si="8"/>
        <v>-1</v>
      </c>
      <c r="Z18" s="13">
        <f>'2024년 실적'!AA18</f>
        <v>20764</v>
      </c>
      <c r="AA18" s="39">
        <v>27000</v>
      </c>
      <c r="AB18" s="39"/>
      <c r="AC18" s="88">
        <f t="shared" si="9"/>
        <v>-1</v>
      </c>
      <c r="AD18" s="15">
        <f t="shared" si="10"/>
        <v>-1</v>
      </c>
      <c r="AE18" s="45">
        <f>'2024년 실적'!AF18</f>
        <v>21938</v>
      </c>
      <c r="AF18" s="39">
        <v>24000</v>
      </c>
      <c r="AG18" s="39"/>
      <c r="AH18" s="88">
        <f t="shared" si="11"/>
        <v>-1</v>
      </c>
      <c r="AI18" s="33">
        <f t="shared" si="12"/>
        <v>-1</v>
      </c>
      <c r="AJ18" s="13">
        <f>'2024년 실적'!AK18</f>
        <v>22265</v>
      </c>
      <c r="AK18" s="39">
        <v>24000</v>
      </c>
      <c r="AL18" s="39"/>
      <c r="AM18" s="88">
        <f t="shared" si="13"/>
        <v>-1</v>
      </c>
      <c r="AN18" s="15">
        <f t="shared" si="14"/>
        <v>-1</v>
      </c>
      <c r="AO18" s="45">
        <f>'2024년 실적'!AP18</f>
        <v>21398</v>
      </c>
      <c r="AP18" s="39">
        <v>24000</v>
      </c>
      <c r="AQ18" s="39"/>
      <c r="AR18" s="88">
        <f t="shared" si="15"/>
        <v>-1</v>
      </c>
      <c r="AS18" s="33">
        <f t="shared" si="16"/>
        <v>-1</v>
      </c>
      <c r="AT18" s="13">
        <f>'2024년 실적'!AU18</f>
        <v>22294</v>
      </c>
      <c r="AU18" s="39">
        <v>24000</v>
      </c>
      <c r="AV18" s="39"/>
      <c r="AW18" s="88">
        <f t="shared" si="17"/>
        <v>-1</v>
      </c>
      <c r="AX18" s="15">
        <f t="shared" si="18"/>
        <v>-1</v>
      </c>
      <c r="AY18" s="45">
        <f>'2024년 실적'!AZ18</f>
        <v>22017</v>
      </c>
      <c r="AZ18" s="39">
        <v>24000</v>
      </c>
      <c r="BA18" s="39"/>
      <c r="BB18" s="88">
        <f t="shared" si="19"/>
        <v>-1</v>
      </c>
      <c r="BC18" s="33">
        <f t="shared" si="20"/>
        <v>-1</v>
      </c>
      <c r="BD18" s="13">
        <f>'2024년 실적'!BE18</f>
        <v>20017</v>
      </c>
      <c r="BE18" s="39">
        <v>24000</v>
      </c>
      <c r="BF18" s="39"/>
      <c r="BG18" s="88">
        <f t="shared" si="21"/>
        <v>-1</v>
      </c>
      <c r="BH18" s="15">
        <f t="shared" si="22"/>
        <v>-1</v>
      </c>
      <c r="BI18" s="45">
        <f>'2024년 실적'!BJ18</f>
        <v>24813</v>
      </c>
      <c r="BJ18" s="39">
        <v>28500</v>
      </c>
      <c r="BK18" s="39"/>
      <c r="BL18" s="88">
        <f t="shared" si="23"/>
        <v>-1</v>
      </c>
      <c r="BM18" s="33">
        <f t="shared" si="24"/>
        <v>-1</v>
      </c>
      <c r="BN18" s="13">
        <f>'2024년 실적'!BO18</f>
        <v>25063</v>
      </c>
      <c r="BO18" s="39">
        <v>28500</v>
      </c>
      <c r="BP18" s="39"/>
      <c r="BQ18" s="88">
        <f t="shared" si="25"/>
        <v>-1</v>
      </c>
      <c r="BR18" s="15">
        <f t="shared" si="26"/>
        <v>-1</v>
      </c>
      <c r="BS18" s="45">
        <f>'2024년 실적'!BT18</f>
        <v>23308</v>
      </c>
      <c r="BT18" s="39">
        <v>27000</v>
      </c>
      <c r="BU18" s="39"/>
      <c r="BV18" s="88">
        <f t="shared" si="27"/>
        <v>-1</v>
      </c>
      <c r="BW18" s="15">
        <f t="shared" si="28"/>
        <v>-1</v>
      </c>
      <c r="BZ18" s="248"/>
    </row>
    <row r="19" spans="2:78" x14ac:dyDescent="0.3">
      <c r="B19" s="301"/>
      <c r="C19" s="301"/>
      <c r="D19" s="312"/>
      <c r="E19" s="67" t="s">
        <v>27</v>
      </c>
      <c r="F19" s="45">
        <f>'2023년 실적'!F19</f>
        <v>621242</v>
      </c>
      <c r="G19" s="39">
        <f>'2023년 실적'!G19</f>
        <v>666952</v>
      </c>
      <c r="H19" s="39">
        <f>'2024년 실적'!L19</f>
        <v>669366</v>
      </c>
      <c r="I19" s="39">
        <f t="shared" si="64"/>
        <v>698000</v>
      </c>
      <c r="J19" s="33">
        <f t="shared" si="2"/>
        <v>4.2777792717287655E-2</v>
      </c>
      <c r="K19" s="107">
        <f t="shared" si="65"/>
        <v>788465</v>
      </c>
      <c r="L19" s="87">
        <f t="shared" si="65"/>
        <v>698000</v>
      </c>
      <c r="M19" s="87">
        <f t="shared" si="65"/>
        <v>0</v>
      </c>
      <c r="N19" s="88">
        <f t="shared" si="3"/>
        <v>-1</v>
      </c>
      <c r="O19" s="15">
        <f t="shared" si="4"/>
        <v>-1</v>
      </c>
      <c r="P19" s="13">
        <f>'2024년 실적'!Q19</f>
        <v>41822</v>
      </c>
      <c r="Q19" s="39">
        <v>48860.000000000007</v>
      </c>
      <c r="R19" s="39"/>
      <c r="S19" s="88">
        <f t="shared" si="5"/>
        <v>-1</v>
      </c>
      <c r="T19" s="15">
        <f t="shared" si="6"/>
        <v>-1</v>
      </c>
      <c r="U19" s="45">
        <f>'2024년 실적'!V19</f>
        <v>39970</v>
      </c>
      <c r="V19" s="39">
        <v>55840</v>
      </c>
      <c r="W19" s="39"/>
      <c r="X19" s="88">
        <f t="shared" si="7"/>
        <v>-1</v>
      </c>
      <c r="Y19" s="33">
        <f t="shared" si="8"/>
        <v>-1</v>
      </c>
      <c r="Z19" s="13">
        <f>'2024년 실적'!AA19</f>
        <v>54988</v>
      </c>
      <c r="AA19" s="39">
        <v>62820</v>
      </c>
      <c r="AB19" s="39"/>
      <c r="AC19" s="88">
        <f t="shared" si="9"/>
        <v>-1</v>
      </c>
      <c r="AD19" s="15">
        <f t="shared" si="10"/>
        <v>-1</v>
      </c>
      <c r="AE19" s="45">
        <f>'2024년 실적'!AF19</f>
        <v>69684</v>
      </c>
      <c r="AF19" s="39">
        <v>55840</v>
      </c>
      <c r="AG19" s="39"/>
      <c r="AH19" s="88">
        <f t="shared" si="11"/>
        <v>-1</v>
      </c>
      <c r="AI19" s="33">
        <f t="shared" si="12"/>
        <v>-1</v>
      </c>
      <c r="AJ19" s="13">
        <f>'2024년 실적'!AK19</f>
        <v>54288</v>
      </c>
      <c r="AK19" s="39">
        <v>55840</v>
      </c>
      <c r="AL19" s="39"/>
      <c r="AM19" s="88">
        <f t="shared" si="13"/>
        <v>-1</v>
      </c>
      <c r="AN19" s="15">
        <f t="shared" si="14"/>
        <v>-1</v>
      </c>
      <c r="AO19" s="45">
        <f>'2024년 실적'!AP19</f>
        <v>64667</v>
      </c>
      <c r="AP19" s="39">
        <v>55840</v>
      </c>
      <c r="AQ19" s="39"/>
      <c r="AR19" s="88">
        <f t="shared" si="15"/>
        <v>-1</v>
      </c>
      <c r="AS19" s="33">
        <f t="shared" si="16"/>
        <v>-1</v>
      </c>
      <c r="AT19" s="13">
        <f>'2024년 실적'!AU19</f>
        <v>64020</v>
      </c>
      <c r="AU19" s="39">
        <v>55840</v>
      </c>
      <c r="AV19" s="39"/>
      <c r="AW19" s="88">
        <f t="shared" si="17"/>
        <v>-1</v>
      </c>
      <c r="AX19" s="15">
        <f t="shared" si="18"/>
        <v>-1</v>
      </c>
      <c r="AY19" s="45">
        <f>'2024년 실적'!AZ19</f>
        <v>53627</v>
      </c>
      <c r="AZ19" s="39">
        <v>55840</v>
      </c>
      <c r="BA19" s="39"/>
      <c r="BB19" s="88">
        <f t="shared" si="19"/>
        <v>-1</v>
      </c>
      <c r="BC19" s="33">
        <f t="shared" si="20"/>
        <v>-1</v>
      </c>
      <c r="BD19" s="13">
        <f t="shared" ref="BD19" si="66">SUM(BD15:BD18)</f>
        <v>169094</v>
      </c>
      <c r="BE19" s="39">
        <v>55840</v>
      </c>
      <c r="BF19" s="39"/>
      <c r="BG19" s="88">
        <f t="shared" si="21"/>
        <v>-1</v>
      </c>
      <c r="BH19" s="15">
        <f t="shared" si="22"/>
        <v>-1</v>
      </c>
      <c r="BI19" s="45">
        <f>'2024년 실적'!BJ19</f>
        <v>55062</v>
      </c>
      <c r="BJ19" s="39">
        <v>66310</v>
      </c>
      <c r="BK19" s="39"/>
      <c r="BL19" s="88">
        <f t="shared" si="23"/>
        <v>-1</v>
      </c>
      <c r="BM19" s="33">
        <f t="shared" si="24"/>
        <v>-1</v>
      </c>
      <c r="BN19" s="13">
        <f>'2024년 실적'!BO19</f>
        <v>63034</v>
      </c>
      <c r="BO19" s="39">
        <v>66310</v>
      </c>
      <c r="BP19" s="39"/>
      <c r="BQ19" s="88">
        <f t="shared" si="25"/>
        <v>-1</v>
      </c>
      <c r="BR19" s="15">
        <f t="shared" si="26"/>
        <v>-1</v>
      </c>
      <c r="BS19" s="45">
        <f>'2024년 실적'!BT19</f>
        <v>58209</v>
      </c>
      <c r="BT19" s="39">
        <v>62820</v>
      </c>
      <c r="BU19" s="39"/>
      <c r="BV19" s="88">
        <f t="shared" si="27"/>
        <v>-1</v>
      </c>
      <c r="BW19" s="15">
        <f t="shared" si="28"/>
        <v>-1</v>
      </c>
      <c r="BZ19" s="248"/>
    </row>
    <row r="20" spans="2:78" ht="17.25" thickBot="1" x14ac:dyDescent="0.35">
      <c r="B20" s="301"/>
      <c r="C20" s="301"/>
      <c r="D20" s="315"/>
      <c r="E20" s="200" t="s">
        <v>53</v>
      </c>
      <c r="F20" s="201">
        <f>SUM(F16:F19)</f>
        <v>1715769</v>
      </c>
      <c r="G20" s="202">
        <f>SUM(G16:G19)</f>
        <v>1804453</v>
      </c>
      <c r="H20" s="202">
        <f>SUM(H16:H19)</f>
        <v>1960674</v>
      </c>
      <c r="I20" s="202">
        <f>SUM(I16:I19)</f>
        <v>2138000</v>
      </c>
      <c r="J20" s="203">
        <f t="shared" si="2"/>
        <v>9.0441348230251517E-2</v>
      </c>
      <c r="K20" s="204">
        <f t="shared" ref="K20:R20" si="67">SUM(K16:K19)</f>
        <v>2079773</v>
      </c>
      <c r="L20" s="202">
        <f t="shared" si="67"/>
        <v>2138000</v>
      </c>
      <c r="M20" s="202">
        <f t="shared" si="67"/>
        <v>0</v>
      </c>
      <c r="N20" s="205">
        <f t="shared" si="3"/>
        <v>-1</v>
      </c>
      <c r="O20" s="206">
        <f t="shared" si="4"/>
        <v>-1</v>
      </c>
      <c r="P20" s="204">
        <f t="shared" si="67"/>
        <v>139703</v>
      </c>
      <c r="Q20" s="202">
        <f>SUM(Q16:Q19)</f>
        <v>149660.00000000003</v>
      </c>
      <c r="R20" s="202">
        <f t="shared" si="67"/>
        <v>0</v>
      </c>
      <c r="S20" s="205">
        <f t="shared" si="5"/>
        <v>-1</v>
      </c>
      <c r="T20" s="206">
        <f t="shared" si="6"/>
        <v>-1</v>
      </c>
      <c r="U20" s="201">
        <f t="shared" ref="U20:W20" si="68">SUM(U16:U19)</f>
        <v>123926</v>
      </c>
      <c r="V20" s="202">
        <f t="shared" ref="V20" si="69">SUM(V16:V19)</f>
        <v>171040</v>
      </c>
      <c r="W20" s="202">
        <f t="shared" si="68"/>
        <v>0</v>
      </c>
      <c r="X20" s="205">
        <f t="shared" si="7"/>
        <v>-1</v>
      </c>
      <c r="Y20" s="203">
        <f t="shared" si="8"/>
        <v>-1</v>
      </c>
      <c r="Z20" s="204">
        <f t="shared" ref="Z20:AB20" si="70">SUM(Z16:Z19)</f>
        <v>215152</v>
      </c>
      <c r="AA20" s="202">
        <f t="shared" ref="AA20" si="71">SUM(AA16:AA19)</f>
        <v>192420</v>
      </c>
      <c r="AB20" s="202">
        <f t="shared" si="70"/>
        <v>0</v>
      </c>
      <c r="AC20" s="205">
        <f t="shared" si="9"/>
        <v>-1</v>
      </c>
      <c r="AD20" s="206">
        <f t="shared" si="10"/>
        <v>-1</v>
      </c>
      <c r="AE20" s="201">
        <f t="shared" ref="AE20:AG20" si="72">SUM(AE16:AE19)</f>
        <v>169050</v>
      </c>
      <c r="AF20" s="202">
        <f t="shared" ref="AF20" si="73">SUM(AF16:AF19)</f>
        <v>171040</v>
      </c>
      <c r="AG20" s="202">
        <f t="shared" si="72"/>
        <v>0</v>
      </c>
      <c r="AH20" s="205">
        <f t="shared" si="11"/>
        <v>-1</v>
      </c>
      <c r="AI20" s="203">
        <f t="shared" si="12"/>
        <v>-1</v>
      </c>
      <c r="AJ20" s="204">
        <f t="shared" ref="AJ20:AL20" si="74">SUM(AJ16:AJ19)</f>
        <v>149623</v>
      </c>
      <c r="AK20" s="202">
        <f t="shared" ref="AK20" si="75">SUM(AK16:AK19)</f>
        <v>171040</v>
      </c>
      <c r="AL20" s="202">
        <f t="shared" si="74"/>
        <v>0</v>
      </c>
      <c r="AM20" s="205">
        <f t="shared" si="13"/>
        <v>-1</v>
      </c>
      <c r="AN20" s="206">
        <f t="shared" si="14"/>
        <v>-1</v>
      </c>
      <c r="AO20" s="201">
        <f t="shared" ref="AO20:AQ20" si="76">SUM(AO16:AO19)</f>
        <v>171321</v>
      </c>
      <c r="AP20" s="202">
        <f t="shared" ref="AP20" si="77">SUM(AP16:AP19)</f>
        <v>171040</v>
      </c>
      <c r="AQ20" s="202">
        <f t="shared" si="76"/>
        <v>0</v>
      </c>
      <c r="AR20" s="205">
        <f t="shared" si="15"/>
        <v>-1</v>
      </c>
      <c r="AS20" s="203">
        <f t="shared" si="16"/>
        <v>-1</v>
      </c>
      <c r="AT20" s="204">
        <f t="shared" ref="AT20:AV20" si="78">SUM(AT16:AT19)</f>
        <v>162471</v>
      </c>
      <c r="AU20" s="202">
        <f t="shared" ref="AU20" si="79">SUM(AU16:AU19)</f>
        <v>171040</v>
      </c>
      <c r="AV20" s="202">
        <f t="shared" si="78"/>
        <v>0</v>
      </c>
      <c r="AW20" s="205">
        <f t="shared" si="17"/>
        <v>-1</v>
      </c>
      <c r="AX20" s="206">
        <f t="shared" si="18"/>
        <v>-1</v>
      </c>
      <c r="AY20" s="201">
        <f t="shared" ref="AY20:BA20" si="80">SUM(AY16:AY19)</f>
        <v>155423</v>
      </c>
      <c r="AZ20" s="202">
        <f t="shared" ref="AZ20" si="81">SUM(AZ16:AZ19)</f>
        <v>171040</v>
      </c>
      <c r="BA20" s="202">
        <f t="shared" si="80"/>
        <v>0</v>
      </c>
      <c r="BB20" s="205">
        <f t="shared" si="19"/>
        <v>-1</v>
      </c>
      <c r="BC20" s="203">
        <f t="shared" si="20"/>
        <v>-1</v>
      </c>
      <c r="BD20" s="204">
        <f>'2024년 실적'!BE20</f>
        <v>143303</v>
      </c>
      <c r="BE20" s="202">
        <f t="shared" ref="BE20" si="82">SUM(BE16:BE19)</f>
        <v>171040</v>
      </c>
      <c r="BF20" s="202">
        <v>0</v>
      </c>
      <c r="BG20" s="205">
        <f t="shared" si="21"/>
        <v>-1</v>
      </c>
      <c r="BH20" s="206">
        <f t="shared" si="22"/>
        <v>-1</v>
      </c>
      <c r="BI20" s="201">
        <f t="shared" ref="BI20:BK20" si="83">SUM(BI16:BI19)</f>
        <v>193242</v>
      </c>
      <c r="BJ20" s="202">
        <f t="shared" ref="BJ20" si="84">SUM(BJ16:BJ19)</f>
        <v>203110</v>
      </c>
      <c r="BK20" s="202">
        <f t="shared" si="83"/>
        <v>0</v>
      </c>
      <c r="BL20" s="205">
        <f t="shared" si="23"/>
        <v>-1</v>
      </c>
      <c r="BM20" s="203">
        <f t="shared" si="24"/>
        <v>-1</v>
      </c>
      <c r="BN20" s="204">
        <f t="shared" ref="BN20:BP20" si="85">SUM(BN16:BN19)</f>
        <v>169885</v>
      </c>
      <c r="BO20" s="202">
        <f t="shared" ref="BO20" si="86">SUM(BO16:BO19)</f>
        <v>203110</v>
      </c>
      <c r="BP20" s="202">
        <f t="shared" si="85"/>
        <v>0</v>
      </c>
      <c r="BQ20" s="205">
        <f t="shared" si="25"/>
        <v>-1</v>
      </c>
      <c r="BR20" s="206">
        <f t="shared" si="26"/>
        <v>-1</v>
      </c>
      <c r="BS20" s="201">
        <f t="shared" ref="BS20:BU20" si="87">SUM(BS16:BS19)</f>
        <v>167575</v>
      </c>
      <c r="BT20" s="202">
        <f t="shared" ref="BT20" si="88">SUM(BT16:BT19)</f>
        <v>192420</v>
      </c>
      <c r="BU20" s="202">
        <f t="shared" si="87"/>
        <v>0</v>
      </c>
      <c r="BV20" s="205">
        <f t="shared" si="27"/>
        <v>-1</v>
      </c>
      <c r="BW20" s="206">
        <f t="shared" si="28"/>
        <v>-1</v>
      </c>
    </row>
    <row r="21" spans="2:78" x14ac:dyDescent="0.3">
      <c r="B21" s="301"/>
      <c r="C21" s="301"/>
      <c r="D21" s="311" t="s">
        <v>55</v>
      </c>
      <c r="E21" s="192" t="s">
        <v>25</v>
      </c>
      <c r="F21" s="52">
        <f>'2023년 실적'!F21</f>
        <v>492921</v>
      </c>
      <c r="G21" s="38">
        <f>'2023년 실적'!G21</f>
        <v>567346</v>
      </c>
      <c r="H21" s="38">
        <f>'2024년 실적'!L21</f>
        <v>647422</v>
      </c>
      <c r="I21" s="38">
        <f t="shared" ref="I21:I22" si="89">L21</f>
        <v>730000</v>
      </c>
      <c r="J21" s="77">
        <f t="shared" si="2"/>
        <v>0.12754895570431657</v>
      </c>
      <c r="K21" s="131">
        <f t="shared" ref="K21:M22" si="90">P21+U21+Z21+AE21+AJ21+AO21+AT21+AY21+BD21+BI21+BN21+BS21</f>
        <v>647422</v>
      </c>
      <c r="L21" s="132">
        <f t="shared" si="90"/>
        <v>730000</v>
      </c>
      <c r="M21" s="132">
        <f t="shared" si="90"/>
        <v>0</v>
      </c>
      <c r="N21" s="115">
        <f t="shared" si="3"/>
        <v>-1</v>
      </c>
      <c r="O21" s="10">
        <f t="shared" si="4"/>
        <v>-1</v>
      </c>
      <c r="P21" s="8">
        <f>'2024년 실적'!Q21</f>
        <v>44434</v>
      </c>
      <c r="Q21" s="38">
        <v>51100.000000000007</v>
      </c>
      <c r="R21" s="38"/>
      <c r="S21" s="115">
        <f t="shared" si="5"/>
        <v>-1</v>
      </c>
      <c r="T21" s="10">
        <f t="shared" si="6"/>
        <v>-1</v>
      </c>
      <c r="U21" s="52">
        <f>'2024년 실적'!V21</f>
        <v>38792</v>
      </c>
      <c r="V21" s="38">
        <v>58400</v>
      </c>
      <c r="W21" s="38"/>
      <c r="X21" s="115">
        <f t="shared" si="7"/>
        <v>-1</v>
      </c>
      <c r="Y21" s="77">
        <f t="shared" si="8"/>
        <v>-1</v>
      </c>
      <c r="Z21" s="8">
        <f>'2024년 실적'!AA21</f>
        <v>51640</v>
      </c>
      <c r="AA21" s="38">
        <v>65700</v>
      </c>
      <c r="AB21" s="38"/>
      <c r="AC21" s="115">
        <f t="shared" si="9"/>
        <v>-1</v>
      </c>
      <c r="AD21" s="10">
        <f t="shared" si="10"/>
        <v>-1</v>
      </c>
      <c r="AE21" s="52">
        <f>'2024년 실적'!AF21</f>
        <v>67734</v>
      </c>
      <c r="AF21" s="38">
        <v>58400</v>
      </c>
      <c r="AG21" s="38"/>
      <c r="AH21" s="115">
        <f t="shared" si="11"/>
        <v>-1</v>
      </c>
      <c r="AI21" s="77">
        <f t="shared" si="12"/>
        <v>-1</v>
      </c>
      <c r="AJ21" s="8">
        <f>'2024년 실적'!AK21</f>
        <v>47127</v>
      </c>
      <c r="AK21" s="38">
        <v>58400</v>
      </c>
      <c r="AL21" s="38"/>
      <c r="AM21" s="115">
        <f t="shared" si="13"/>
        <v>-1</v>
      </c>
      <c r="AN21" s="10">
        <f t="shared" si="14"/>
        <v>-1</v>
      </c>
      <c r="AO21" s="52">
        <f>'2024년 실적'!AP21</f>
        <v>50438</v>
      </c>
      <c r="AP21" s="38">
        <v>58400</v>
      </c>
      <c r="AQ21" s="38"/>
      <c r="AR21" s="115">
        <f t="shared" si="15"/>
        <v>-1</v>
      </c>
      <c r="AS21" s="77">
        <f t="shared" si="16"/>
        <v>-1</v>
      </c>
      <c r="AT21" s="8">
        <f>'2024년 실적'!AU21</f>
        <v>48176</v>
      </c>
      <c r="AU21" s="38">
        <v>58400</v>
      </c>
      <c r="AV21" s="38"/>
      <c r="AW21" s="115">
        <f t="shared" si="17"/>
        <v>-1</v>
      </c>
      <c r="AX21" s="10">
        <f t="shared" si="18"/>
        <v>-1</v>
      </c>
      <c r="AY21" s="52">
        <f>'2024년 실적'!AZ21</f>
        <v>53422</v>
      </c>
      <c r="AZ21" s="38">
        <v>58400</v>
      </c>
      <c r="BA21" s="38"/>
      <c r="BB21" s="115">
        <f t="shared" si="19"/>
        <v>-1</v>
      </c>
      <c r="BC21" s="77">
        <f t="shared" si="20"/>
        <v>-1</v>
      </c>
      <c r="BD21" s="8">
        <f>'2024년 실적'!BE21</f>
        <v>55410</v>
      </c>
      <c r="BE21" s="38">
        <v>58400</v>
      </c>
      <c r="BF21" s="38"/>
      <c r="BG21" s="115">
        <f t="shared" si="21"/>
        <v>-1</v>
      </c>
      <c r="BH21" s="10">
        <f t="shared" si="22"/>
        <v>-1</v>
      </c>
      <c r="BI21" s="52">
        <f>'2024년 실적'!BJ21</f>
        <v>83434</v>
      </c>
      <c r="BJ21" s="38">
        <v>69350</v>
      </c>
      <c r="BK21" s="38"/>
      <c r="BL21" s="115">
        <f t="shared" si="23"/>
        <v>-1</v>
      </c>
      <c r="BM21" s="77">
        <f t="shared" si="24"/>
        <v>-1</v>
      </c>
      <c r="BN21" s="8">
        <f>'2024년 실적'!BO21</f>
        <v>55539</v>
      </c>
      <c r="BO21" s="38">
        <v>69350</v>
      </c>
      <c r="BP21" s="38"/>
      <c r="BQ21" s="115">
        <f t="shared" si="25"/>
        <v>-1</v>
      </c>
      <c r="BR21" s="10">
        <f t="shared" si="26"/>
        <v>-1</v>
      </c>
      <c r="BS21" s="52">
        <f>'2024년 실적'!BT21</f>
        <v>51276</v>
      </c>
      <c r="BT21" s="38">
        <v>65700</v>
      </c>
      <c r="BU21" s="38"/>
      <c r="BV21" s="115">
        <f t="shared" si="27"/>
        <v>-1</v>
      </c>
      <c r="BW21" s="10">
        <f t="shared" si="28"/>
        <v>-1</v>
      </c>
    </row>
    <row r="22" spans="2:78" x14ac:dyDescent="0.3">
      <c r="B22" s="301"/>
      <c r="C22" s="301"/>
      <c r="D22" s="312"/>
      <c r="E22" s="67" t="s">
        <v>27</v>
      </c>
      <c r="F22" s="45">
        <f>'2023년 실적'!F22</f>
        <v>7464</v>
      </c>
      <c r="G22" s="39">
        <f>'2023년 실적'!G22</f>
        <v>12804</v>
      </c>
      <c r="H22" s="39">
        <f>'2024년 실적'!L22</f>
        <v>11862</v>
      </c>
      <c r="I22" s="39">
        <f t="shared" si="89"/>
        <v>12000</v>
      </c>
      <c r="J22" s="33">
        <f t="shared" si="2"/>
        <v>1.163378856853825E-2</v>
      </c>
      <c r="K22" s="107">
        <f t="shared" si="90"/>
        <v>210523</v>
      </c>
      <c r="L22" s="87">
        <f t="shared" si="90"/>
        <v>12000</v>
      </c>
      <c r="M22" s="87">
        <f t="shared" si="90"/>
        <v>0</v>
      </c>
      <c r="N22" s="88">
        <f t="shared" si="3"/>
        <v>-1</v>
      </c>
      <c r="O22" s="15">
        <f t="shared" si="4"/>
        <v>-1</v>
      </c>
      <c r="P22" s="13">
        <f>'2024년 실적'!Q22</f>
        <v>70</v>
      </c>
      <c r="Q22" s="39">
        <v>840.00000000000011</v>
      </c>
      <c r="R22" s="39"/>
      <c r="S22" s="88">
        <f t="shared" si="5"/>
        <v>-1</v>
      </c>
      <c r="T22" s="15">
        <f t="shared" si="6"/>
        <v>-1</v>
      </c>
      <c r="U22" s="45">
        <f>'2024년 실적'!V22</f>
        <v>30</v>
      </c>
      <c r="V22" s="39">
        <v>960</v>
      </c>
      <c r="W22" s="39"/>
      <c r="X22" s="88">
        <f t="shared" si="7"/>
        <v>-1</v>
      </c>
      <c r="Y22" s="33">
        <f t="shared" si="8"/>
        <v>-1</v>
      </c>
      <c r="Z22" s="13">
        <f>'2024년 실적'!AA22</f>
        <v>1308</v>
      </c>
      <c r="AA22" s="39">
        <v>1080</v>
      </c>
      <c r="AB22" s="39"/>
      <c r="AC22" s="88">
        <f t="shared" si="9"/>
        <v>-1</v>
      </c>
      <c r="AD22" s="15">
        <f t="shared" si="10"/>
        <v>-1</v>
      </c>
      <c r="AE22" s="45">
        <f>'2024년 실적'!AF22</f>
        <v>508</v>
      </c>
      <c r="AF22" s="39">
        <v>960</v>
      </c>
      <c r="AG22" s="39"/>
      <c r="AH22" s="88">
        <f t="shared" si="11"/>
        <v>-1</v>
      </c>
      <c r="AI22" s="33">
        <f t="shared" si="12"/>
        <v>-1</v>
      </c>
      <c r="AJ22" s="13">
        <f>'2024년 실적'!AK22</f>
        <v>892</v>
      </c>
      <c r="AK22" s="39">
        <v>960</v>
      </c>
      <c r="AL22" s="39"/>
      <c r="AM22" s="88">
        <f t="shared" si="13"/>
        <v>-1</v>
      </c>
      <c r="AN22" s="15">
        <f t="shared" si="14"/>
        <v>-1</v>
      </c>
      <c r="AO22" s="45">
        <f>'2024년 실적'!AP22</f>
        <v>1254</v>
      </c>
      <c r="AP22" s="39">
        <v>960</v>
      </c>
      <c r="AQ22" s="39"/>
      <c r="AR22" s="88">
        <f t="shared" si="15"/>
        <v>-1</v>
      </c>
      <c r="AS22" s="33">
        <f t="shared" si="16"/>
        <v>-1</v>
      </c>
      <c r="AT22" s="13">
        <f>'2024년 실적'!AU22</f>
        <v>150</v>
      </c>
      <c r="AU22" s="39">
        <v>960</v>
      </c>
      <c r="AV22" s="39"/>
      <c r="AW22" s="88">
        <f t="shared" si="17"/>
        <v>-1</v>
      </c>
      <c r="AX22" s="15">
        <f t="shared" si="18"/>
        <v>-1</v>
      </c>
      <c r="AY22" s="45">
        <f>'2024년 실적'!AZ22</f>
        <v>2894</v>
      </c>
      <c r="AZ22" s="39">
        <v>960</v>
      </c>
      <c r="BA22" s="39"/>
      <c r="BB22" s="88">
        <f t="shared" si="19"/>
        <v>-1</v>
      </c>
      <c r="BC22" s="33">
        <f t="shared" si="20"/>
        <v>-1</v>
      </c>
      <c r="BD22" s="13">
        <f t="shared" ref="BD22" si="91">SUM(BD20:BD21)</f>
        <v>198713</v>
      </c>
      <c r="BE22" s="39">
        <v>960</v>
      </c>
      <c r="BF22" s="39"/>
      <c r="BG22" s="88">
        <f t="shared" si="21"/>
        <v>-1</v>
      </c>
      <c r="BH22" s="15">
        <f t="shared" si="22"/>
        <v>-1</v>
      </c>
      <c r="BI22" s="45">
        <f>'2024년 실적'!BJ22</f>
        <v>1094</v>
      </c>
      <c r="BJ22" s="39">
        <v>1140</v>
      </c>
      <c r="BK22" s="39"/>
      <c r="BL22" s="88">
        <f t="shared" si="23"/>
        <v>-1</v>
      </c>
      <c r="BM22" s="33">
        <f t="shared" si="24"/>
        <v>-1</v>
      </c>
      <c r="BN22" s="13">
        <f>'2024년 실적'!BO22</f>
        <v>1714</v>
      </c>
      <c r="BO22" s="39">
        <v>1140</v>
      </c>
      <c r="BP22" s="39"/>
      <c r="BQ22" s="88">
        <f t="shared" si="25"/>
        <v>-1</v>
      </c>
      <c r="BR22" s="15">
        <f t="shared" si="26"/>
        <v>-1</v>
      </c>
      <c r="BS22" s="45">
        <f>'2024년 실적'!BT22</f>
        <v>1896</v>
      </c>
      <c r="BT22" s="39">
        <v>1080</v>
      </c>
      <c r="BU22" s="39"/>
      <c r="BV22" s="88">
        <f t="shared" si="27"/>
        <v>-1</v>
      </c>
      <c r="BW22" s="15">
        <f t="shared" si="28"/>
        <v>-1</v>
      </c>
    </row>
    <row r="23" spans="2:78" ht="17.25" thickBot="1" x14ac:dyDescent="0.35">
      <c r="B23" s="301"/>
      <c r="C23" s="301"/>
      <c r="D23" s="313"/>
      <c r="E23" s="193" t="s">
        <v>53</v>
      </c>
      <c r="F23" s="194">
        <f>SUM(F21:F22)</f>
        <v>500385</v>
      </c>
      <c r="G23" s="195">
        <f>SUM(G21:G22)</f>
        <v>580150</v>
      </c>
      <c r="H23" s="195">
        <f>SUM(H21:H22)</f>
        <v>659284</v>
      </c>
      <c r="I23" s="195">
        <f>SUM(I21:I22)</f>
        <v>742000</v>
      </c>
      <c r="J23" s="196">
        <f t="shared" si="2"/>
        <v>0.12546338148658243</v>
      </c>
      <c r="K23" s="197">
        <f t="shared" ref="K23:R23" si="92">SUM(K21:K22)</f>
        <v>857945</v>
      </c>
      <c r="L23" s="195">
        <f t="shared" si="92"/>
        <v>742000</v>
      </c>
      <c r="M23" s="195">
        <f t="shared" si="92"/>
        <v>0</v>
      </c>
      <c r="N23" s="198">
        <f t="shared" si="3"/>
        <v>-1</v>
      </c>
      <c r="O23" s="199">
        <f t="shared" si="4"/>
        <v>-1</v>
      </c>
      <c r="P23" s="197">
        <f t="shared" si="92"/>
        <v>44504</v>
      </c>
      <c r="Q23" s="195">
        <f>SUM(Q21:Q22)</f>
        <v>51940.000000000007</v>
      </c>
      <c r="R23" s="195">
        <f t="shared" si="92"/>
        <v>0</v>
      </c>
      <c r="S23" s="198">
        <f t="shared" si="5"/>
        <v>-1</v>
      </c>
      <c r="T23" s="199">
        <f t="shared" si="6"/>
        <v>-1</v>
      </c>
      <c r="U23" s="194">
        <f t="shared" ref="U23:W23" si="93">SUM(U21:U22)</f>
        <v>38822</v>
      </c>
      <c r="V23" s="195">
        <f t="shared" ref="V23" si="94">SUM(V21:V22)</f>
        <v>59360</v>
      </c>
      <c r="W23" s="195">
        <f t="shared" si="93"/>
        <v>0</v>
      </c>
      <c r="X23" s="198">
        <f t="shared" si="7"/>
        <v>-1</v>
      </c>
      <c r="Y23" s="196">
        <f t="shared" si="8"/>
        <v>-1</v>
      </c>
      <c r="Z23" s="197">
        <f t="shared" ref="Z23:AB23" si="95">SUM(Z21:Z22)</f>
        <v>52948</v>
      </c>
      <c r="AA23" s="195">
        <f t="shared" ref="AA23" si="96">SUM(AA21:AA22)</f>
        <v>66780</v>
      </c>
      <c r="AB23" s="195">
        <f t="shared" si="95"/>
        <v>0</v>
      </c>
      <c r="AC23" s="198">
        <f t="shared" si="9"/>
        <v>-1</v>
      </c>
      <c r="AD23" s="199">
        <f t="shared" si="10"/>
        <v>-1</v>
      </c>
      <c r="AE23" s="194">
        <f t="shared" ref="AE23:AG23" si="97">SUM(AE21:AE22)</f>
        <v>68242</v>
      </c>
      <c r="AF23" s="195">
        <f t="shared" ref="AF23" si="98">SUM(AF21:AF22)</f>
        <v>59360</v>
      </c>
      <c r="AG23" s="195">
        <f t="shared" si="97"/>
        <v>0</v>
      </c>
      <c r="AH23" s="198">
        <f t="shared" si="11"/>
        <v>-1</v>
      </c>
      <c r="AI23" s="196">
        <f t="shared" si="12"/>
        <v>-1</v>
      </c>
      <c r="AJ23" s="197">
        <f t="shared" ref="AJ23:AL23" si="99">SUM(AJ21:AJ22)</f>
        <v>48019</v>
      </c>
      <c r="AK23" s="195">
        <f t="shared" ref="AK23" si="100">SUM(AK21:AK22)</f>
        <v>59360</v>
      </c>
      <c r="AL23" s="195">
        <f t="shared" si="99"/>
        <v>0</v>
      </c>
      <c r="AM23" s="198">
        <f t="shared" si="13"/>
        <v>-1</v>
      </c>
      <c r="AN23" s="199">
        <f t="shared" si="14"/>
        <v>-1</v>
      </c>
      <c r="AO23" s="194">
        <f t="shared" ref="AO23:AQ23" si="101">SUM(AO21:AO22)</f>
        <v>51692</v>
      </c>
      <c r="AP23" s="195">
        <f t="shared" ref="AP23" si="102">SUM(AP21:AP22)</f>
        <v>59360</v>
      </c>
      <c r="AQ23" s="195">
        <f t="shared" si="101"/>
        <v>0</v>
      </c>
      <c r="AR23" s="198">
        <f t="shared" si="15"/>
        <v>-1</v>
      </c>
      <c r="AS23" s="196">
        <f t="shared" si="16"/>
        <v>-1</v>
      </c>
      <c r="AT23" s="197">
        <f t="shared" ref="AT23:AV23" si="103">SUM(AT21:AT22)</f>
        <v>48326</v>
      </c>
      <c r="AU23" s="195">
        <f t="shared" ref="AU23" si="104">SUM(AU21:AU22)</f>
        <v>59360</v>
      </c>
      <c r="AV23" s="195">
        <f t="shared" si="103"/>
        <v>0</v>
      </c>
      <c r="AW23" s="198">
        <f t="shared" si="17"/>
        <v>-1</v>
      </c>
      <c r="AX23" s="199">
        <f t="shared" si="18"/>
        <v>-1</v>
      </c>
      <c r="AY23" s="194">
        <f t="shared" ref="AY23:BA23" si="105">SUM(AY21:AY22)</f>
        <v>56316</v>
      </c>
      <c r="AZ23" s="195">
        <f t="shared" ref="AZ23" si="106">SUM(AZ21:AZ22)</f>
        <v>59360</v>
      </c>
      <c r="BA23" s="195">
        <f t="shared" si="105"/>
        <v>0</v>
      </c>
      <c r="BB23" s="198">
        <f t="shared" si="19"/>
        <v>-1</v>
      </c>
      <c r="BC23" s="196">
        <f t="shared" si="20"/>
        <v>-1</v>
      </c>
      <c r="BD23" s="197">
        <f>'2024년 실적'!BE23</f>
        <v>55462</v>
      </c>
      <c r="BE23" s="195">
        <f t="shared" ref="BE23" si="107">SUM(BE21:BE22)</f>
        <v>59360</v>
      </c>
      <c r="BF23" s="195">
        <v>0</v>
      </c>
      <c r="BG23" s="198">
        <f t="shared" si="21"/>
        <v>-1</v>
      </c>
      <c r="BH23" s="199">
        <f t="shared" si="22"/>
        <v>-1</v>
      </c>
      <c r="BI23" s="194">
        <f t="shared" ref="BI23:BK23" si="108">SUM(BI21:BI22)</f>
        <v>84528</v>
      </c>
      <c r="BJ23" s="195">
        <f t="shared" ref="BJ23" si="109">SUM(BJ21:BJ22)</f>
        <v>70490</v>
      </c>
      <c r="BK23" s="195">
        <f t="shared" si="108"/>
        <v>0</v>
      </c>
      <c r="BL23" s="198">
        <f t="shared" si="23"/>
        <v>-1</v>
      </c>
      <c r="BM23" s="196">
        <f t="shared" si="24"/>
        <v>-1</v>
      </c>
      <c r="BN23" s="197">
        <f t="shared" ref="BN23:BP23" si="110">SUM(BN21:BN22)</f>
        <v>57253</v>
      </c>
      <c r="BO23" s="195">
        <f t="shared" ref="BO23" si="111">SUM(BO21:BO22)</f>
        <v>70490</v>
      </c>
      <c r="BP23" s="195">
        <f t="shared" si="110"/>
        <v>0</v>
      </c>
      <c r="BQ23" s="198">
        <f t="shared" si="25"/>
        <v>-1</v>
      </c>
      <c r="BR23" s="199">
        <f t="shared" si="26"/>
        <v>-1</v>
      </c>
      <c r="BS23" s="194">
        <f t="shared" ref="BS23:BU23" si="112">SUM(BS21:BS22)</f>
        <v>53172</v>
      </c>
      <c r="BT23" s="195">
        <f t="shared" ref="BT23" si="113">SUM(BT21:BT22)</f>
        <v>66780</v>
      </c>
      <c r="BU23" s="195">
        <f t="shared" si="112"/>
        <v>0</v>
      </c>
      <c r="BV23" s="198">
        <f t="shared" si="27"/>
        <v>-1</v>
      </c>
      <c r="BW23" s="199">
        <f t="shared" si="28"/>
        <v>-1</v>
      </c>
    </row>
    <row r="24" spans="2:78" x14ac:dyDescent="0.3">
      <c r="B24" s="301"/>
      <c r="C24" s="301"/>
      <c r="D24" s="207" t="s">
        <v>56</v>
      </c>
      <c r="E24" s="208" t="s">
        <v>26</v>
      </c>
      <c r="F24" s="209">
        <f>'2023년 실적'!F24</f>
        <v>63204</v>
      </c>
      <c r="G24" s="210">
        <f>'2023년 실적'!G24</f>
        <v>79851</v>
      </c>
      <c r="H24" s="210">
        <f>'2024년 실적'!L24</f>
        <v>84553</v>
      </c>
      <c r="I24" s="210">
        <f t="shared" ref="I24:I26" si="114">L24</f>
        <v>100000</v>
      </c>
      <c r="J24" s="211">
        <f t="shared" si="2"/>
        <v>0.18269014700838526</v>
      </c>
      <c r="K24" s="212">
        <f t="shared" ref="K24:M26" si="115">P24+U24+Z24+AE24+AJ24+AO24+AT24+AY24+BD24+BI24+BN24+BS24</f>
        <v>84553</v>
      </c>
      <c r="L24" s="213">
        <f t="shared" si="115"/>
        <v>100000</v>
      </c>
      <c r="M24" s="213">
        <f t="shared" si="115"/>
        <v>0</v>
      </c>
      <c r="N24" s="214">
        <f t="shared" si="3"/>
        <v>-1</v>
      </c>
      <c r="O24" s="215">
        <f t="shared" si="4"/>
        <v>-1</v>
      </c>
      <c r="P24" s="216">
        <f>'2024년 실적'!Q24</f>
        <v>6046</v>
      </c>
      <c r="Q24" s="210">
        <v>7000.0000000000009</v>
      </c>
      <c r="R24" s="210"/>
      <c r="S24" s="214">
        <f t="shared" si="5"/>
        <v>-1</v>
      </c>
      <c r="T24" s="215">
        <f t="shared" si="6"/>
        <v>-1</v>
      </c>
      <c r="U24" s="56">
        <f>'2024년 실적'!V24</f>
        <v>6432</v>
      </c>
      <c r="V24" s="210">
        <v>8000</v>
      </c>
      <c r="W24" s="210"/>
      <c r="X24" s="214">
        <f t="shared" si="7"/>
        <v>-1</v>
      </c>
      <c r="Y24" s="211">
        <f t="shared" si="8"/>
        <v>-1</v>
      </c>
      <c r="Z24" s="21">
        <f>'2024년 실적'!AA24</f>
        <v>6184</v>
      </c>
      <c r="AA24" s="210">
        <v>9000</v>
      </c>
      <c r="AB24" s="210"/>
      <c r="AC24" s="214">
        <f t="shared" si="9"/>
        <v>-1</v>
      </c>
      <c r="AD24" s="215">
        <f t="shared" si="10"/>
        <v>-1</v>
      </c>
      <c r="AE24" s="56">
        <f>'2024년 실적'!AF24</f>
        <v>6456</v>
      </c>
      <c r="AF24" s="210">
        <v>8000</v>
      </c>
      <c r="AG24" s="210"/>
      <c r="AH24" s="214">
        <f t="shared" si="11"/>
        <v>-1</v>
      </c>
      <c r="AI24" s="211">
        <f t="shared" si="12"/>
        <v>-1</v>
      </c>
      <c r="AJ24" s="21">
        <f>'2024년 실적'!AK24</f>
        <v>6824</v>
      </c>
      <c r="AK24" s="210">
        <v>8000</v>
      </c>
      <c r="AL24" s="210"/>
      <c r="AM24" s="214">
        <f t="shared" si="13"/>
        <v>-1</v>
      </c>
      <c r="AN24" s="215">
        <f t="shared" si="14"/>
        <v>-1</v>
      </c>
      <c r="AO24" s="56">
        <f>'2024년 실적'!AP24</f>
        <v>6668</v>
      </c>
      <c r="AP24" s="210">
        <v>8000</v>
      </c>
      <c r="AQ24" s="210"/>
      <c r="AR24" s="214">
        <f t="shared" si="15"/>
        <v>-1</v>
      </c>
      <c r="AS24" s="211">
        <f t="shared" si="16"/>
        <v>-1</v>
      </c>
      <c r="AT24" s="21">
        <f>'2024년 실적'!AU24</f>
        <v>8026</v>
      </c>
      <c r="AU24" s="210">
        <v>8000</v>
      </c>
      <c r="AV24" s="210"/>
      <c r="AW24" s="214">
        <f t="shared" si="17"/>
        <v>-1</v>
      </c>
      <c r="AX24" s="215">
        <f t="shared" si="18"/>
        <v>-1</v>
      </c>
      <c r="AY24" s="56">
        <f>'2024년 실적'!AZ24</f>
        <v>5699</v>
      </c>
      <c r="AZ24" s="210">
        <v>8000</v>
      </c>
      <c r="BA24" s="210"/>
      <c r="BB24" s="214">
        <f t="shared" si="19"/>
        <v>-1</v>
      </c>
      <c r="BC24" s="211">
        <f t="shared" si="20"/>
        <v>-1</v>
      </c>
      <c r="BD24" s="21">
        <f>'2024년 실적'!BE24</f>
        <v>6446</v>
      </c>
      <c r="BE24" s="210">
        <v>8000</v>
      </c>
      <c r="BF24" s="210"/>
      <c r="BG24" s="214">
        <f t="shared" si="21"/>
        <v>-1</v>
      </c>
      <c r="BH24" s="215">
        <f t="shared" si="22"/>
        <v>-1</v>
      </c>
      <c r="BI24" s="56">
        <f>'2024년 실적'!BJ24</f>
        <v>10216</v>
      </c>
      <c r="BJ24" s="210">
        <v>9500</v>
      </c>
      <c r="BK24" s="210"/>
      <c r="BL24" s="214">
        <f t="shared" si="23"/>
        <v>-1</v>
      </c>
      <c r="BM24" s="211">
        <f t="shared" si="24"/>
        <v>-1</v>
      </c>
      <c r="BN24" s="21">
        <f>'2024년 실적'!BO24</f>
        <v>7686</v>
      </c>
      <c r="BO24" s="210">
        <v>9500</v>
      </c>
      <c r="BP24" s="210"/>
      <c r="BQ24" s="214">
        <f t="shared" si="25"/>
        <v>-1</v>
      </c>
      <c r="BR24" s="215">
        <f t="shared" si="26"/>
        <v>-1</v>
      </c>
      <c r="BS24" s="56">
        <f>'2024년 실적'!BT24</f>
        <v>7870</v>
      </c>
      <c r="BT24" s="210">
        <v>9000</v>
      </c>
      <c r="BU24" s="210"/>
      <c r="BV24" s="214">
        <f t="shared" si="27"/>
        <v>-1</v>
      </c>
      <c r="BW24" s="215">
        <f t="shared" si="28"/>
        <v>-1</v>
      </c>
    </row>
    <row r="25" spans="2:78" ht="17.25" thickBot="1" x14ac:dyDescent="0.35">
      <c r="B25" s="301"/>
      <c r="C25" s="301"/>
      <c r="D25" s="217" t="s">
        <v>28</v>
      </c>
      <c r="E25" s="218" t="s">
        <v>28</v>
      </c>
      <c r="F25" s="219">
        <f>'2023년 실적'!F25</f>
        <v>538774</v>
      </c>
      <c r="G25" s="220">
        <f>'2023년 실적'!G25</f>
        <v>610171</v>
      </c>
      <c r="H25" s="220">
        <f>'2024년 실적'!L25</f>
        <v>557613</v>
      </c>
      <c r="I25" s="220">
        <f t="shared" si="114"/>
        <v>650000</v>
      </c>
      <c r="J25" s="221">
        <f t="shared" si="2"/>
        <v>0.1656830095424604</v>
      </c>
      <c r="K25" s="222">
        <f t="shared" si="115"/>
        <v>557613</v>
      </c>
      <c r="L25" s="223">
        <f t="shared" si="115"/>
        <v>650000</v>
      </c>
      <c r="M25" s="223">
        <f t="shared" si="115"/>
        <v>0</v>
      </c>
      <c r="N25" s="224">
        <f t="shared" si="3"/>
        <v>-1</v>
      </c>
      <c r="O25" s="225">
        <f t="shared" si="4"/>
        <v>-1</v>
      </c>
      <c r="P25" s="226">
        <f>'2024년 실적'!Q25</f>
        <v>21880</v>
      </c>
      <c r="Q25" s="220">
        <v>45500.000000000007</v>
      </c>
      <c r="R25" s="220"/>
      <c r="S25" s="224">
        <f t="shared" si="5"/>
        <v>-1</v>
      </c>
      <c r="T25" s="225">
        <f>R25/P25-1</f>
        <v>-1</v>
      </c>
      <c r="U25" s="57">
        <f>'2024년 실적'!V25</f>
        <v>44547</v>
      </c>
      <c r="V25" s="220">
        <v>52000</v>
      </c>
      <c r="W25" s="220"/>
      <c r="X25" s="224">
        <f t="shared" si="7"/>
        <v>-1</v>
      </c>
      <c r="Y25" s="221">
        <f t="shared" si="8"/>
        <v>-1</v>
      </c>
      <c r="Z25" s="24">
        <f>'2024년 실적'!AA25</f>
        <v>46817</v>
      </c>
      <c r="AA25" s="220">
        <v>58500</v>
      </c>
      <c r="AB25" s="220"/>
      <c r="AC25" s="224">
        <f t="shared" si="9"/>
        <v>-1</v>
      </c>
      <c r="AD25" s="225">
        <f t="shared" si="10"/>
        <v>-1</v>
      </c>
      <c r="AE25" s="57">
        <f>'2024년 실적'!AF25</f>
        <v>52212</v>
      </c>
      <c r="AF25" s="220">
        <v>52000</v>
      </c>
      <c r="AG25" s="220"/>
      <c r="AH25" s="224">
        <f t="shared" si="11"/>
        <v>-1</v>
      </c>
      <c r="AI25" s="221">
        <f t="shared" si="12"/>
        <v>-1</v>
      </c>
      <c r="AJ25" s="24">
        <f>'2024년 실적'!AK25</f>
        <v>45220</v>
      </c>
      <c r="AK25" s="220">
        <v>52000</v>
      </c>
      <c r="AL25" s="220"/>
      <c r="AM25" s="224">
        <f t="shared" si="13"/>
        <v>-1</v>
      </c>
      <c r="AN25" s="225">
        <f t="shared" si="14"/>
        <v>-1</v>
      </c>
      <c r="AO25" s="57">
        <f>'2024년 실적'!AP25</f>
        <v>40278</v>
      </c>
      <c r="AP25" s="220">
        <v>52000</v>
      </c>
      <c r="AQ25" s="220"/>
      <c r="AR25" s="224">
        <f t="shared" si="15"/>
        <v>-1</v>
      </c>
      <c r="AS25" s="221">
        <f t="shared" si="16"/>
        <v>-1</v>
      </c>
      <c r="AT25" s="24">
        <f>'2024년 실적'!AU25</f>
        <v>60084</v>
      </c>
      <c r="AU25" s="220">
        <v>52000</v>
      </c>
      <c r="AV25" s="220"/>
      <c r="AW25" s="224">
        <f t="shared" si="17"/>
        <v>-1</v>
      </c>
      <c r="AX25" s="225">
        <f t="shared" si="18"/>
        <v>-1</v>
      </c>
      <c r="AY25" s="57">
        <f>'2024년 실적'!AZ25</f>
        <v>34006</v>
      </c>
      <c r="AZ25" s="220">
        <v>52000</v>
      </c>
      <c r="BA25" s="220"/>
      <c r="BB25" s="224">
        <f t="shared" si="19"/>
        <v>-1</v>
      </c>
      <c r="BC25" s="221">
        <f t="shared" si="20"/>
        <v>-1</v>
      </c>
      <c r="BD25" s="24">
        <f>'2024년 실적'!BE25</f>
        <v>40544</v>
      </c>
      <c r="BE25" s="220">
        <v>52000</v>
      </c>
      <c r="BF25" s="220"/>
      <c r="BG25" s="224">
        <f t="shared" si="21"/>
        <v>-1</v>
      </c>
      <c r="BH25" s="225">
        <f t="shared" si="22"/>
        <v>-1</v>
      </c>
      <c r="BI25" s="57">
        <f>'2024년 실적'!BJ25</f>
        <v>64533</v>
      </c>
      <c r="BJ25" s="220">
        <v>61750</v>
      </c>
      <c r="BK25" s="220"/>
      <c r="BL25" s="224">
        <f t="shared" si="23"/>
        <v>-1</v>
      </c>
      <c r="BM25" s="221">
        <f t="shared" si="24"/>
        <v>-1</v>
      </c>
      <c r="BN25" s="24">
        <f>'2024년 실적'!BO25</f>
        <v>57024</v>
      </c>
      <c r="BO25" s="220">
        <v>61750</v>
      </c>
      <c r="BP25" s="220"/>
      <c r="BQ25" s="224">
        <f t="shared" si="25"/>
        <v>-1</v>
      </c>
      <c r="BR25" s="225">
        <f t="shared" si="26"/>
        <v>-1</v>
      </c>
      <c r="BS25" s="57">
        <f>'2024년 실적'!BT25</f>
        <v>50468</v>
      </c>
      <c r="BT25" s="220">
        <v>58500</v>
      </c>
      <c r="BU25" s="220"/>
      <c r="BV25" s="224">
        <f t="shared" si="27"/>
        <v>-1</v>
      </c>
      <c r="BW25" s="225">
        <f t="shared" si="28"/>
        <v>-1</v>
      </c>
    </row>
    <row r="26" spans="2:78" ht="17.25" thickBot="1" x14ac:dyDescent="0.35">
      <c r="B26" s="301" t="s">
        <v>29</v>
      </c>
      <c r="C26" s="302"/>
      <c r="D26" s="316" t="s">
        <v>30</v>
      </c>
      <c r="E26" s="317"/>
      <c r="F26" s="227">
        <f>'2023년 실적'!F26</f>
        <v>763556</v>
      </c>
      <c r="G26" s="228">
        <f>'2023년 실적'!G26</f>
        <v>835396</v>
      </c>
      <c r="H26" s="228">
        <f>'2024년 실적'!L26</f>
        <v>904015</v>
      </c>
      <c r="I26" s="228">
        <f t="shared" si="114"/>
        <v>1000000</v>
      </c>
      <c r="J26" s="229">
        <f t="shared" si="2"/>
        <v>0.10617633556965322</v>
      </c>
      <c r="K26" s="230">
        <f t="shared" si="115"/>
        <v>904015</v>
      </c>
      <c r="L26" s="231">
        <f t="shared" si="115"/>
        <v>1000000</v>
      </c>
      <c r="M26" s="231">
        <f t="shared" si="115"/>
        <v>0</v>
      </c>
      <c r="N26" s="232">
        <f t="shared" si="3"/>
        <v>-1</v>
      </c>
      <c r="O26" s="233">
        <f t="shared" si="4"/>
        <v>-1</v>
      </c>
      <c r="P26" s="234">
        <f>'2024년 실적'!Q26</f>
        <v>53893</v>
      </c>
      <c r="Q26" s="228">
        <v>70000.000000000015</v>
      </c>
      <c r="R26" s="228"/>
      <c r="S26" s="232">
        <f t="shared" si="5"/>
        <v>-1</v>
      </c>
      <c r="T26" s="233">
        <f>R26/P26-1</f>
        <v>-1</v>
      </c>
      <c r="U26" s="227">
        <f>'2024년 실적'!V26</f>
        <v>78147</v>
      </c>
      <c r="V26" s="228">
        <v>80000</v>
      </c>
      <c r="W26" s="228"/>
      <c r="X26" s="232">
        <f t="shared" si="7"/>
        <v>-1</v>
      </c>
      <c r="Y26" s="229">
        <f t="shared" si="8"/>
        <v>-1</v>
      </c>
      <c r="Z26" s="157">
        <f>'2024년 실적'!AA26</f>
        <v>71656</v>
      </c>
      <c r="AA26" s="228">
        <v>90000</v>
      </c>
      <c r="AB26" s="228"/>
      <c r="AC26" s="232">
        <f t="shared" si="9"/>
        <v>-1</v>
      </c>
      <c r="AD26" s="233">
        <f t="shared" si="10"/>
        <v>-1</v>
      </c>
      <c r="AE26" s="235">
        <f>'2024년 실적'!AF26</f>
        <v>82813</v>
      </c>
      <c r="AF26" s="228">
        <v>80000</v>
      </c>
      <c r="AG26" s="228"/>
      <c r="AH26" s="232">
        <f t="shared" si="11"/>
        <v>-1</v>
      </c>
      <c r="AI26" s="229">
        <f t="shared" si="12"/>
        <v>-1</v>
      </c>
      <c r="AJ26" s="157">
        <f>'2024년 실적'!AK26</f>
        <v>78617</v>
      </c>
      <c r="AK26" s="228">
        <v>80000</v>
      </c>
      <c r="AL26" s="228"/>
      <c r="AM26" s="232">
        <f t="shared" si="13"/>
        <v>-1</v>
      </c>
      <c r="AN26" s="233">
        <f t="shared" si="14"/>
        <v>-1</v>
      </c>
      <c r="AO26" s="227">
        <f>'2024년 실적'!AP26</f>
        <v>67379</v>
      </c>
      <c r="AP26" s="228">
        <v>80000</v>
      </c>
      <c r="AQ26" s="228"/>
      <c r="AR26" s="232">
        <f t="shared" si="15"/>
        <v>-1</v>
      </c>
      <c r="AS26" s="229">
        <f t="shared" si="16"/>
        <v>-1</v>
      </c>
      <c r="AT26" s="157">
        <f>'2024년 실적'!AU26</f>
        <v>83193</v>
      </c>
      <c r="AU26" s="228">
        <v>80000</v>
      </c>
      <c r="AV26" s="228"/>
      <c r="AW26" s="232">
        <f t="shared" si="17"/>
        <v>-1</v>
      </c>
      <c r="AX26" s="233">
        <f t="shared" si="18"/>
        <v>-1</v>
      </c>
      <c r="AY26" s="235">
        <f>'2024년 실적'!AZ26</f>
        <v>81329</v>
      </c>
      <c r="AZ26" s="228">
        <v>80000</v>
      </c>
      <c r="BA26" s="228"/>
      <c r="BB26" s="232">
        <f t="shared" si="19"/>
        <v>-1</v>
      </c>
      <c r="BC26" s="229">
        <f t="shared" si="20"/>
        <v>-1</v>
      </c>
      <c r="BD26" s="157">
        <f>'2024년 실적'!BE26</f>
        <v>62469</v>
      </c>
      <c r="BE26" s="228">
        <v>80000</v>
      </c>
      <c r="BF26" s="228"/>
      <c r="BG26" s="232">
        <f t="shared" si="21"/>
        <v>-1</v>
      </c>
      <c r="BH26" s="233">
        <f t="shared" si="22"/>
        <v>-1</v>
      </c>
      <c r="BI26" s="235">
        <f>'2024년 실적'!BJ26</f>
        <v>86174</v>
      </c>
      <c r="BJ26" s="228">
        <v>95000</v>
      </c>
      <c r="BK26" s="228"/>
      <c r="BL26" s="232">
        <f t="shared" si="23"/>
        <v>-1</v>
      </c>
      <c r="BM26" s="229">
        <f t="shared" si="24"/>
        <v>-1</v>
      </c>
      <c r="BN26" s="234">
        <f>'2024년 실적'!BO26</f>
        <v>87868</v>
      </c>
      <c r="BO26" s="228">
        <v>95000</v>
      </c>
      <c r="BP26" s="228"/>
      <c r="BQ26" s="232">
        <f t="shared" si="25"/>
        <v>-1</v>
      </c>
      <c r="BR26" s="233">
        <f t="shared" si="26"/>
        <v>-1</v>
      </c>
      <c r="BS26" s="227">
        <f>'2024년 실적'!BT26</f>
        <v>70477</v>
      </c>
      <c r="BT26" s="228">
        <v>90000</v>
      </c>
      <c r="BU26" s="228"/>
      <c r="BV26" s="232">
        <f t="shared" si="27"/>
        <v>-1</v>
      </c>
      <c r="BW26" s="233">
        <f t="shared" si="28"/>
        <v>-1</v>
      </c>
    </row>
    <row r="27" spans="2:78" ht="17.25" thickBot="1" x14ac:dyDescent="0.35">
      <c r="B27" s="312"/>
      <c r="C27" s="318" t="s">
        <v>31</v>
      </c>
      <c r="D27" s="321" t="s">
        <v>32</v>
      </c>
      <c r="E27" s="322"/>
      <c r="F27" s="56">
        <v>358721</v>
      </c>
      <c r="G27" s="41">
        <f>BS27</f>
        <v>359989</v>
      </c>
      <c r="H27" s="41">
        <f>'2024년 실적'!L27</f>
        <v>359989</v>
      </c>
      <c r="I27" s="41">
        <f>ROUND(I28/24,0)</f>
        <v>255208</v>
      </c>
      <c r="J27" s="81">
        <f t="shared" si="2"/>
        <v>-0.29106722705415999</v>
      </c>
      <c r="K27" s="8">
        <f t="shared" ref="K27:M27" si="116">BS27</f>
        <v>359989</v>
      </c>
      <c r="L27" s="8">
        <f t="shared" si="116"/>
        <v>252363.5</v>
      </c>
      <c r="M27" s="8">
        <f t="shared" si="116"/>
        <v>0</v>
      </c>
      <c r="N27" s="112">
        <f t="shared" si="3"/>
        <v>-1</v>
      </c>
      <c r="O27" s="23">
        <f t="shared" si="4"/>
        <v>-1</v>
      </c>
      <c r="P27" s="21">
        <f>'2024년 실적'!Q27</f>
        <v>329768</v>
      </c>
      <c r="Q27" s="41">
        <f>ROUND(Q28/2,2)</f>
        <v>214846.5</v>
      </c>
      <c r="R27" s="41"/>
      <c r="S27" s="112"/>
      <c r="T27" s="23">
        <f t="shared" si="6"/>
        <v>-1</v>
      </c>
      <c r="U27" s="56">
        <f>'2024년 실적'!V27</f>
        <v>278123</v>
      </c>
      <c r="V27" s="41">
        <f>ROUND(V28/2,2)</f>
        <v>229496.5</v>
      </c>
      <c r="W27" s="41"/>
      <c r="X27" s="112">
        <f t="shared" si="7"/>
        <v>-1</v>
      </c>
      <c r="Y27" s="81">
        <f t="shared" si="8"/>
        <v>-1</v>
      </c>
      <c r="Z27" s="21">
        <f>'2024년 실적'!AA27</f>
        <v>341100</v>
      </c>
      <c r="AA27" s="41">
        <f>ROUND(AA28/2,2)</f>
        <v>259796.5</v>
      </c>
      <c r="AB27" s="41"/>
      <c r="AC27" s="112">
        <f t="shared" si="9"/>
        <v>-1</v>
      </c>
      <c r="AD27" s="23">
        <f t="shared" si="10"/>
        <v>-1</v>
      </c>
      <c r="AE27" s="56">
        <f>'2024년 실적'!AF27</f>
        <v>330935</v>
      </c>
      <c r="AF27" s="41">
        <f>ROUND(AF28/2,2)</f>
        <v>295296.5</v>
      </c>
      <c r="AG27" s="41"/>
      <c r="AH27" s="112">
        <f t="shared" si="11"/>
        <v>-1</v>
      </c>
      <c r="AI27" s="81">
        <f t="shared" si="12"/>
        <v>-1</v>
      </c>
      <c r="AJ27" s="21">
        <f>'2024년 실적'!AK27</f>
        <v>405927</v>
      </c>
      <c r="AK27" s="38">
        <f>ROUND(AK28/2,2)</f>
        <v>276096.5</v>
      </c>
      <c r="AL27" s="41"/>
      <c r="AM27" s="112">
        <f t="shared" si="13"/>
        <v>-1</v>
      </c>
      <c r="AN27" s="23">
        <f t="shared" si="14"/>
        <v>-1</v>
      </c>
      <c r="AO27" s="56">
        <f>'2024년 실적'!AP27</f>
        <v>419353</v>
      </c>
      <c r="AP27" s="41">
        <f>ROUND(AP28/2,2)</f>
        <v>236896.5</v>
      </c>
      <c r="AQ27" s="41"/>
      <c r="AR27" s="112">
        <f t="shared" si="15"/>
        <v>-1</v>
      </c>
      <c r="AS27" s="81">
        <f t="shared" si="16"/>
        <v>-1</v>
      </c>
      <c r="AT27" s="21">
        <f>'2024년 실적'!AU27</f>
        <v>291707</v>
      </c>
      <c r="AU27" s="38">
        <f>ROUND(AU28/2,2)</f>
        <v>239796.5</v>
      </c>
      <c r="AV27" s="41"/>
      <c r="AW27" s="112">
        <f t="shared" si="17"/>
        <v>-1</v>
      </c>
      <c r="AX27" s="23">
        <f t="shared" si="18"/>
        <v>-1</v>
      </c>
      <c r="AY27" s="56">
        <f>'2024년 실적'!AZ27</f>
        <v>277172</v>
      </c>
      <c r="AZ27" s="41">
        <f>ROUND(AZ28/2,2)</f>
        <v>241646.5</v>
      </c>
      <c r="BA27" s="41"/>
      <c r="BB27" s="112">
        <f t="shared" si="19"/>
        <v>-1</v>
      </c>
      <c r="BC27" s="81">
        <f t="shared" si="20"/>
        <v>-1</v>
      </c>
      <c r="BD27" s="21">
        <f>'2024년 실적'!BE27</f>
        <v>314825</v>
      </c>
      <c r="BE27" s="41">
        <v>0</v>
      </c>
      <c r="BF27" s="41"/>
      <c r="BG27" s="112" t="e">
        <f t="shared" si="21"/>
        <v>#DIV/0!</v>
      </c>
      <c r="BH27" s="23">
        <f t="shared" si="22"/>
        <v>-1</v>
      </c>
      <c r="BI27" s="56">
        <f>'2024년 실적'!BJ27</f>
        <v>383612</v>
      </c>
      <c r="BJ27" s="38">
        <f>ROUND(BJ28/2,2)</f>
        <v>299646.5</v>
      </c>
      <c r="BK27" s="41"/>
      <c r="BL27" s="112">
        <f t="shared" si="23"/>
        <v>-1</v>
      </c>
      <c r="BM27" s="81">
        <f t="shared" si="24"/>
        <v>-1</v>
      </c>
      <c r="BN27" s="21">
        <f>'2024년 실적'!BO27</f>
        <v>374969</v>
      </c>
      <c r="BO27" s="38">
        <f>ROUND(BO28/2,2)</f>
        <v>244196.5</v>
      </c>
      <c r="BP27" s="41"/>
      <c r="BQ27" s="112">
        <f t="shared" si="25"/>
        <v>-1</v>
      </c>
      <c r="BR27" s="23">
        <f t="shared" si="26"/>
        <v>-1</v>
      </c>
      <c r="BS27" s="21">
        <f>'2024년 실적'!BT27</f>
        <v>359989</v>
      </c>
      <c r="BT27" s="38">
        <f>ROUND(BT28/2,2)</f>
        <v>252363.5</v>
      </c>
      <c r="BU27" s="41"/>
      <c r="BV27" s="112">
        <f t="shared" si="27"/>
        <v>-1</v>
      </c>
      <c r="BW27" s="23">
        <f t="shared" si="28"/>
        <v>-1</v>
      </c>
      <c r="BZ27" s="150">
        <v>359989</v>
      </c>
    </row>
    <row r="28" spans="2:78" ht="17.25" thickBot="1" x14ac:dyDescent="0.35">
      <c r="B28" s="312"/>
      <c r="C28" s="319"/>
      <c r="D28" s="305" t="s">
        <v>33</v>
      </c>
      <c r="E28" s="306"/>
      <c r="F28" s="164">
        <v>5704093</v>
      </c>
      <c r="G28" s="165">
        <v>5704093</v>
      </c>
      <c r="H28" s="165">
        <f>'2024년 실적'!L28</f>
        <v>5381839</v>
      </c>
      <c r="I28" s="165">
        <f>I29</f>
        <v>6125000</v>
      </c>
      <c r="J28" s="169">
        <f t="shared" si="2"/>
        <v>0.13808681381958854</v>
      </c>
      <c r="K28" s="131">
        <f>P28+U28+Z28+AE28+AJ28+AO28+AT28+AY28+BD28+BI28+BN28+BS28</f>
        <v>5787482</v>
      </c>
      <c r="L28" s="132">
        <f t="shared" ref="L28:M28" si="117">Q28+V28+AA28+AF28+AK28+AP28+AU28+AZ28+BE28+BJ28+BO28+BT28</f>
        <v>5580157</v>
      </c>
      <c r="M28" s="132">
        <f t="shared" si="117"/>
        <v>0</v>
      </c>
      <c r="N28" s="166">
        <f t="shared" si="3"/>
        <v>-1</v>
      </c>
      <c r="O28" s="25">
        <f t="shared" si="4"/>
        <v>-1</v>
      </c>
      <c r="P28" s="24">
        <f>'2024년 실적'!Q28</f>
        <v>341246</v>
      </c>
      <c r="Q28" s="165">
        <f>Q29</f>
        <v>429693</v>
      </c>
      <c r="R28" s="165"/>
      <c r="S28" s="166">
        <f t="shared" si="5"/>
        <v>-1</v>
      </c>
      <c r="T28" s="25">
        <f t="shared" si="6"/>
        <v>-1</v>
      </c>
      <c r="U28" s="57">
        <f>'2024년 실적'!V28</f>
        <v>397040</v>
      </c>
      <c r="V28" s="165">
        <f>V29</f>
        <v>458993</v>
      </c>
      <c r="W28" s="165"/>
      <c r="X28" s="166">
        <f t="shared" si="7"/>
        <v>-1</v>
      </c>
      <c r="Y28" s="82">
        <f t="shared" si="8"/>
        <v>-1</v>
      </c>
      <c r="Z28" s="24">
        <f>'2024년 실적'!AA28</f>
        <v>468286</v>
      </c>
      <c r="AA28" s="165">
        <f>AA29</f>
        <v>519593</v>
      </c>
      <c r="AB28" s="165"/>
      <c r="AC28" s="166">
        <f t="shared" si="9"/>
        <v>-1</v>
      </c>
      <c r="AD28" s="25">
        <f t="shared" si="10"/>
        <v>-1</v>
      </c>
      <c r="AE28" s="57">
        <f>'2024년 실적'!AF28</f>
        <v>447362</v>
      </c>
      <c r="AF28" s="165">
        <f>AF29</f>
        <v>590593</v>
      </c>
      <c r="AG28" s="165"/>
      <c r="AH28" s="166">
        <f t="shared" si="11"/>
        <v>-1</v>
      </c>
      <c r="AI28" s="82">
        <f t="shared" si="12"/>
        <v>-1</v>
      </c>
      <c r="AJ28" s="24">
        <f>'2024년 실적'!AK28</f>
        <v>551104</v>
      </c>
      <c r="AK28" s="165">
        <f>AK29</f>
        <v>552193</v>
      </c>
      <c r="AL28" s="165"/>
      <c r="AM28" s="166">
        <f t="shared" si="13"/>
        <v>-1</v>
      </c>
      <c r="AN28" s="25">
        <f t="shared" si="14"/>
        <v>-1</v>
      </c>
      <c r="AO28" s="57">
        <f>'2024년 실적'!AP28</f>
        <v>416686</v>
      </c>
      <c r="AP28" s="165">
        <f>AP29</f>
        <v>473793</v>
      </c>
      <c r="AQ28" s="165"/>
      <c r="AR28" s="166">
        <f t="shared" si="15"/>
        <v>-1</v>
      </c>
      <c r="AS28" s="82">
        <f t="shared" si="16"/>
        <v>-1</v>
      </c>
      <c r="AT28" s="24">
        <f>'2024년 실적'!AU28</f>
        <v>400169</v>
      </c>
      <c r="AU28" s="165">
        <f>AU29</f>
        <v>479593</v>
      </c>
      <c r="AV28" s="165"/>
      <c r="AW28" s="166">
        <f t="shared" si="17"/>
        <v>-1</v>
      </c>
      <c r="AX28" s="25">
        <f t="shared" si="18"/>
        <v>-1</v>
      </c>
      <c r="AY28" s="57">
        <f>'2024년 실적'!AZ28</f>
        <v>440920</v>
      </c>
      <c r="AZ28" s="165">
        <f>AZ29</f>
        <v>483293</v>
      </c>
      <c r="BA28" s="165"/>
      <c r="BB28" s="166">
        <f t="shared" si="19"/>
        <v>-1</v>
      </c>
      <c r="BC28" s="82">
        <f t="shared" si="20"/>
        <v>-1</v>
      </c>
      <c r="BD28" s="24">
        <f>SUM(BD29:BD35)</f>
        <v>748691</v>
      </c>
      <c r="BE28" s="165">
        <v>0</v>
      </c>
      <c r="BF28" s="165"/>
      <c r="BG28" s="166" t="e">
        <f t="shared" si="21"/>
        <v>#DIV/0!</v>
      </c>
      <c r="BH28" s="25">
        <f t="shared" si="22"/>
        <v>-1</v>
      </c>
      <c r="BI28" s="57">
        <f>'2024년 실적'!BJ28</f>
        <v>557700</v>
      </c>
      <c r="BJ28" s="165">
        <f>BJ29</f>
        <v>599293</v>
      </c>
      <c r="BK28" s="165"/>
      <c r="BL28" s="166">
        <f t="shared" si="23"/>
        <v>-1</v>
      </c>
      <c r="BM28" s="82">
        <f t="shared" si="24"/>
        <v>-1</v>
      </c>
      <c r="BN28" s="24">
        <f>'2024년 실적'!BO28</f>
        <v>500870</v>
      </c>
      <c r="BO28" s="165">
        <f>BO29</f>
        <v>488393</v>
      </c>
      <c r="BP28" s="165"/>
      <c r="BQ28" s="166">
        <f t="shared" si="25"/>
        <v>-1</v>
      </c>
      <c r="BR28" s="25">
        <f t="shared" si="26"/>
        <v>-1</v>
      </c>
      <c r="BS28" s="57">
        <f>'2024년 실적'!BT28</f>
        <v>517408</v>
      </c>
      <c r="BT28" s="165">
        <f>BT29</f>
        <v>504727</v>
      </c>
      <c r="BU28" s="165"/>
      <c r="BV28" s="166">
        <f t="shared" si="27"/>
        <v>-1</v>
      </c>
      <c r="BW28" s="25">
        <f t="shared" si="28"/>
        <v>-1</v>
      </c>
    </row>
    <row r="29" spans="2:78" ht="17.25" thickBot="1" x14ac:dyDescent="0.35">
      <c r="B29" s="312"/>
      <c r="C29" s="319"/>
      <c r="D29" s="307" t="s">
        <v>34</v>
      </c>
      <c r="E29" s="308"/>
      <c r="F29" s="170">
        <f>SUM(F30:F36)</f>
        <v>6066324.9000000004</v>
      </c>
      <c r="G29" s="171">
        <f>SUM(G30:G36)</f>
        <v>5796942</v>
      </c>
      <c r="H29" s="171">
        <f>SUM(H30:H36)</f>
        <v>5433492</v>
      </c>
      <c r="I29" s="171">
        <f>SUM(I30:I36)</f>
        <v>6125000</v>
      </c>
      <c r="J29" s="172">
        <f t="shared" si="2"/>
        <v>0.1272676945139517</v>
      </c>
      <c r="K29" s="173">
        <f>SUM(K30:K36)</f>
        <v>6213928</v>
      </c>
      <c r="L29" s="171">
        <f>SUM(L30:L36)</f>
        <v>6125000</v>
      </c>
      <c r="M29" s="171">
        <f>SUM(M30:M36)</f>
        <v>0</v>
      </c>
      <c r="N29" s="174">
        <f t="shared" si="3"/>
        <v>-1</v>
      </c>
      <c r="O29" s="175">
        <f t="shared" si="4"/>
        <v>-1</v>
      </c>
      <c r="P29" s="173">
        <f>SUM(P30:P36)</f>
        <v>422415</v>
      </c>
      <c r="Q29" s="171">
        <f>SUM(Q30:Q36)</f>
        <v>429693</v>
      </c>
      <c r="R29" s="171">
        <f>SUM(R30:R36)</f>
        <v>0</v>
      </c>
      <c r="S29" s="174">
        <f t="shared" si="5"/>
        <v>-1</v>
      </c>
      <c r="T29" s="175">
        <f t="shared" si="6"/>
        <v>-1</v>
      </c>
      <c r="U29" s="170">
        <f>SUM(U30:U36)</f>
        <v>385426</v>
      </c>
      <c r="V29" s="171">
        <f>SUM(V30:V36)</f>
        <v>458993</v>
      </c>
      <c r="W29" s="171">
        <f>SUM(W30:W36)</f>
        <v>0</v>
      </c>
      <c r="X29" s="174">
        <f t="shared" si="7"/>
        <v>-1</v>
      </c>
      <c r="Y29" s="172">
        <f t="shared" si="8"/>
        <v>-1</v>
      </c>
      <c r="Z29" s="173">
        <f>SUM(Z30:Z36)</f>
        <v>475886</v>
      </c>
      <c r="AA29" s="171">
        <f>SUM(AA30:AA36)</f>
        <v>519593</v>
      </c>
      <c r="AB29" s="171">
        <f>SUM(AB30:AB36)</f>
        <v>0</v>
      </c>
      <c r="AC29" s="174">
        <f t="shared" si="9"/>
        <v>-1</v>
      </c>
      <c r="AD29" s="175">
        <f t="shared" si="10"/>
        <v>-1</v>
      </c>
      <c r="AE29" s="170">
        <f>SUM(AE30:AE36)</f>
        <v>444047</v>
      </c>
      <c r="AF29" s="171">
        <f>SUM(AF30:AF36)</f>
        <v>590593</v>
      </c>
      <c r="AG29" s="171">
        <f>SUM(AG30:AG36)</f>
        <v>0</v>
      </c>
      <c r="AH29" s="174">
        <f t="shared" si="11"/>
        <v>-1</v>
      </c>
      <c r="AI29" s="172">
        <f t="shared" si="12"/>
        <v>-1</v>
      </c>
      <c r="AJ29" s="173">
        <f>SUM(AJ30:AJ36)</f>
        <v>492593</v>
      </c>
      <c r="AK29" s="171">
        <f>SUM(AK30:AK36)</f>
        <v>552193</v>
      </c>
      <c r="AL29" s="171">
        <f>SUM(AL30:AL36)</f>
        <v>0</v>
      </c>
      <c r="AM29" s="174">
        <f t="shared" si="13"/>
        <v>-1</v>
      </c>
      <c r="AN29" s="175">
        <f t="shared" si="14"/>
        <v>-1</v>
      </c>
      <c r="AO29" s="170">
        <f>SUM(AO30:AO36)</f>
        <v>401955</v>
      </c>
      <c r="AP29" s="171">
        <f>SUM(AP30:AP36)</f>
        <v>473793</v>
      </c>
      <c r="AQ29" s="171">
        <f>SUM(AQ30:AQ36)</f>
        <v>0</v>
      </c>
      <c r="AR29" s="174">
        <f t="shared" si="15"/>
        <v>-1</v>
      </c>
      <c r="AS29" s="172">
        <f t="shared" si="16"/>
        <v>-1</v>
      </c>
      <c r="AT29" s="173">
        <f>SUM(AT30:AT36)</f>
        <v>484454</v>
      </c>
      <c r="AU29" s="171">
        <f>SUM(AU30:AU36)</f>
        <v>479593</v>
      </c>
      <c r="AV29" s="171">
        <f>SUM(AV30:AV36)</f>
        <v>0</v>
      </c>
      <c r="AW29" s="174">
        <f t="shared" si="17"/>
        <v>-1</v>
      </c>
      <c r="AX29" s="175">
        <f t="shared" si="18"/>
        <v>-1</v>
      </c>
      <c r="AY29" s="170">
        <f>SUM(AY30:AY36)</f>
        <v>424912</v>
      </c>
      <c r="AZ29" s="171">
        <f>SUM(AZ30:AZ36)</f>
        <v>483293</v>
      </c>
      <c r="BA29" s="171">
        <f>SUM(BA30:BA36)</f>
        <v>0</v>
      </c>
      <c r="BB29" s="174">
        <f t="shared" si="19"/>
        <v>-1</v>
      </c>
      <c r="BC29" s="172">
        <f t="shared" si="20"/>
        <v>-1</v>
      </c>
      <c r="BD29" s="173">
        <f>'2024년 실적'!BE29</f>
        <v>378745</v>
      </c>
      <c r="BE29" s="171">
        <v>0</v>
      </c>
      <c r="BF29" s="171">
        <v>0</v>
      </c>
      <c r="BG29" s="174" t="e">
        <f t="shared" si="21"/>
        <v>#DIV/0!</v>
      </c>
      <c r="BH29" s="175">
        <f t="shared" si="22"/>
        <v>-1</v>
      </c>
      <c r="BI29" s="170">
        <f>SUM(BI30:BI36)</f>
        <v>489218</v>
      </c>
      <c r="BJ29" s="171">
        <f>SUM(BJ30:BJ36)</f>
        <v>599293</v>
      </c>
      <c r="BK29" s="171">
        <f>SUM(BK30:BK36)</f>
        <v>0</v>
      </c>
      <c r="BL29" s="174">
        <f t="shared" si="23"/>
        <v>-1</v>
      </c>
      <c r="BM29" s="172">
        <f t="shared" si="24"/>
        <v>-1</v>
      </c>
      <c r="BN29" s="173">
        <f>SUM(BN30:BN36)</f>
        <v>501510</v>
      </c>
      <c r="BO29" s="171">
        <f>SUM(BO30:BO36)</f>
        <v>488393</v>
      </c>
      <c r="BP29" s="171">
        <f>SUM(BP30:BP36)</f>
        <v>0</v>
      </c>
      <c r="BQ29" s="174">
        <f t="shared" si="25"/>
        <v>-1</v>
      </c>
      <c r="BR29" s="175">
        <f t="shared" si="26"/>
        <v>-1</v>
      </c>
      <c r="BS29" s="170">
        <f>SUM(BS30:BS36)</f>
        <v>532331</v>
      </c>
      <c r="BT29" s="171">
        <f>SUM(BT30:BT36)</f>
        <v>504727</v>
      </c>
      <c r="BU29" s="171">
        <f>SUM(BU30:BU36)</f>
        <v>0</v>
      </c>
      <c r="BV29" s="174">
        <f t="shared" si="27"/>
        <v>-1</v>
      </c>
      <c r="BW29" s="175">
        <f t="shared" si="28"/>
        <v>-1</v>
      </c>
    </row>
    <row r="30" spans="2:78" x14ac:dyDescent="0.3">
      <c r="B30" s="312"/>
      <c r="C30" s="319"/>
      <c r="D30" s="321" t="s">
        <v>35</v>
      </c>
      <c r="E30" s="322"/>
      <c r="F30" s="56">
        <f>'2023년 실적'!F30</f>
        <v>955059</v>
      </c>
      <c r="G30" s="41">
        <f>'2023년 실적'!G30</f>
        <v>901787</v>
      </c>
      <c r="H30" s="41">
        <f>'2024년 실적'!L30</f>
        <v>611096</v>
      </c>
      <c r="I30" s="41">
        <f>L30</f>
        <v>792000</v>
      </c>
      <c r="J30" s="81">
        <f t="shared" si="2"/>
        <v>0.2960320473378979</v>
      </c>
      <c r="K30" s="129">
        <f t="shared" ref="K30:M36" si="118">P30+U30+Z30+AE30+AJ30+AO30+AT30+AY30+BD30+BI30+BN30+BS30</f>
        <v>611096</v>
      </c>
      <c r="L30" s="130">
        <f t="shared" si="118"/>
        <v>792000</v>
      </c>
      <c r="M30" s="130">
        <f t="shared" si="118"/>
        <v>0</v>
      </c>
      <c r="N30" s="112">
        <f t="shared" si="3"/>
        <v>-1</v>
      </c>
      <c r="O30" s="23">
        <f t="shared" si="4"/>
        <v>-1</v>
      </c>
      <c r="P30" s="21">
        <f>'2024년 실적'!Q30</f>
        <v>68175</v>
      </c>
      <c r="Q30" s="41">
        <v>46650</v>
      </c>
      <c r="R30" s="41"/>
      <c r="S30" s="112">
        <f t="shared" si="5"/>
        <v>-1</v>
      </c>
      <c r="T30" s="23">
        <f t="shared" si="6"/>
        <v>-1</v>
      </c>
      <c r="U30" s="56">
        <f>'2024년 실적'!V30</f>
        <v>42265</v>
      </c>
      <c r="V30" s="41">
        <v>48750</v>
      </c>
      <c r="W30" s="41"/>
      <c r="X30" s="112">
        <f t="shared" si="7"/>
        <v>-1</v>
      </c>
      <c r="Y30" s="81">
        <f t="shared" si="8"/>
        <v>-1</v>
      </c>
      <c r="Z30" s="21">
        <f>'2024년 실적'!AA30</f>
        <v>45367</v>
      </c>
      <c r="AA30" s="41">
        <v>45150</v>
      </c>
      <c r="AB30" s="41"/>
      <c r="AC30" s="112">
        <f t="shared" si="9"/>
        <v>-1</v>
      </c>
      <c r="AD30" s="23">
        <f t="shared" si="10"/>
        <v>-1</v>
      </c>
      <c r="AE30" s="56">
        <f>'2024년 실적'!AF30</f>
        <v>32159</v>
      </c>
      <c r="AF30" s="41">
        <v>55550</v>
      </c>
      <c r="AG30" s="41"/>
      <c r="AH30" s="112">
        <f t="shared" si="11"/>
        <v>-1</v>
      </c>
      <c r="AI30" s="81">
        <f t="shared" si="12"/>
        <v>-1</v>
      </c>
      <c r="AJ30" s="21">
        <f>'2024년 실적'!AK30</f>
        <v>60432</v>
      </c>
      <c r="AK30" s="41">
        <v>80050</v>
      </c>
      <c r="AL30" s="41"/>
      <c r="AM30" s="112">
        <f t="shared" si="13"/>
        <v>-1</v>
      </c>
      <c r="AN30" s="23">
        <f t="shared" si="14"/>
        <v>-1</v>
      </c>
      <c r="AO30" s="56">
        <f>'2024년 실적'!AP30</f>
        <v>38891</v>
      </c>
      <c r="AP30" s="41">
        <v>39650</v>
      </c>
      <c r="AQ30" s="41"/>
      <c r="AR30" s="112">
        <f t="shared" si="15"/>
        <v>-1</v>
      </c>
      <c r="AS30" s="81">
        <f t="shared" si="16"/>
        <v>-1</v>
      </c>
      <c r="AT30" s="21">
        <f>'2024년 실적'!AU30</f>
        <v>87598</v>
      </c>
      <c r="AU30" s="41">
        <v>49650</v>
      </c>
      <c r="AV30" s="41"/>
      <c r="AW30" s="112">
        <f t="shared" si="17"/>
        <v>-1</v>
      </c>
      <c r="AX30" s="23">
        <f t="shared" si="18"/>
        <v>-1</v>
      </c>
      <c r="AY30" s="56">
        <f>'2024년 실적'!AZ30</f>
        <v>33546</v>
      </c>
      <c r="AZ30" s="41">
        <v>65150</v>
      </c>
      <c r="BA30" s="41"/>
      <c r="BB30" s="112">
        <f t="shared" si="19"/>
        <v>-1</v>
      </c>
      <c r="BC30" s="81">
        <f t="shared" si="20"/>
        <v>-1</v>
      </c>
      <c r="BD30" s="21">
        <f>'2024년 실적'!BE30</f>
        <v>53620</v>
      </c>
      <c r="BE30" s="41">
        <v>108900</v>
      </c>
      <c r="BF30" s="41"/>
      <c r="BG30" s="112">
        <f t="shared" si="21"/>
        <v>-1</v>
      </c>
      <c r="BH30" s="23">
        <f t="shared" si="22"/>
        <v>-1</v>
      </c>
      <c r="BI30" s="56">
        <f>'2024년 실적'!BJ30</f>
        <v>38224</v>
      </c>
      <c r="BJ30" s="41">
        <v>84650</v>
      </c>
      <c r="BK30" s="41"/>
      <c r="BL30" s="112">
        <f t="shared" si="23"/>
        <v>-1</v>
      </c>
      <c r="BM30" s="81">
        <f t="shared" si="24"/>
        <v>-1</v>
      </c>
      <c r="BN30" s="21">
        <f>'2024년 실적'!BO30</f>
        <v>35128</v>
      </c>
      <c r="BO30" s="41">
        <v>55650</v>
      </c>
      <c r="BP30" s="41"/>
      <c r="BQ30" s="112">
        <f t="shared" si="25"/>
        <v>-1</v>
      </c>
      <c r="BR30" s="23">
        <f t="shared" si="26"/>
        <v>-1</v>
      </c>
      <c r="BS30" s="56">
        <f>'2024년 실적'!BT30</f>
        <v>75691</v>
      </c>
      <c r="BT30" s="41">
        <v>112200</v>
      </c>
      <c r="BU30" s="41"/>
      <c r="BV30" s="112">
        <f t="shared" si="27"/>
        <v>-1</v>
      </c>
      <c r="BW30" s="23">
        <f t="shared" si="28"/>
        <v>-1</v>
      </c>
      <c r="BY30" s="37"/>
    </row>
    <row r="31" spans="2:78" x14ac:dyDescent="0.3">
      <c r="B31" s="312"/>
      <c r="C31" s="319"/>
      <c r="D31" s="284" t="s">
        <v>36</v>
      </c>
      <c r="E31" s="285"/>
      <c r="F31" s="45">
        <f>'2023년 실적'!F31</f>
        <v>2100970</v>
      </c>
      <c r="G31" s="39">
        <f>'2023년 실적'!G31</f>
        <v>1808203</v>
      </c>
      <c r="H31" s="39">
        <f>'2024년 실적'!L31</f>
        <v>1755221</v>
      </c>
      <c r="I31" s="41">
        <f t="shared" ref="I31:I36" si="119">L31</f>
        <v>1982000</v>
      </c>
      <c r="J31" s="33">
        <f t="shared" si="2"/>
        <v>0.12920253347014432</v>
      </c>
      <c r="K31" s="107">
        <f t="shared" si="118"/>
        <v>1755221</v>
      </c>
      <c r="L31" s="87">
        <f t="shared" si="118"/>
        <v>1982000</v>
      </c>
      <c r="M31" s="87">
        <f t="shared" si="118"/>
        <v>0</v>
      </c>
      <c r="N31" s="88">
        <f t="shared" si="3"/>
        <v>-1</v>
      </c>
      <c r="O31" s="15">
        <f t="shared" si="4"/>
        <v>-1</v>
      </c>
      <c r="P31" s="13">
        <f>'2024년 실적'!Q31</f>
        <v>111538</v>
      </c>
      <c r="Q31" s="39">
        <v>170800</v>
      </c>
      <c r="R31" s="39"/>
      <c r="S31" s="88">
        <f t="shared" si="5"/>
        <v>-1</v>
      </c>
      <c r="T31" s="15">
        <f t="shared" si="6"/>
        <v>-1</v>
      </c>
      <c r="U31" s="45">
        <f>'2024년 실적'!V31</f>
        <v>124449</v>
      </c>
      <c r="V31" s="39">
        <v>201800</v>
      </c>
      <c r="W31" s="39"/>
      <c r="X31" s="88">
        <f t="shared" si="7"/>
        <v>-1</v>
      </c>
      <c r="Y31" s="33">
        <f t="shared" si="8"/>
        <v>-1</v>
      </c>
      <c r="Z31" s="13">
        <f>'2024년 실적'!AA31</f>
        <v>124151</v>
      </c>
      <c r="AA31" s="39">
        <v>194500</v>
      </c>
      <c r="AB31" s="39"/>
      <c r="AC31" s="88">
        <f t="shared" si="9"/>
        <v>-1</v>
      </c>
      <c r="AD31" s="15">
        <f t="shared" si="10"/>
        <v>-1</v>
      </c>
      <c r="AE31" s="45">
        <f>'2024년 실적'!AF31</f>
        <v>143766</v>
      </c>
      <c r="AF31" s="39">
        <v>152500</v>
      </c>
      <c r="AG31" s="39"/>
      <c r="AH31" s="88">
        <f t="shared" si="11"/>
        <v>-1</v>
      </c>
      <c r="AI31" s="33">
        <f t="shared" si="12"/>
        <v>-1</v>
      </c>
      <c r="AJ31" s="13">
        <f>'2024년 실적'!AK31</f>
        <v>152604</v>
      </c>
      <c r="AK31" s="39">
        <v>156000</v>
      </c>
      <c r="AL31" s="39"/>
      <c r="AM31" s="88">
        <f t="shared" si="13"/>
        <v>-1</v>
      </c>
      <c r="AN31" s="15">
        <f t="shared" si="14"/>
        <v>-1</v>
      </c>
      <c r="AO31" s="45">
        <f>'2024년 실적'!AP31</f>
        <v>149480</v>
      </c>
      <c r="AP31" s="39">
        <v>153000</v>
      </c>
      <c r="AQ31" s="39"/>
      <c r="AR31" s="88">
        <f t="shared" si="15"/>
        <v>-1</v>
      </c>
      <c r="AS31" s="33">
        <f t="shared" si="16"/>
        <v>-1</v>
      </c>
      <c r="AT31" s="13">
        <f>'2024년 실적'!AU31</f>
        <v>162718</v>
      </c>
      <c r="AU31" s="39">
        <v>161500</v>
      </c>
      <c r="AV31" s="39"/>
      <c r="AW31" s="88">
        <f t="shared" si="17"/>
        <v>-1</v>
      </c>
      <c r="AX31" s="15">
        <f t="shared" si="18"/>
        <v>-1</v>
      </c>
      <c r="AY31" s="45">
        <f>'2024년 실적'!AZ31</f>
        <v>158523</v>
      </c>
      <c r="AZ31" s="39">
        <v>164000</v>
      </c>
      <c r="BA31" s="39"/>
      <c r="BB31" s="88">
        <f t="shared" si="19"/>
        <v>-1</v>
      </c>
      <c r="BC31" s="33">
        <f t="shared" si="20"/>
        <v>-1</v>
      </c>
      <c r="BD31" s="13">
        <f>'2024년 실적'!BE31</f>
        <v>107225</v>
      </c>
      <c r="BE31" s="39">
        <v>160000</v>
      </c>
      <c r="BF31" s="39"/>
      <c r="BG31" s="88">
        <f t="shared" si="21"/>
        <v>-1</v>
      </c>
      <c r="BH31" s="15">
        <f t="shared" si="22"/>
        <v>-1</v>
      </c>
      <c r="BI31" s="45">
        <f>'2024년 실적'!BJ31</f>
        <v>181058</v>
      </c>
      <c r="BJ31" s="39">
        <v>154000</v>
      </c>
      <c r="BK31" s="39"/>
      <c r="BL31" s="88">
        <f t="shared" si="23"/>
        <v>-1</v>
      </c>
      <c r="BM31" s="33">
        <f t="shared" si="24"/>
        <v>-1</v>
      </c>
      <c r="BN31" s="13">
        <f>'2024년 실적'!BO31</f>
        <v>158741</v>
      </c>
      <c r="BO31" s="39">
        <v>155200</v>
      </c>
      <c r="BP31" s="39"/>
      <c r="BQ31" s="88">
        <f t="shared" si="25"/>
        <v>-1</v>
      </c>
      <c r="BR31" s="15">
        <f t="shared" si="26"/>
        <v>-1</v>
      </c>
      <c r="BS31" s="45">
        <f>'2024년 실적'!BT31</f>
        <v>180968</v>
      </c>
      <c r="BT31" s="39">
        <v>158700</v>
      </c>
      <c r="BU31" s="39"/>
      <c r="BV31" s="88">
        <f t="shared" si="27"/>
        <v>-1</v>
      </c>
      <c r="BW31" s="15">
        <f t="shared" si="28"/>
        <v>-1</v>
      </c>
      <c r="BY31" s="37"/>
    </row>
    <row r="32" spans="2:78" x14ac:dyDescent="0.3">
      <c r="B32" s="312"/>
      <c r="C32" s="319"/>
      <c r="D32" s="284" t="s">
        <v>37</v>
      </c>
      <c r="E32" s="285"/>
      <c r="F32" s="45">
        <f>'2023년 실적'!F32</f>
        <v>573626</v>
      </c>
      <c r="G32" s="39">
        <f>'2023년 실적'!G32</f>
        <v>597017</v>
      </c>
      <c r="H32" s="39">
        <f>'2024년 실적'!L32</f>
        <v>598520</v>
      </c>
      <c r="I32" s="41">
        <f t="shared" si="119"/>
        <v>636000</v>
      </c>
      <c r="J32" s="33">
        <f t="shared" si="2"/>
        <v>6.2621132125910473E-2</v>
      </c>
      <c r="K32" s="107">
        <f t="shared" si="118"/>
        <v>598520</v>
      </c>
      <c r="L32" s="87">
        <f t="shared" si="118"/>
        <v>636000</v>
      </c>
      <c r="M32" s="87">
        <f t="shared" si="118"/>
        <v>0</v>
      </c>
      <c r="N32" s="88">
        <f t="shared" si="3"/>
        <v>-1</v>
      </c>
      <c r="O32" s="15">
        <f t="shared" si="4"/>
        <v>-1</v>
      </c>
      <c r="P32" s="13">
        <f>'2024년 실적'!Q32</f>
        <v>40781</v>
      </c>
      <c r="Q32" s="39">
        <v>27000</v>
      </c>
      <c r="R32" s="39"/>
      <c r="S32" s="88">
        <f t="shared" si="5"/>
        <v>-1</v>
      </c>
      <c r="T32" s="15">
        <f t="shared" si="6"/>
        <v>-1</v>
      </c>
      <c r="U32" s="45">
        <f>'2024년 실적'!V32</f>
        <v>19931</v>
      </c>
      <c r="V32" s="39">
        <v>29000</v>
      </c>
      <c r="W32" s="39"/>
      <c r="X32" s="88">
        <f t="shared" si="7"/>
        <v>-1</v>
      </c>
      <c r="Y32" s="33">
        <f t="shared" si="8"/>
        <v>-1</v>
      </c>
      <c r="Z32" s="13">
        <f>'2024년 실적'!AA32</f>
        <v>133341</v>
      </c>
      <c r="AA32" s="39">
        <v>59000</v>
      </c>
      <c r="AB32" s="39"/>
      <c r="AC32" s="88">
        <f t="shared" si="9"/>
        <v>-1</v>
      </c>
      <c r="AD32" s="15">
        <f t="shared" si="10"/>
        <v>-1</v>
      </c>
      <c r="AE32" s="45">
        <f>'2024년 실적'!AF32</f>
        <v>86715</v>
      </c>
      <c r="AF32" s="39">
        <v>98000</v>
      </c>
      <c r="AG32" s="39"/>
      <c r="AH32" s="88">
        <f t="shared" si="11"/>
        <v>-1</v>
      </c>
      <c r="AI32" s="33">
        <f t="shared" si="12"/>
        <v>-1</v>
      </c>
      <c r="AJ32" s="13">
        <f>'2024년 실적'!AK32</f>
        <v>72795</v>
      </c>
      <c r="AK32" s="39">
        <v>56000</v>
      </c>
      <c r="AL32" s="39"/>
      <c r="AM32" s="88">
        <f t="shared" si="13"/>
        <v>-1</v>
      </c>
      <c r="AN32" s="15">
        <f t="shared" si="14"/>
        <v>-1</v>
      </c>
      <c r="AO32" s="45">
        <f>'2024년 실적'!AP32</f>
        <v>35381</v>
      </c>
      <c r="AP32" s="39">
        <v>65000</v>
      </c>
      <c r="AQ32" s="39"/>
      <c r="AR32" s="88">
        <f t="shared" si="15"/>
        <v>-1</v>
      </c>
      <c r="AS32" s="33">
        <f t="shared" si="16"/>
        <v>-1</v>
      </c>
      <c r="AT32" s="13">
        <f>'2024년 실적'!AU32</f>
        <v>27724</v>
      </c>
      <c r="AU32" s="39">
        <v>49000</v>
      </c>
      <c r="AV32" s="39"/>
      <c r="AW32" s="88">
        <f t="shared" si="17"/>
        <v>-1</v>
      </c>
      <c r="AX32" s="15">
        <f t="shared" si="18"/>
        <v>-1</v>
      </c>
      <c r="AY32" s="45">
        <f>'2024년 실적'!AZ32</f>
        <v>25308</v>
      </c>
      <c r="AZ32" s="39">
        <v>41000</v>
      </c>
      <c r="BA32" s="39"/>
      <c r="BB32" s="88">
        <f t="shared" si="19"/>
        <v>-1</v>
      </c>
      <c r="BC32" s="33">
        <f t="shared" si="20"/>
        <v>-1</v>
      </c>
      <c r="BD32" s="13">
        <f>'2024년 실적'!BE32</f>
        <v>20387</v>
      </c>
      <c r="BE32" s="39">
        <v>63000</v>
      </c>
      <c r="BF32" s="39"/>
      <c r="BG32" s="88">
        <f t="shared" si="21"/>
        <v>-1</v>
      </c>
      <c r="BH32" s="15">
        <f t="shared" si="22"/>
        <v>-1</v>
      </c>
      <c r="BI32" s="45">
        <f>'2024년 실적'!BJ32</f>
        <v>49107</v>
      </c>
      <c r="BJ32" s="39">
        <v>51000</v>
      </c>
      <c r="BK32" s="39"/>
      <c r="BL32" s="88">
        <f t="shared" si="23"/>
        <v>-1</v>
      </c>
      <c r="BM32" s="33">
        <f t="shared" si="24"/>
        <v>-1</v>
      </c>
      <c r="BN32" s="13">
        <f>'2024년 실적'!BO32</f>
        <v>26189</v>
      </c>
      <c r="BO32" s="39">
        <v>62000</v>
      </c>
      <c r="BP32" s="39"/>
      <c r="BQ32" s="88">
        <f t="shared" si="25"/>
        <v>-1</v>
      </c>
      <c r="BR32" s="15">
        <f t="shared" si="26"/>
        <v>-1</v>
      </c>
      <c r="BS32" s="45">
        <f>'2024년 실적'!BT32</f>
        <v>60861</v>
      </c>
      <c r="BT32" s="39">
        <v>36000</v>
      </c>
      <c r="BU32" s="39"/>
      <c r="BV32" s="88">
        <f t="shared" si="27"/>
        <v>-1</v>
      </c>
      <c r="BW32" s="15">
        <f t="shared" si="28"/>
        <v>-1</v>
      </c>
      <c r="BY32" s="37"/>
    </row>
    <row r="33" spans="2:77" x14ac:dyDescent="0.3">
      <c r="B33" s="312"/>
      <c r="C33" s="319"/>
      <c r="D33" s="284" t="s">
        <v>38</v>
      </c>
      <c r="E33" s="285"/>
      <c r="F33" s="45">
        <f>'2023년 실적'!F33</f>
        <v>287191</v>
      </c>
      <c r="G33" s="39">
        <f>'2023년 실적'!G33</f>
        <v>359470</v>
      </c>
      <c r="H33" s="39">
        <f>'2024년 실적'!L33</f>
        <v>306873</v>
      </c>
      <c r="I33" s="41">
        <f t="shared" si="119"/>
        <v>480000</v>
      </c>
      <c r="J33" s="33">
        <f t="shared" si="2"/>
        <v>0.56416498030129736</v>
      </c>
      <c r="K33" s="107">
        <f t="shared" si="118"/>
        <v>306873</v>
      </c>
      <c r="L33" s="87">
        <f t="shared" si="118"/>
        <v>480000</v>
      </c>
      <c r="M33" s="87">
        <f t="shared" si="118"/>
        <v>0</v>
      </c>
      <c r="N33" s="88">
        <f t="shared" si="3"/>
        <v>-1</v>
      </c>
      <c r="O33" s="15">
        <f t="shared" si="4"/>
        <v>-1</v>
      </c>
      <c r="P33" s="13">
        <f>'2024년 실적'!Q33</f>
        <v>27120</v>
      </c>
      <c r="Q33" s="39">
        <v>24743</v>
      </c>
      <c r="R33" s="39"/>
      <c r="S33" s="88">
        <f t="shared" si="5"/>
        <v>-1</v>
      </c>
      <c r="T33" s="15">
        <f t="shared" si="6"/>
        <v>-1</v>
      </c>
      <c r="U33" s="45">
        <f>'2024년 실적'!V33</f>
        <v>32688</v>
      </c>
      <c r="V33" s="39">
        <v>24743</v>
      </c>
      <c r="W33" s="39"/>
      <c r="X33" s="88">
        <f t="shared" si="7"/>
        <v>-1</v>
      </c>
      <c r="Y33" s="33">
        <f t="shared" si="8"/>
        <v>-1</v>
      </c>
      <c r="Z33" s="13">
        <f>'2024년 실적'!AA33</f>
        <v>24024</v>
      </c>
      <c r="AA33" s="39">
        <v>27743</v>
      </c>
      <c r="AB33" s="39"/>
      <c r="AC33" s="88">
        <f t="shared" si="9"/>
        <v>-1</v>
      </c>
      <c r="AD33" s="15">
        <f t="shared" si="10"/>
        <v>-1</v>
      </c>
      <c r="AE33" s="45">
        <f>'2024년 실적'!AF33</f>
        <v>25093</v>
      </c>
      <c r="AF33" s="39">
        <v>104743</v>
      </c>
      <c r="AG33" s="39"/>
      <c r="AH33" s="88">
        <f t="shared" si="11"/>
        <v>-1</v>
      </c>
      <c r="AI33" s="33">
        <f t="shared" si="12"/>
        <v>-1</v>
      </c>
      <c r="AJ33" s="13">
        <f>'2024년 실적'!AK33</f>
        <v>27703</v>
      </c>
      <c r="AK33" s="39">
        <v>24743</v>
      </c>
      <c r="AL33" s="39"/>
      <c r="AM33" s="88">
        <f t="shared" si="13"/>
        <v>-1</v>
      </c>
      <c r="AN33" s="15">
        <f t="shared" si="14"/>
        <v>-1</v>
      </c>
      <c r="AO33" s="45">
        <f>'2024년 실적'!AP33</f>
        <v>23855</v>
      </c>
      <c r="AP33" s="39">
        <v>24743</v>
      </c>
      <c r="AQ33" s="39"/>
      <c r="AR33" s="88">
        <f t="shared" si="15"/>
        <v>-1</v>
      </c>
      <c r="AS33" s="33">
        <f t="shared" si="16"/>
        <v>-1</v>
      </c>
      <c r="AT33" s="13">
        <f>'2024년 실적'!AU33</f>
        <v>25298</v>
      </c>
      <c r="AU33" s="39">
        <v>24743</v>
      </c>
      <c r="AV33" s="39"/>
      <c r="AW33" s="88">
        <f t="shared" si="17"/>
        <v>-1</v>
      </c>
      <c r="AX33" s="15">
        <f t="shared" si="18"/>
        <v>-1</v>
      </c>
      <c r="AY33" s="45">
        <f>'2024년 실적'!AZ33</f>
        <v>19069</v>
      </c>
      <c r="AZ33" s="39">
        <v>24743</v>
      </c>
      <c r="BA33" s="39"/>
      <c r="BB33" s="88">
        <f t="shared" si="19"/>
        <v>-1</v>
      </c>
      <c r="BC33" s="33">
        <f t="shared" si="20"/>
        <v>-1</v>
      </c>
      <c r="BD33" s="13">
        <f>'2024년 실적'!BE33</f>
        <v>20740</v>
      </c>
      <c r="BE33" s="39">
        <v>24743</v>
      </c>
      <c r="BF33" s="39"/>
      <c r="BG33" s="88">
        <f t="shared" si="21"/>
        <v>-1</v>
      </c>
      <c r="BH33" s="15">
        <f t="shared" si="22"/>
        <v>-1</v>
      </c>
      <c r="BI33" s="45">
        <f>'2024년 실적'!BJ33</f>
        <v>25651</v>
      </c>
      <c r="BJ33" s="39">
        <v>124743</v>
      </c>
      <c r="BK33" s="39"/>
      <c r="BL33" s="88">
        <f t="shared" si="23"/>
        <v>-1</v>
      </c>
      <c r="BM33" s="33">
        <f t="shared" si="24"/>
        <v>-1</v>
      </c>
      <c r="BN33" s="13">
        <f>'2024년 실적'!BO33</f>
        <v>32713</v>
      </c>
      <c r="BO33" s="39">
        <v>25143</v>
      </c>
      <c r="BP33" s="39"/>
      <c r="BQ33" s="88">
        <f t="shared" si="25"/>
        <v>-1</v>
      </c>
      <c r="BR33" s="15">
        <f t="shared" si="26"/>
        <v>-1</v>
      </c>
      <c r="BS33" s="45">
        <f>'2024년 실적'!BT33</f>
        <v>22919</v>
      </c>
      <c r="BT33" s="39">
        <v>24427</v>
      </c>
      <c r="BU33" s="39"/>
      <c r="BV33" s="88">
        <f t="shared" si="27"/>
        <v>-1</v>
      </c>
      <c r="BW33" s="15">
        <f t="shared" si="28"/>
        <v>-1</v>
      </c>
      <c r="BY33" s="37"/>
    </row>
    <row r="34" spans="2:77" x14ac:dyDescent="0.3">
      <c r="B34" s="312"/>
      <c r="C34" s="319"/>
      <c r="D34" s="284" t="s">
        <v>39</v>
      </c>
      <c r="E34" s="285"/>
      <c r="F34" s="45">
        <f>'2023년 실적'!F34</f>
        <v>1601635.7</v>
      </c>
      <c r="G34" s="39">
        <f>'2023년 실적'!G34</f>
        <v>1439800</v>
      </c>
      <c r="H34" s="39">
        <f>'2024년 실적'!L34</f>
        <v>1551933</v>
      </c>
      <c r="I34" s="41">
        <f t="shared" si="119"/>
        <v>1604000</v>
      </c>
      <c r="J34" s="33">
        <f t="shared" si="2"/>
        <v>3.3549773089430968E-2</v>
      </c>
      <c r="K34" s="107">
        <f t="shared" si="118"/>
        <v>1551933</v>
      </c>
      <c r="L34" s="87">
        <f t="shared" si="118"/>
        <v>1604000</v>
      </c>
      <c r="M34" s="87">
        <f>R34+W34+AB34+AG34+AL34+AQ34+AV34+BA34+BF34+BK34+BP34+BU34</f>
        <v>0</v>
      </c>
      <c r="N34" s="88">
        <f t="shared" si="3"/>
        <v>-1</v>
      </c>
      <c r="O34" s="15">
        <f t="shared" si="4"/>
        <v>-1</v>
      </c>
      <c r="P34" s="13">
        <f>'2024년 실적'!Q34</f>
        <v>143404</v>
      </c>
      <c r="Q34" s="39">
        <v>119500</v>
      </c>
      <c r="R34" s="39"/>
      <c r="S34" s="88">
        <f t="shared" si="5"/>
        <v>-1</v>
      </c>
      <c r="T34" s="15">
        <f t="shared" si="6"/>
        <v>-1</v>
      </c>
      <c r="U34" s="45">
        <f>'2024년 실적'!V34</f>
        <v>124979</v>
      </c>
      <c r="V34" s="39">
        <v>110700</v>
      </c>
      <c r="W34" s="39"/>
      <c r="X34" s="88">
        <f t="shared" si="7"/>
        <v>-1</v>
      </c>
      <c r="Y34" s="33">
        <f t="shared" si="8"/>
        <v>-1</v>
      </c>
      <c r="Z34" s="13">
        <f>'2024년 실적'!AA34</f>
        <v>107491</v>
      </c>
      <c r="AA34" s="39">
        <v>137100</v>
      </c>
      <c r="AB34" s="39"/>
      <c r="AC34" s="88">
        <f t="shared" si="9"/>
        <v>-1</v>
      </c>
      <c r="AD34" s="15">
        <f t="shared" si="10"/>
        <v>-1</v>
      </c>
      <c r="AE34" s="45">
        <f>'2024년 실적'!AF34</f>
        <v>114851</v>
      </c>
      <c r="AF34" s="39">
        <v>130700</v>
      </c>
      <c r="AG34" s="39"/>
      <c r="AH34" s="88">
        <f t="shared" si="11"/>
        <v>-1</v>
      </c>
      <c r="AI34" s="33">
        <f t="shared" si="12"/>
        <v>-1</v>
      </c>
      <c r="AJ34" s="13">
        <f>'2024년 실적'!AK34</f>
        <v>129609</v>
      </c>
      <c r="AK34" s="39">
        <v>132300</v>
      </c>
      <c r="AL34" s="39"/>
      <c r="AM34" s="88">
        <f t="shared" si="13"/>
        <v>-1</v>
      </c>
      <c r="AN34" s="15">
        <f t="shared" si="14"/>
        <v>-1</v>
      </c>
      <c r="AO34" s="45">
        <f>'2024년 실적'!AP34</f>
        <v>112106</v>
      </c>
      <c r="AP34" s="39">
        <v>142300</v>
      </c>
      <c r="AQ34" s="39"/>
      <c r="AR34" s="88">
        <f t="shared" si="15"/>
        <v>-1</v>
      </c>
      <c r="AS34" s="33">
        <f t="shared" si="16"/>
        <v>-1</v>
      </c>
      <c r="AT34" s="13">
        <f>'2024년 실적'!AU34</f>
        <v>120390</v>
      </c>
      <c r="AU34" s="39">
        <v>146600</v>
      </c>
      <c r="AV34" s="39"/>
      <c r="AW34" s="88">
        <f t="shared" si="17"/>
        <v>-1</v>
      </c>
      <c r="AX34" s="15">
        <f t="shared" si="18"/>
        <v>-1</v>
      </c>
      <c r="AY34" s="45">
        <f>'2024년 실적'!AZ34</f>
        <v>124847</v>
      </c>
      <c r="AZ34" s="39">
        <v>141300</v>
      </c>
      <c r="BA34" s="39"/>
      <c r="BB34" s="88">
        <f t="shared" si="19"/>
        <v>-1</v>
      </c>
      <c r="BC34" s="33">
        <f t="shared" si="20"/>
        <v>-1</v>
      </c>
      <c r="BD34" s="13">
        <f>'2024년 실적'!BE34</f>
        <v>127983</v>
      </c>
      <c r="BE34" s="39">
        <v>142100</v>
      </c>
      <c r="BF34" s="39"/>
      <c r="BG34" s="88">
        <f t="shared" si="21"/>
        <v>-1</v>
      </c>
      <c r="BH34" s="15">
        <f t="shared" si="22"/>
        <v>-1</v>
      </c>
      <c r="BI34" s="45">
        <f>'2024년 실적'!BJ34</f>
        <v>155977</v>
      </c>
      <c r="BJ34" s="39">
        <v>138800</v>
      </c>
      <c r="BK34" s="39"/>
      <c r="BL34" s="88">
        <f t="shared" si="23"/>
        <v>-1</v>
      </c>
      <c r="BM34" s="33">
        <f t="shared" si="24"/>
        <v>-1</v>
      </c>
      <c r="BN34" s="13">
        <f>'2024년 실적'!BO34</f>
        <v>164629</v>
      </c>
      <c r="BO34" s="39">
        <v>140300</v>
      </c>
      <c r="BP34" s="39"/>
      <c r="BQ34" s="88">
        <f t="shared" si="25"/>
        <v>-1</v>
      </c>
      <c r="BR34" s="15">
        <f t="shared" si="26"/>
        <v>-1</v>
      </c>
      <c r="BS34" s="45">
        <f>'2024년 실적'!BT34</f>
        <v>125667</v>
      </c>
      <c r="BT34" s="39">
        <v>122300</v>
      </c>
      <c r="BU34" s="39"/>
      <c r="BV34" s="88">
        <f t="shared" si="27"/>
        <v>-1</v>
      </c>
      <c r="BW34" s="15">
        <f t="shared" si="28"/>
        <v>-1</v>
      </c>
      <c r="BY34" s="37"/>
    </row>
    <row r="35" spans="2:77" x14ac:dyDescent="0.3">
      <c r="B35" s="312"/>
      <c r="C35" s="319"/>
      <c r="D35" s="284" t="s">
        <v>40</v>
      </c>
      <c r="E35" s="285"/>
      <c r="F35" s="45">
        <f>'2023년 실적'!F35</f>
        <v>399081.2</v>
      </c>
      <c r="G35" s="39">
        <f>'2023년 실적'!G35</f>
        <v>638927</v>
      </c>
      <c r="H35" s="39">
        <f>'2024년 실적'!L35</f>
        <v>536831</v>
      </c>
      <c r="I35" s="41">
        <f t="shared" si="119"/>
        <v>581000</v>
      </c>
      <c r="J35" s="33">
        <f t="shared" si="2"/>
        <v>8.2277290245906132E-2</v>
      </c>
      <c r="K35" s="107">
        <f t="shared" si="118"/>
        <v>536831</v>
      </c>
      <c r="L35" s="87">
        <f t="shared" si="118"/>
        <v>581000</v>
      </c>
      <c r="M35" s="87">
        <f t="shared" si="118"/>
        <v>0</v>
      </c>
      <c r="N35" s="88">
        <f t="shared" si="3"/>
        <v>-1</v>
      </c>
      <c r="O35" s="15">
        <f t="shared" si="4"/>
        <v>-1</v>
      </c>
      <c r="P35" s="13">
        <f>'2024년 실적'!Q35</f>
        <v>26813</v>
      </c>
      <c r="Q35" s="39">
        <v>37000</v>
      </c>
      <c r="R35" s="39"/>
      <c r="S35" s="88">
        <f t="shared" si="5"/>
        <v>-1</v>
      </c>
      <c r="T35" s="15">
        <f t="shared" si="6"/>
        <v>-1</v>
      </c>
      <c r="U35" s="45">
        <f>'2024년 실적'!V35</f>
        <v>35038</v>
      </c>
      <c r="V35" s="39">
        <v>40000</v>
      </c>
      <c r="W35" s="39"/>
      <c r="X35" s="88">
        <f t="shared" si="7"/>
        <v>-1</v>
      </c>
      <c r="Y35" s="33">
        <f t="shared" si="8"/>
        <v>-1</v>
      </c>
      <c r="Z35" s="13">
        <f>'2024년 실적'!AA35</f>
        <v>37846</v>
      </c>
      <c r="AA35" s="39">
        <v>52100</v>
      </c>
      <c r="AB35" s="39"/>
      <c r="AC35" s="88">
        <f t="shared" si="9"/>
        <v>-1</v>
      </c>
      <c r="AD35" s="15">
        <f t="shared" si="10"/>
        <v>-1</v>
      </c>
      <c r="AE35" s="45">
        <f>'2024년 실적'!AF35</f>
        <v>38655</v>
      </c>
      <c r="AF35" s="39">
        <v>45100</v>
      </c>
      <c r="AG35" s="39"/>
      <c r="AH35" s="88">
        <f t="shared" si="11"/>
        <v>-1</v>
      </c>
      <c r="AI35" s="33">
        <f t="shared" si="12"/>
        <v>-1</v>
      </c>
      <c r="AJ35" s="13">
        <f>'2024년 실적'!AK35</f>
        <v>41586</v>
      </c>
      <c r="AK35" s="39">
        <v>99100</v>
      </c>
      <c r="AL35" s="39"/>
      <c r="AM35" s="88">
        <f t="shared" si="13"/>
        <v>-1</v>
      </c>
      <c r="AN35" s="15">
        <f t="shared" si="14"/>
        <v>-1</v>
      </c>
      <c r="AO35" s="45">
        <f>'2024년 실적'!AP35</f>
        <v>38775</v>
      </c>
      <c r="AP35" s="39">
        <v>45100</v>
      </c>
      <c r="AQ35" s="39"/>
      <c r="AR35" s="88">
        <f t="shared" si="15"/>
        <v>-1</v>
      </c>
      <c r="AS35" s="33">
        <f t="shared" si="16"/>
        <v>-1</v>
      </c>
      <c r="AT35" s="13">
        <f>'2024년 실적'!AU35</f>
        <v>50177</v>
      </c>
      <c r="AU35" s="39">
        <v>44100</v>
      </c>
      <c r="AV35" s="39"/>
      <c r="AW35" s="88">
        <f t="shared" si="17"/>
        <v>-1</v>
      </c>
      <c r="AX35" s="15">
        <f t="shared" si="18"/>
        <v>-1</v>
      </c>
      <c r="AY35" s="45">
        <f>'2024년 실적'!AZ35</f>
        <v>58963</v>
      </c>
      <c r="AZ35" s="39">
        <v>43100</v>
      </c>
      <c r="BA35" s="39"/>
      <c r="BB35" s="88">
        <f t="shared" si="19"/>
        <v>-1</v>
      </c>
      <c r="BC35" s="33">
        <f t="shared" si="20"/>
        <v>-1</v>
      </c>
      <c r="BD35" s="13">
        <f>'2024년 실적'!BE35</f>
        <v>39991</v>
      </c>
      <c r="BE35" s="39">
        <v>42100</v>
      </c>
      <c r="BF35" s="39"/>
      <c r="BG35" s="88">
        <f t="shared" si="21"/>
        <v>-1</v>
      </c>
      <c r="BH35" s="15">
        <f t="shared" si="22"/>
        <v>-1</v>
      </c>
      <c r="BI35" s="45">
        <f>'2024년 실적'!BJ35</f>
        <v>33790</v>
      </c>
      <c r="BJ35" s="39">
        <v>42100</v>
      </c>
      <c r="BK35" s="39"/>
      <c r="BL35" s="88">
        <f t="shared" si="23"/>
        <v>-1</v>
      </c>
      <c r="BM35" s="33">
        <f t="shared" si="24"/>
        <v>-1</v>
      </c>
      <c r="BN35" s="13">
        <f>'2024년 실적'!BO35</f>
        <v>74100</v>
      </c>
      <c r="BO35" s="39">
        <v>45100</v>
      </c>
      <c r="BP35" s="39"/>
      <c r="BQ35" s="88">
        <f t="shared" si="25"/>
        <v>-1</v>
      </c>
      <c r="BR35" s="15">
        <f t="shared" si="26"/>
        <v>-1</v>
      </c>
      <c r="BS35" s="45">
        <f>'2024년 실적'!BT35</f>
        <v>61097</v>
      </c>
      <c r="BT35" s="39">
        <v>46100</v>
      </c>
      <c r="BU35" s="39"/>
      <c r="BV35" s="88">
        <f t="shared" si="27"/>
        <v>-1</v>
      </c>
      <c r="BW35" s="15">
        <f t="shared" si="28"/>
        <v>-1</v>
      </c>
      <c r="BY35" s="37"/>
    </row>
    <row r="36" spans="2:77" ht="17.25" thickBot="1" x14ac:dyDescent="0.35">
      <c r="B36" s="312"/>
      <c r="C36" s="320"/>
      <c r="D36" s="286" t="s">
        <v>41</v>
      </c>
      <c r="E36" s="287"/>
      <c r="F36" s="57">
        <f>'2023년 실적'!F36</f>
        <v>148762</v>
      </c>
      <c r="G36" s="42">
        <f>'2023년 실적'!G36</f>
        <v>51738</v>
      </c>
      <c r="H36" s="42">
        <f>'2024년 실적'!L36</f>
        <v>73018</v>
      </c>
      <c r="I36" s="41">
        <f t="shared" si="119"/>
        <v>50000</v>
      </c>
      <c r="J36" s="82">
        <f t="shared" si="2"/>
        <v>-0.31523733873839332</v>
      </c>
      <c r="K36" s="176">
        <f t="shared" si="118"/>
        <v>853454</v>
      </c>
      <c r="L36" s="177">
        <f t="shared" si="118"/>
        <v>50000</v>
      </c>
      <c r="M36" s="177">
        <f t="shared" si="118"/>
        <v>0</v>
      </c>
      <c r="N36" s="146">
        <f t="shared" si="3"/>
        <v>-1</v>
      </c>
      <c r="O36" s="25">
        <f t="shared" si="4"/>
        <v>-1</v>
      </c>
      <c r="P36" s="24">
        <f>'2024년 실적'!Q36</f>
        <v>4584</v>
      </c>
      <c r="Q36" s="42">
        <v>4000</v>
      </c>
      <c r="R36" s="42"/>
      <c r="S36" s="146">
        <f t="shared" si="5"/>
        <v>-1</v>
      </c>
      <c r="T36" s="25">
        <f t="shared" si="6"/>
        <v>-1</v>
      </c>
      <c r="U36" s="57">
        <f>'2024년 실적'!V36</f>
        <v>6076</v>
      </c>
      <c r="V36" s="42">
        <v>4000</v>
      </c>
      <c r="W36" s="42"/>
      <c r="X36" s="146">
        <f t="shared" si="7"/>
        <v>-1</v>
      </c>
      <c r="Y36" s="82">
        <f t="shared" si="8"/>
        <v>-1</v>
      </c>
      <c r="Z36" s="24">
        <f>'2024년 실적'!AA36</f>
        <v>3666</v>
      </c>
      <c r="AA36" s="42">
        <v>4000</v>
      </c>
      <c r="AB36" s="42"/>
      <c r="AC36" s="146">
        <f t="shared" si="9"/>
        <v>-1</v>
      </c>
      <c r="AD36" s="25">
        <f t="shared" si="10"/>
        <v>-1</v>
      </c>
      <c r="AE36" s="57">
        <f>'2024년 실적'!AF36</f>
        <v>2808</v>
      </c>
      <c r="AF36" s="42">
        <v>4000</v>
      </c>
      <c r="AG36" s="42"/>
      <c r="AH36" s="146">
        <f t="shared" si="11"/>
        <v>-1</v>
      </c>
      <c r="AI36" s="82">
        <f t="shared" si="12"/>
        <v>-1</v>
      </c>
      <c r="AJ36" s="24">
        <f>'2024년 실적'!AK36</f>
        <v>7864</v>
      </c>
      <c r="AK36" s="42">
        <v>4000</v>
      </c>
      <c r="AL36" s="42"/>
      <c r="AM36" s="146">
        <f t="shared" si="13"/>
        <v>-1</v>
      </c>
      <c r="AN36" s="25">
        <f t="shared" si="14"/>
        <v>-1</v>
      </c>
      <c r="AO36" s="57">
        <f>'2024년 실적'!AP36</f>
        <v>3467</v>
      </c>
      <c r="AP36" s="42">
        <v>4000</v>
      </c>
      <c r="AQ36" s="42"/>
      <c r="AR36" s="146">
        <f t="shared" si="15"/>
        <v>-1</v>
      </c>
      <c r="AS36" s="82">
        <f t="shared" si="16"/>
        <v>-1</v>
      </c>
      <c r="AT36" s="24">
        <f>'2024년 실적'!AU36</f>
        <v>10549</v>
      </c>
      <c r="AU36" s="42">
        <v>4000</v>
      </c>
      <c r="AV36" s="42"/>
      <c r="AW36" s="146">
        <f t="shared" si="17"/>
        <v>-1</v>
      </c>
      <c r="AX36" s="25">
        <f t="shared" si="18"/>
        <v>-1</v>
      </c>
      <c r="AY36" s="57">
        <f>'2024년 실적'!AZ36</f>
        <v>4656</v>
      </c>
      <c r="AZ36" s="42">
        <v>4000</v>
      </c>
      <c r="BA36" s="42"/>
      <c r="BB36" s="146">
        <f t="shared" si="19"/>
        <v>-1</v>
      </c>
      <c r="BC36" s="82">
        <f t="shared" si="20"/>
        <v>-1</v>
      </c>
      <c r="BD36" s="24">
        <f>BD28+BD25</f>
        <v>789235</v>
      </c>
      <c r="BE36" s="42">
        <v>4000</v>
      </c>
      <c r="BF36" s="42"/>
      <c r="BG36" s="146">
        <f t="shared" si="21"/>
        <v>-1</v>
      </c>
      <c r="BH36" s="25">
        <f t="shared" si="22"/>
        <v>-1</v>
      </c>
      <c r="BI36" s="57">
        <f>'2024년 실적'!BJ36</f>
        <v>5411</v>
      </c>
      <c r="BJ36" s="42">
        <v>4000</v>
      </c>
      <c r="BK36" s="42"/>
      <c r="BL36" s="146">
        <f t="shared" si="23"/>
        <v>-1</v>
      </c>
      <c r="BM36" s="82">
        <f t="shared" si="24"/>
        <v>-1</v>
      </c>
      <c r="BN36" s="24">
        <f>'2024년 실적'!BO36</f>
        <v>10010</v>
      </c>
      <c r="BO36" s="42">
        <v>5000</v>
      </c>
      <c r="BP36" s="42"/>
      <c r="BQ36" s="146">
        <f t="shared" si="25"/>
        <v>-1</v>
      </c>
      <c r="BR36" s="25">
        <f t="shared" si="26"/>
        <v>-1</v>
      </c>
      <c r="BS36" s="57">
        <f>'2024년 실적'!BT36</f>
        <v>5128</v>
      </c>
      <c r="BT36" s="42">
        <v>5000</v>
      </c>
      <c r="BU36" s="42"/>
      <c r="BV36" s="146">
        <f t="shared" si="27"/>
        <v>-1</v>
      </c>
      <c r="BW36" s="25">
        <f t="shared" si="28"/>
        <v>-1</v>
      </c>
      <c r="BY36" s="37"/>
    </row>
    <row r="37" spans="2:77" ht="17.25" thickBot="1" x14ac:dyDescent="0.35">
      <c r="B37" s="302"/>
      <c r="C37" s="323" t="s">
        <v>42</v>
      </c>
      <c r="D37" s="324"/>
      <c r="E37" s="325"/>
      <c r="F37" s="178">
        <f>F29+F26</f>
        <v>6829880.9000000004</v>
      </c>
      <c r="G37" s="179">
        <f>G29+G26</f>
        <v>6632338</v>
      </c>
      <c r="H37" s="179">
        <f>H29+H26</f>
        <v>6337507</v>
      </c>
      <c r="I37" s="179">
        <f>I29+I26</f>
        <v>7125000</v>
      </c>
      <c r="J37" s="180">
        <f t="shared" si="2"/>
        <v>0.124259113244372</v>
      </c>
      <c r="K37" s="181">
        <f>K29+K26</f>
        <v>7117943</v>
      </c>
      <c r="L37" s="179">
        <f>L29+L26</f>
        <v>7125000</v>
      </c>
      <c r="M37" s="179">
        <f>M29+M26</f>
        <v>0</v>
      </c>
      <c r="N37" s="182">
        <f t="shared" si="3"/>
        <v>-1</v>
      </c>
      <c r="O37" s="183">
        <f t="shared" si="4"/>
        <v>-1</v>
      </c>
      <c r="P37" s="181">
        <f>P29+P26</f>
        <v>476308</v>
      </c>
      <c r="Q37" s="179">
        <f>Q29+Q26</f>
        <v>499693</v>
      </c>
      <c r="R37" s="179">
        <f>R29+R26</f>
        <v>0</v>
      </c>
      <c r="S37" s="182">
        <f t="shared" si="5"/>
        <v>-1</v>
      </c>
      <c r="T37" s="183">
        <f t="shared" si="6"/>
        <v>-1</v>
      </c>
      <c r="U37" s="178">
        <f>U29+U26</f>
        <v>463573</v>
      </c>
      <c r="V37" s="179">
        <f>V29+V26</f>
        <v>538993</v>
      </c>
      <c r="W37" s="179">
        <f>W29+W26</f>
        <v>0</v>
      </c>
      <c r="X37" s="182">
        <f t="shared" si="7"/>
        <v>-1</v>
      </c>
      <c r="Y37" s="184">
        <f t="shared" si="8"/>
        <v>-1</v>
      </c>
      <c r="Z37" s="181">
        <f>Z29+Z26</f>
        <v>547542</v>
      </c>
      <c r="AA37" s="179">
        <f>AA29+AA26</f>
        <v>609593</v>
      </c>
      <c r="AB37" s="179">
        <f>AB29+AB26</f>
        <v>0</v>
      </c>
      <c r="AC37" s="182">
        <f t="shared" si="9"/>
        <v>-1</v>
      </c>
      <c r="AD37" s="183">
        <f t="shared" si="10"/>
        <v>-1</v>
      </c>
      <c r="AE37" s="178">
        <f>AE29+AE26</f>
        <v>526860</v>
      </c>
      <c r="AF37" s="179">
        <f>AF29+AF26</f>
        <v>670593</v>
      </c>
      <c r="AG37" s="179">
        <f>AG29+AG26</f>
        <v>0</v>
      </c>
      <c r="AH37" s="182">
        <f t="shared" si="11"/>
        <v>-1</v>
      </c>
      <c r="AI37" s="184">
        <f t="shared" si="12"/>
        <v>-1</v>
      </c>
      <c r="AJ37" s="181">
        <f>AJ29+AJ26</f>
        <v>571210</v>
      </c>
      <c r="AK37" s="179">
        <f>AK29+AK26</f>
        <v>632193</v>
      </c>
      <c r="AL37" s="179">
        <f>AL29+AL26</f>
        <v>0</v>
      </c>
      <c r="AM37" s="182">
        <f t="shared" si="13"/>
        <v>-1</v>
      </c>
      <c r="AN37" s="183">
        <f t="shared" si="14"/>
        <v>-1</v>
      </c>
      <c r="AO37" s="178">
        <f>AO29+AO26</f>
        <v>469334</v>
      </c>
      <c r="AP37" s="179">
        <f>AP29+AP26</f>
        <v>553793</v>
      </c>
      <c r="AQ37" s="179">
        <f>AQ29+AQ26</f>
        <v>0</v>
      </c>
      <c r="AR37" s="182">
        <f t="shared" si="15"/>
        <v>-1</v>
      </c>
      <c r="AS37" s="184">
        <f t="shared" si="16"/>
        <v>-1</v>
      </c>
      <c r="AT37" s="181">
        <f>AT29+AT26</f>
        <v>567647</v>
      </c>
      <c r="AU37" s="179">
        <f>AU29+AU26</f>
        <v>559593</v>
      </c>
      <c r="AV37" s="179">
        <f>AV29+AV26</f>
        <v>0</v>
      </c>
      <c r="AW37" s="182">
        <f t="shared" si="17"/>
        <v>-1</v>
      </c>
      <c r="AX37" s="183">
        <f t="shared" si="18"/>
        <v>-1</v>
      </c>
      <c r="AY37" s="178">
        <f>AY29+AY26</f>
        <v>506241</v>
      </c>
      <c r="AZ37" s="179">
        <f>AZ29+AZ26</f>
        <v>563293</v>
      </c>
      <c r="BA37" s="179">
        <f>BA29+BA26</f>
        <v>0</v>
      </c>
      <c r="BB37" s="182">
        <f t="shared" si="19"/>
        <v>-1</v>
      </c>
      <c r="BC37" s="184">
        <f t="shared" si="20"/>
        <v>-1</v>
      </c>
      <c r="BD37" s="181">
        <f>'2024년 실적'!BE37</f>
        <v>441214</v>
      </c>
      <c r="BE37" s="179">
        <v>0</v>
      </c>
      <c r="BF37" s="179">
        <v>0</v>
      </c>
      <c r="BG37" s="182" t="e">
        <f t="shared" si="21"/>
        <v>#DIV/0!</v>
      </c>
      <c r="BH37" s="183">
        <f t="shared" si="22"/>
        <v>-1</v>
      </c>
      <c r="BI37" s="178">
        <f>BI29+BI26</f>
        <v>575392</v>
      </c>
      <c r="BJ37" s="179">
        <f>BJ29+BJ26</f>
        <v>694293</v>
      </c>
      <c r="BK37" s="179">
        <f>BK29+BK26</f>
        <v>0</v>
      </c>
      <c r="BL37" s="182">
        <f t="shared" si="23"/>
        <v>-1</v>
      </c>
      <c r="BM37" s="184">
        <f t="shared" si="24"/>
        <v>-1</v>
      </c>
      <c r="BN37" s="181">
        <f>BN29+BN26</f>
        <v>589378</v>
      </c>
      <c r="BO37" s="179">
        <f>BO29+BO26</f>
        <v>583393</v>
      </c>
      <c r="BP37" s="179">
        <f>BP29+BP26</f>
        <v>0</v>
      </c>
      <c r="BQ37" s="182">
        <f t="shared" si="25"/>
        <v>-1</v>
      </c>
      <c r="BR37" s="183">
        <f t="shared" si="26"/>
        <v>-1</v>
      </c>
      <c r="BS37" s="178">
        <f>BS29+BS26</f>
        <v>602808</v>
      </c>
      <c r="BT37" s="179">
        <f>BT29+BT26</f>
        <v>594727</v>
      </c>
      <c r="BU37" s="179">
        <f>BU29+BU26</f>
        <v>0</v>
      </c>
      <c r="BV37" s="182">
        <f t="shared" si="27"/>
        <v>-1</v>
      </c>
      <c r="BW37" s="183">
        <f t="shared" si="28"/>
        <v>-1</v>
      </c>
      <c r="BY37" s="37"/>
    </row>
    <row r="38" spans="2:77" ht="17.25" thickBot="1" x14ac:dyDescent="0.35">
      <c r="B38" s="311" t="s">
        <v>43</v>
      </c>
      <c r="C38" s="368" t="s">
        <v>13</v>
      </c>
      <c r="D38" s="368"/>
      <c r="E38" s="369"/>
      <c r="F38" s="52">
        <f>'2023년 실적'!F38</f>
        <v>59089</v>
      </c>
      <c r="G38" s="38">
        <f>'2023년 실적'!G38</f>
        <v>75342</v>
      </c>
      <c r="H38" s="38">
        <f>'2024년 실적'!L38</f>
        <v>92962</v>
      </c>
      <c r="I38" s="41">
        <f>L38</f>
        <v>120000</v>
      </c>
      <c r="J38" s="77">
        <f t="shared" si="2"/>
        <v>0.29085002474129218</v>
      </c>
      <c r="K38" s="131">
        <f t="shared" ref="K38:M39" si="120">P38+U38+Z38+AE38+AJ38+AO38+AT38+AY38+BD38+BI38+BN38+BS38</f>
        <v>92962</v>
      </c>
      <c r="L38" s="132">
        <f t="shared" si="120"/>
        <v>120000</v>
      </c>
      <c r="M38" s="132">
        <f t="shared" si="120"/>
        <v>0</v>
      </c>
      <c r="N38" s="115">
        <f t="shared" si="3"/>
        <v>-1</v>
      </c>
      <c r="O38" s="10">
        <f t="shared" si="4"/>
        <v>-1</v>
      </c>
      <c r="P38" s="8">
        <f>'2024년 실적'!Q38</f>
        <v>6906</v>
      </c>
      <c r="Q38" s="9">
        <v>10000</v>
      </c>
      <c r="R38" s="9"/>
      <c r="S38" s="115">
        <f t="shared" si="5"/>
        <v>-1</v>
      </c>
      <c r="T38" s="10">
        <f t="shared" si="6"/>
        <v>-1</v>
      </c>
      <c r="U38" s="52">
        <f>'2024년 실적'!V38</f>
        <v>6821</v>
      </c>
      <c r="V38" s="9">
        <f>Q38</f>
        <v>10000</v>
      </c>
      <c r="W38" s="9"/>
      <c r="X38" s="115">
        <f t="shared" si="7"/>
        <v>-1</v>
      </c>
      <c r="Y38" s="77">
        <f t="shared" si="8"/>
        <v>-1</v>
      </c>
      <c r="Z38" s="8">
        <f>'2024년 실적'!AA38</f>
        <v>5904</v>
      </c>
      <c r="AA38" s="9">
        <f>V38</f>
        <v>10000</v>
      </c>
      <c r="AB38" s="9"/>
      <c r="AC38" s="115">
        <f t="shared" si="9"/>
        <v>-1</v>
      </c>
      <c r="AD38" s="10">
        <f t="shared" si="10"/>
        <v>-1</v>
      </c>
      <c r="AE38" s="52">
        <f>'2024년 실적'!AF38</f>
        <v>10023</v>
      </c>
      <c r="AF38" s="9">
        <f>AA38</f>
        <v>10000</v>
      </c>
      <c r="AG38" s="9"/>
      <c r="AH38" s="115">
        <f t="shared" si="11"/>
        <v>-1</v>
      </c>
      <c r="AI38" s="77">
        <f t="shared" si="12"/>
        <v>-1</v>
      </c>
      <c r="AJ38" s="8">
        <f>'2024년 실적'!AK38</f>
        <v>9644</v>
      </c>
      <c r="AK38" s="9">
        <f>AF38</f>
        <v>10000</v>
      </c>
      <c r="AL38" s="9"/>
      <c r="AM38" s="115">
        <f t="shared" si="13"/>
        <v>-1</v>
      </c>
      <c r="AN38" s="10">
        <f t="shared" si="14"/>
        <v>-1</v>
      </c>
      <c r="AO38" s="52">
        <f>'2024년 실적'!AP38</f>
        <v>6815</v>
      </c>
      <c r="AP38" s="9">
        <f>AK38</f>
        <v>10000</v>
      </c>
      <c r="AQ38" s="9"/>
      <c r="AR38" s="115">
        <f t="shared" si="15"/>
        <v>-1</v>
      </c>
      <c r="AS38" s="77">
        <f t="shared" si="16"/>
        <v>-1</v>
      </c>
      <c r="AT38" s="8">
        <f>'2024년 실적'!AU38</f>
        <v>5618</v>
      </c>
      <c r="AU38" s="9">
        <f>AP38</f>
        <v>10000</v>
      </c>
      <c r="AV38" s="9"/>
      <c r="AW38" s="115">
        <f t="shared" si="17"/>
        <v>-1</v>
      </c>
      <c r="AX38" s="10">
        <f t="shared" si="18"/>
        <v>-1</v>
      </c>
      <c r="AY38" s="52">
        <f>'2024년 실적'!AZ38</f>
        <v>6755</v>
      </c>
      <c r="AZ38" s="9">
        <f>AU38</f>
        <v>10000</v>
      </c>
      <c r="BA38" s="9"/>
      <c r="BB38" s="115">
        <f t="shared" si="19"/>
        <v>-1</v>
      </c>
      <c r="BC38" s="77">
        <f t="shared" si="20"/>
        <v>-1</v>
      </c>
      <c r="BD38" s="8">
        <f>'2024년 실적'!BE38</f>
        <v>12109</v>
      </c>
      <c r="BE38" s="9">
        <f>AZ38</f>
        <v>10000</v>
      </c>
      <c r="BF38" s="9"/>
      <c r="BG38" s="115">
        <f t="shared" si="21"/>
        <v>-1</v>
      </c>
      <c r="BH38" s="10">
        <f t="shared" si="22"/>
        <v>-1</v>
      </c>
      <c r="BI38" s="52">
        <f>'2024년 실적'!BJ38</f>
        <v>9654</v>
      </c>
      <c r="BJ38" s="9">
        <f>BE38</f>
        <v>10000</v>
      </c>
      <c r="BK38" s="9"/>
      <c r="BL38" s="115">
        <f t="shared" si="23"/>
        <v>-1</v>
      </c>
      <c r="BM38" s="77">
        <f t="shared" si="24"/>
        <v>-1</v>
      </c>
      <c r="BN38" s="8">
        <f>'2024년 실적'!BO38</f>
        <v>6197</v>
      </c>
      <c r="BO38" s="9">
        <f>BJ38</f>
        <v>10000</v>
      </c>
      <c r="BP38" s="9"/>
      <c r="BQ38" s="115">
        <f t="shared" si="25"/>
        <v>-1</v>
      </c>
      <c r="BR38" s="10">
        <f t="shared" si="26"/>
        <v>-1</v>
      </c>
      <c r="BS38" s="52">
        <f>'2024년 실적'!BT38</f>
        <v>6516</v>
      </c>
      <c r="BT38" s="9">
        <f>BO38</f>
        <v>10000</v>
      </c>
      <c r="BU38" s="9"/>
      <c r="BV38" s="115">
        <f t="shared" si="27"/>
        <v>-1</v>
      </c>
      <c r="BW38" s="10">
        <f t="shared" si="28"/>
        <v>-1</v>
      </c>
    </row>
    <row r="39" spans="2:77" ht="17.25" thickBot="1" x14ac:dyDescent="0.35">
      <c r="B39" s="312"/>
      <c r="C39" s="356" t="s">
        <v>14</v>
      </c>
      <c r="D39" s="356"/>
      <c r="E39" s="357"/>
      <c r="F39" s="45">
        <f>'2023년 실적'!F39</f>
        <v>56642</v>
      </c>
      <c r="G39" s="39">
        <f>'2023년 실적'!G39</f>
        <v>77688</v>
      </c>
      <c r="H39" s="39">
        <f>'2024년 실적'!L39</f>
        <v>92713</v>
      </c>
      <c r="I39" s="39">
        <f>I38</f>
        <v>120000</v>
      </c>
      <c r="J39" s="33">
        <f t="shared" si="2"/>
        <v>0.29431687034180753</v>
      </c>
      <c r="K39" s="131">
        <f>P39+U39+Z39+AE39+AJ39+AO39+AT39+AY39+BD39+BI39+BN39+BS39</f>
        <v>92713</v>
      </c>
      <c r="L39" s="132">
        <f t="shared" si="120"/>
        <v>110000</v>
      </c>
      <c r="M39" s="132">
        <f t="shared" si="120"/>
        <v>0</v>
      </c>
      <c r="N39" s="88">
        <f t="shared" si="3"/>
        <v>-1</v>
      </c>
      <c r="O39" s="15">
        <f t="shared" si="4"/>
        <v>-1</v>
      </c>
      <c r="P39" s="13">
        <f>'2024년 실적'!Q39</f>
        <v>6978</v>
      </c>
      <c r="Q39" s="28">
        <f>Q38</f>
        <v>10000</v>
      </c>
      <c r="R39" s="14"/>
      <c r="S39" s="88">
        <f t="shared" si="5"/>
        <v>-1</v>
      </c>
      <c r="T39" s="15">
        <f t="shared" si="6"/>
        <v>-1</v>
      </c>
      <c r="U39" s="45">
        <f>'2024년 실적'!V39</f>
        <v>5680</v>
      </c>
      <c r="V39" s="28">
        <f>V38</f>
        <v>10000</v>
      </c>
      <c r="W39" s="14"/>
      <c r="X39" s="88">
        <f t="shared" si="7"/>
        <v>-1</v>
      </c>
      <c r="Y39" s="33">
        <f t="shared" si="8"/>
        <v>-1</v>
      </c>
      <c r="Z39" s="13">
        <f>'2024년 실적'!AA39</f>
        <v>4948</v>
      </c>
      <c r="AA39" s="28">
        <f>AA38</f>
        <v>10000</v>
      </c>
      <c r="AB39" s="14"/>
      <c r="AC39" s="88">
        <f t="shared" si="9"/>
        <v>-1</v>
      </c>
      <c r="AD39" s="15">
        <f t="shared" si="10"/>
        <v>-1</v>
      </c>
      <c r="AE39" s="45">
        <f>'2024년 실적'!AF39</f>
        <v>10425</v>
      </c>
      <c r="AF39" s="28">
        <f>AF38</f>
        <v>10000</v>
      </c>
      <c r="AG39" s="14"/>
      <c r="AH39" s="88">
        <f t="shared" si="11"/>
        <v>-1</v>
      </c>
      <c r="AI39" s="33">
        <f t="shared" si="12"/>
        <v>-1</v>
      </c>
      <c r="AJ39" s="13">
        <f>'2024년 실적'!AK39</f>
        <v>9916</v>
      </c>
      <c r="AK39" s="28">
        <f>AK38</f>
        <v>10000</v>
      </c>
      <c r="AL39" s="14"/>
      <c r="AM39" s="88">
        <f t="shared" si="13"/>
        <v>-1</v>
      </c>
      <c r="AN39" s="15">
        <f t="shared" si="14"/>
        <v>-1</v>
      </c>
      <c r="AO39" s="45">
        <f>'2024년 실적'!AP39</f>
        <v>8955</v>
      </c>
      <c r="AP39" s="28">
        <f>AP38</f>
        <v>10000</v>
      </c>
      <c r="AQ39" s="14"/>
      <c r="AR39" s="88">
        <f t="shared" si="15"/>
        <v>-1</v>
      </c>
      <c r="AS39" s="33">
        <f t="shared" si="16"/>
        <v>-1</v>
      </c>
      <c r="AT39" s="13">
        <f>'2024년 실적'!AU39</f>
        <v>5834</v>
      </c>
      <c r="AU39" s="28">
        <f>AU38</f>
        <v>10000</v>
      </c>
      <c r="AV39" s="14"/>
      <c r="AW39" s="88">
        <f t="shared" si="17"/>
        <v>-1</v>
      </c>
      <c r="AX39" s="15">
        <f t="shared" si="18"/>
        <v>-1</v>
      </c>
      <c r="AY39" s="45">
        <f>'2024년 실적'!AZ39</f>
        <v>12401</v>
      </c>
      <c r="AZ39" s="28">
        <f>AZ38</f>
        <v>10000</v>
      </c>
      <c r="BA39" s="14"/>
      <c r="BB39" s="88">
        <f t="shared" si="19"/>
        <v>-1</v>
      </c>
      <c r="BC39" s="33">
        <f t="shared" si="20"/>
        <v>-1</v>
      </c>
      <c r="BD39" s="13">
        <f>'2024년 실적'!BE39</f>
        <v>5706</v>
      </c>
      <c r="BE39" s="28">
        <v>0</v>
      </c>
      <c r="BF39" s="14"/>
      <c r="BG39" s="88" t="e">
        <f t="shared" si="21"/>
        <v>#DIV/0!</v>
      </c>
      <c r="BH39" s="15">
        <f t="shared" si="22"/>
        <v>-1</v>
      </c>
      <c r="BI39" s="45">
        <f>'2024년 실적'!BJ39</f>
        <v>9731</v>
      </c>
      <c r="BJ39" s="28">
        <f>BJ38</f>
        <v>10000</v>
      </c>
      <c r="BK39" s="14"/>
      <c r="BL39" s="88">
        <f t="shared" si="23"/>
        <v>-1</v>
      </c>
      <c r="BM39" s="33">
        <f t="shared" si="24"/>
        <v>-1</v>
      </c>
      <c r="BN39" s="13">
        <f>'2024년 실적'!BO39</f>
        <v>5759</v>
      </c>
      <c r="BO39" s="28">
        <f>BO38</f>
        <v>10000</v>
      </c>
      <c r="BP39" s="14"/>
      <c r="BQ39" s="88">
        <f t="shared" si="25"/>
        <v>-1</v>
      </c>
      <c r="BR39" s="15">
        <f t="shared" si="26"/>
        <v>-1</v>
      </c>
      <c r="BS39" s="45">
        <f>'2024년 실적'!BT39</f>
        <v>6380</v>
      </c>
      <c r="BT39" s="28">
        <f>BT38</f>
        <v>10000</v>
      </c>
      <c r="BU39" s="14"/>
      <c r="BV39" s="88">
        <f t="shared" si="27"/>
        <v>-1</v>
      </c>
      <c r="BW39" s="15">
        <f t="shared" si="28"/>
        <v>-1</v>
      </c>
    </row>
    <row r="40" spans="2:77" ht="17.25" thickBot="1" x14ac:dyDescent="0.35">
      <c r="B40" s="313"/>
      <c r="C40" s="358" t="s">
        <v>15</v>
      </c>
      <c r="D40" s="358"/>
      <c r="E40" s="359"/>
      <c r="F40" s="47">
        <f>'2023년 실적'!F40</f>
        <v>1159</v>
      </c>
      <c r="G40" s="43">
        <f>'2023년 실적'!G40</f>
        <v>3913</v>
      </c>
      <c r="H40" s="43">
        <f>'2024년 실적'!L40</f>
        <v>3665</v>
      </c>
      <c r="I40" s="43">
        <f>ROUND(I39/24,0)</f>
        <v>5000</v>
      </c>
      <c r="J40" s="76">
        <f t="shared" si="2"/>
        <v>0.36425648021828105</v>
      </c>
      <c r="K40" s="8">
        <f t="shared" ref="K40:M40" si="121">BS40</f>
        <v>3665</v>
      </c>
      <c r="L40" s="8">
        <f t="shared" si="121"/>
        <v>5000</v>
      </c>
      <c r="M40" s="8">
        <f t="shared" si="121"/>
        <v>0</v>
      </c>
      <c r="N40" s="72">
        <f t="shared" si="3"/>
        <v>-1</v>
      </c>
      <c r="O40" s="6">
        <f t="shared" si="4"/>
        <v>-1</v>
      </c>
      <c r="P40" s="5">
        <f>'2024년 실적'!Q40</f>
        <v>3985</v>
      </c>
      <c r="Q40" s="7">
        <f>ROUND(Q39/2,)</f>
        <v>5000</v>
      </c>
      <c r="R40" s="7"/>
      <c r="S40" s="72">
        <f t="shared" si="5"/>
        <v>-1</v>
      </c>
      <c r="T40" s="6">
        <f t="shared" si="6"/>
        <v>-1</v>
      </c>
      <c r="U40" s="47">
        <f>'2024년 실적'!V40</f>
        <v>2844</v>
      </c>
      <c r="V40" s="7">
        <f>ROUND(V39/2,)</f>
        <v>5000</v>
      </c>
      <c r="W40" s="7"/>
      <c r="X40" s="72">
        <f t="shared" si="7"/>
        <v>-1</v>
      </c>
      <c r="Y40" s="76">
        <f t="shared" si="8"/>
        <v>-1</v>
      </c>
      <c r="Z40" s="5">
        <f>'2024년 실적'!AA40</f>
        <v>1888</v>
      </c>
      <c r="AA40" s="7">
        <f>ROUND(AA39/2,)</f>
        <v>5000</v>
      </c>
      <c r="AB40" s="7"/>
      <c r="AC40" s="72">
        <f t="shared" si="9"/>
        <v>-1</v>
      </c>
      <c r="AD40" s="6">
        <f t="shared" si="10"/>
        <v>-1</v>
      </c>
      <c r="AE40" s="47">
        <f>'2024년 실적'!AF40</f>
        <v>2290</v>
      </c>
      <c r="AF40" s="7">
        <f>ROUND(AF39/2,)</f>
        <v>5000</v>
      </c>
      <c r="AG40" s="7"/>
      <c r="AH40" s="72">
        <f t="shared" si="11"/>
        <v>-1</v>
      </c>
      <c r="AI40" s="76">
        <f t="shared" si="12"/>
        <v>-1</v>
      </c>
      <c r="AJ40" s="5">
        <f>'2024년 실적'!AK40</f>
        <v>2562</v>
      </c>
      <c r="AK40" s="7">
        <f>ROUND(AK39/2,)</f>
        <v>5000</v>
      </c>
      <c r="AL40" s="7"/>
      <c r="AM40" s="72">
        <f t="shared" si="13"/>
        <v>-1</v>
      </c>
      <c r="AN40" s="6">
        <f t="shared" si="14"/>
        <v>-1</v>
      </c>
      <c r="AO40" s="47">
        <f>'2024년 실적'!AP40</f>
        <v>4702</v>
      </c>
      <c r="AP40" s="7">
        <f>ROUND(AP39/2,)</f>
        <v>5000</v>
      </c>
      <c r="AQ40" s="7"/>
      <c r="AR40" s="72">
        <f t="shared" si="15"/>
        <v>-1</v>
      </c>
      <c r="AS40" s="76">
        <f t="shared" si="16"/>
        <v>-1</v>
      </c>
      <c r="AT40" s="5">
        <f>'2024년 실적'!AU40</f>
        <v>4918</v>
      </c>
      <c r="AU40" s="7">
        <f>ROUND(AU39/2,)</f>
        <v>5000</v>
      </c>
      <c r="AV40" s="7"/>
      <c r="AW40" s="72">
        <f t="shared" si="17"/>
        <v>-1</v>
      </c>
      <c r="AX40" s="6">
        <f t="shared" si="18"/>
        <v>-1</v>
      </c>
      <c r="AY40" s="47">
        <f>'2024년 실적'!AZ40</f>
        <v>6164</v>
      </c>
      <c r="AZ40" s="7">
        <f>ROUND(AZ39/2,)</f>
        <v>5000</v>
      </c>
      <c r="BA40" s="7"/>
      <c r="BB40" s="72">
        <f t="shared" si="19"/>
        <v>-1</v>
      </c>
      <c r="BC40" s="76">
        <f t="shared" si="20"/>
        <v>-1</v>
      </c>
      <c r="BD40" s="5">
        <f>'2024년 실적'!BE40</f>
        <v>4161</v>
      </c>
      <c r="BE40" s="7">
        <v>0</v>
      </c>
      <c r="BF40" s="7"/>
      <c r="BG40" s="72" t="e">
        <f t="shared" si="21"/>
        <v>#DIV/0!</v>
      </c>
      <c r="BH40" s="6">
        <f t="shared" si="22"/>
        <v>-1</v>
      </c>
      <c r="BI40" s="47">
        <f>'2024년 실적'!BJ40</f>
        <v>4239</v>
      </c>
      <c r="BJ40" s="7">
        <f>ROUND(BJ39/2,)</f>
        <v>5000</v>
      </c>
      <c r="BK40" s="7"/>
      <c r="BL40" s="72">
        <f t="shared" si="23"/>
        <v>-1</v>
      </c>
      <c r="BM40" s="76">
        <f t="shared" si="24"/>
        <v>-1</v>
      </c>
      <c r="BN40" s="5">
        <f>'2024년 실적'!BO40</f>
        <v>3801</v>
      </c>
      <c r="BO40" s="7">
        <f>ROUND(BO39/2,)</f>
        <v>5000</v>
      </c>
      <c r="BP40" s="7"/>
      <c r="BQ40" s="72">
        <f t="shared" si="25"/>
        <v>-1</v>
      </c>
      <c r="BR40" s="6">
        <f t="shared" si="26"/>
        <v>-1</v>
      </c>
      <c r="BS40" s="47">
        <f>'2024년 실적'!BT40</f>
        <v>3665</v>
      </c>
      <c r="BT40" s="7">
        <f>ROUND(BT39/2,)</f>
        <v>5000</v>
      </c>
      <c r="BU40" s="7"/>
      <c r="BV40" s="72">
        <f t="shared" si="27"/>
        <v>-1</v>
      </c>
      <c r="BW40" s="6">
        <f t="shared" si="28"/>
        <v>-1</v>
      </c>
    </row>
    <row r="41" spans="2:77" ht="17.25" thickBot="1" x14ac:dyDescent="0.35">
      <c r="B41" s="314" t="s">
        <v>44</v>
      </c>
      <c r="C41" s="354" t="s">
        <v>13</v>
      </c>
      <c r="D41" s="354"/>
      <c r="E41" s="355"/>
      <c r="F41" s="56">
        <f>'2023년 실적'!F41</f>
        <v>3002564</v>
      </c>
      <c r="G41" s="41">
        <f>'2023년 실적'!G41</f>
        <v>3088164</v>
      </c>
      <c r="H41" s="41">
        <f>'2024년 실적'!L41</f>
        <v>3044212</v>
      </c>
      <c r="I41" s="41">
        <f>L41</f>
        <v>2820000</v>
      </c>
      <c r="J41" s="81">
        <f t="shared" si="2"/>
        <v>-7.3651900721763086E-2</v>
      </c>
      <c r="K41" s="129">
        <f t="shared" ref="K41:M42" si="122">P41+U41+Z41+AE41+AJ41+AO41+AT41+AY41+BD41+BI41+BN41+BS41</f>
        <v>3044212</v>
      </c>
      <c r="L41" s="130">
        <f t="shared" si="122"/>
        <v>2820000</v>
      </c>
      <c r="M41" s="130">
        <f t="shared" si="122"/>
        <v>0</v>
      </c>
      <c r="N41" s="112">
        <f t="shared" si="3"/>
        <v>-1</v>
      </c>
      <c r="O41" s="23">
        <f t="shared" si="4"/>
        <v>-1</v>
      </c>
      <c r="P41" s="21">
        <f>'2024년 실적'!Q41</f>
        <v>225540</v>
      </c>
      <c r="Q41" s="22">
        <v>235000</v>
      </c>
      <c r="R41" s="22"/>
      <c r="S41" s="112">
        <f t="shared" si="5"/>
        <v>-1</v>
      </c>
      <c r="T41" s="23">
        <f t="shared" si="6"/>
        <v>-1</v>
      </c>
      <c r="U41" s="56">
        <f>'2024년 실적'!V41</f>
        <v>252504</v>
      </c>
      <c r="V41" s="22">
        <v>235000</v>
      </c>
      <c r="W41" s="22"/>
      <c r="X41" s="112">
        <f t="shared" si="7"/>
        <v>-1</v>
      </c>
      <c r="Y41" s="81">
        <f t="shared" si="8"/>
        <v>-1</v>
      </c>
      <c r="Z41" s="21">
        <f>'2024년 실적'!AA41</f>
        <v>234804</v>
      </c>
      <c r="AA41" s="22">
        <v>235000</v>
      </c>
      <c r="AB41" s="22"/>
      <c r="AC41" s="112">
        <f t="shared" si="9"/>
        <v>-1</v>
      </c>
      <c r="AD41" s="23">
        <f t="shared" si="10"/>
        <v>-1</v>
      </c>
      <c r="AE41" s="56">
        <f>'2024년 실적'!AF41</f>
        <v>311832</v>
      </c>
      <c r="AF41" s="22">
        <v>235000</v>
      </c>
      <c r="AG41" s="22"/>
      <c r="AH41" s="112">
        <f t="shared" si="11"/>
        <v>-1</v>
      </c>
      <c r="AI41" s="81">
        <f t="shared" si="12"/>
        <v>-1</v>
      </c>
      <c r="AJ41" s="21">
        <f>'2024년 실적'!AK41</f>
        <v>227596</v>
      </c>
      <c r="AK41" s="22">
        <v>235000</v>
      </c>
      <c r="AL41" s="22"/>
      <c r="AM41" s="112">
        <f t="shared" si="13"/>
        <v>-1</v>
      </c>
      <c r="AN41" s="23">
        <f t="shared" si="14"/>
        <v>-1</v>
      </c>
      <c r="AO41" s="56">
        <f>'2024년 실적'!AP41</f>
        <v>246524</v>
      </c>
      <c r="AP41" s="22">
        <v>235000</v>
      </c>
      <c r="AQ41" s="22"/>
      <c r="AR41" s="112">
        <f t="shared" si="15"/>
        <v>-1</v>
      </c>
      <c r="AS41" s="81">
        <f t="shared" si="16"/>
        <v>-1</v>
      </c>
      <c r="AT41" s="21">
        <f>'2024년 실적'!AU41</f>
        <v>327500</v>
      </c>
      <c r="AU41" s="22">
        <v>235000</v>
      </c>
      <c r="AV41" s="22"/>
      <c r="AW41" s="112">
        <f t="shared" si="17"/>
        <v>-1</v>
      </c>
      <c r="AX41" s="23">
        <f t="shared" si="18"/>
        <v>-1</v>
      </c>
      <c r="AY41" s="56">
        <f>'2024년 실적'!AZ41</f>
        <v>246312</v>
      </c>
      <c r="AZ41" s="22">
        <v>235000</v>
      </c>
      <c r="BA41" s="22"/>
      <c r="BB41" s="112">
        <f t="shared" si="19"/>
        <v>-1</v>
      </c>
      <c r="BC41" s="81">
        <f t="shared" si="20"/>
        <v>-1</v>
      </c>
      <c r="BD41" s="21">
        <f>'2024년 실적'!BE41</f>
        <v>183544</v>
      </c>
      <c r="BE41" s="22">
        <v>235000</v>
      </c>
      <c r="BF41" s="22"/>
      <c r="BG41" s="112">
        <f t="shared" si="21"/>
        <v>-1</v>
      </c>
      <c r="BH41" s="23">
        <f t="shared" si="22"/>
        <v>-1</v>
      </c>
      <c r="BI41" s="56">
        <f>'2024년 실적'!BJ41</f>
        <v>282652</v>
      </c>
      <c r="BJ41" s="22">
        <v>235000</v>
      </c>
      <c r="BK41" s="22"/>
      <c r="BL41" s="112">
        <f t="shared" si="23"/>
        <v>-1</v>
      </c>
      <c r="BM41" s="81">
        <f t="shared" si="24"/>
        <v>-1</v>
      </c>
      <c r="BN41" s="21">
        <f>'2024년 실적'!BO41</f>
        <v>247308</v>
      </c>
      <c r="BO41" s="22">
        <v>235000</v>
      </c>
      <c r="BP41" s="22"/>
      <c r="BQ41" s="112">
        <f t="shared" si="25"/>
        <v>-1</v>
      </c>
      <c r="BR41" s="23">
        <f t="shared" si="26"/>
        <v>-1</v>
      </c>
      <c r="BS41" s="56">
        <f>'2024년 실적'!BT41</f>
        <v>258096</v>
      </c>
      <c r="BT41" s="22">
        <v>235000</v>
      </c>
      <c r="BU41" s="22"/>
      <c r="BV41" s="112">
        <f t="shared" si="27"/>
        <v>-1</v>
      </c>
      <c r="BW41" s="23">
        <f t="shared" si="28"/>
        <v>-1</v>
      </c>
    </row>
    <row r="42" spans="2:77" ht="17.25" thickBot="1" x14ac:dyDescent="0.35">
      <c r="B42" s="312"/>
      <c r="C42" s="356" t="s">
        <v>14</v>
      </c>
      <c r="D42" s="356"/>
      <c r="E42" s="357"/>
      <c r="F42" s="45">
        <f>'2023년 실적'!F42</f>
        <v>3008984</v>
      </c>
      <c r="G42" s="39">
        <f>'2023년 실적'!G42</f>
        <v>3030956</v>
      </c>
      <c r="H42" s="39">
        <f>'2024년 실적'!L42</f>
        <v>3144752</v>
      </c>
      <c r="I42" s="39">
        <f>I41</f>
        <v>2820000</v>
      </c>
      <c r="J42" s="33">
        <f t="shared" si="2"/>
        <v>-0.10326792065002266</v>
      </c>
      <c r="K42" s="131">
        <f>P42+U42+Z42+AE42+AJ42+AO42+AT42+AY42+BD42+BI42+BN42+BS42</f>
        <v>3144752</v>
      </c>
      <c r="L42" s="132">
        <f t="shared" si="122"/>
        <v>2585000</v>
      </c>
      <c r="M42" s="132">
        <f t="shared" si="122"/>
        <v>0</v>
      </c>
      <c r="N42" s="88">
        <f t="shared" si="3"/>
        <v>-1</v>
      </c>
      <c r="O42" s="15">
        <f t="shared" si="4"/>
        <v>-1</v>
      </c>
      <c r="P42" s="13">
        <f>'2024년 실적'!Q42</f>
        <v>308652</v>
      </c>
      <c r="Q42" s="28">
        <f>Q41</f>
        <v>235000</v>
      </c>
      <c r="R42" s="14"/>
      <c r="S42" s="88">
        <f t="shared" si="5"/>
        <v>-1</v>
      </c>
      <c r="T42" s="15">
        <f t="shared" si="6"/>
        <v>-1</v>
      </c>
      <c r="U42" s="45">
        <f>'2024년 실적'!V42</f>
        <v>251088</v>
      </c>
      <c r="V42" s="28">
        <f>V41</f>
        <v>235000</v>
      </c>
      <c r="W42" s="14"/>
      <c r="X42" s="88">
        <f t="shared" si="7"/>
        <v>-1</v>
      </c>
      <c r="Y42" s="33">
        <f t="shared" si="8"/>
        <v>-1</v>
      </c>
      <c r="Z42" s="13">
        <f>'2024년 실적'!AA42</f>
        <v>206792</v>
      </c>
      <c r="AA42" s="28">
        <f>AA41</f>
        <v>235000</v>
      </c>
      <c r="AB42" s="14"/>
      <c r="AC42" s="88">
        <f t="shared" si="9"/>
        <v>-1</v>
      </c>
      <c r="AD42" s="15">
        <f t="shared" si="10"/>
        <v>-1</v>
      </c>
      <c r="AE42" s="45">
        <f>'2024년 실적'!AF42</f>
        <v>305820</v>
      </c>
      <c r="AF42" s="28">
        <f>AF41</f>
        <v>235000</v>
      </c>
      <c r="AG42" s="14"/>
      <c r="AH42" s="88">
        <f t="shared" si="11"/>
        <v>-1</v>
      </c>
      <c r="AI42" s="33">
        <f t="shared" si="12"/>
        <v>-1</v>
      </c>
      <c r="AJ42" s="13">
        <f>'2024년 실적'!AK42</f>
        <v>268064</v>
      </c>
      <c r="AK42" s="28">
        <f>AK41</f>
        <v>235000</v>
      </c>
      <c r="AL42" s="14"/>
      <c r="AM42" s="88">
        <f t="shared" si="13"/>
        <v>-1</v>
      </c>
      <c r="AN42" s="15">
        <f t="shared" si="14"/>
        <v>-1</v>
      </c>
      <c r="AO42" s="45">
        <f>'2024년 실적'!AP42</f>
        <v>264536</v>
      </c>
      <c r="AP42" s="28">
        <f>AP41</f>
        <v>235000</v>
      </c>
      <c r="AQ42" s="14"/>
      <c r="AR42" s="88">
        <f t="shared" si="15"/>
        <v>-1</v>
      </c>
      <c r="AS42" s="33">
        <f t="shared" si="16"/>
        <v>-1</v>
      </c>
      <c r="AT42" s="13">
        <f>'2024년 실적'!AU42</f>
        <v>396104</v>
      </c>
      <c r="AU42" s="28">
        <f>AU41</f>
        <v>235000</v>
      </c>
      <c r="AV42" s="14"/>
      <c r="AW42" s="88">
        <f t="shared" si="17"/>
        <v>-1</v>
      </c>
      <c r="AX42" s="15">
        <f t="shared" si="18"/>
        <v>-1</v>
      </c>
      <c r="AY42" s="45">
        <f>'2024년 실적'!AZ42</f>
        <v>250992</v>
      </c>
      <c r="AZ42" s="28">
        <f>AZ41</f>
        <v>235000</v>
      </c>
      <c r="BA42" s="14"/>
      <c r="BB42" s="88">
        <f t="shared" si="19"/>
        <v>-1</v>
      </c>
      <c r="BC42" s="33">
        <f t="shared" si="20"/>
        <v>-1</v>
      </c>
      <c r="BD42" s="13">
        <f>'2024년 실적'!BE42</f>
        <v>211504</v>
      </c>
      <c r="BE42" s="28">
        <v>0</v>
      </c>
      <c r="BF42" s="14"/>
      <c r="BG42" s="88" t="e">
        <f t="shared" si="21"/>
        <v>#DIV/0!</v>
      </c>
      <c r="BH42" s="15">
        <f t="shared" si="22"/>
        <v>-1</v>
      </c>
      <c r="BI42" s="45">
        <f>'2024년 실적'!BJ42</f>
        <v>187880</v>
      </c>
      <c r="BJ42" s="28">
        <f>BJ41</f>
        <v>235000</v>
      </c>
      <c r="BK42" s="14"/>
      <c r="BL42" s="88">
        <f t="shared" si="23"/>
        <v>-1</v>
      </c>
      <c r="BM42" s="33">
        <f t="shared" si="24"/>
        <v>-1</v>
      </c>
      <c r="BN42" s="13">
        <f>'2024년 실적'!BO42</f>
        <v>252064</v>
      </c>
      <c r="BO42" s="28">
        <f>BO41</f>
        <v>235000</v>
      </c>
      <c r="BP42" s="14"/>
      <c r="BQ42" s="88">
        <f t="shared" si="25"/>
        <v>-1</v>
      </c>
      <c r="BR42" s="15">
        <f t="shared" si="26"/>
        <v>-1</v>
      </c>
      <c r="BS42" s="45">
        <f>'2024년 실적'!BT42</f>
        <v>241256</v>
      </c>
      <c r="BT42" s="28">
        <f>BT41</f>
        <v>235000</v>
      </c>
      <c r="BU42" s="14"/>
      <c r="BV42" s="88">
        <f t="shared" si="27"/>
        <v>-1</v>
      </c>
      <c r="BW42" s="15">
        <f t="shared" si="28"/>
        <v>-1</v>
      </c>
    </row>
    <row r="43" spans="2:77" ht="17.25" thickBot="1" x14ac:dyDescent="0.35">
      <c r="B43" s="313"/>
      <c r="C43" s="358" t="s">
        <v>15</v>
      </c>
      <c r="D43" s="358"/>
      <c r="E43" s="359"/>
      <c r="F43" s="47">
        <f>'2023년 실적'!F43</f>
        <v>178808</v>
      </c>
      <c r="G43" s="43">
        <f>'2023년 실적'!G43</f>
        <v>69780</v>
      </c>
      <c r="H43" s="43">
        <f>'2024년 실적'!L43</f>
        <v>170096</v>
      </c>
      <c r="I43" s="43">
        <f>ROUND(I42/24,0)</f>
        <v>117500</v>
      </c>
      <c r="J43" s="76">
        <f t="shared" si="2"/>
        <v>-0.30921362054369295</v>
      </c>
      <c r="K43" s="8">
        <f t="shared" ref="K43:M43" si="123">BS43</f>
        <v>170096</v>
      </c>
      <c r="L43" s="8">
        <f t="shared" si="123"/>
        <v>117500</v>
      </c>
      <c r="M43" s="8">
        <f t="shared" si="123"/>
        <v>0</v>
      </c>
      <c r="N43" s="72">
        <f t="shared" si="3"/>
        <v>-1</v>
      </c>
      <c r="O43" s="6">
        <f t="shared" si="4"/>
        <v>-1</v>
      </c>
      <c r="P43" s="5">
        <f>'2024년 실적'!Q43</f>
        <v>152844</v>
      </c>
      <c r="Q43" s="7">
        <f>ROUND(Q42/2,)</f>
        <v>117500</v>
      </c>
      <c r="R43" s="7"/>
      <c r="S43" s="72">
        <f t="shared" si="5"/>
        <v>-1</v>
      </c>
      <c r="T43" s="6">
        <f t="shared" si="6"/>
        <v>-1</v>
      </c>
      <c r="U43" s="47">
        <f>'2024년 실적'!V43</f>
        <v>151416</v>
      </c>
      <c r="V43" s="7">
        <f>ROUND(V42/2,)</f>
        <v>117500</v>
      </c>
      <c r="W43" s="7"/>
      <c r="X43" s="72">
        <f t="shared" si="7"/>
        <v>-1</v>
      </c>
      <c r="Y43" s="76">
        <f t="shared" si="8"/>
        <v>-1</v>
      </c>
      <c r="Z43" s="5">
        <f>'2024년 실적'!AA43</f>
        <v>123512</v>
      </c>
      <c r="AA43" s="7">
        <f>ROUND(AA42/2,)</f>
        <v>117500</v>
      </c>
      <c r="AB43" s="7"/>
      <c r="AC43" s="72">
        <f t="shared" si="9"/>
        <v>-1</v>
      </c>
      <c r="AD43" s="6">
        <f t="shared" si="10"/>
        <v>-1</v>
      </c>
      <c r="AE43" s="47">
        <f>'2024년 실적'!AF43</f>
        <v>117500</v>
      </c>
      <c r="AF43" s="7">
        <f>ROUND(AF42/2,)</f>
        <v>117500</v>
      </c>
      <c r="AG43" s="7"/>
      <c r="AH43" s="72">
        <f t="shared" si="11"/>
        <v>-1</v>
      </c>
      <c r="AI43" s="76">
        <f t="shared" si="12"/>
        <v>-1</v>
      </c>
      <c r="AJ43" s="5">
        <f>'2024년 실적'!AK43</f>
        <v>157968</v>
      </c>
      <c r="AK43" s="7">
        <f>ROUND(AK42/2,)</f>
        <v>117500</v>
      </c>
      <c r="AL43" s="7"/>
      <c r="AM43" s="72">
        <f t="shared" si="13"/>
        <v>-1</v>
      </c>
      <c r="AN43" s="6">
        <f t="shared" si="14"/>
        <v>-1</v>
      </c>
      <c r="AO43" s="47">
        <f>'2024년 실적'!AP43</f>
        <v>175980</v>
      </c>
      <c r="AP43" s="7">
        <f>ROUND(AP42/2,)</f>
        <v>117500</v>
      </c>
      <c r="AQ43" s="7"/>
      <c r="AR43" s="72">
        <f t="shared" si="15"/>
        <v>-1</v>
      </c>
      <c r="AS43" s="76">
        <f t="shared" si="16"/>
        <v>-1</v>
      </c>
      <c r="AT43" s="5">
        <f>'2024년 실적'!AU43</f>
        <v>244572</v>
      </c>
      <c r="AU43" s="7">
        <f>ROUND(AU42/2,)</f>
        <v>117500</v>
      </c>
      <c r="AV43" s="7"/>
      <c r="AW43" s="72">
        <f t="shared" si="17"/>
        <v>-1</v>
      </c>
      <c r="AX43" s="6">
        <f t="shared" si="18"/>
        <v>-1</v>
      </c>
      <c r="AY43" s="47">
        <f>'2024년 실적'!AZ43</f>
        <v>249212</v>
      </c>
      <c r="AZ43" s="7">
        <f>ROUND(AZ42/2,)</f>
        <v>117500</v>
      </c>
      <c r="BA43" s="7"/>
      <c r="BB43" s="72">
        <f t="shared" si="19"/>
        <v>-1</v>
      </c>
      <c r="BC43" s="76">
        <f t="shared" si="20"/>
        <v>-1</v>
      </c>
      <c r="BD43" s="5">
        <f>'2023년 실적'!BD43</f>
        <v>115832</v>
      </c>
      <c r="BE43" s="7">
        <v>0</v>
      </c>
      <c r="BF43" s="7"/>
      <c r="BG43" s="72" t="e">
        <f t="shared" si="21"/>
        <v>#DIV/0!</v>
      </c>
      <c r="BH43" s="6">
        <f t="shared" si="22"/>
        <v>-1</v>
      </c>
      <c r="BI43" s="47">
        <f>'2024년 실적'!BJ43</f>
        <v>182352</v>
      </c>
      <c r="BJ43" s="7">
        <f>ROUND(BJ42/2,)</f>
        <v>117500</v>
      </c>
      <c r="BK43" s="7"/>
      <c r="BL43" s="72">
        <f t="shared" si="23"/>
        <v>-1</v>
      </c>
      <c r="BM43" s="76">
        <f t="shared" si="24"/>
        <v>-1</v>
      </c>
      <c r="BN43" s="5">
        <f>'2024년 실적'!BO43</f>
        <v>187156</v>
      </c>
      <c r="BO43" s="7">
        <f>ROUND(BO42/2,)</f>
        <v>117500</v>
      </c>
      <c r="BP43" s="7"/>
      <c r="BQ43" s="72">
        <f t="shared" si="25"/>
        <v>-1</v>
      </c>
      <c r="BR43" s="6">
        <f t="shared" si="26"/>
        <v>-1</v>
      </c>
      <c r="BS43" s="47">
        <f>'2024년 실적'!BT43</f>
        <v>170096</v>
      </c>
      <c r="BT43" s="7">
        <f>ROUND(BT42/2,)</f>
        <v>117500</v>
      </c>
      <c r="BU43" s="7"/>
      <c r="BV43" s="72">
        <f t="shared" si="27"/>
        <v>-1</v>
      </c>
      <c r="BW43" s="6">
        <f t="shared" si="28"/>
        <v>-1</v>
      </c>
    </row>
    <row r="44" spans="2:77" x14ac:dyDescent="0.3">
      <c r="B44" s="58" t="s">
        <v>45</v>
      </c>
      <c r="C44" s="59"/>
      <c r="D44" s="59"/>
      <c r="E44" s="59"/>
      <c r="F44" s="26"/>
      <c r="G44" s="26"/>
      <c r="H44" s="26"/>
      <c r="I44" s="26"/>
      <c r="J44" s="27"/>
      <c r="K44" s="60"/>
      <c r="L44" s="26"/>
      <c r="M44" s="26"/>
      <c r="N44" s="27"/>
      <c r="O44" s="27"/>
      <c r="P44" s="26"/>
      <c r="Q44" s="26"/>
      <c r="R44" s="26"/>
      <c r="S44" s="27"/>
      <c r="T44" s="27"/>
      <c r="U44" s="26"/>
      <c r="V44" s="26"/>
      <c r="W44" s="26"/>
      <c r="X44" s="27"/>
      <c r="Y44" s="27"/>
      <c r="Z44" s="26"/>
      <c r="AA44" s="26"/>
      <c r="AB44" s="26"/>
      <c r="AC44" s="27"/>
      <c r="AD44" s="27"/>
      <c r="AE44" s="26"/>
      <c r="AF44" s="26"/>
      <c r="AG44" s="26"/>
      <c r="AH44" s="27"/>
      <c r="AI44" s="27"/>
      <c r="AJ44" s="26"/>
      <c r="AK44" s="26"/>
      <c r="AL44" s="26"/>
      <c r="AM44" s="27"/>
      <c r="AN44" s="27"/>
      <c r="AO44" s="26"/>
      <c r="AP44" s="26"/>
      <c r="AQ44" s="26"/>
      <c r="AR44" s="27"/>
      <c r="AS44" s="27"/>
      <c r="AT44" s="26"/>
      <c r="AU44" s="26"/>
      <c r="AV44" s="26"/>
      <c r="AW44" s="27"/>
      <c r="AX44" s="27"/>
      <c r="AY44" s="26"/>
      <c r="AZ44" s="26"/>
      <c r="BA44" s="26"/>
      <c r="BB44" s="27"/>
      <c r="BC44" s="27"/>
      <c r="BD44" s="26"/>
      <c r="BE44" s="26"/>
      <c r="BF44" s="26"/>
      <c r="BG44" s="27"/>
      <c r="BH44" s="27"/>
      <c r="BI44" s="26"/>
      <c r="BJ44" s="26"/>
      <c r="BK44" s="26"/>
      <c r="BL44" s="27"/>
      <c r="BM44" s="27"/>
      <c r="BN44" s="26"/>
      <c r="BO44" s="26"/>
      <c r="BP44" s="26"/>
      <c r="BQ44" s="27"/>
      <c r="BR44" s="27"/>
      <c r="BS44" s="26"/>
      <c r="BT44" s="26"/>
      <c r="BU44" s="26"/>
      <c r="BV44" s="27"/>
      <c r="BW44" s="27"/>
    </row>
    <row r="45" spans="2:77" x14ac:dyDescent="0.3">
      <c r="B45" s="58" t="s">
        <v>46</v>
      </c>
      <c r="C45" s="59"/>
      <c r="D45" s="59"/>
      <c r="E45" s="59"/>
      <c r="F45" s="26"/>
      <c r="G45" s="26"/>
      <c r="H45" s="26"/>
      <c r="I45" s="26"/>
      <c r="J45" s="27"/>
      <c r="K45" s="60"/>
      <c r="L45" s="26"/>
      <c r="M45" s="26"/>
      <c r="N45" s="27"/>
      <c r="O45" s="27"/>
      <c r="P45" s="26"/>
      <c r="Q45" s="26"/>
      <c r="R45" s="26">
        <f>R26</f>
        <v>0</v>
      </c>
      <c r="S45" s="27"/>
      <c r="T45" s="27"/>
      <c r="U45" s="26"/>
      <c r="V45" s="26"/>
      <c r="W45" s="26">
        <f>W26</f>
        <v>0</v>
      </c>
      <c r="X45" s="27"/>
      <c r="Y45" s="27"/>
      <c r="Z45" s="26"/>
      <c r="AA45" s="26"/>
      <c r="AB45" s="26">
        <f>AB26</f>
        <v>0</v>
      </c>
      <c r="AC45" s="27"/>
      <c r="AD45" s="27"/>
      <c r="AE45" s="26"/>
      <c r="AF45" s="26"/>
      <c r="AG45" s="26">
        <f>AG26</f>
        <v>0</v>
      </c>
      <c r="AH45" s="27"/>
      <c r="AI45" s="27"/>
      <c r="AJ45" s="26"/>
      <c r="AK45" s="26"/>
      <c r="AL45" s="26">
        <f>AL26</f>
        <v>0</v>
      </c>
      <c r="AM45" s="27"/>
      <c r="AN45" s="27"/>
      <c r="AO45" s="26"/>
      <c r="AP45" s="26"/>
      <c r="AQ45" s="26">
        <f>AQ26</f>
        <v>0</v>
      </c>
      <c r="AR45" s="27"/>
      <c r="AS45" s="27"/>
      <c r="AT45" s="26"/>
      <c r="AU45" s="26"/>
      <c r="AV45" s="26"/>
      <c r="AW45" s="27"/>
      <c r="AX45" s="27"/>
      <c r="AY45" s="26"/>
      <c r="AZ45" s="26"/>
      <c r="BA45" s="26">
        <f>BA26</f>
        <v>0</v>
      </c>
      <c r="BB45" s="27"/>
      <c r="BC45" s="27"/>
      <c r="BD45" s="26"/>
      <c r="BE45" s="26"/>
      <c r="BF45" s="26">
        <f>BF26</f>
        <v>0</v>
      </c>
      <c r="BG45" s="27"/>
      <c r="BH45" s="27"/>
      <c r="BI45" s="26"/>
      <c r="BJ45" s="26"/>
      <c r="BK45" s="26">
        <f>BK26</f>
        <v>0</v>
      </c>
      <c r="BL45" s="27"/>
      <c r="BM45" s="27"/>
      <c r="BN45" s="26"/>
      <c r="BO45" s="26"/>
      <c r="BP45" s="26">
        <f>BP26</f>
        <v>0</v>
      </c>
      <c r="BQ45" s="27"/>
      <c r="BR45" s="27"/>
      <c r="BS45" s="26"/>
      <c r="BT45" s="26"/>
      <c r="BU45" s="26">
        <f>BU26</f>
        <v>0</v>
      </c>
      <c r="BV45" s="27"/>
      <c r="BW45" s="27"/>
    </row>
    <row r="46" spans="2:77" x14ac:dyDescent="0.3">
      <c r="B46" s="59"/>
      <c r="C46" s="59"/>
      <c r="D46" s="59"/>
      <c r="E46" s="61">
        <f>K46/1000</f>
        <v>0</v>
      </c>
      <c r="F46" s="26"/>
      <c r="G46" s="26"/>
      <c r="H46" s="26"/>
      <c r="I46" s="26"/>
      <c r="J46" s="27"/>
      <c r="K46" s="60"/>
      <c r="L46" s="26"/>
      <c r="M46" s="62"/>
      <c r="N46" s="62"/>
      <c r="O46" s="27"/>
      <c r="P46" s="26"/>
      <c r="Q46" s="26"/>
      <c r="R46" s="26">
        <v>61769</v>
      </c>
      <c r="S46" s="27"/>
      <c r="T46" s="27"/>
      <c r="U46" s="26"/>
      <c r="V46" s="26"/>
      <c r="W46" s="26">
        <v>61769</v>
      </c>
      <c r="X46" s="27"/>
      <c r="Y46" s="27"/>
      <c r="Z46" s="26"/>
      <c r="AA46" s="26"/>
      <c r="AB46" s="26">
        <v>61769</v>
      </c>
      <c r="AC46" s="27"/>
      <c r="AD46" s="27"/>
      <c r="AE46" s="26"/>
      <c r="AF46" s="26"/>
      <c r="AG46" s="26">
        <v>61769</v>
      </c>
      <c r="AH46" s="27"/>
      <c r="AI46" s="27"/>
      <c r="AJ46" s="26"/>
      <c r="AK46" s="26"/>
      <c r="AL46" s="26">
        <v>61769</v>
      </c>
      <c r="AM46" s="27"/>
      <c r="AN46" s="27"/>
      <c r="AO46" s="26"/>
      <c r="AP46" s="26"/>
      <c r="AQ46" s="26">
        <v>61769</v>
      </c>
      <c r="AR46" s="27"/>
      <c r="AS46" s="27"/>
      <c r="AT46" s="26"/>
      <c r="AU46" s="26"/>
      <c r="AV46" s="26"/>
      <c r="AW46" s="27"/>
      <c r="AX46" s="27"/>
      <c r="AY46" s="26"/>
      <c r="AZ46" s="26"/>
      <c r="BA46" s="26">
        <v>61769</v>
      </c>
      <c r="BB46" s="27"/>
      <c r="BC46" s="27"/>
      <c r="BD46" s="26"/>
      <c r="BE46" s="26"/>
      <c r="BF46" s="26">
        <v>61769</v>
      </c>
      <c r="BG46" s="27"/>
      <c r="BH46" s="27"/>
      <c r="BI46" s="26"/>
      <c r="BJ46" s="26"/>
      <c r="BK46" s="26">
        <v>61769</v>
      </c>
      <c r="BL46" s="27"/>
      <c r="BM46" s="27"/>
      <c r="BN46" s="26"/>
      <c r="BO46" s="26"/>
      <c r="BP46" s="26">
        <v>61769</v>
      </c>
      <c r="BQ46" s="27"/>
      <c r="BR46" s="27"/>
      <c r="BS46" s="26"/>
      <c r="BT46" s="26"/>
      <c r="BU46" s="26">
        <v>61769</v>
      </c>
      <c r="BV46" s="27"/>
      <c r="BW46" s="27"/>
    </row>
    <row r="47" spans="2:77" ht="17.25" thickBot="1" x14ac:dyDescent="0.35">
      <c r="B47" s="37" t="s">
        <v>47</v>
      </c>
      <c r="C47" s="37"/>
      <c r="D47" s="37"/>
      <c r="E47" s="29"/>
      <c r="F47" s="29"/>
      <c r="G47" s="29"/>
      <c r="H47" s="29"/>
      <c r="I47" s="29"/>
      <c r="K47" s="63"/>
      <c r="L47" s="29"/>
      <c r="M47" s="29"/>
      <c r="N47" s="30"/>
      <c r="O47" s="30"/>
      <c r="P47" s="29"/>
      <c r="Q47" s="29"/>
      <c r="R47" s="29"/>
      <c r="S47" s="30"/>
      <c r="T47" s="30"/>
      <c r="U47" s="29"/>
      <c r="V47" s="29"/>
      <c r="W47" s="29"/>
      <c r="X47" s="30"/>
      <c r="Y47" s="30"/>
      <c r="Z47" s="29"/>
      <c r="AA47" s="29"/>
      <c r="AB47" s="29"/>
      <c r="AC47" s="30"/>
      <c r="AD47" s="30"/>
      <c r="AE47" s="29"/>
      <c r="AF47" s="29"/>
      <c r="AG47" s="29"/>
      <c r="AH47" s="30"/>
      <c r="AI47" s="30"/>
      <c r="AJ47" s="29"/>
      <c r="AK47" s="29"/>
      <c r="AL47" s="29"/>
      <c r="AM47" s="30"/>
      <c r="AN47" s="30"/>
      <c r="AO47" s="29"/>
      <c r="AP47" s="29"/>
      <c r="AQ47" s="29"/>
      <c r="AR47" s="30"/>
      <c r="AS47" s="30"/>
      <c r="AT47" s="29"/>
      <c r="AU47" s="29"/>
      <c r="AV47" s="29"/>
      <c r="AW47" s="30"/>
      <c r="AX47" s="30"/>
      <c r="AY47" s="29"/>
      <c r="AZ47" s="29"/>
      <c r="BA47" s="29"/>
      <c r="BB47" s="30"/>
      <c r="BC47" s="30"/>
      <c r="BD47" s="29"/>
      <c r="BE47" s="29"/>
      <c r="BF47" s="29"/>
      <c r="BG47" s="30"/>
      <c r="BH47" s="30"/>
      <c r="BI47" s="29"/>
      <c r="BJ47" s="29"/>
      <c r="BK47" s="29"/>
      <c r="BL47" s="30"/>
      <c r="BM47" s="30"/>
      <c r="BN47" s="29"/>
      <c r="BO47" s="29"/>
      <c r="BP47" s="29"/>
      <c r="BQ47" s="30"/>
      <c r="BR47" s="30"/>
      <c r="BS47" s="29"/>
      <c r="BT47" s="29"/>
      <c r="BU47" s="29"/>
      <c r="BV47" s="30"/>
      <c r="BW47" s="30"/>
    </row>
    <row r="48" spans="2:77" x14ac:dyDescent="0.3">
      <c r="B48" s="360" t="s">
        <v>2</v>
      </c>
      <c r="C48" s="361"/>
      <c r="D48" s="361"/>
      <c r="E48" s="362"/>
      <c r="F48" s="366" t="str">
        <f>F2</f>
        <v>2022년 실적</v>
      </c>
      <c r="G48" s="329" t="str">
        <f>G2</f>
        <v>2023년 실적</v>
      </c>
      <c r="H48" s="327" t="str">
        <f>H2</f>
        <v>2024년 실적</v>
      </c>
      <c r="I48" s="327" t="str">
        <f>I2</f>
        <v>2025년 계획</v>
      </c>
      <c r="J48" s="352" t="s">
        <v>5</v>
      </c>
      <c r="K48" s="329" t="str">
        <f>K2</f>
        <v>누적</v>
      </c>
      <c r="L48" s="327"/>
      <c r="M48" s="327"/>
      <c r="N48" s="327"/>
      <c r="O48" s="330"/>
      <c r="P48" s="326" t="str">
        <f>P2</f>
        <v>1월</v>
      </c>
      <c r="Q48" s="327"/>
      <c r="R48" s="327"/>
      <c r="S48" s="327"/>
      <c r="T48" s="328"/>
      <c r="U48" s="326" t="str">
        <f>U2</f>
        <v>2월</v>
      </c>
      <c r="V48" s="327"/>
      <c r="W48" s="327"/>
      <c r="X48" s="327"/>
      <c r="Y48" s="328"/>
      <c r="Z48" s="326" t="str">
        <f>Z2</f>
        <v>3월</v>
      </c>
      <c r="AA48" s="327"/>
      <c r="AB48" s="327"/>
      <c r="AC48" s="327"/>
      <c r="AD48" s="328"/>
      <c r="AE48" s="326" t="str">
        <f>AE2</f>
        <v>4월</v>
      </c>
      <c r="AF48" s="327"/>
      <c r="AG48" s="327"/>
      <c r="AH48" s="327"/>
      <c r="AI48" s="328"/>
      <c r="AJ48" s="326" t="str">
        <f>AJ2</f>
        <v>5월</v>
      </c>
      <c r="AK48" s="327"/>
      <c r="AL48" s="327"/>
      <c r="AM48" s="327"/>
      <c r="AN48" s="328"/>
      <c r="AO48" s="326" t="str">
        <f>AO2</f>
        <v>6월</v>
      </c>
      <c r="AP48" s="327"/>
      <c r="AQ48" s="327"/>
      <c r="AR48" s="327"/>
      <c r="AS48" s="328"/>
      <c r="AT48" s="326" t="str">
        <f>AT2</f>
        <v>7월</v>
      </c>
      <c r="AU48" s="327"/>
      <c r="AV48" s="327"/>
      <c r="AW48" s="327"/>
      <c r="AX48" s="328"/>
      <c r="AY48" s="326" t="str">
        <f>AY2</f>
        <v>8월</v>
      </c>
      <c r="AZ48" s="327"/>
      <c r="BA48" s="327"/>
      <c r="BB48" s="327"/>
      <c r="BC48" s="328"/>
      <c r="BD48" s="326" t="str">
        <f>BD2</f>
        <v>9월</v>
      </c>
      <c r="BE48" s="327"/>
      <c r="BF48" s="327"/>
      <c r="BG48" s="327"/>
      <c r="BH48" s="328"/>
      <c r="BI48" s="326" t="str">
        <f>BI2</f>
        <v>10월</v>
      </c>
      <c r="BJ48" s="327"/>
      <c r="BK48" s="327"/>
      <c r="BL48" s="327"/>
      <c r="BM48" s="328"/>
      <c r="BN48" s="326" t="str">
        <f>BN2</f>
        <v>11월</v>
      </c>
      <c r="BO48" s="327"/>
      <c r="BP48" s="327"/>
      <c r="BQ48" s="327"/>
      <c r="BR48" s="328"/>
      <c r="BS48" s="326" t="str">
        <f>BS2</f>
        <v>12월</v>
      </c>
      <c r="BT48" s="327"/>
      <c r="BU48" s="327"/>
      <c r="BV48" s="327"/>
      <c r="BW48" s="328"/>
    </row>
    <row r="49" spans="2:75" ht="17.25" thickBot="1" x14ac:dyDescent="0.35">
      <c r="B49" s="363"/>
      <c r="C49" s="364"/>
      <c r="D49" s="364"/>
      <c r="E49" s="365"/>
      <c r="F49" s="367"/>
      <c r="G49" s="337"/>
      <c r="H49" s="338"/>
      <c r="I49" s="338"/>
      <c r="J49" s="353"/>
      <c r="K49" s="141" t="str">
        <f>K3</f>
        <v>2024년</v>
      </c>
      <c r="L49" s="96" t="str">
        <f>L3</f>
        <v>목표</v>
      </c>
      <c r="M49" s="96" t="str">
        <f>M3</f>
        <v>2025년</v>
      </c>
      <c r="N49" s="142" t="str">
        <f>N3</f>
        <v>달성율</v>
      </c>
      <c r="O49" s="143" t="str">
        <f>O3</f>
        <v>전년대비</v>
      </c>
      <c r="P49" s="104" t="str">
        <f>P3</f>
        <v>2024년</v>
      </c>
      <c r="Q49" s="96" t="str">
        <f>Q3</f>
        <v>목표</v>
      </c>
      <c r="R49" s="96" t="str">
        <f>R3</f>
        <v>2025년</v>
      </c>
      <c r="S49" s="142" t="str">
        <f>S3</f>
        <v>달성율</v>
      </c>
      <c r="T49" s="31" t="str">
        <f>T3</f>
        <v>전년대비</v>
      </c>
      <c r="U49" s="104" t="str">
        <f>U3</f>
        <v>2024년</v>
      </c>
      <c r="V49" s="96" t="str">
        <f>V3</f>
        <v>목표</v>
      </c>
      <c r="W49" s="96" t="str">
        <f>W3</f>
        <v>2025년</v>
      </c>
      <c r="X49" s="142" t="str">
        <f>X3</f>
        <v>달성율</v>
      </c>
      <c r="Y49" s="31" t="str">
        <f>Y3</f>
        <v>전년대비</v>
      </c>
      <c r="Z49" s="104" t="str">
        <f>Z3</f>
        <v>2024년</v>
      </c>
      <c r="AA49" s="96" t="str">
        <f>AA3</f>
        <v>목표</v>
      </c>
      <c r="AB49" s="96" t="str">
        <f>AB3</f>
        <v>2025년</v>
      </c>
      <c r="AC49" s="142" t="str">
        <f>AC3</f>
        <v>달성율</v>
      </c>
      <c r="AD49" s="31" t="str">
        <f>AD3</f>
        <v>전년대비</v>
      </c>
      <c r="AE49" s="104" t="str">
        <f>AE3</f>
        <v>2024년</v>
      </c>
      <c r="AF49" s="96" t="str">
        <f>AF3</f>
        <v>목표</v>
      </c>
      <c r="AG49" s="96" t="str">
        <f>AG3</f>
        <v>2025년</v>
      </c>
      <c r="AH49" s="142" t="str">
        <f>AH3</f>
        <v>달성율</v>
      </c>
      <c r="AI49" s="31" t="str">
        <f>AI3</f>
        <v>전년대비</v>
      </c>
      <c r="AJ49" s="104" t="str">
        <f>AJ3</f>
        <v>2024년</v>
      </c>
      <c r="AK49" s="96" t="str">
        <f>AK3</f>
        <v>목표</v>
      </c>
      <c r="AL49" s="96" t="str">
        <f>AL3</f>
        <v>2025년</v>
      </c>
      <c r="AM49" s="142" t="str">
        <f>AM3</f>
        <v>달성율</v>
      </c>
      <c r="AN49" s="31" t="str">
        <f>AN3</f>
        <v>전년대비</v>
      </c>
      <c r="AO49" s="104" t="str">
        <f>AO3</f>
        <v>2024년</v>
      </c>
      <c r="AP49" s="96" t="str">
        <f>AP3</f>
        <v>목표</v>
      </c>
      <c r="AQ49" s="96" t="str">
        <f>AQ3</f>
        <v>2025년</v>
      </c>
      <c r="AR49" s="142" t="str">
        <f>AR3</f>
        <v>달성율</v>
      </c>
      <c r="AS49" s="31" t="str">
        <f>AS3</f>
        <v>전년대비</v>
      </c>
      <c r="AT49" s="104" t="str">
        <f>AT3</f>
        <v>2024년</v>
      </c>
      <c r="AU49" s="96" t="str">
        <f>AU3</f>
        <v>목표</v>
      </c>
      <c r="AV49" s="96" t="str">
        <f>AV3</f>
        <v>2025년</v>
      </c>
      <c r="AW49" s="142" t="str">
        <f>AW3</f>
        <v>달성율</v>
      </c>
      <c r="AX49" s="31" t="str">
        <f>AX3</f>
        <v>전년대비</v>
      </c>
      <c r="AY49" s="104" t="str">
        <f>AY3</f>
        <v>2024년</v>
      </c>
      <c r="AZ49" s="96" t="str">
        <f>AZ3</f>
        <v>목표</v>
      </c>
      <c r="BA49" s="96" t="str">
        <f>BA3</f>
        <v>2025년</v>
      </c>
      <c r="BB49" s="142" t="str">
        <f>BB3</f>
        <v>달성율</v>
      </c>
      <c r="BC49" s="31" t="str">
        <f>BC3</f>
        <v>전년대비</v>
      </c>
      <c r="BD49" s="104">
        <f>BD3</f>
        <v>1489022</v>
      </c>
      <c r="BE49" s="96" t="str">
        <f>BE3</f>
        <v>목표</v>
      </c>
      <c r="BF49" s="96" t="str">
        <f>BF3</f>
        <v>2025년</v>
      </c>
      <c r="BG49" s="142" t="str">
        <f>BG3</f>
        <v>달성율</v>
      </c>
      <c r="BH49" s="31" t="str">
        <f>BH3</f>
        <v>전년대비</v>
      </c>
      <c r="BI49" s="104">
        <f>BI3</f>
        <v>1489022</v>
      </c>
      <c r="BJ49" s="96" t="str">
        <f>BJ3</f>
        <v>목표</v>
      </c>
      <c r="BK49" s="96" t="str">
        <f>BK3</f>
        <v>2025년</v>
      </c>
      <c r="BL49" s="142" t="str">
        <f>BL3</f>
        <v>달성율</v>
      </c>
      <c r="BM49" s="31" t="str">
        <f>BM3</f>
        <v>전년대비</v>
      </c>
      <c r="BN49" s="104">
        <f>BN3</f>
        <v>1489022</v>
      </c>
      <c r="BO49" s="96" t="str">
        <f>BO3</f>
        <v>목표</v>
      </c>
      <c r="BP49" s="96" t="str">
        <f>BP3</f>
        <v>2025년</v>
      </c>
      <c r="BQ49" s="142" t="str">
        <f>BQ3</f>
        <v>달성율</v>
      </c>
      <c r="BR49" s="31" t="str">
        <f>BR3</f>
        <v>전년대비</v>
      </c>
      <c r="BS49" s="104">
        <f>BS3</f>
        <v>1489022</v>
      </c>
      <c r="BT49" s="96" t="str">
        <f>BT3</f>
        <v>목표</v>
      </c>
      <c r="BU49" s="96" t="str">
        <f>BU3</f>
        <v>2025년</v>
      </c>
      <c r="BV49" s="142" t="str">
        <f>BV3</f>
        <v>달성율</v>
      </c>
      <c r="BW49" s="31" t="str">
        <f>BW3</f>
        <v>전년대비</v>
      </c>
    </row>
    <row r="50" spans="2:75" x14ac:dyDescent="0.3">
      <c r="B50" s="341" t="s">
        <v>48</v>
      </c>
      <c r="C50" s="342"/>
      <c r="D50" s="347" t="s">
        <v>49</v>
      </c>
      <c r="E50" s="348"/>
      <c r="F50" s="153">
        <v>13762120.5</v>
      </c>
      <c r="G50" s="139">
        <v>13762120.5</v>
      </c>
      <c r="H50" s="71">
        <f>SUM(H51:H54)</f>
        <v>13654468</v>
      </c>
      <c r="I50" s="71">
        <f>SUM(I51:I54)</f>
        <v>14765000</v>
      </c>
      <c r="J50" s="35">
        <f t="shared" ref="J50:J59" si="124">I50/H50-1</f>
        <v>8.1331033915052586E-2</v>
      </c>
      <c r="K50" s="139">
        <f>SUM(K51:K54)</f>
        <v>15004404</v>
      </c>
      <c r="L50" s="71">
        <f>SUM(L51:L54)</f>
        <v>14765000</v>
      </c>
      <c r="M50" s="71">
        <f>SUM(M51:M54)</f>
        <v>0</v>
      </c>
      <c r="N50" s="140">
        <f t="shared" ref="N50:N55" si="125">M50/L50</f>
        <v>0</v>
      </c>
      <c r="O50" s="36">
        <f t="shared" ref="O50:O59" si="126">M50/K50-1</f>
        <v>-1</v>
      </c>
      <c r="P50" s="70">
        <f>SUM(P51:P54)</f>
        <v>983441</v>
      </c>
      <c r="Q50" s="71">
        <f>SUM(Q51:Q54)</f>
        <v>1073693</v>
      </c>
      <c r="R50" s="71">
        <f>SUM(R51:R54)</f>
        <v>0</v>
      </c>
      <c r="S50" s="140">
        <f t="shared" ref="S50:S55" si="127">R50/Q50</f>
        <v>0</v>
      </c>
      <c r="T50" s="35">
        <f t="shared" ref="T50:T59" si="128">R50/P50-1</f>
        <v>-1</v>
      </c>
      <c r="U50" s="70">
        <f>SUM(U51:U54)</f>
        <v>991140</v>
      </c>
      <c r="V50" s="70">
        <f>SUM(V51:V54)</f>
        <v>1159993</v>
      </c>
      <c r="W50" s="70">
        <f>SUM(W51:W54)</f>
        <v>0</v>
      </c>
      <c r="X50" s="140">
        <f t="shared" ref="X50:X55" si="129">W50/V50</f>
        <v>0</v>
      </c>
      <c r="Y50" s="35">
        <f t="shared" ref="Y50:Y59" si="130">W50/U50-1</f>
        <v>-1</v>
      </c>
      <c r="Z50" s="70">
        <f>SUM(Z51:Z54)</f>
        <v>1181434</v>
      </c>
      <c r="AA50" s="70">
        <f>SUM(AA51:AA54)</f>
        <v>1277593</v>
      </c>
      <c r="AB50" s="70">
        <f>SUM(AB51:AB54)</f>
        <v>0</v>
      </c>
      <c r="AC50" s="140">
        <f t="shared" ref="AC50:AC55" si="131">AB50/AA50</f>
        <v>0</v>
      </c>
      <c r="AD50" s="35">
        <f t="shared" ref="AD50:AD59" si="132">AB50/Z50-1</f>
        <v>-1</v>
      </c>
      <c r="AE50" s="70">
        <f>SUM(AE51:AE54)</f>
        <v>1221373</v>
      </c>
      <c r="AF50" s="70">
        <f>SUM(AF51:AF54)</f>
        <v>1291593</v>
      </c>
      <c r="AG50" s="70">
        <f>SUM(AG51:AG54)</f>
        <v>0</v>
      </c>
      <c r="AH50" s="140">
        <f t="shared" ref="AH50:AH55" si="133">AG50/AF50</f>
        <v>0</v>
      </c>
      <c r="AI50" s="35">
        <f t="shared" ref="AI50:AI59" si="134">AG50/AE50-1</f>
        <v>-1</v>
      </c>
      <c r="AJ50" s="70">
        <f>SUM(AJ51:AJ54)</f>
        <v>1126239</v>
      </c>
      <c r="AK50" s="70">
        <f>SUM(AK51:AK54)</f>
        <v>1253193</v>
      </c>
      <c r="AL50" s="70">
        <f>SUM(AL51:AL54)</f>
        <v>0</v>
      </c>
      <c r="AM50" s="140">
        <f t="shared" ref="AM50:AM55" si="135">AL50/AK50</f>
        <v>0</v>
      </c>
      <c r="AN50" s="35">
        <f t="shared" ref="AN50:AN59" si="136">AL50/AJ50-1</f>
        <v>-1</v>
      </c>
      <c r="AO50" s="70">
        <f>SUM(AO51:AO54)</f>
        <v>1063807</v>
      </c>
      <c r="AP50" s="70">
        <f>SUM(AP51:AP54)</f>
        <v>1174793</v>
      </c>
      <c r="AQ50" s="70">
        <f>SUM(AQ51:AQ54)</f>
        <v>0</v>
      </c>
      <c r="AR50" s="140">
        <f t="shared" ref="AR50:AR55" si="137">AQ50/AP50</f>
        <v>0</v>
      </c>
      <c r="AS50" s="35">
        <f t="shared" ref="AS50:AS59" si="138">AQ50/AO50-1</f>
        <v>-1</v>
      </c>
      <c r="AT50" s="70">
        <f>SUM(AT51:AT54)</f>
        <v>1250558</v>
      </c>
      <c r="AU50" s="70">
        <f>SUM(AU51:AU54)</f>
        <v>1180593</v>
      </c>
      <c r="AV50" s="70">
        <f>SUM(AV51:AV54)</f>
        <v>0</v>
      </c>
      <c r="AW50" s="140">
        <f t="shared" ref="AW50:AW55" si="139">AV50/AU50</f>
        <v>0</v>
      </c>
      <c r="AX50" s="35">
        <f t="shared" ref="AX50:AX59" si="140">AV50/AT50-1</f>
        <v>-1</v>
      </c>
      <c r="AY50" s="70">
        <f>SUM(AY51:AY54)</f>
        <v>1093065</v>
      </c>
      <c r="AZ50" s="70">
        <f>SUM(AZ51:AZ54)</f>
        <v>1184293</v>
      </c>
      <c r="BA50" s="70">
        <f>SUM(BA51:BA54)</f>
        <v>0</v>
      </c>
      <c r="BB50" s="140">
        <f t="shared" ref="BB50:BB55" si="141">BA50/AZ50</f>
        <v>0</v>
      </c>
      <c r="BC50" s="35">
        <f t="shared" ref="BC50:BC59" si="142">BA50/AY50-1</f>
        <v>-1</v>
      </c>
      <c r="BD50" s="70">
        <f>SUM(BD51:BD54)</f>
        <v>1274185</v>
      </c>
      <c r="BE50" s="70">
        <f>SUM(BE51:BE54)</f>
        <v>245000</v>
      </c>
      <c r="BF50" s="70">
        <f>SUM(BF51:BF54)</f>
        <v>0</v>
      </c>
      <c r="BG50" s="140">
        <f t="shared" ref="BG50:BG55" si="143">BF50/BE50</f>
        <v>0</v>
      </c>
      <c r="BH50" s="35">
        <f t="shared" ref="BH50:BH59" si="144">BF50/BD50-1</f>
        <v>-1</v>
      </c>
      <c r="BI50" s="70">
        <f>SUM(BI51:BI54)</f>
        <v>1325227</v>
      </c>
      <c r="BJ50" s="70">
        <f>SUM(BJ51:BJ54)</f>
        <v>1385793</v>
      </c>
      <c r="BK50" s="70">
        <f>SUM(BK51:BK54)</f>
        <v>0</v>
      </c>
      <c r="BL50" s="140">
        <f t="shared" ref="BL50:BL55" si="145">BK50/BJ50</f>
        <v>0</v>
      </c>
      <c r="BM50" s="35">
        <f t="shared" ref="BM50:BM59" si="146">BK50/BI50-1</f>
        <v>-1</v>
      </c>
      <c r="BN50" s="70">
        <f>SUM(BN51:BN54)</f>
        <v>1224286</v>
      </c>
      <c r="BO50" s="70">
        <f>SUM(BO51:BO54)</f>
        <v>1274893</v>
      </c>
      <c r="BP50" s="70">
        <f>SUM(BP51:BP54)</f>
        <v>0</v>
      </c>
      <c r="BQ50" s="140">
        <f t="shared" ref="BQ50:BQ55" si="147">BP50/BO50</f>
        <v>0</v>
      </c>
      <c r="BR50" s="35">
        <f t="shared" ref="BR50:BR59" si="148">BP50/BN50-1</f>
        <v>-1</v>
      </c>
      <c r="BS50" s="70">
        <f>SUM(BS51:BS54)</f>
        <v>1235490</v>
      </c>
      <c r="BT50" s="70">
        <f>SUM(BT51:BT54)</f>
        <v>1262727</v>
      </c>
      <c r="BU50" s="70">
        <f>SUM(BU51:BU54)</f>
        <v>0</v>
      </c>
      <c r="BV50" s="140">
        <f t="shared" ref="BV50:BV55" si="149">BU50/BT50</f>
        <v>0</v>
      </c>
      <c r="BW50" s="35">
        <f t="shared" ref="BW50:BW59" si="150">BU50/BS50-1</f>
        <v>-1</v>
      </c>
    </row>
    <row r="51" spans="2:75" x14ac:dyDescent="0.3">
      <c r="B51" s="343"/>
      <c r="C51" s="344"/>
      <c r="D51" s="301" t="s">
        <v>44</v>
      </c>
      <c r="E51" s="349"/>
      <c r="F51" s="151">
        <v>3002564</v>
      </c>
      <c r="G51" s="45">
        <v>3002564</v>
      </c>
      <c r="H51" s="39">
        <f>H41</f>
        <v>3044212</v>
      </c>
      <c r="I51" s="39">
        <f>I41</f>
        <v>2820000</v>
      </c>
      <c r="J51" s="15">
        <f t="shared" si="124"/>
        <v>-7.3651900721763086E-2</v>
      </c>
      <c r="K51" s="136">
        <f>K41</f>
        <v>3044212</v>
      </c>
      <c r="L51" s="136">
        <f t="shared" ref="L51:M51" si="151">L41</f>
        <v>2820000</v>
      </c>
      <c r="M51" s="136">
        <f t="shared" si="151"/>
        <v>0</v>
      </c>
      <c r="N51" s="88">
        <f t="shared" ref="N51:N54" si="152">M51/L51-1</f>
        <v>-1</v>
      </c>
      <c r="O51" s="33">
        <f t="shared" si="126"/>
        <v>-1</v>
      </c>
      <c r="P51" s="13">
        <f>P41</f>
        <v>225540</v>
      </c>
      <c r="Q51" s="39">
        <f>Q41</f>
        <v>235000</v>
      </c>
      <c r="R51" s="39">
        <f>R41</f>
        <v>0</v>
      </c>
      <c r="S51" s="88">
        <f t="shared" si="127"/>
        <v>0</v>
      </c>
      <c r="T51" s="15">
        <f t="shared" si="128"/>
        <v>-1</v>
      </c>
      <c r="U51" s="13">
        <f>U41</f>
        <v>252504</v>
      </c>
      <c r="V51" s="13">
        <f>V41</f>
        <v>235000</v>
      </c>
      <c r="W51" s="13">
        <f>W41</f>
        <v>0</v>
      </c>
      <c r="X51" s="88">
        <f t="shared" si="129"/>
        <v>0</v>
      </c>
      <c r="Y51" s="15">
        <f t="shared" si="130"/>
        <v>-1</v>
      </c>
      <c r="Z51" s="13">
        <f>Z41</f>
        <v>234804</v>
      </c>
      <c r="AA51" s="13">
        <f>AA41</f>
        <v>235000</v>
      </c>
      <c r="AB51" s="13">
        <f>AB41</f>
        <v>0</v>
      </c>
      <c r="AC51" s="88">
        <f t="shared" si="131"/>
        <v>0</v>
      </c>
      <c r="AD51" s="15">
        <f t="shared" si="132"/>
        <v>-1</v>
      </c>
      <c r="AE51" s="13">
        <f>AE41</f>
        <v>311832</v>
      </c>
      <c r="AF51" s="13">
        <f>AF41</f>
        <v>235000</v>
      </c>
      <c r="AG51" s="13">
        <f>AG41</f>
        <v>0</v>
      </c>
      <c r="AH51" s="88">
        <f t="shared" si="133"/>
        <v>0</v>
      </c>
      <c r="AI51" s="15">
        <f t="shared" si="134"/>
        <v>-1</v>
      </c>
      <c r="AJ51" s="13">
        <f>AJ41</f>
        <v>227596</v>
      </c>
      <c r="AK51" s="13">
        <f>AK41</f>
        <v>235000</v>
      </c>
      <c r="AL51" s="13">
        <f>AL41</f>
        <v>0</v>
      </c>
      <c r="AM51" s="88">
        <f t="shared" si="135"/>
        <v>0</v>
      </c>
      <c r="AN51" s="15">
        <f t="shared" si="136"/>
        <v>-1</v>
      </c>
      <c r="AO51" s="13">
        <f>AO41</f>
        <v>246524</v>
      </c>
      <c r="AP51" s="13">
        <f>AP41</f>
        <v>235000</v>
      </c>
      <c r="AQ51" s="13">
        <f>AQ41</f>
        <v>0</v>
      </c>
      <c r="AR51" s="88">
        <f t="shared" si="137"/>
        <v>0</v>
      </c>
      <c r="AS51" s="15">
        <f t="shared" si="138"/>
        <v>-1</v>
      </c>
      <c r="AT51" s="13">
        <f>AT41</f>
        <v>327500</v>
      </c>
      <c r="AU51" s="13">
        <f>AU41</f>
        <v>235000</v>
      </c>
      <c r="AV51" s="13">
        <f>AV41</f>
        <v>0</v>
      </c>
      <c r="AW51" s="88">
        <f t="shared" si="139"/>
        <v>0</v>
      </c>
      <c r="AX51" s="15">
        <f t="shared" si="140"/>
        <v>-1</v>
      </c>
      <c r="AY51" s="13">
        <f>AY41</f>
        <v>246312</v>
      </c>
      <c r="AZ51" s="13">
        <f>AZ41</f>
        <v>235000</v>
      </c>
      <c r="BA51" s="13">
        <f>BA41</f>
        <v>0</v>
      </c>
      <c r="BB51" s="88">
        <f t="shared" si="141"/>
        <v>0</v>
      </c>
      <c r="BC51" s="15">
        <f t="shared" si="142"/>
        <v>-1</v>
      </c>
      <c r="BD51" s="13">
        <f>BD41</f>
        <v>183544</v>
      </c>
      <c r="BE51" s="13">
        <f>BE41</f>
        <v>235000</v>
      </c>
      <c r="BF51" s="13">
        <f>BF41</f>
        <v>0</v>
      </c>
      <c r="BG51" s="88">
        <f t="shared" si="143"/>
        <v>0</v>
      </c>
      <c r="BH51" s="15">
        <f t="shared" si="144"/>
        <v>-1</v>
      </c>
      <c r="BI51" s="13">
        <f>BI41</f>
        <v>282652</v>
      </c>
      <c r="BJ51" s="13">
        <f>BJ41</f>
        <v>235000</v>
      </c>
      <c r="BK51" s="13">
        <f>BK41</f>
        <v>0</v>
      </c>
      <c r="BL51" s="88">
        <f t="shared" si="145"/>
        <v>0</v>
      </c>
      <c r="BM51" s="15">
        <f t="shared" si="146"/>
        <v>-1</v>
      </c>
      <c r="BN51" s="13">
        <f>BN41</f>
        <v>247308</v>
      </c>
      <c r="BO51" s="13">
        <f>BO41</f>
        <v>235000</v>
      </c>
      <c r="BP51" s="13">
        <f>BP41</f>
        <v>0</v>
      </c>
      <c r="BQ51" s="88">
        <f t="shared" si="147"/>
        <v>0</v>
      </c>
      <c r="BR51" s="15">
        <f t="shared" si="148"/>
        <v>-1</v>
      </c>
      <c r="BS51" s="13">
        <f>BS41</f>
        <v>258096</v>
      </c>
      <c r="BT51" s="13">
        <f>BT41</f>
        <v>235000</v>
      </c>
      <c r="BU51" s="13">
        <f>BU41</f>
        <v>0</v>
      </c>
      <c r="BV51" s="88">
        <f t="shared" si="149"/>
        <v>0</v>
      </c>
      <c r="BW51" s="15">
        <f t="shared" si="150"/>
        <v>-1</v>
      </c>
    </row>
    <row r="52" spans="2:75" x14ac:dyDescent="0.3">
      <c r="B52" s="343"/>
      <c r="C52" s="344"/>
      <c r="D52" s="350" t="s">
        <v>43</v>
      </c>
      <c r="E52" s="351"/>
      <c r="F52" s="152">
        <v>55801</v>
      </c>
      <c r="G52" s="46">
        <v>55801</v>
      </c>
      <c r="H52" s="40">
        <f>H38</f>
        <v>92962</v>
      </c>
      <c r="I52" s="40">
        <f>I38</f>
        <v>120000</v>
      </c>
      <c r="J52" s="17">
        <f t="shared" si="124"/>
        <v>0.29085002474129218</v>
      </c>
      <c r="K52" s="137">
        <f>K38</f>
        <v>92962</v>
      </c>
      <c r="L52" s="137">
        <f t="shared" ref="L52:M52" si="153">L38</f>
        <v>120000</v>
      </c>
      <c r="M52" s="137">
        <f t="shared" si="153"/>
        <v>0</v>
      </c>
      <c r="N52" s="88">
        <f t="shared" si="152"/>
        <v>-1</v>
      </c>
      <c r="O52" s="33">
        <f t="shared" si="126"/>
        <v>-1</v>
      </c>
      <c r="P52" s="16">
        <f>P38</f>
        <v>6906</v>
      </c>
      <c r="Q52" s="40">
        <f>Q38</f>
        <v>10000</v>
      </c>
      <c r="R52" s="40">
        <f>R38</f>
        <v>0</v>
      </c>
      <c r="S52" s="88">
        <f t="shared" si="127"/>
        <v>0</v>
      </c>
      <c r="T52" s="15">
        <f t="shared" si="128"/>
        <v>-1</v>
      </c>
      <c r="U52" s="16">
        <f>U38</f>
        <v>6821</v>
      </c>
      <c r="V52" s="16">
        <f>V38</f>
        <v>10000</v>
      </c>
      <c r="W52" s="16">
        <f>W38</f>
        <v>0</v>
      </c>
      <c r="X52" s="88">
        <f t="shared" si="129"/>
        <v>0</v>
      </c>
      <c r="Y52" s="15">
        <f t="shared" si="130"/>
        <v>-1</v>
      </c>
      <c r="Z52" s="16">
        <f>Z38</f>
        <v>5904</v>
      </c>
      <c r="AA52" s="16">
        <f>AA38</f>
        <v>10000</v>
      </c>
      <c r="AB52" s="16">
        <f>AB38</f>
        <v>0</v>
      </c>
      <c r="AC52" s="88">
        <f t="shared" si="131"/>
        <v>0</v>
      </c>
      <c r="AD52" s="15">
        <f t="shared" si="132"/>
        <v>-1</v>
      </c>
      <c r="AE52" s="16">
        <f>AE38</f>
        <v>10023</v>
      </c>
      <c r="AF52" s="16">
        <f>AF38</f>
        <v>10000</v>
      </c>
      <c r="AG52" s="16">
        <f>AG38</f>
        <v>0</v>
      </c>
      <c r="AH52" s="88">
        <f t="shared" si="133"/>
        <v>0</v>
      </c>
      <c r="AI52" s="15">
        <f t="shared" si="134"/>
        <v>-1</v>
      </c>
      <c r="AJ52" s="16">
        <f>AJ38</f>
        <v>9644</v>
      </c>
      <c r="AK52" s="16">
        <f>AK38</f>
        <v>10000</v>
      </c>
      <c r="AL52" s="16">
        <f>AL38</f>
        <v>0</v>
      </c>
      <c r="AM52" s="88">
        <f t="shared" si="135"/>
        <v>0</v>
      </c>
      <c r="AN52" s="15">
        <f t="shared" si="136"/>
        <v>-1</v>
      </c>
      <c r="AO52" s="16">
        <f>AO38</f>
        <v>6815</v>
      </c>
      <c r="AP52" s="16">
        <f>AP38</f>
        <v>10000</v>
      </c>
      <c r="AQ52" s="16">
        <f>AQ38</f>
        <v>0</v>
      </c>
      <c r="AR52" s="88">
        <f t="shared" si="137"/>
        <v>0</v>
      </c>
      <c r="AS52" s="15">
        <f t="shared" si="138"/>
        <v>-1</v>
      </c>
      <c r="AT52" s="16">
        <f>AT38</f>
        <v>5618</v>
      </c>
      <c r="AU52" s="16">
        <f>AU38</f>
        <v>10000</v>
      </c>
      <c r="AV52" s="16">
        <f>AV38</f>
        <v>0</v>
      </c>
      <c r="AW52" s="88">
        <f t="shared" si="139"/>
        <v>0</v>
      </c>
      <c r="AX52" s="15">
        <f t="shared" si="140"/>
        <v>-1</v>
      </c>
      <c r="AY52" s="16">
        <f>AY38</f>
        <v>6755</v>
      </c>
      <c r="AZ52" s="16">
        <f>AZ38</f>
        <v>10000</v>
      </c>
      <c r="BA52" s="16">
        <f>BA38</f>
        <v>0</v>
      </c>
      <c r="BB52" s="88">
        <f t="shared" si="141"/>
        <v>0</v>
      </c>
      <c r="BC52" s="15">
        <f t="shared" si="142"/>
        <v>-1</v>
      </c>
      <c r="BD52" s="16">
        <f>BD38</f>
        <v>12109</v>
      </c>
      <c r="BE52" s="16">
        <f>BE38</f>
        <v>10000</v>
      </c>
      <c r="BF52" s="16">
        <f>BF38</f>
        <v>0</v>
      </c>
      <c r="BG52" s="88">
        <f t="shared" si="143"/>
        <v>0</v>
      </c>
      <c r="BH52" s="15">
        <f t="shared" si="144"/>
        <v>-1</v>
      </c>
      <c r="BI52" s="16">
        <f>BI38</f>
        <v>9654</v>
      </c>
      <c r="BJ52" s="16">
        <f>BJ38</f>
        <v>10000</v>
      </c>
      <c r="BK52" s="16">
        <f>BK38</f>
        <v>0</v>
      </c>
      <c r="BL52" s="88">
        <f t="shared" si="145"/>
        <v>0</v>
      </c>
      <c r="BM52" s="15">
        <f t="shared" si="146"/>
        <v>-1</v>
      </c>
      <c r="BN52" s="16">
        <f>BN38</f>
        <v>6197</v>
      </c>
      <c r="BO52" s="16">
        <f>BO38</f>
        <v>10000</v>
      </c>
      <c r="BP52" s="16">
        <f>BP38</f>
        <v>0</v>
      </c>
      <c r="BQ52" s="88">
        <f t="shared" si="147"/>
        <v>0</v>
      </c>
      <c r="BR52" s="15">
        <f t="shared" si="148"/>
        <v>-1</v>
      </c>
      <c r="BS52" s="16">
        <f>BS38</f>
        <v>6516</v>
      </c>
      <c r="BT52" s="16">
        <f>BT38</f>
        <v>10000</v>
      </c>
      <c r="BU52" s="16">
        <f>BU38</f>
        <v>0</v>
      </c>
      <c r="BV52" s="88">
        <f t="shared" si="149"/>
        <v>0</v>
      </c>
      <c r="BW52" s="15">
        <f t="shared" si="150"/>
        <v>-1</v>
      </c>
    </row>
    <row r="53" spans="2:75" x14ac:dyDescent="0.3">
      <c r="B53" s="343"/>
      <c r="C53" s="344"/>
      <c r="D53" s="301" t="s">
        <v>50</v>
      </c>
      <c r="E53" s="349"/>
      <c r="F53" s="151">
        <v>4650407</v>
      </c>
      <c r="G53" s="45">
        <v>4650407</v>
      </c>
      <c r="H53" s="39">
        <f>H9</f>
        <v>5083802</v>
      </c>
      <c r="I53" s="39">
        <f>I9</f>
        <v>5700000</v>
      </c>
      <c r="J53" s="15">
        <f t="shared" si="124"/>
        <v>0.12120810369876711</v>
      </c>
      <c r="K53" s="136">
        <f>K9</f>
        <v>5653302</v>
      </c>
      <c r="L53" s="136">
        <f t="shared" ref="L53:M53" si="154">L9</f>
        <v>5700000</v>
      </c>
      <c r="M53" s="136">
        <f t="shared" si="154"/>
        <v>0</v>
      </c>
      <c r="N53" s="88">
        <f t="shared" si="152"/>
        <v>-1</v>
      </c>
      <c r="O53" s="33">
        <f t="shared" si="126"/>
        <v>-1</v>
      </c>
      <c r="P53" s="13">
        <f>P9</f>
        <v>328580</v>
      </c>
      <c r="Q53" s="39">
        <f>Q9</f>
        <v>399000.00000000006</v>
      </c>
      <c r="R53" s="39">
        <f>R9</f>
        <v>0</v>
      </c>
      <c r="S53" s="88">
        <f t="shared" si="127"/>
        <v>0</v>
      </c>
      <c r="T53" s="15">
        <f t="shared" si="128"/>
        <v>-1</v>
      </c>
      <c r="U53" s="13">
        <f>U9</f>
        <v>346389</v>
      </c>
      <c r="V53" s="13">
        <f>V9</f>
        <v>456000</v>
      </c>
      <c r="W53" s="13">
        <f>W9</f>
        <v>0</v>
      </c>
      <c r="X53" s="88">
        <f t="shared" si="129"/>
        <v>0</v>
      </c>
      <c r="Y53" s="15">
        <f t="shared" si="130"/>
        <v>-1</v>
      </c>
      <c r="Z53" s="13">
        <f>Z9</f>
        <v>464840</v>
      </c>
      <c r="AA53" s="13">
        <f>AA9</f>
        <v>513000</v>
      </c>
      <c r="AB53" s="13">
        <f>AB9</f>
        <v>0</v>
      </c>
      <c r="AC53" s="88">
        <f t="shared" si="131"/>
        <v>0</v>
      </c>
      <c r="AD53" s="15">
        <f t="shared" si="132"/>
        <v>-1</v>
      </c>
      <c r="AE53" s="13">
        <f>AE9</f>
        <v>455471</v>
      </c>
      <c r="AF53" s="13">
        <f>AF9</f>
        <v>456000</v>
      </c>
      <c r="AG53" s="13">
        <f>AG9</f>
        <v>0</v>
      </c>
      <c r="AH53" s="88">
        <f t="shared" si="133"/>
        <v>0</v>
      </c>
      <c r="AI53" s="15">
        <f t="shared" si="134"/>
        <v>-1</v>
      </c>
      <c r="AJ53" s="13">
        <f>AJ9</f>
        <v>396406</v>
      </c>
      <c r="AK53" s="13">
        <f>AK9</f>
        <v>456000</v>
      </c>
      <c r="AL53" s="13">
        <f>AL9</f>
        <v>0</v>
      </c>
      <c r="AM53" s="88">
        <f t="shared" si="135"/>
        <v>0</v>
      </c>
      <c r="AN53" s="15">
        <f t="shared" si="136"/>
        <v>-1</v>
      </c>
      <c r="AO53" s="13">
        <f>AO9</f>
        <v>408513</v>
      </c>
      <c r="AP53" s="13">
        <f>AP9</f>
        <v>456000</v>
      </c>
      <c r="AQ53" s="13">
        <f>AQ9</f>
        <v>0</v>
      </c>
      <c r="AR53" s="88">
        <f t="shared" si="137"/>
        <v>0</v>
      </c>
      <c r="AS53" s="15">
        <f t="shared" si="138"/>
        <v>-1</v>
      </c>
      <c r="AT53" s="13">
        <f>AT9</f>
        <v>432986</v>
      </c>
      <c r="AU53" s="13">
        <f>AU9</f>
        <v>456000</v>
      </c>
      <c r="AV53" s="13">
        <f>AV9</f>
        <v>0</v>
      </c>
      <c r="AW53" s="88">
        <f t="shared" si="139"/>
        <v>0</v>
      </c>
      <c r="AX53" s="15">
        <f t="shared" si="140"/>
        <v>-1</v>
      </c>
      <c r="AY53" s="13">
        <f>AY9</f>
        <v>415086</v>
      </c>
      <c r="AZ53" s="13">
        <f>AZ9</f>
        <v>456000</v>
      </c>
      <c r="BA53" s="13">
        <f>BA9</f>
        <v>0</v>
      </c>
      <c r="BB53" s="88">
        <f t="shared" si="141"/>
        <v>0</v>
      </c>
      <c r="BC53" s="15">
        <f t="shared" si="142"/>
        <v>-1</v>
      </c>
      <c r="BD53" s="13">
        <f>BD9</f>
        <v>699787</v>
      </c>
      <c r="BE53" s="13">
        <f>BE9</f>
        <v>0</v>
      </c>
      <c r="BF53" s="13">
        <f>BF9</f>
        <v>0</v>
      </c>
      <c r="BG53" s="88" t="e">
        <f t="shared" si="143"/>
        <v>#DIV/0!</v>
      </c>
      <c r="BH53" s="15">
        <f t="shared" si="144"/>
        <v>-1</v>
      </c>
      <c r="BI53" s="13">
        <f>BI9</f>
        <v>543703</v>
      </c>
      <c r="BJ53" s="13">
        <f>BJ9</f>
        <v>541500</v>
      </c>
      <c r="BK53" s="13">
        <f>BK9</f>
        <v>0</v>
      </c>
      <c r="BL53" s="88">
        <f t="shared" si="145"/>
        <v>0</v>
      </c>
      <c r="BM53" s="15">
        <f t="shared" si="146"/>
        <v>-1</v>
      </c>
      <c r="BN53" s="13">
        <f>BN9</f>
        <v>469271</v>
      </c>
      <c r="BO53" s="13">
        <f>BO9</f>
        <v>541500</v>
      </c>
      <c r="BP53" s="13">
        <f>BP9</f>
        <v>0</v>
      </c>
      <c r="BQ53" s="88">
        <f t="shared" si="147"/>
        <v>0</v>
      </c>
      <c r="BR53" s="15">
        <f t="shared" si="148"/>
        <v>-1</v>
      </c>
      <c r="BS53" s="13">
        <f>BS9</f>
        <v>438547</v>
      </c>
      <c r="BT53" s="13">
        <f>BT9</f>
        <v>513000</v>
      </c>
      <c r="BU53" s="13">
        <f>BU9</f>
        <v>0</v>
      </c>
      <c r="BV53" s="88">
        <f t="shared" si="149"/>
        <v>0</v>
      </c>
      <c r="BW53" s="15">
        <f t="shared" si="150"/>
        <v>-1</v>
      </c>
    </row>
    <row r="54" spans="2:75" ht="17.25" thickBot="1" x14ac:dyDescent="0.35">
      <c r="B54" s="345"/>
      <c r="C54" s="346"/>
      <c r="D54" s="302" t="s">
        <v>31</v>
      </c>
      <c r="E54" s="299"/>
      <c r="F54" s="154">
        <v>6053348.5</v>
      </c>
      <c r="G54" s="57">
        <v>6053348.5</v>
      </c>
      <c r="H54" s="42">
        <f>H29</f>
        <v>5433492</v>
      </c>
      <c r="I54" s="42">
        <f>I29</f>
        <v>6125000</v>
      </c>
      <c r="J54" s="25">
        <f t="shared" si="124"/>
        <v>0.1272676945139517</v>
      </c>
      <c r="K54" s="145">
        <f>K29</f>
        <v>6213928</v>
      </c>
      <c r="L54" s="145">
        <f t="shared" ref="L54:M54" si="155">L29</f>
        <v>6125000</v>
      </c>
      <c r="M54" s="145">
        <f t="shared" si="155"/>
        <v>0</v>
      </c>
      <c r="N54" s="146">
        <f t="shared" si="152"/>
        <v>-1</v>
      </c>
      <c r="O54" s="82">
        <f t="shared" si="126"/>
        <v>-1</v>
      </c>
      <c r="P54" s="24">
        <f>P29</f>
        <v>422415</v>
      </c>
      <c r="Q54" s="42">
        <f>Q29</f>
        <v>429693</v>
      </c>
      <c r="R54" s="42">
        <f>R29</f>
        <v>0</v>
      </c>
      <c r="S54" s="146">
        <f t="shared" si="127"/>
        <v>0</v>
      </c>
      <c r="T54" s="25">
        <f t="shared" si="128"/>
        <v>-1</v>
      </c>
      <c r="U54" s="24">
        <f>U29</f>
        <v>385426</v>
      </c>
      <c r="V54" s="24">
        <f>V29</f>
        <v>458993</v>
      </c>
      <c r="W54" s="24">
        <f>W29</f>
        <v>0</v>
      </c>
      <c r="X54" s="146">
        <f t="shared" si="129"/>
        <v>0</v>
      </c>
      <c r="Y54" s="25">
        <f t="shared" si="130"/>
        <v>-1</v>
      </c>
      <c r="Z54" s="24">
        <f>Z29</f>
        <v>475886</v>
      </c>
      <c r="AA54" s="24">
        <f>AA29</f>
        <v>519593</v>
      </c>
      <c r="AB54" s="24">
        <f>AB29</f>
        <v>0</v>
      </c>
      <c r="AC54" s="146">
        <f t="shared" si="131"/>
        <v>0</v>
      </c>
      <c r="AD54" s="25">
        <f t="shared" si="132"/>
        <v>-1</v>
      </c>
      <c r="AE54" s="24">
        <f>AE29</f>
        <v>444047</v>
      </c>
      <c r="AF54" s="24">
        <f>AF29</f>
        <v>590593</v>
      </c>
      <c r="AG54" s="24">
        <f>AG29</f>
        <v>0</v>
      </c>
      <c r="AH54" s="146">
        <f t="shared" si="133"/>
        <v>0</v>
      </c>
      <c r="AI54" s="25">
        <f t="shared" si="134"/>
        <v>-1</v>
      </c>
      <c r="AJ54" s="24">
        <f>AJ29</f>
        <v>492593</v>
      </c>
      <c r="AK54" s="24">
        <f>AK29</f>
        <v>552193</v>
      </c>
      <c r="AL54" s="24">
        <f>AL29</f>
        <v>0</v>
      </c>
      <c r="AM54" s="146">
        <f t="shared" si="135"/>
        <v>0</v>
      </c>
      <c r="AN54" s="25">
        <f t="shared" si="136"/>
        <v>-1</v>
      </c>
      <c r="AO54" s="24">
        <f>AO29</f>
        <v>401955</v>
      </c>
      <c r="AP54" s="24">
        <f>AP29</f>
        <v>473793</v>
      </c>
      <c r="AQ54" s="24">
        <f>AQ29</f>
        <v>0</v>
      </c>
      <c r="AR54" s="146">
        <f t="shared" si="137"/>
        <v>0</v>
      </c>
      <c r="AS54" s="25">
        <f t="shared" si="138"/>
        <v>-1</v>
      </c>
      <c r="AT54" s="24">
        <f>AT29</f>
        <v>484454</v>
      </c>
      <c r="AU54" s="24">
        <f>AU29</f>
        <v>479593</v>
      </c>
      <c r="AV54" s="24">
        <f>AV29</f>
        <v>0</v>
      </c>
      <c r="AW54" s="146">
        <f t="shared" si="139"/>
        <v>0</v>
      </c>
      <c r="AX54" s="25">
        <f t="shared" si="140"/>
        <v>-1</v>
      </c>
      <c r="AY54" s="24">
        <f>AY29</f>
        <v>424912</v>
      </c>
      <c r="AZ54" s="24">
        <f>AZ29</f>
        <v>483293</v>
      </c>
      <c r="BA54" s="24">
        <f>BA29</f>
        <v>0</v>
      </c>
      <c r="BB54" s="146">
        <f t="shared" si="141"/>
        <v>0</v>
      </c>
      <c r="BC54" s="25">
        <f t="shared" si="142"/>
        <v>-1</v>
      </c>
      <c r="BD54" s="24">
        <f>BD29</f>
        <v>378745</v>
      </c>
      <c r="BE54" s="24">
        <f>BE29</f>
        <v>0</v>
      </c>
      <c r="BF54" s="24">
        <f>BF29</f>
        <v>0</v>
      </c>
      <c r="BG54" s="146" t="e">
        <f t="shared" si="143"/>
        <v>#DIV/0!</v>
      </c>
      <c r="BH54" s="25">
        <f t="shared" si="144"/>
        <v>-1</v>
      </c>
      <c r="BI54" s="24">
        <f>BI29</f>
        <v>489218</v>
      </c>
      <c r="BJ54" s="24">
        <f>BJ29</f>
        <v>599293</v>
      </c>
      <c r="BK54" s="24">
        <f>BK29</f>
        <v>0</v>
      </c>
      <c r="BL54" s="146">
        <f t="shared" si="145"/>
        <v>0</v>
      </c>
      <c r="BM54" s="25">
        <f t="shared" si="146"/>
        <v>-1</v>
      </c>
      <c r="BN54" s="24">
        <f>BN29</f>
        <v>501510</v>
      </c>
      <c r="BO54" s="24">
        <f>BO29</f>
        <v>488393</v>
      </c>
      <c r="BP54" s="24">
        <f>BP29</f>
        <v>0</v>
      </c>
      <c r="BQ54" s="146">
        <f t="shared" si="147"/>
        <v>0</v>
      </c>
      <c r="BR54" s="25">
        <f t="shared" si="148"/>
        <v>-1</v>
      </c>
      <c r="BS54" s="24">
        <f>BS29</f>
        <v>532331</v>
      </c>
      <c r="BT54" s="24">
        <f>BT29</f>
        <v>504727</v>
      </c>
      <c r="BU54" s="24">
        <f>BU29</f>
        <v>0</v>
      </c>
      <c r="BV54" s="146">
        <f t="shared" si="149"/>
        <v>0</v>
      </c>
      <c r="BW54" s="25">
        <f t="shared" si="150"/>
        <v>-1</v>
      </c>
    </row>
    <row r="55" spans="2:75" x14ac:dyDescent="0.3">
      <c r="B55" s="341" t="s">
        <v>51</v>
      </c>
      <c r="C55" s="342"/>
      <c r="D55" s="347" t="s">
        <v>49</v>
      </c>
      <c r="E55" s="348"/>
      <c r="F55" s="155">
        <v>13387033</v>
      </c>
      <c r="G55" s="147">
        <v>13387033</v>
      </c>
      <c r="H55" s="44">
        <f>SUM(H56:H59)</f>
        <v>13654468</v>
      </c>
      <c r="I55" s="44">
        <f>SUM(I56:I59)</f>
        <v>14765000</v>
      </c>
      <c r="J55" s="19">
        <f t="shared" si="124"/>
        <v>8.1331033915052586E-2</v>
      </c>
      <c r="K55" s="147">
        <f>SUM(K56:K59)</f>
        <v>14344974</v>
      </c>
      <c r="L55" s="44">
        <f>SUM(L56:L59)</f>
        <v>13519157</v>
      </c>
      <c r="M55" s="44">
        <f>SUM(M56:M59)</f>
        <v>0</v>
      </c>
      <c r="N55" s="148">
        <f t="shared" si="125"/>
        <v>0</v>
      </c>
      <c r="O55" s="32">
        <f t="shared" si="126"/>
        <v>-1</v>
      </c>
      <c r="P55" s="18">
        <f>SUM(P56:P59)</f>
        <v>1126554</v>
      </c>
      <c r="Q55" s="44">
        <f>SUM(Q56:Q59)</f>
        <v>1073693</v>
      </c>
      <c r="R55" s="44">
        <f>SUM(R56:R59)</f>
        <v>0</v>
      </c>
      <c r="S55" s="148">
        <f t="shared" si="127"/>
        <v>0</v>
      </c>
      <c r="T55" s="19">
        <f t="shared" si="128"/>
        <v>-1</v>
      </c>
      <c r="U55" s="18">
        <f>SUM(U56:U59)</f>
        <v>974166</v>
      </c>
      <c r="V55" s="18">
        <f>SUM(V56:V59)</f>
        <v>1159993</v>
      </c>
      <c r="W55" s="18">
        <f>SUM(W56:W59)</f>
        <v>0</v>
      </c>
      <c r="X55" s="148">
        <f t="shared" si="129"/>
        <v>0</v>
      </c>
      <c r="Y55" s="19">
        <f t="shared" si="130"/>
        <v>-1</v>
      </c>
      <c r="Z55" s="18">
        <f>SUM(Z56:Z59)</f>
        <v>1112956</v>
      </c>
      <c r="AA55" s="18">
        <f>SUM(AA56:AA59)</f>
        <v>1277593</v>
      </c>
      <c r="AB55" s="18">
        <f>SUM(AB56:AB59)</f>
        <v>0</v>
      </c>
      <c r="AC55" s="148">
        <f t="shared" si="131"/>
        <v>0</v>
      </c>
      <c r="AD55" s="19">
        <f t="shared" si="132"/>
        <v>-1</v>
      </c>
      <c r="AE55" s="18">
        <f>SUM(AE56:AE59)</f>
        <v>1235930</v>
      </c>
      <c r="AF55" s="18">
        <f>SUM(AF56:AF59)</f>
        <v>1291593</v>
      </c>
      <c r="AG55" s="18">
        <f>SUM(AG56:AG59)</f>
        <v>0</v>
      </c>
      <c r="AH55" s="148">
        <f t="shared" si="133"/>
        <v>0</v>
      </c>
      <c r="AI55" s="19">
        <f t="shared" si="134"/>
        <v>-1</v>
      </c>
      <c r="AJ55" s="18">
        <f>SUM(AJ56:AJ59)</f>
        <v>1210391</v>
      </c>
      <c r="AK55" s="18">
        <f>SUM(AK56:AK59)</f>
        <v>1253193</v>
      </c>
      <c r="AL55" s="18">
        <f>SUM(AL56:AL59)</f>
        <v>0</v>
      </c>
      <c r="AM55" s="148">
        <f t="shared" si="135"/>
        <v>0</v>
      </c>
      <c r="AN55" s="19">
        <f t="shared" si="136"/>
        <v>-1</v>
      </c>
      <c r="AO55" s="18">
        <f>SUM(AO56:AO59)</f>
        <v>970457</v>
      </c>
      <c r="AP55" s="18">
        <f>SUM(AP56:AP59)</f>
        <v>1174793</v>
      </c>
      <c r="AQ55" s="18">
        <f>SUM(AQ56:AQ59)</f>
        <v>0</v>
      </c>
      <c r="AR55" s="148">
        <f t="shared" si="137"/>
        <v>0</v>
      </c>
      <c r="AS55" s="19">
        <f t="shared" si="138"/>
        <v>-1</v>
      </c>
      <c r="AT55" s="18">
        <f>SUM(AT56:AT59)</f>
        <v>1197349</v>
      </c>
      <c r="AU55" s="18">
        <f>SUM(AU56:AU59)</f>
        <v>1180593</v>
      </c>
      <c r="AV55" s="18">
        <f>SUM(AV56:AV59)</f>
        <v>0</v>
      </c>
      <c r="AW55" s="148">
        <f t="shared" si="139"/>
        <v>0</v>
      </c>
      <c r="AX55" s="19">
        <f t="shared" si="140"/>
        <v>-1</v>
      </c>
      <c r="AY55" s="18">
        <f>SUM(AY56:AY59)</f>
        <v>1064315</v>
      </c>
      <c r="AZ55" s="18">
        <f>SUM(AZ56:AZ59)</f>
        <v>1184293</v>
      </c>
      <c r="BA55" s="18">
        <f>SUM(BA56:BA59)</f>
        <v>0</v>
      </c>
      <c r="BB55" s="148">
        <f t="shared" si="141"/>
        <v>0</v>
      </c>
      <c r="BC55" s="19">
        <f t="shared" si="142"/>
        <v>-1</v>
      </c>
      <c r="BD55" s="18">
        <f>SUM(BD56:BD59)</f>
        <v>1706232</v>
      </c>
      <c r="BE55" s="18">
        <f>SUM(BE56:BE59)</f>
        <v>0</v>
      </c>
      <c r="BF55" s="18">
        <f>SUM(BF56:BF59)</f>
        <v>0</v>
      </c>
      <c r="BG55" s="148" t="e">
        <f t="shared" si="143"/>
        <v>#DIV/0!</v>
      </c>
      <c r="BH55" s="19">
        <f t="shared" si="144"/>
        <v>-1</v>
      </c>
      <c r="BI55" s="18">
        <f>SUM(BI56:BI59)</f>
        <v>1366617</v>
      </c>
      <c r="BJ55" s="18">
        <f>SUM(BJ56:BJ59)</f>
        <v>1385793</v>
      </c>
      <c r="BK55" s="18">
        <f>SUM(BK56:BK59)</f>
        <v>0</v>
      </c>
      <c r="BL55" s="148">
        <f t="shared" si="145"/>
        <v>0</v>
      </c>
      <c r="BM55" s="19">
        <f t="shared" si="146"/>
        <v>-1</v>
      </c>
      <c r="BN55" s="18">
        <f>SUM(BN56:BN59)</f>
        <v>1182439</v>
      </c>
      <c r="BO55" s="18">
        <f>SUM(BO56:BO59)</f>
        <v>1274893</v>
      </c>
      <c r="BP55" s="18">
        <f>SUM(BP56:BP59)</f>
        <v>0</v>
      </c>
      <c r="BQ55" s="148">
        <f t="shared" si="147"/>
        <v>0</v>
      </c>
      <c r="BR55" s="19">
        <f t="shared" si="148"/>
        <v>-1</v>
      </c>
      <c r="BS55" s="18">
        <f>SUM(BS56:BS59)</f>
        <v>1197568</v>
      </c>
      <c r="BT55" s="18">
        <f>SUM(BT56:BT59)</f>
        <v>1262727</v>
      </c>
      <c r="BU55" s="18">
        <f>SUM(BU56:BU59)</f>
        <v>0</v>
      </c>
      <c r="BV55" s="148">
        <f t="shared" si="149"/>
        <v>0</v>
      </c>
      <c r="BW55" s="19">
        <f t="shared" si="150"/>
        <v>-1</v>
      </c>
    </row>
    <row r="56" spans="2:75" x14ac:dyDescent="0.3">
      <c r="B56" s="343"/>
      <c r="C56" s="344"/>
      <c r="D56" s="301" t="s">
        <v>44</v>
      </c>
      <c r="E56" s="349"/>
      <c r="F56" s="151">
        <v>3008984</v>
      </c>
      <c r="G56" s="45">
        <v>3008984</v>
      </c>
      <c r="H56" s="39">
        <f t="shared" ref="H56:I59" si="156">H51</f>
        <v>3044212</v>
      </c>
      <c r="I56" s="39">
        <f t="shared" si="156"/>
        <v>2820000</v>
      </c>
      <c r="J56" s="15">
        <f t="shared" si="124"/>
        <v>-7.3651900721763086E-2</v>
      </c>
      <c r="K56" s="136">
        <f>K42</f>
        <v>3144752</v>
      </c>
      <c r="L56" s="136">
        <f t="shared" ref="L56:M56" si="157">L42</f>
        <v>2585000</v>
      </c>
      <c r="M56" s="136">
        <f t="shared" si="157"/>
        <v>0</v>
      </c>
      <c r="N56" s="88">
        <f t="shared" ref="N56:N59" si="158">M56/L56-1</f>
        <v>-1</v>
      </c>
      <c r="O56" s="33">
        <f t="shared" si="126"/>
        <v>-1</v>
      </c>
      <c r="P56" s="13">
        <f>P42</f>
        <v>308652</v>
      </c>
      <c r="Q56" s="39">
        <f>Q42</f>
        <v>235000</v>
      </c>
      <c r="R56" s="39">
        <f>R42</f>
        <v>0</v>
      </c>
      <c r="S56" s="88">
        <f>S42</f>
        <v>-1</v>
      </c>
      <c r="T56" s="15">
        <f t="shared" si="128"/>
        <v>-1</v>
      </c>
      <c r="U56" s="13">
        <f>U42</f>
        <v>251088</v>
      </c>
      <c r="V56" s="13">
        <f>V42</f>
        <v>235000</v>
      </c>
      <c r="W56" s="13">
        <f>W42</f>
        <v>0</v>
      </c>
      <c r="X56" s="88">
        <f>X42</f>
        <v>-1</v>
      </c>
      <c r="Y56" s="15">
        <f t="shared" si="130"/>
        <v>-1</v>
      </c>
      <c r="Z56" s="13">
        <f>Z42</f>
        <v>206792</v>
      </c>
      <c r="AA56" s="13">
        <f>AA42</f>
        <v>235000</v>
      </c>
      <c r="AB56" s="13">
        <f>AB42</f>
        <v>0</v>
      </c>
      <c r="AC56" s="88">
        <f>AC42</f>
        <v>-1</v>
      </c>
      <c r="AD56" s="15">
        <f t="shared" si="132"/>
        <v>-1</v>
      </c>
      <c r="AE56" s="13">
        <f>AE42</f>
        <v>305820</v>
      </c>
      <c r="AF56" s="13">
        <f>AF42</f>
        <v>235000</v>
      </c>
      <c r="AG56" s="13">
        <f>AG42</f>
        <v>0</v>
      </c>
      <c r="AH56" s="88">
        <f>AH42</f>
        <v>-1</v>
      </c>
      <c r="AI56" s="15">
        <f t="shared" si="134"/>
        <v>-1</v>
      </c>
      <c r="AJ56" s="13">
        <f>AJ42</f>
        <v>268064</v>
      </c>
      <c r="AK56" s="13">
        <f>AK42</f>
        <v>235000</v>
      </c>
      <c r="AL56" s="13">
        <f>AL42</f>
        <v>0</v>
      </c>
      <c r="AM56" s="88">
        <f>AM42</f>
        <v>-1</v>
      </c>
      <c r="AN56" s="15">
        <f t="shared" si="136"/>
        <v>-1</v>
      </c>
      <c r="AO56" s="13">
        <f>AO42</f>
        <v>264536</v>
      </c>
      <c r="AP56" s="13">
        <f>AP42</f>
        <v>235000</v>
      </c>
      <c r="AQ56" s="13">
        <f>AQ42</f>
        <v>0</v>
      </c>
      <c r="AR56" s="88">
        <f>AR42</f>
        <v>-1</v>
      </c>
      <c r="AS56" s="15">
        <f t="shared" si="138"/>
        <v>-1</v>
      </c>
      <c r="AT56" s="13">
        <f>AT42</f>
        <v>396104</v>
      </c>
      <c r="AU56" s="13">
        <f>AU42</f>
        <v>235000</v>
      </c>
      <c r="AV56" s="13">
        <f>AV42</f>
        <v>0</v>
      </c>
      <c r="AW56" s="88">
        <f>AW42</f>
        <v>-1</v>
      </c>
      <c r="AX56" s="15">
        <f t="shared" si="140"/>
        <v>-1</v>
      </c>
      <c r="AY56" s="13">
        <f>AY42</f>
        <v>250992</v>
      </c>
      <c r="AZ56" s="13">
        <f>AZ42</f>
        <v>235000</v>
      </c>
      <c r="BA56" s="13">
        <f>BA42</f>
        <v>0</v>
      </c>
      <c r="BB56" s="88">
        <f>BB42</f>
        <v>-1</v>
      </c>
      <c r="BC56" s="15">
        <f t="shared" si="142"/>
        <v>-1</v>
      </c>
      <c r="BD56" s="13">
        <f>BD42</f>
        <v>211504</v>
      </c>
      <c r="BE56" s="13">
        <f>BE42</f>
        <v>0</v>
      </c>
      <c r="BF56" s="13">
        <f>BF42</f>
        <v>0</v>
      </c>
      <c r="BG56" s="88" t="e">
        <f>BG42</f>
        <v>#DIV/0!</v>
      </c>
      <c r="BH56" s="15">
        <f t="shared" si="144"/>
        <v>-1</v>
      </c>
      <c r="BI56" s="13">
        <f>BI42</f>
        <v>187880</v>
      </c>
      <c r="BJ56" s="13">
        <f>BJ42</f>
        <v>235000</v>
      </c>
      <c r="BK56" s="13">
        <f>BK42</f>
        <v>0</v>
      </c>
      <c r="BL56" s="88">
        <f>BL42</f>
        <v>-1</v>
      </c>
      <c r="BM56" s="15">
        <f t="shared" si="146"/>
        <v>-1</v>
      </c>
      <c r="BN56" s="13">
        <f>BN42</f>
        <v>252064</v>
      </c>
      <c r="BO56" s="13">
        <f>BO42</f>
        <v>235000</v>
      </c>
      <c r="BP56" s="13">
        <f>BP42</f>
        <v>0</v>
      </c>
      <c r="BQ56" s="88">
        <f>BQ42</f>
        <v>-1</v>
      </c>
      <c r="BR56" s="15">
        <f t="shared" si="148"/>
        <v>-1</v>
      </c>
      <c r="BS56" s="13">
        <f>BS42</f>
        <v>241256</v>
      </c>
      <c r="BT56" s="13">
        <f>BT42</f>
        <v>235000</v>
      </c>
      <c r="BU56" s="13">
        <f>BU42</f>
        <v>0</v>
      </c>
      <c r="BV56" s="88">
        <f>BV42</f>
        <v>-1</v>
      </c>
      <c r="BW56" s="15">
        <f t="shared" si="150"/>
        <v>-1</v>
      </c>
    </row>
    <row r="57" spans="2:75" x14ac:dyDescent="0.3">
      <c r="B57" s="343"/>
      <c r="C57" s="344"/>
      <c r="D57" s="350" t="s">
        <v>43</v>
      </c>
      <c r="E57" s="351"/>
      <c r="F57" s="152">
        <v>56642</v>
      </c>
      <c r="G57" s="46">
        <v>56642</v>
      </c>
      <c r="H57" s="39">
        <f t="shared" si="156"/>
        <v>92962</v>
      </c>
      <c r="I57" s="39">
        <f t="shared" si="156"/>
        <v>120000</v>
      </c>
      <c r="J57" s="17">
        <f t="shared" si="124"/>
        <v>0.29085002474129218</v>
      </c>
      <c r="K57" s="137">
        <f>K39</f>
        <v>92713</v>
      </c>
      <c r="L57" s="137">
        <f t="shared" ref="L57:M57" si="159">L39</f>
        <v>110000</v>
      </c>
      <c r="M57" s="137">
        <f t="shared" si="159"/>
        <v>0</v>
      </c>
      <c r="N57" s="93">
        <f t="shared" si="158"/>
        <v>-1</v>
      </c>
      <c r="O57" s="33">
        <f t="shared" si="126"/>
        <v>-1</v>
      </c>
      <c r="P57" s="16">
        <f>P39</f>
        <v>6978</v>
      </c>
      <c r="Q57" s="40">
        <f>Q39</f>
        <v>10000</v>
      </c>
      <c r="R57" s="40">
        <f>R39</f>
        <v>0</v>
      </c>
      <c r="S57" s="93">
        <f>S39</f>
        <v>-1</v>
      </c>
      <c r="T57" s="15">
        <f t="shared" si="128"/>
        <v>-1</v>
      </c>
      <c r="U57" s="16">
        <f>U39</f>
        <v>5680</v>
      </c>
      <c r="V57" s="16">
        <f>V39</f>
        <v>10000</v>
      </c>
      <c r="W57" s="16">
        <f>W39</f>
        <v>0</v>
      </c>
      <c r="X57" s="93">
        <f>X39</f>
        <v>-1</v>
      </c>
      <c r="Y57" s="15">
        <f t="shared" si="130"/>
        <v>-1</v>
      </c>
      <c r="Z57" s="16">
        <f>Z39</f>
        <v>4948</v>
      </c>
      <c r="AA57" s="16">
        <f>AA39</f>
        <v>10000</v>
      </c>
      <c r="AB57" s="16">
        <f>AB39</f>
        <v>0</v>
      </c>
      <c r="AC57" s="93">
        <f>AC39</f>
        <v>-1</v>
      </c>
      <c r="AD57" s="15">
        <f t="shared" si="132"/>
        <v>-1</v>
      </c>
      <c r="AE57" s="16">
        <f>AE39</f>
        <v>10425</v>
      </c>
      <c r="AF57" s="16">
        <f>AF39</f>
        <v>10000</v>
      </c>
      <c r="AG57" s="16">
        <f>AG39</f>
        <v>0</v>
      </c>
      <c r="AH57" s="93">
        <f>AH39</f>
        <v>-1</v>
      </c>
      <c r="AI57" s="15">
        <f t="shared" si="134"/>
        <v>-1</v>
      </c>
      <c r="AJ57" s="16">
        <f>AJ39</f>
        <v>9916</v>
      </c>
      <c r="AK57" s="16">
        <f>AK39</f>
        <v>10000</v>
      </c>
      <c r="AL57" s="16">
        <f>AL39</f>
        <v>0</v>
      </c>
      <c r="AM57" s="93">
        <f>AM39</f>
        <v>-1</v>
      </c>
      <c r="AN57" s="15">
        <f t="shared" si="136"/>
        <v>-1</v>
      </c>
      <c r="AO57" s="16">
        <f>AO39</f>
        <v>8955</v>
      </c>
      <c r="AP57" s="16">
        <f>AP39</f>
        <v>10000</v>
      </c>
      <c r="AQ57" s="16">
        <f>AQ39</f>
        <v>0</v>
      </c>
      <c r="AR57" s="93">
        <f>AR39</f>
        <v>-1</v>
      </c>
      <c r="AS57" s="15">
        <f t="shared" si="138"/>
        <v>-1</v>
      </c>
      <c r="AT57" s="16">
        <f>AT39</f>
        <v>5834</v>
      </c>
      <c r="AU57" s="16">
        <f>AU39</f>
        <v>10000</v>
      </c>
      <c r="AV57" s="16">
        <f>AV39</f>
        <v>0</v>
      </c>
      <c r="AW57" s="93">
        <f>AW39</f>
        <v>-1</v>
      </c>
      <c r="AX57" s="15">
        <f t="shared" si="140"/>
        <v>-1</v>
      </c>
      <c r="AY57" s="16">
        <f>AY39</f>
        <v>12401</v>
      </c>
      <c r="AZ57" s="16">
        <f>AZ39</f>
        <v>10000</v>
      </c>
      <c r="BA57" s="16">
        <f>BA39</f>
        <v>0</v>
      </c>
      <c r="BB57" s="93">
        <f>BB39</f>
        <v>-1</v>
      </c>
      <c r="BC57" s="15">
        <f t="shared" si="142"/>
        <v>-1</v>
      </c>
      <c r="BD57" s="16">
        <f>BD39</f>
        <v>5706</v>
      </c>
      <c r="BE57" s="16">
        <f>BE39</f>
        <v>0</v>
      </c>
      <c r="BF57" s="16">
        <f>BF39</f>
        <v>0</v>
      </c>
      <c r="BG57" s="93" t="e">
        <f>BG39</f>
        <v>#DIV/0!</v>
      </c>
      <c r="BH57" s="15">
        <f t="shared" si="144"/>
        <v>-1</v>
      </c>
      <c r="BI57" s="16">
        <f>BI39</f>
        <v>9731</v>
      </c>
      <c r="BJ57" s="16">
        <f>BJ39</f>
        <v>10000</v>
      </c>
      <c r="BK57" s="16">
        <f>BK39</f>
        <v>0</v>
      </c>
      <c r="BL57" s="93">
        <f>BL39</f>
        <v>-1</v>
      </c>
      <c r="BM57" s="15">
        <f t="shared" si="146"/>
        <v>-1</v>
      </c>
      <c r="BN57" s="16">
        <f>BN39</f>
        <v>5759</v>
      </c>
      <c r="BO57" s="16">
        <f>BO39</f>
        <v>10000</v>
      </c>
      <c r="BP57" s="16">
        <f>BP39</f>
        <v>0</v>
      </c>
      <c r="BQ57" s="93">
        <f>BQ39</f>
        <v>-1</v>
      </c>
      <c r="BR57" s="15">
        <f t="shared" si="148"/>
        <v>-1</v>
      </c>
      <c r="BS57" s="16">
        <f>BS39</f>
        <v>6380</v>
      </c>
      <c r="BT57" s="16">
        <f>BT39</f>
        <v>10000</v>
      </c>
      <c r="BU57" s="16">
        <f>BU39</f>
        <v>0</v>
      </c>
      <c r="BV57" s="93">
        <f>BV39</f>
        <v>-1</v>
      </c>
      <c r="BW57" s="15">
        <f t="shared" si="150"/>
        <v>-1</v>
      </c>
    </row>
    <row r="58" spans="2:75" x14ac:dyDescent="0.3">
      <c r="B58" s="343"/>
      <c r="C58" s="344"/>
      <c r="D58" s="301" t="s">
        <v>50</v>
      </c>
      <c r="E58" s="349"/>
      <c r="F58" s="151">
        <v>4617314</v>
      </c>
      <c r="G58" s="45">
        <v>4617314</v>
      </c>
      <c r="H58" s="39">
        <f t="shared" si="156"/>
        <v>5083802</v>
      </c>
      <c r="I58" s="39">
        <f t="shared" si="156"/>
        <v>5700000</v>
      </c>
      <c r="J58" s="15">
        <f t="shared" si="124"/>
        <v>0.12120810369876711</v>
      </c>
      <c r="K58" s="136">
        <f>K8</f>
        <v>5320027</v>
      </c>
      <c r="L58" s="136">
        <f t="shared" ref="L58:M58" si="160">L8</f>
        <v>5244000</v>
      </c>
      <c r="M58" s="136">
        <f t="shared" si="160"/>
        <v>0</v>
      </c>
      <c r="N58" s="88">
        <f t="shared" si="158"/>
        <v>-1</v>
      </c>
      <c r="O58" s="33">
        <f t="shared" si="126"/>
        <v>-1</v>
      </c>
      <c r="P58" s="13">
        <f>P8</f>
        <v>469678</v>
      </c>
      <c r="Q58" s="39">
        <f>Q8</f>
        <v>399000.00000000006</v>
      </c>
      <c r="R58" s="39">
        <f>R8</f>
        <v>0</v>
      </c>
      <c r="S58" s="88">
        <f>S8</f>
        <v>-1</v>
      </c>
      <c r="T58" s="15">
        <f t="shared" si="128"/>
        <v>-1</v>
      </c>
      <c r="U58" s="13">
        <f>U8</f>
        <v>320358</v>
      </c>
      <c r="V58" s="13">
        <f>V8</f>
        <v>456000</v>
      </c>
      <c r="W58" s="13">
        <f>W8</f>
        <v>0</v>
      </c>
      <c r="X58" s="88">
        <f>X8</f>
        <v>-1</v>
      </c>
      <c r="Y58" s="15">
        <f t="shared" si="130"/>
        <v>-1</v>
      </c>
      <c r="Z58" s="13">
        <f>Z8</f>
        <v>432930</v>
      </c>
      <c r="AA58" s="13">
        <f>AA8</f>
        <v>513000</v>
      </c>
      <c r="AB58" s="13">
        <f>AB8</f>
        <v>0</v>
      </c>
      <c r="AC58" s="88">
        <f>AC8</f>
        <v>-1</v>
      </c>
      <c r="AD58" s="15">
        <f t="shared" si="132"/>
        <v>-1</v>
      </c>
      <c r="AE58" s="13">
        <f>AE8</f>
        <v>472323</v>
      </c>
      <c r="AF58" s="13">
        <f>AF8</f>
        <v>456000</v>
      </c>
      <c r="AG58" s="13">
        <f>AG8</f>
        <v>0</v>
      </c>
      <c r="AH58" s="88">
        <f>AH8</f>
        <v>-1</v>
      </c>
      <c r="AI58" s="15">
        <f t="shared" si="134"/>
        <v>-1</v>
      </c>
      <c r="AJ58" s="13">
        <f>AJ8</f>
        <v>381307</v>
      </c>
      <c r="AK58" s="13">
        <f>AK8</f>
        <v>456000</v>
      </c>
      <c r="AL58" s="13">
        <f>AL8</f>
        <v>0</v>
      </c>
      <c r="AM58" s="88">
        <f>AM8</f>
        <v>-1</v>
      </c>
      <c r="AN58" s="15">
        <f t="shared" si="136"/>
        <v>-1</v>
      </c>
      <c r="AO58" s="13">
        <f>AO8</f>
        <v>280280</v>
      </c>
      <c r="AP58" s="13">
        <f>AP8</f>
        <v>456000</v>
      </c>
      <c r="AQ58" s="13">
        <f>AQ8</f>
        <v>0</v>
      </c>
      <c r="AR58" s="88">
        <f>AR8</f>
        <v>-1</v>
      </c>
      <c r="AS58" s="15">
        <f t="shared" si="138"/>
        <v>-1</v>
      </c>
      <c r="AT58" s="13">
        <f>AT8</f>
        <v>395242</v>
      </c>
      <c r="AU58" s="13">
        <f>AU8</f>
        <v>456000</v>
      </c>
      <c r="AV58" s="13">
        <f>AV8</f>
        <v>0</v>
      </c>
      <c r="AW58" s="88">
        <f>AW8</f>
        <v>-1</v>
      </c>
      <c r="AX58" s="15">
        <f t="shared" si="140"/>
        <v>-1</v>
      </c>
      <c r="AY58" s="13">
        <f>AY8</f>
        <v>360002</v>
      </c>
      <c r="AZ58" s="13">
        <f>AZ8</f>
        <v>456000</v>
      </c>
      <c r="BA58" s="13">
        <f>BA8</f>
        <v>0</v>
      </c>
      <c r="BB58" s="88">
        <f>BB8</f>
        <v>-1</v>
      </c>
      <c r="BC58" s="15">
        <f t="shared" si="142"/>
        <v>-1</v>
      </c>
      <c r="BD58" s="13">
        <f>BD8</f>
        <v>740331</v>
      </c>
      <c r="BE58" s="13">
        <f>BE8</f>
        <v>0</v>
      </c>
      <c r="BF58" s="13">
        <f>BF8</f>
        <v>0</v>
      </c>
      <c r="BG58" s="88" t="e">
        <f>BG8</f>
        <v>#DIV/0!</v>
      </c>
      <c r="BH58" s="15">
        <f t="shared" si="144"/>
        <v>-1</v>
      </c>
      <c r="BI58" s="13">
        <f>BI8</f>
        <v>611306</v>
      </c>
      <c r="BJ58" s="13">
        <f>BJ8</f>
        <v>541500</v>
      </c>
      <c r="BK58" s="13">
        <f>BK8</f>
        <v>0</v>
      </c>
      <c r="BL58" s="88">
        <f>BL8</f>
        <v>-1</v>
      </c>
      <c r="BM58" s="15">
        <f t="shared" si="146"/>
        <v>-1</v>
      </c>
      <c r="BN58" s="13">
        <f>BN8</f>
        <v>423746</v>
      </c>
      <c r="BO58" s="13">
        <f>BO8</f>
        <v>541500</v>
      </c>
      <c r="BP58" s="13">
        <f>BP8</f>
        <v>0</v>
      </c>
      <c r="BQ58" s="88">
        <f>BQ8</f>
        <v>-1</v>
      </c>
      <c r="BR58" s="15">
        <f t="shared" si="148"/>
        <v>-1</v>
      </c>
      <c r="BS58" s="13">
        <f>BS8</f>
        <v>432524</v>
      </c>
      <c r="BT58" s="13">
        <f>BT8</f>
        <v>513000</v>
      </c>
      <c r="BU58" s="13">
        <f>BU8</f>
        <v>0</v>
      </c>
      <c r="BV58" s="88">
        <f>BV8</f>
        <v>-1</v>
      </c>
      <c r="BW58" s="15">
        <f t="shared" si="150"/>
        <v>-1</v>
      </c>
    </row>
    <row r="59" spans="2:75" ht="17.25" thickBot="1" x14ac:dyDescent="0.35">
      <c r="B59" s="345"/>
      <c r="C59" s="346"/>
      <c r="D59" s="302" t="s">
        <v>31</v>
      </c>
      <c r="E59" s="299"/>
      <c r="F59" s="156">
        <v>5704093</v>
      </c>
      <c r="G59" s="47">
        <v>5704093</v>
      </c>
      <c r="H59" s="43">
        <f t="shared" si="156"/>
        <v>5433492</v>
      </c>
      <c r="I59" s="43">
        <f t="shared" si="156"/>
        <v>6125000</v>
      </c>
      <c r="J59" s="6">
        <f t="shared" si="124"/>
        <v>0.1272676945139517</v>
      </c>
      <c r="K59" s="138">
        <f>K28</f>
        <v>5787482</v>
      </c>
      <c r="L59" s="138">
        <f t="shared" ref="L59:M59" si="161">L28</f>
        <v>5580157</v>
      </c>
      <c r="M59" s="138">
        <f t="shared" si="161"/>
        <v>0</v>
      </c>
      <c r="N59" s="72">
        <f t="shared" si="158"/>
        <v>-1</v>
      </c>
      <c r="O59" s="76">
        <f t="shared" si="126"/>
        <v>-1</v>
      </c>
      <c r="P59" s="5">
        <f>P28</f>
        <v>341246</v>
      </c>
      <c r="Q59" s="43">
        <f>Q28</f>
        <v>429693</v>
      </c>
      <c r="R59" s="43">
        <f>R28</f>
        <v>0</v>
      </c>
      <c r="S59" s="72">
        <f>S28</f>
        <v>-1</v>
      </c>
      <c r="T59" s="6">
        <f t="shared" si="128"/>
        <v>-1</v>
      </c>
      <c r="U59" s="5">
        <f>U28</f>
        <v>397040</v>
      </c>
      <c r="V59" s="5">
        <f>V28</f>
        <v>458993</v>
      </c>
      <c r="W59" s="5">
        <f>W28</f>
        <v>0</v>
      </c>
      <c r="X59" s="72">
        <f>X28</f>
        <v>-1</v>
      </c>
      <c r="Y59" s="6">
        <f t="shared" si="130"/>
        <v>-1</v>
      </c>
      <c r="Z59" s="5">
        <f>Z28</f>
        <v>468286</v>
      </c>
      <c r="AA59" s="5">
        <f>AA28</f>
        <v>519593</v>
      </c>
      <c r="AB59" s="5">
        <f>AB28</f>
        <v>0</v>
      </c>
      <c r="AC59" s="72">
        <f>AC28</f>
        <v>-1</v>
      </c>
      <c r="AD59" s="6">
        <f t="shared" si="132"/>
        <v>-1</v>
      </c>
      <c r="AE59" s="5">
        <f>AE28</f>
        <v>447362</v>
      </c>
      <c r="AF59" s="5">
        <f>AF28</f>
        <v>590593</v>
      </c>
      <c r="AG59" s="5">
        <f>AG28</f>
        <v>0</v>
      </c>
      <c r="AH59" s="72">
        <f>AH28</f>
        <v>-1</v>
      </c>
      <c r="AI59" s="6">
        <f t="shared" si="134"/>
        <v>-1</v>
      </c>
      <c r="AJ59" s="5">
        <f>AJ28</f>
        <v>551104</v>
      </c>
      <c r="AK59" s="5">
        <f>AK28</f>
        <v>552193</v>
      </c>
      <c r="AL59" s="5">
        <f>AL28</f>
        <v>0</v>
      </c>
      <c r="AM59" s="72">
        <f>AM28</f>
        <v>-1</v>
      </c>
      <c r="AN59" s="6">
        <f t="shared" si="136"/>
        <v>-1</v>
      </c>
      <c r="AO59" s="5">
        <f>AO28</f>
        <v>416686</v>
      </c>
      <c r="AP59" s="5">
        <f>AP28</f>
        <v>473793</v>
      </c>
      <c r="AQ59" s="5">
        <f>AQ28</f>
        <v>0</v>
      </c>
      <c r="AR59" s="72">
        <f>AR28</f>
        <v>-1</v>
      </c>
      <c r="AS59" s="6">
        <f t="shared" si="138"/>
        <v>-1</v>
      </c>
      <c r="AT59" s="5">
        <f>AT28</f>
        <v>400169</v>
      </c>
      <c r="AU59" s="5">
        <f>AU28</f>
        <v>479593</v>
      </c>
      <c r="AV59" s="5">
        <f>AV28</f>
        <v>0</v>
      </c>
      <c r="AW59" s="72">
        <f>AW28</f>
        <v>-1</v>
      </c>
      <c r="AX59" s="6">
        <f t="shared" si="140"/>
        <v>-1</v>
      </c>
      <c r="AY59" s="5">
        <f>AY28</f>
        <v>440920</v>
      </c>
      <c r="AZ59" s="5">
        <f>AZ28</f>
        <v>483293</v>
      </c>
      <c r="BA59" s="5">
        <f>BA28</f>
        <v>0</v>
      </c>
      <c r="BB59" s="72">
        <f>BB28</f>
        <v>-1</v>
      </c>
      <c r="BC59" s="6">
        <f t="shared" si="142"/>
        <v>-1</v>
      </c>
      <c r="BD59" s="5">
        <f>BD28</f>
        <v>748691</v>
      </c>
      <c r="BE59" s="5">
        <f>BE28</f>
        <v>0</v>
      </c>
      <c r="BF59" s="5">
        <f>BF28</f>
        <v>0</v>
      </c>
      <c r="BG59" s="72" t="e">
        <f>BG28</f>
        <v>#DIV/0!</v>
      </c>
      <c r="BH59" s="6">
        <f t="shared" si="144"/>
        <v>-1</v>
      </c>
      <c r="BI59" s="5">
        <f>BI28</f>
        <v>557700</v>
      </c>
      <c r="BJ59" s="5">
        <f>BJ28</f>
        <v>599293</v>
      </c>
      <c r="BK59" s="5">
        <f>BK28</f>
        <v>0</v>
      </c>
      <c r="BL59" s="72">
        <f>BL28</f>
        <v>-1</v>
      </c>
      <c r="BM59" s="6">
        <f t="shared" si="146"/>
        <v>-1</v>
      </c>
      <c r="BN59" s="5">
        <f>BN28</f>
        <v>500870</v>
      </c>
      <c r="BO59" s="5">
        <f>BO28</f>
        <v>488393</v>
      </c>
      <c r="BP59" s="5">
        <f>BP28</f>
        <v>0</v>
      </c>
      <c r="BQ59" s="72">
        <f>BQ28</f>
        <v>-1</v>
      </c>
      <c r="BR59" s="6">
        <f t="shared" si="148"/>
        <v>-1</v>
      </c>
      <c r="BS59" s="5">
        <f>BS28</f>
        <v>517408</v>
      </c>
      <c r="BT59" s="5">
        <f>BT28</f>
        <v>504727</v>
      </c>
      <c r="BU59" s="5">
        <f>BU28</f>
        <v>0</v>
      </c>
      <c r="BV59" s="72">
        <f>BV28</f>
        <v>-1</v>
      </c>
      <c r="BW59" s="6">
        <f t="shared" si="150"/>
        <v>-1</v>
      </c>
    </row>
    <row r="61" spans="2:75" x14ac:dyDescent="0.3"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</row>
    <row r="62" spans="2:75" x14ac:dyDescent="0.3"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</row>
    <row r="70" spans="2:75" ht="17.25" thickBot="1" x14ac:dyDescent="0.35"/>
    <row r="71" spans="2:75" x14ac:dyDescent="0.3">
      <c r="B71" s="331" t="s">
        <v>2</v>
      </c>
      <c r="C71" s="332"/>
      <c r="D71" s="332"/>
      <c r="E71" s="333"/>
      <c r="F71" s="329" t="s">
        <v>71</v>
      </c>
      <c r="G71" s="327" t="s">
        <v>3</v>
      </c>
      <c r="H71" s="327" t="s">
        <v>4</v>
      </c>
      <c r="I71" s="249"/>
      <c r="J71" s="339" t="s">
        <v>5</v>
      </c>
      <c r="K71" s="326" t="s">
        <v>6</v>
      </c>
      <c r="L71" s="327"/>
      <c r="M71" s="327"/>
      <c r="N71" s="327"/>
      <c r="O71" s="328"/>
      <c r="P71" s="326" t="s">
        <v>7</v>
      </c>
      <c r="Q71" s="327"/>
      <c r="R71" s="327"/>
      <c r="S71" s="327"/>
      <c r="T71" s="328"/>
      <c r="U71" s="329" t="s">
        <v>58</v>
      </c>
      <c r="V71" s="327"/>
      <c r="W71" s="327"/>
      <c r="X71" s="327"/>
      <c r="Y71" s="330"/>
      <c r="Z71" s="326" t="s">
        <v>59</v>
      </c>
      <c r="AA71" s="327"/>
      <c r="AB71" s="327"/>
      <c r="AC71" s="327"/>
      <c r="AD71" s="328"/>
      <c r="AE71" s="329" t="s">
        <v>60</v>
      </c>
      <c r="AF71" s="327"/>
      <c r="AG71" s="327"/>
      <c r="AH71" s="327"/>
      <c r="AI71" s="330"/>
      <c r="AJ71" s="326" t="s">
        <v>61</v>
      </c>
      <c r="AK71" s="327"/>
      <c r="AL71" s="327"/>
      <c r="AM71" s="327"/>
      <c r="AN71" s="328"/>
      <c r="AO71" s="329" t="s">
        <v>62</v>
      </c>
      <c r="AP71" s="327"/>
      <c r="AQ71" s="327"/>
      <c r="AR71" s="327"/>
      <c r="AS71" s="330"/>
      <c r="AT71" s="326" t="s">
        <v>63</v>
      </c>
      <c r="AU71" s="327"/>
      <c r="AV71" s="327"/>
      <c r="AW71" s="327"/>
      <c r="AX71" s="328"/>
      <c r="AY71" s="329" t="s">
        <v>64</v>
      </c>
      <c r="AZ71" s="327"/>
      <c r="BA71" s="327"/>
      <c r="BB71" s="327"/>
      <c r="BC71" s="330"/>
      <c r="BD71" s="326" t="s">
        <v>65</v>
      </c>
      <c r="BE71" s="327"/>
      <c r="BF71" s="327"/>
      <c r="BG71" s="327"/>
      <c r="BH71" s="328"/>
      <c r="BI71" s="329" t="s">
        <v>66</v>
      </c>
      <c r="BJ71" s="327"/>
      <c r="BK71" s="327"/>
      <c r="BL71" s="327"/>
      <c r="BM71" s="330"/>
      <c r="BN71" s="326" t="s">
        <v>67</v>
      </c>
      <c r="BO71" s="327"/>
      <c r="BP71" s="327"/>
      <c r="BQ71" s="327"/>
      <c r="BR71" s="328"/>
      <c r="BS71" s="329" t="s">
        <v>68</v>
      </c>
      <c r="BT71" s="327"/>
      <c r="BU71" s="327"/>
      <c r="BV71" s="327"/>
      <c r="BW71" s="328"/>
    </row>
    <row r="72" spans="2:75" ht="17.25" thickBot="1" x14ac:dyDescent="0.35">
      <c r="B72" s="334"/>
      <c r="C72" s="335"/>
      <c r="D72" s="335"/>
      <c r="E72" s="336"/>
      <c r="F72" s="337"/>
      <c r="G72" s="338"/>
      <c r="H72" s="338"/>
      <c r="I72" s="250"/>
      <c r="J72" s="340"/>
      <c r="K72" s="104" t="s">
        <v>8</v>
      </c>
      <c r="L72" s="97" t="s">
        <v>9</v>
      </c>
      <c r="M72" s="97" t="s">
        <v>10</v>
      </c>
      <c r="N72" s="98" t="s">
        <v>11</v>
      </c>
      <c r="O72" s="99" t="s">
        <v>12</v>
      </c>
      <c r="P72" s="111" t="str">
        <f t="shared" ref="P72:BW72" si="162">K72</f>
        <v>2023년</v>
      </c>
      <c r="Q72" s="97" t="str">
        <f t="shared" si="162"/>
        <v>목표</v>
      </c>
      <c r="R72" s="97" t="str">
        <f t="shared" si="162"/>
        <v>2024년</v>
      </c>
      <c r="S72" s="98" t="str">
        <f t="shared" si="162"/>
        <v>달성율</v>
      </c>
      <c r="T72" s="99" t="str">
        <f t="shared" si="162"/>
        <v>전년대비</v>
      </c>
      <c r="U72" s="103" t="str">
        <f t="shared" si="162"/>
        <v>2023년</v>
      </c>
      <c r="V72" s="97" t="str">
        <f t="shared" si="162"/>
        <v>목표</v>
      </c>
      <c r="W72" s="97" t="str">
        <f t="shared" si="162"/>
        <v>2024년</v>
      </c>
      <c r="X72" s="98" t="str">
        <f t="shared" si="162"/>
        <v>달성율</v>
      </c>
      <c r="Y72" s="109" t="str">
        <f t="shared" si="162"/>
        <v>전년대비</v>
      </c>
      <c r="Z72" s="111" t="str">
        <f t="shared" si="162"/>
        <v>2023년</v>
      </c>
      <c r="AA72" s="97" t="str">
        <f t="shared" si="162"/>
        <v>목표</v>
      </c>
      <c r="AB72" s="97" t="str">
        <f t="shared" si="162"/>
        <v>2024년</v>
      </c>
      <c r="AC72" s="98" t="str">
        <f t="shared" si="162"/>
        <v>달성율</v>
      </c>
      <c r="AD72" s="99" t="str">
        <f t="shared" si="162"/>
        <v>전년대비</v>
      </c>
      <c r="AE72" s="103" t="str">
        <f t="shared" si="162"/>
        <v>2023년</v>
      </c>
      <c r="AF72" s="97" t="str">
        <f t="shared" si="162"/>
        <v>목표</v>
      </c>
      <c r="AG72" s="97" t="str">
        <f t="shared" si="162"/>
        <v>2024년</v>
      </c>
      <c r="AH72" s="98" t="str">
        <f t="shared" si="162"/>
        <v>달성율</v>
      </c>
      <c r="AI72" s="109" t="str">
        <f t="shared" si="162"/>
        <v>전년대비</v>
      </c>
      <c r="AJ72" s="111" t="str">
        <f t="shared" si="162"/>
        <v>2023년</v>
      </c>
      <c r="AK72" s="97" t="str">
        <f t="shared" si="162"/>
        <v>목표</v>
      </c>
      <c r="AL72" s="97" t="str">
        <f t="shared" si="162"/>
        <v>2024년</v>
      </c>
      <c r="AM72" s="98" t="str">
        <f t="shared" si="162"/>
        <v>달성율</v>
      </c>
      <c r="AN72" s="99" t="str">
        <f t="shared" si="162"/>
        <v>전년대비</v>
      </c>
      <c r="AO72" s="103" t="str">
        <f t="shared" si="162"/>
        <v>2023년</v>
      </c>
      <c r="AP72" s="97" t="str">
        <f t="shared" si="162"/>
        <v>목표</v>
      </c>
      <c r="AQ72" s="97" t="str">
        <f t="shared" si="162"/>
        <v>2024년</v>
      </c>
      <c r="AR72" s="98" t="str">
        <f t="shared" si="162"/>
        <v>달성율</v>
      </c>
      <c r="AS72" s="109" t="str">
        <f t="shared" si="162"/>
        <v>전년대비</v>
      </c>
      <c r="AT72" s="111" t="str">
        <f t="shared" si="162"/>
        <v>2023년</v>
      </c>
      <c r="AU72" s="97" t="str">
        <f t="shared" si="162"/>
        <v>목표</v>
      </c>
      <c r="AV72" s="97" t="str">
        <f t="shared" si="162"/>
        <v>2024년</v>
      </c>
      <c r="AW72" s="98" t="str">
        <f t="shared" si="162"/>
        <v>달성율</v>
      </c>
      <c r="AX72" s="99" t="str">
        <f t="shared" si="162"/>
        <v>전년대비</v>
      </c>
      <c r="AY72" s="103" t="str">
        <f t="shared" si="162"/>
        <v>2023년</v>
      </c>
      <c r="AZ72" s="97" t="str">
        <f t="shared" si="162"/>
        <v>목표</v>
      </c>
      <c r="BA72" s="97" t="str">
        <f t="shared" si="162"/>
        <v>2024년</v>
      </c>
      <c r="BB72" s="98" t="str">
        <f t="shared" si="162"/>
        <v>달성율</v>
      </c>
      <c r="BC72" s="109" t="str">
        <f t="shared" si="162"/>
        <v>전년대비</v>
      </c>
      <c r="BD72" s="111" t="str">
        <f t="shared" si="162"/>
        <v>2023년</v>
      </c>
      <c r="BE72" s="97" t="str">
        <f t="shared" si="162"/>
        <v>목표</v>
      </c>
      <c r="BF72" s="97" t="str">
        <f t="shared" si="162"/>
        <v>2024년</v>
      </c>
      <c r="BG72" s="98" t="str">
        <f t="shared" si="162"/>
        <v>달성율</v>
      </c>
      <c r="BH72" s="99" t="str">
        <f t="shared" si="162"/>
        <v>전년대비</v>
      </c>
      <c r="BI72" s="103" t="str">
        <f t="shared" si="162"/>
        <v>2023년</v>
      </c>
      <c r="BJ72" s="97" t="str">
        <f t="shared" si="162"/>
        <v>목표</v>
      </c>
      <c r="BK72" s="97" t="str">
        <f t="shared" si="162"/>
        <v>2024년</v>
      </c>
      <c r="BL72" s="98" t="str">
        <f t="shared" si="162"/>
        <v>달성율</v>
      </c>
      <c r="BM72" s="109" t="str">
        <f t="shared" si="162"/>
        <v>전년대비</v>
      </c>
      <c r="BN72" s="111" t="str">
        <f t="shared" si="162"/>
        <v>2023년</v>
      </c>
      <c r="BO72" s="97" t="str">
        <f t="shared" si="162"/>
        <v>목표</v>
      </c>
      <c r="BP72" s="97" t="str">
        <f t="shared" si="162"/>
        <v>2024년</v>
      </c>
      <c r="BQ72" s="98" t="str">
        <f t="shared" si="162"/>
        <v>달성율</v>
      </c>
      <c r="BR72" s="99" t="str">
        <f t="shared" si="162"/>
        <v>전년대비</v>
      </c>
      <c r="BS72" s="103" t="str">
        <f t="shared" si="162"/>
        <v>2023년</v>
      </c>
      <c r="BT72" s="97" t="str">
        <f t="shared" si="162"/>
        <v>목표</v>
      </c>
      <c r="BU72" s="97" t="str">
        <f t="shared" si="162"/>
        <v>2024년</v>
      </c>
      <c r="BV72" s="98" t="str">
        <f t="shared" si="162"/>
        <v>달성율</v>
      </c>
      <c r="BW72" s="99" t="str">
        <f t="shared" si="162"/>
        <v>전년대비</v>
      </c>
    </row>
    <row r="73" spans="2:75" x14ac:dyDescent="0.3">
      <c r="B73" s="288" t="s">
        <v>57</v>
      </c>
      <c r="C73" s="289"/>
      <c r="D73" s="294" t="s">
        <v>13</v>
      </c>
      <c r="E73" s="295"/>
      <c r="F73" s="161">
        <f>F78+F97</f>
        <v>11895992.9</v>
      </c>
      <c r="G73" s="158">
        <f>G78+G97</f>
        <v>12003856</v>
      </c>
      <c r="H73" s="158">
        <f>H78+H97</f>
        <v>13542824.880000001</v>
      </c>
      <c r="I73" s="251"/>
      <c r="J73" s="162">
        <f>H73/G73-1</f>
        <v>0.1282062097379375</v>
      </c>
      <c r="K73" s="163">
        <f t="shared" ref="K73:M74" si="163">P73+U73+Z73+AE73+AJ73+AO73+AT73+AY73+BD73+BI73+BN73+BS73</f>
        <v>12003784</v>
      </c>
      <c r="L73" s="158">
        <f t="shared" si="163"/>
        <v>12387604.033333333</v>
      </c>
      <c r="M73" s="158">
        <f t="shared" si="163"/>
        <v>7386253</v>
      </c>
      <c r="N73" s="159">
        <f>M73/L73-1</f>
        <v>-0.4037383677969838</v>
      </c>
      <c r="O73" s="160">
        <f>M73/K73-1</f>
        <v>-0.38467294979649747</v>
      </c>
      <c r="P73" s="163">
        <f>P78+P97</f>
        <v>892391</v>
      </c>
      <c r="Q73" s="158">
        <f>Q78+Q97</f>
        <v>943311</v>
      </c>
      <c r="R73" s="158">
        <f>R78+R97</f>
        <v>795943</v>
      </c>
      <c r="S73" s="159">
        <f>R73/Q73-1</f>
        <v>-0.15622419329362214</v>
      </c>
      <c r="T73" s="160">
        <f>R73/P73-1</f>
        <v>-0.10807818545906445</v>
      </c>
      <c r="U73" s="161">
        <f>U78+U97</f>
        <v>1137930</v>
      </c>
      <c r="V73" s="158">
        <f>V78+V97</f>
        <v>1110110.4066666667</v>
      </c>
      <c r="W73" s="158">
        <f>W78+W97</f>
        <v>775023</v>
      </c>
      <c r="X73" s="159">
        <f>W73/V73-1</f>
        <v>-0.30185052284379099</v>
      </c>
      <c r="Y73" s="162">
        <f>W73/U73-1</f>
        <v>-0.31891856265323881</v>
      </c>
      <c r="Z73" s="163">
        <f>Z78+Z97</f>
        <v>983736</v>
      </c>
      <c r="AA73" s="158">
        <f>AA78+AA97</f>
        <v>1110110.4066666667</v>
      </c>
      <c r="AB73" s="158">
        <f>AB78+AB97</f>
        <v>595429</v>
      </c>
      <c r="AC73" s="159">
        <f>AB73/AA73-1</f>
        <v>-0.46363082768686292</v>
      </c>
      <c r="AD73" s="160">
        <f>AB73/Z73-1</f>
        <v>-0.39472683728154712</v>
      </c>
      <c r="AE73" s="161">
        <f>AE78+AE97</f>
        <v>955870</v>
      </c>
      <c r="AF73" s="158">
        <f>AF78+AF97</f>
        <v>1110110.4066666667</v>
      </c>
      <c r="AG73" s="158">
        <f>AG78+AG97</f>
        <v>574755</v>
      </c>
      <c r="AH73" s="159">
        <f>AG73/AF73-1</f>
        <v>-0.48225420052963985</v>
      </c>
      <c r="AI73" s="162">
        <f>AG73/AE73-1</f>
        <v>-0.39871007563790051</v>
      </c>
      <c r="AJ73" s="163">
        <f>AJ78+AJ97</f>
        <v>1034777</v>
      </c>
      <c r="AK73" s="158">
        <f>AK78+AK97</f>
        <v>1095249.4066666667</v>
      </c>
      <c r="AL73" s="158">
        <f>AL78+AL97</f>
        <v>642827</v>
      </c>
      <c r="AM73" s="159">
        <f>AL73/AK73-1</f>
        <v>-0.41307706163803393</v>
      </c>
      <c r="AN73" s="160">
        <f>AL73/AJ73-1</f>
        <v>-0.37877726312045978</v>
      </c>
      <c r="AO73" s="161">
        <f>AO78+AO97</f>
        <v>945385</v>
      </c>
      <c r="AP73" s="158">
        <f>AP78+AP97</f>
        <v>1094288.4066666667</v>
      </c>
      <c r="AQ73" s="158">
        <f>AQ78+AQ97</f>
        <v>506078</v>
      </c>
      <c r="AR73" s="159">
        <f>AQ73/AP73-1</f>
        <v>-0.53752776972062233</v>
      </c>
      <c r="AS73" s="162">
        <f>AQ73/AO73-1</f>
        <v>-0.46468581583164525</v>
      </c>
      <c r="AT73" s="163">
        <f>AT78+AT97</f>
        <v>903311</v>
      </c>
      <c r="AU73" s="158">
        <f>AU78+AU97</f>
        <v>921879</v>
      </c>
      <c r="AV73" s="158">
        <f>AV78+AV97</f>
        <v>602774</v>
      </c>
      <c r="AW73" s="159">
        <f>AV73/AU73-1</f>
        <v>-0.34614629468726377</v>
      </c>
      <c r="AX73" s="160">
        <f>AV73/AT73-1</f>
        <v>-0.33270601155083912</v>
      </c>
      <c r="AY73" s="161">
        <f>AY78+AY97</f>
        <v>928433</v>
      </c>
      <c r="AZ73" s="158">
        <f>AZ78+AZ97</f>
        <v>959490</v>
      </c>
      <c r="BA73" s="158">
        <f>BA78+BA97</f>
        <v>554339</v>
      </c>
      <c r="BB73" s="159">
        <f>BA73/AZ73-1</f>
        <v>-0.42225661549364768</v>
      </c>
      <c r="BC73" s="162">
        <f>BA73/AY73-1</f>
        <v>-0.4029305291819657</v>
      </c>
      <c r="BD73" s="163">
        <f>BD78+BD97</f>
        <v>850293</v>
      </c>
      <c r="BE73" s="158">
        <f>BE78+BE97</f>
        <v>936840</v>
      </c>
      <c r="BF73" s="158">
        <f>BF78+BF97</f>
        <v>484768</v>
      </c>
      <c r="BG73" s="159">
        <f>BF73/BE73-1</f>
        <v>-0.48254984842662563</v>
      </c>
      <c r="BH73" s="160">
        <f>BF73/BD73-1</f>
        <v>-0.42988122917629568</v>
      </c>
      <c r="BI73" s="161">
        <f>BI78+BI97</f>
        <v>1251882</v>
      </c>
      <c r="BJ73" s="158">
        <f>BJ78+BJ97</f>
        <v>1060876</v>
      </c>
      <c r="BK73" s="158">
        <f>BK78+BK97</f>
        <v>603717</v>
      </c>
      <c r="BL73" s="159">
        <f>BK73/BJ73-1</f>
        <v>-0.43092595176062043</v>
      </c>
      <c r="BM73" s="162">
        <f>BK73/BI73-1</f>
        <v>-0.51775247187833995</v>
      </c>
      <c r="BN73" s="163">
        <f>BN78+BN97</f>
        <v>1131283</v>
      </c>
      <c r="BO73" s="158">
        <f>BO78+BO97</f>
        <v>1050269</v>
      </c>
      <c r="BP73" s="158">
        <f>BP78+BP97</f>
        <v>617592</v>
      </c>
      <c r="BQ73" s="159">
        <f>BP73/BO73-1</f>
        <v>-0.41196779110875403</v>
      </c>
      <c r="BR73" s="160">
        <f>BP73/BN73-1</f>
        <v>-0.45407824567327537</v>
      </c>
      <c r="BS73" s="161">
        <f>BS78+BS97</f>
        <v>988493</v>
      </c>
      <c r="BT73" s="158">
        <f>BT78+BT97</f>
        <v>995070</v>
      </c>
      <c r="BU73" s="158">
        <f>BU78+BU97</f>
        <v>633008</v>
      </c>
      <c r="BV73" s="159">
        <f>BU73/BT73-1</f>
        <v>-0.36385580913905557</v>
      </c>
      <c r="BW73" s="160">
        <f>BU73/BS73-1</f>
        <v>-0.35962318397803528</v>
      </c>
    </row>
    <row r="74" spans="2:75" x14ac:dyDescent="0.3">
      <c r="B74" s="290"/>
      <c r="C74" s="291"/>
      <c r="D74" s="296" t="s">
        <v>14</v>
      </c>
      <c r="E74" s="297"/>
      <c r="F74" s="84">
        <f>F77+F96</f>
        <v>10804093</v>
      </c>
      <c r="G74" s="62">
        <f>G77+G96</f>
        <v>10505446</v>
      </c>
      <c r="H74" s="62">
        <f>H77+H96</f>
        <v>13542824.880000001</v>
      </c>
      <c r="I74" s="252"/>
      <c r="J74" s="75">
        <f t="shared" ref="J74:J105" si="164">H74/G74-1</f>
        <v>0.28912421995220394</v>
      </c>
      <c r="K74" s="3">
        <f t="shared" si="163"/>
        <v>10628708</v>
      </c>
      <c r="L74" s="62">
        <f t="shared" si="163"/>
        <v>3163531.8133333335</v>
      </c>
      <c r="M74" s="62">
        <f t="shared" si="163"/>
        <v>1357960</v>
      </c>
      <c r="N74" s="86">
        <f t="shared" ref="N74:N105" si="165">M74/L74-1</f>
        <v>-0.57074558432552891</v>
      </c>
      <c r="O74" s="4">
        <f t="shared" ref="O74:O105" si="166">M74/K74-1</f>
        <v>-0.8722365879277143</v>
      </c>
      <c r="P74" s="3">
        <f>P77+P96</f>
        <v>984675</v>
      </c>
      <c r="Q74" s="62">
        <f>Q77+Q96</f>
        <v>943311</v>
      </c>
      <c r="R74" s="62">
        <f>R77+R96</f>
        <v>638533</v>
      </c>
      <c r="S74" s="86">
        <f t="shared" ref="S74:S94" si="167">R74/Q74-1</f>
        <v>-0.32309386830006226</v>
      </c>
      <c r="T74" s="4">
        <f t="shared" ref="T74:T92" si="168">R74/P74-1</f>
        <v>-0.35152918475639172</v>
      </c>
      <c r="U74" s="84">
        <f>U77+U96</f>
        <v>705345</v>
      </c>
      <c r="V74" s="62">
        <f>V77+V96</f>
        <v>1110110.4066666667</v>
      </c>
      <c r="W74" s="62">
        <f>W77+W96</f>
        <v>719427</v>
      </c>
      <c r="X74" s="86">
        <f t="shared" ref="X74:X105" si="169">W74/V74-1</f>
        <v>-0.35193202795006084</v>
      </c>
      <c r="Y74" s="75">
        <f t="shared" ref="Y74:Y105" si="170">W74/U74-1</f>
        <v>1.9964698126448743E-2</v>
      </c>
      <c r="Z74" s="3">
        <f>Z77+Z96</f>
        <v>883127</v>
      </c>
      <c r="AA74" s="62">
        <f>AA77+AA96</f>
        <v>1110110.4066666667</v>
      </c>
      <c r="AB74" s="62">
        <f>AB77+AB96</f>
        <v>0</v>
      </c>
      <c r="AC74" s="86">
        <f t="shared" ref="AC74:AC105" si="171">AB74/AA74-1</f>
        <v>-1</v>
      </c>
      <c r="AD74" s="4">
        <f t="shared" ref="AD74:AD105" si="172">AB74/Z74-1</f>
        <v>-1</v>
      </c>
      <c r="AE74" s="84">
        <f>AE77+AE96</f>
        <v>948745</v>
      </c>
      <c r="AF74" s="62">
        <f>AF77+AF96</f>
        <v>0</v>
      </c>
      <c r="AG74" s="62">
        <f>AG77+AG96</f>
        <v>0</v>
      </c>
      <c r="AH74" s="86" t="e">
        <f t="shared" ref="AH74:AH105" si="173">AG74/AF74-1</f>
        <v>#DIV/0!</v>
      </c>
      <c r="AI74" s="75">
        <f t="shared" ref="AI74:AI105" si="174">AG74/AE74-1</f>
        <v>-1</v>
      </c>
      <c r="AJ74" s="3">
        <f>AJ77+AJ96</f>
        <v>951450</v>
      </c>
      <c r="AK74" s="62">
        <f>AK77+AK96</f>
        <v>0</v>
      </c>
      <c r="AL74" s="62">
        <f>AL77+AL96</f>
        <v>0</v>
      </c>
      <c r="AM74" s="86" t="e">
        <f t="shared" ref="AM74:AM105" si="175">AL74/AK74-1</f>
        <v>#DIV/0!</v>
      </c>
      <c r="AN74" s="4">
        <f t="shared" ref="AN74:AN105" si="176">AL74/AJ74-1</f>
        <v>-1</v>
      </c>
      <c r="AO74" s="84">
        <f>AO77+AO96</f>
        <v>681836</v>
      </c>
      <c r="AP74" s="62">
        <f>AP77+AP96</f>
        <v>0</v>
      </c>
      <c r="AQ74" s="62">
        <f>AQ77+AQ96</f>
        <v>0</v>
      </c>
      <c r="AR74" s="86" t="e">
        <f t="shared" ref="AR74:AR105" si="177">AQ74/AP74-1</f>
        <v>#DIV/0!</v>
      </c>
      <c r="AS74" s="75">
        <f t="shared" ref="AS74:AS105" si="178">AQ74/AO74-1</f>
        <v>-1</v>
      </c>
      <c r="AT74" s="3">
        <f>AT77+AT96</f>
        <v>729901</v>
      </c>
      <c r="AU74" s="62">
        <f>AU77+AU96</f>
        <v>0</v>
      </c>
      <c r="AV74" s="62">
        <f>AV77+AV96</f>
        <v>0</v>
      </c>
      <c r="AW74" s="86" t="e">
        <f t="shared" ref="AW74:AW105" si="179">AV74/AU74-1</f>
        <v>#DIV/0!</v>
      </c>
      <c r="AX74" s="4">
        <f t="shared" ref="AX74:AX105" si="180">AV74/AT74-1</f>
        <v>-1</v>
      </c>
      <c r="AY74" s="84">
        <f>AY77+AY96</f>
        <v>770531</v>
      </c>
      <c r="AZ74" s="62">
        <f>AZ77+AZ96</f>
        <v>0</v>
      </c>
      <c r="BA74" s="62">
        <f>BA77+BA96</f>
        <v>0</v>
      </c>
      <c r="BB74" s="86" t="e">
        <f t="shared" ref="BB74:BB105" si="181">BA74/AZ74-1</f>
        <v>#DIV/0!</v>
      </c>
      <c r="BC74" s="75">
        <f t="shared" ref="BC74:BC105" si="182">BA74/AY74-1</f>
        <v>-1</v>
      </c>
      <c r="BD74" s="3">
        <f>BD77+BD96</f>
        <v>846538</v>
      </c>
      <c r="BE74" s="62">
        <f>BE77+BE96</f>
        <v>0</v>
      </c>
      <c r="BF74" s="62">
        <f>BF77+BF96</f>
        <v>0</v>
      </c>
      <c r="BG74" s="86" t="e">
        <f t="shared" ref="BG74:BG105" si="183">BF74/BE74-1</f>
        <v>#DIV/0!</v>
      </c>
      <c r="BH74" s="4">
        <f t="shared" ref="BH74:BH105" si="184">BF74/BD74-1</f>
        <v>-1</v>
      </c>
      <c r="BI74" s="84">
        <f>BI77+BI96</f>
        <v>1419367</v>
      </c>
      <c r="BJ74" s="62">
        <f>BJ77+BJ96</f>
        <v>0</v>
      </c>
      <c r="BK74" s="62">
        <f>BK77+BK96</f>
        <v>0</v>
      </c>
      <c r="BL74" s="86" t="e">
        <f t="shared" ref="BL74:BL105" si="185">BK74/BJ74-1</f>
        <v>#DIV/0!</v>
      </c>
      <c r="BM74" s="75">
        <f t="shared" ref="BM74:BM105" si="186">BK74/BI74-1</f>
        <v>-1</v>
      </c>
      <c r="BN74" s="3">
        <f>BN77+BN96</f>
        <v>916099</v>
      </c>
      <c r="BO74" s="62">
        <f>BO77+BO96</f>
        <v>0</v>
      </c>
      <c r="BP74" s="62">
        <f>BP77+BP96</f>
        <v>0</v>
      </c>
      <c r="BQ74" s="86" t="e">
        <f t="shared" ref="BQ74:BQ105" si="187">BP74/BO74-1</f>
        <v>#DIV/0!</v>
      </c>
      <c r="BR74" s="4">
        <f t="shared" ref="BR74:BR105" si="188">BP74/BN74-1</f>
        <v>-1</v>
      </c>
      <c r="BS74" s="84">
        <f>BS77+BS96</f>
        <v>791094</v>
      </c>
      <c r="BT74" s="62">
        <f>BT77+BT96</f>
        <v>0</v>
      </c>
      <c r="BU74" s="62">
        <f>BU77+BU96</f>
        <v>0</v>
      </c>
      <c r="BV74" s="86" t="e">
        <f t="shared" ref="BV74:BV105" si="189">BU74/BT74-1</f>
        <v>#DIV/0!</v>
      </c>
      <c r="BW74" s="4">
        <f t="shared" ref="BW74:BW105" si="190">BU74/BS74-1</f>
        <v>-1</v>
      </c>
    </row>
    <row r="75" spans="2:75" ht="17.25" thickBot="1" x14ac:dyDescent="0.35">
      <c r="B75" s="292"/>
      <c r="C75" s="293"/>
      <c r="D75" s="298" t="s">
        <v>15</v>
      </c>
      <c r="E75" s="299"/>
      <c r="F75" s="57">
        <f>F76+F95</f>
        <v>664657</v>
      </c>
      <c r="G75" s="42">
        <f>G76+G95</f>
        <v>664658</v>
      </c>
      <c r="H75" s="42">
        <f>H76+H95</f>
        <v>564284</v>
      </c>
      <c r="I75" s="253"/>
      <c r="J75" s="82">
        <f t="shared" si="164"/>
        <v>-0.15101601124187181</v>
      </c>
      <c r="K75" s="24">
        <f>K76+K96</f>
        <v>6202264</v>
      </c>
      <c r="L75" s="42">
        <f>L76+L96</f>
        <v>1834531.8133333335</v>
      </c>
      <c r="M75" s="42">
        <f>M76+M96</f>
        <v>738286</v>
      </c>
      <c r="N75" s="146">
        <f t="shared" si="165"/>
        <v>-0.59756162600498119</v>
      </c>
      <c r="O75" s="25">
        <f t="shared" si="166"/>
        <v>-0.88096507984826189</v>
      </c>
      <c r="P75" s="24">
        <f>P76+P95</f>
        <v>900864</v>
      </c>
      <c r="Q75" s="42">
        <f>Q76+Q95</f>
        <v>471655.5</v>
      </c>
      <c r="R75" s="42">
        <f>R76+R95</f>
        <v>639609</v>
      </c>
      <c r="S75" s="146">
        <f t="shared" si="167"/>
        <v>0.35609358949487491</v>
      </c>
      <c r="T75" s="25">
        <f t="shared" si="168"/>
        <v>-0.29000492860187554</v>
      </c>
      <c r="U75" s="57">
        <f>U76+U95</f>
        <v>608969</v>
      </c>
      <c r="V75" s="42">
        <f>V76+V95</f>
        <v>555055.20333333337</v>
      </c>
      <c r="W75" s="42">
        <f>W76+W95</f>
        <v>563024</v>
      </c>
      <c r="X75" s="146">
        <f t="shared" si="169"/>
        <v>1.4356764189959348E-2</v>
      </c>
      <c r="Y75" s="82">
        <f t="shared" si="170"/>
        <v>-7.5447190251063723E-2</v>
      </c>
      <c r="Z75" s="24">
        <f>Z76+Z95</f>
        <v>618968</v>
      </c>
      <c r="AA75" s="42">
        <f>AA76+AA95</f>
        <v>555055.20333333337</v>
      </c>
      <c r="AB75" s="42">
        <f>AB76+AB95</f>
        <v>0</v>
      </c>
      <c r="AC75" s="146">
        <f t="shared" si="171"/>
        <v>-1</v>
      </c>
      <c r="AD75" s="25">
        <f t="shared" si="172"/>
        <v>-1</v>
      </c>
      <c r="AE75" s="57">
        <f>AE76+AE95</f>
        <v>703696</v>
      </c>
      <c r="AF75" s="42">
        <f>AF76+AF95</f>
        <v>0</v>
      </c>
      <c r="AG75" s="42">
        <f>AG76+AG95</f>
        <v>0</v>
      </c>
      <c r="AH75" s="146" t="e">
        <f t="shared" si="173"/>
        <v>#DIV/0!</v>
      </c>
      <c r="AI75" s="82">
        <f t="shared" si="174"/>
        <v>-1</v>
      </c>
      <c r="AJ75" s="24">
        <f>AJ76+AJ95</f>
        <v>739260</v>
      </c>
      <c r="AK75" s="42">
        <f>AK76+AK95</f>
        <v>0</v>
      </c>
      <c r="AL75" s="42">
        <f>AL76+AL95</f>
        <v>0</v>
      </c>
      <c r="AM75" s="146" t="e">
        <f t="shared" si="175"/>
        <v>#DIV/0!</v>
      </c>
      <c r="AN75" s="25">
        <f t="shared" si="176"/>
        <v>-1</v>
      </c>
      <c r="AO75" s="57">
        <f>AO76+AO95</f>
        <v>900864</v>
      </c>
      <c r="AP75" s="42">
        <f>AP76+AP95</f>
        <v>0</v>
      </c>
      <c r="AQ75" s="42">
        <f>AQ76+AQ95</f>
        <v>0</v>
      </c>
      <c r="AR75" s="146" t="e">
        <f t="shared" si="177"/>
        <v>#DIV/0!</v>
      </c>
      <c r="AS75" s="82">
        <f t="shared" si="178"/>
        <v>-1</v>
      </c>
      <c r="AT75" s="24">
        <f>AT76+AT95</f>
        <v>564752</v>
      </c>
      <c r="AU75" s="42">
        <f>AU76+AU95</f>
        <v>0</v>
      </c>
      <c r="AV75" s="42">
        <f>AV76+AV95</f>
        <v>0</v>
      </c>
      <c r="AW75" s="146" t="e">
        <f t="shared" si="179"/>
        <v>#DIV/0!</v>
      </c>
      <c r="AX75" s="25">
        <f t="shared" si="180"/>
        <v>-1</v>
      </c>
      <c r="AY75" s="57">
        <f>AY76+AY95</f>
        <v>513105</v>
      </c>
      <c r="AZ75" s="42">
        <f>AZ76+AZ95</f>
        <v>0</v>
      </c>
      <c r="BA75" s="42">
        <f>BA76+BA95</f>
        <v>0</v>
      </c>
      <c r="BB75" s="146" t="e">
        <f t="shared" si="181"/>
        <v>#DIV/0!</v>
      </c>
      <c r="BC75" s="82">
        <f t="shared" si="182"/>
        <v>-1</v>
      </c>
      <c r="BD75" s="24">
        <f>BD76+BD95</f>
        <v>616909</v>
      </c>
      <c r="BE75" s="42">
        <f>BE76+BE95</f>
        <v>0</v>
      </c>
      <c r="BF75" s="42">
        <f>BF76+BF95</f>
        <v>0</v>
      </c>
      <c r="BG75" s="146" t="e">
        <f t="shared" si="183"/>
        <v>#DIV/0!</v>
      </c>
      <c r="BH75" s="25">
        <f t="shared" si="184"/>
        <v>-1</v>
      </c>
      <c r="BI75" s="57">
        <f>BI76+BI95</f>
        <v>911497</v>
      </c>
      <c r="BJ75" s="42">
        <f>BJ76+BJ95</f>
        <v>0</v>
      </c>
      <c r="BK75" s="42">
        <f>BK76+BK95</f>
        <v>0</v>
      </c>
      <c r="BL75" s="146" t="e">
        <f t="shared" si="185"/>
        <v>#DIV/0!</v>
      </c>
      <c r="BM75" s="82">
        <f t="shared" si="186"/>
        <v>-1</v>
      </c>
      <c r="BN75" s="24">
        <f>BN76+BN95</f>
        <v>775102</v>
      </c>
      <c r="BO75" s="42">
        <f>BO76+BO95</f>
        <v>0</v>
      </c>
      <c r="BP75" s="42">
        <f>BP76+BP95</f>
        <v>0</v>
      </c>
      <c r="BQ75" s="146" t="e">
        <f t="shared" si="187"/>
        <v>#DIV/0!</v>
      </c>
      <c r="BR75" s="25">
        <f t="shared" si="188"/>
        <v>-1</v>
      </c>
      <c r="BS75" s="57">
        <f>BS76+BS95</f>
        <v>715478</v>
      </c>
      <c r="BT75" s="42">
        <f>BT76+BT95</f>
        <v>0</v>
      </c>
      <c r="BU75" s="42">
        <f>BU76+BU95</f>
        <v>0</v>
      </c>
      <c r="BV75" s="146" t="e">
        <f t="shared" si="189"/>
        <v>#DIV/0!</v>
      </c>
      <c r="BW75" s="25">
        <f t="shared" si="190"/>
        <v>-1</v>
      </c>
    </row>
    <row r="76" spans="2:75" ht="17.25" thickBot="1" x14ac:dyDescent="0.35">
      <c r="B76" s="300" t="s">
        <v>16</v>
      </c>
      <c r="C76" s="300" t="s">
        <v>17</v>
      </c>
      <c r="D76" s="303" t="s">
        <v>15</v>
      </c>
      <c r="E76" s="304"/>
      <c r="F76" s="52">
        <v>305936</v>
      </c>
      <c r="G76" s="38">
        <v>305937</v>
      </c>
      <c r="H76" s="38">
        <f>ROUND(H77/24,0)</f>
        <v>230729</v>
      </c>
      <c r="I76" s="254"/>
      <c r="J76" s="77">
        <f t="shared" si="164"/>
        <v>-0.24582838950502883</v>
      </c>
      <c r="K76" s="8">
        <f>BS76</f>
        <v>374909</v>
      </c>
      <c r="L76" s="8">
        <f t="shared" ref="L76:M76" si="191">BT76</f>
        <v>0</v>
      </c>
      <c r="M76" s="8">
        <f t="shared" si="191"/>
        <v>0</v>
      </c>
      <c r="N76" s="115" t="e">
        <f t="shared" si="165"/>
        <v>#DIV/0!</v>
      </c>
      <c r="O76" s="10">
        <f t="shared" si="166"/>
        <v>-1</v>
      </c>
      <c r="P76" s="8">
        <f>'2023년 실적'!P76</f>
        <v>269436</v>
      </c>
      <c r="Q76" s="38">
        <f>ROUND(Q78/2,2)</f>
        <v>221500</v>
      </c>
      <c r="R76" s="38">
        <v>309841</v>
      </c>
      <c r="S76" s="115">
        <f t="shared" si="167"/>
        <v>0.39883069977426633</v>
      </c>
      <c r="T76" s="10">
        <f t="shared" si="168"/>
        <v>0.14996140085215037</v>
      </c>
      <c r="U76" s="52">
        <f>'2023년 실적'!U76</f>
        <v>252179</v>
      </c>
      <c r="V76" s="38">
        <v>221500</v>
      </c>
      <c r="W76" s="38">
        <v>284901</v>
      </c>
      <c r="X76" s="115">
        <f t="shared" si="169"/>
        <v>0.28623476297968398</v>
      </c>
      <c r="Y76" s="77">
        <f t="shared" si="170"/>
        <v>0.12975703765975766</v>
      </c>
      <c r="Z76" s="8">
        <f>'2023년 실적'!Z76</f>
        <v>275989</v>
      </c>
      <c r="AA76" s="38">
        <f>AA77/2</f>
        <v>221500</v>
      </c>
      <c r="AB76" s="38"/>
      <c r="AC76" s="115">
        <f t="shared" si="171"/>
        <v>-1</v>
      </c>
      <c r="AD76" s="10">
        <f t="shared" si="172"/>
        <v>-1</v>
      </c>
      <c r="AE76" s="52">
        <f>'2023년 실적'!AE76</f>
        <v>394563</v>
      </c>
      <c r="AF76" s="38"/>
      <c r="AG76" s="38"/>
      <c r="AH76" s="115" t="e">
        <f t="shared" si="173"/>
        <v>#DIV/0!</v>
      </c>
      <c r="AI76" s="77">
        <f t="shared" si="174"/>
        <v>-1</v>
      </c>
      <c r="AJ76" s="8">
        <f>'2023년 실적'!AJ76</f>
        <v>389318</v>
      </c>
      <c r="AK76" s="38"/>
      <c r="AL76" s="38"/>
      <c r="AM76" s="115" t="e">
        <f t="shared" si="175"/>
        <v>#DIV/0!</v>
      </c>
      <c r="AN76" s="10">
        <f t="shared" si="176"/>
        <v>-1</v>
      </c>
      <c r="AO76" s="52">
        <f>'2023년 실적'!AO76</f>
        <v>269436</v>
      </c>
      <c r="AP76" s="38"/>
      <c r="AQ76" s="38"/>
      <c r="AR76" s="115" t="e">
        <f t="shared" si="177"/>
        <v>#DIV/0!</v>
      </c>
      <c r="AS76" s="77">
        <f t="shared" si="178"/>
        <v>-1</v>
      </c>
      <c r="AT76" s="8">
        <f>'2023년 실적'!AT76</f>
        <v>312564</v>
      </c>
      <c r="AU76" s="38"/>
      <c r="AV76" s="38"/>
      <c r="AW76" s="115" t="e">
        <f t="shared" si="179"/>
        <v>#DIV/0!</v>
      </c>
      <c r="AX76" s="10">
        <f t="shared" si="180"/>
        <v>-1</v>
      </c>
      <c r="AY76" s="52">
        <f>'2023년 실적'!AY76</f>
        <v>280926</v>
      </c>
      <c r="AZ76" s="38"/>
      <c r="BA76" s="38"/>
      <c r="BB76" s="115" t="e">
        <f t="shared" si="181"/>
        <v>#DIV/0!</v>
      </c>
      <c r="BC76" s="77">
        <f t="shared" si="182"/>
        <v>-1</v>
      </c>
      <c r="BD76" s="8">
        <f>'2023년 실적'!BD76</f>
        <v>288915</v>
      </c>
      <c r="BE76" s="38"/>
      <c r="BF76" s="38"/>
      <c r="BG76" s="115" t="e">
        <f t="shared" si="183"/>
        <v>#DIV/0!</v>
      </c>
      <c r="BH76" s="10">
        <f t="shared" si="184"/>
        <v>-1</v>
      </c>
      <c r="BI76" s="52">
        <f>'2023년 실적'!BI76</f>
        <v>381965</v>
      </c>
      <c r="BJ76" s="38"/>
      <c r="BK76" s="38"/>
      <c r="BL76" s="115" t="e">
        <f t="shared" si="185"/>
        <v>#DIV/0!</v>
      </c>
      <c r="BM76" s="77">
        <f t="shared" si="186"/>
        <v>-1</v>
      </c>
      <c r="BN76" s="8">
        <f>'2023년 실적'!BN76</f>
        <v>327586</v>
      </c>
      <c r="BO76" s="38"/>
      <c r="BP76" s="38"/>
      <c r="BQ76" s="115" t="e">
        <f t="shared" si="187"/>
        <v>#DIV/0!</v>
      </c>
      <c r="BR76" s="10">
        <f t="shared" si="188"/>
        <v>-1</v>
      </c>
      <c r="BS76" s="52">
        <f>'2023년 실적'!BS76</f>
        <v>374909</v>
      </c>
      <c r="BT76" s="38"/>
      <c r="BU76" s="38"/>
      <c r="BV76" s="115" t="e">
        <f t="shared" si="189"/>
        <v>#DIV/0!</v>
      </c>
      <c r="BW76" s="10">
        <f t="shared" si="190"/>
        <v>-1</v>
      </c>
    </row>
    <row r="77" spans="2:75" ht="17.25" thickBot="1" x14ac:dyDescent="0.35">
      <c r="B77" s="301"/>
      <c r="C77" s="301"/>
      <c r="D77" s="305" t="s">
        <v>14</v>
      </c>
      <c r="E77" s="306"/>
      <c r="F77" s="164">
        <f>'2023년 실적'!J77</f>
        <v>5100000</v>
      </c>
      <c r="G77" s="165">
        <f>'2023년 실적'!K77</f>
        <v>4801353</v>
      </c>
      <c r="H77" s="165">
        <f>H78</f>
        <v>5537500</v>
      </c>
      <c r="I77" s="255"/>
      <c r="J77" s="82">
        <f t="shared" si="164"/>
        <v>0.15332074104944993</v>
      </c>
      <c r="K77" s="131">
        <f>P77+U77+Z77+AE77+AJ77+AO77+AT77+AY77+BD77+BI77+BN77+BS77</f>
        <v>4801353</v>
      </c>
      <c r="L77" s="132">
        <f t="shared" ref="L77" si="192">Q77+V77+AA77+AF77+AK77+AP77+AU77+AZ77+BE77+BJ77+BO77</f>
        <v>1329000</v>
      </c>
      <c r="M77" s="132">
        <f>R77+W77+AB77+AG77+AL77+AQ77+AV77+BA77+BF77+BK77+BP77</f>
        <v>619674</v>
      </c>
      <c r="N77" s="166">
        <f t="shared" si="165"/>
        <v>-0.53372911963882619</v>
      </c>
      <c r="O77" s="167">
        <f t="shared" si="166"/>
        <v>-0.87093762945569719</v>
      </c>
      <c r="P77" s="168">
        <f>'2023년 실적'!P77</f>
        <v>324323</v>
      </c>
      <c r="Q77" s="165">
        <f>Q78</f>
        <v>443000</v>
      </c>
      <c r="R77" s="165">
        <v>297287</v>
      </c>
      <c r="S77" s="166">
        <f t="shared" si="167"/>
        <v>-0.32892325056433414</v>
      </c>
      <c r="T77" s="167">
        <f t="shared" si="168"/>
        <v>-8.3361340392139938E-2</v>
      </c>
      <c r="U77" s="57">
        <f>'2023년 실적'!U77</f>
        <v>320358</v>
      </c>
      <c r="V77" s="165">
        <f>V78</f>
        <v>443000</v>
      </c>
      <c r="W77" s="165">
        <v>322387</v>
      </c>
      <c r="X77" s="166">
        <f t="shared" si="169"/>
        <v>-0.27226410835214443</v>
      </c>
      <c r="Y77" s="169">
        <f t="shared" si="170"/>
        <v>6.3335393528489714E-3</v>
      </c>
      <c r="Z77" s="24">
        <f>'2023년 실적'!Z77</f>
        <v>432930</v>
      </c>
      <c r="AA77" s="165">
        <f>AA78</f>
        <v>443000</v>
      </c>
      <c r="AB77" s="165"/>
      <c r="AC77" s="166">
        <f t="shared" si="171"/>
        <v>-1</v>
      </c>
      <c r="AD77" s="167">
        <f t="shared" si="172"/>
        <v>-1</v>
      </c>
      <c r="AE77" s="57">
        <f>'2023년 실적'!AE77</f>
        <v>472323</v>
      </c>
      <c r="AF77" s="165"/>
      <c r="AG77" s="165"/>
      <c r="AH77" s="166" t="e">
        <f t="shared" si="173"/>
        <v>#DIV/0!</v>
      </c>
      <c r="AI77" s="169">
        <f t="shared" si="174"/>
        <v>-1</v>
      </c>
      <c r="AJ77" s="24">
        <f>'2023년 실적'!AJ77</f>
        <v>381307</v>
      </c>
      <c r="AK77" s="165"/>
      <c r="AL77" s="165"/>
      <c r="AM77" s="166" t="e">
        <f t="shared" si="175"/>
        <v>#DIV/0!</v>
      </c>
      <c r="AN77" s="167">
        <f t="shared" si="176"/>
        <v>-1</v>
      </c>
      <c r="AO77" s="57">
        <f>'2023년 실적'!AO77</f>
        <v>280280</v>
      </c>
      <c r="AP77" s="165"/>
      <c r="AQ77" s="165"/>
      <c r="AR77" s="166" t="e">
        <f t="shared" si="177"/>
        <v>#DIV/0!</v>
      </c>
      <c r="AS77" s="169">
        <f t="shared" si="178"/>
        <v>-1</v>
      </c>
      <c r="AT77" s="24">
        <f>'2023년 실적'!AT77</f>
        <v>395242</v>
      </c>
      <c r="AU77" s="165"/>
      <c r="AV77" s="165"/>
      <c r="AW77" s="166" t="e">
        <f t="shared" si="179"/>
        <v>#DIV/0!</v>
      </c>
      <c r="AX77" s="167">
        <f t="shared" si="180"/>
        <v>-1</v>
      </c>
      <c r="AY77" s="57">
        <f>'2023년 실적'!AY77</f>
        <v>355318</v>
      </c>
      <c r="AZ77" s="165"/>
      <c r="BA77" s="165"/>
      <c r="BB77" s="166" t="e">
        <f t="shared" si="181"/>
        <v>#DIV/0!</v>
      </c>
      <c r="BC77" s="169">
        <f t="shared" si="182"/>
        <v>-1</v>
      </c>
      <c r="BD77" s="24">
        <f>'2023년 실적'!BD77</f>
        <v>370856</v>
      </c>
      <c r="BE77" s="165"/>
      <c r="BF77" s="165"/>
      <c r="BG77" s="166" t="e">
        <f t="shared" si="183"/>
        <v>#DIV/0!</v>
      </c>
      <c r="BH77" s="167">
        <f t="shared" si="184"/>
        <v>-1</v>
      </c>
      <c r="BI77" s="57">
        <f>'2023년 실적'!BI77</f>
        <v>611306</v>
      </c>
      <c r="BJ77" s="165"/>
      <c r="BK77" s="165"/>
      <c r="BL77" s="166" t="e">
        <f t="shared" si="185"/>
        <v>#DIV/0!</v>
      </c>
      <c r="BM77" s="169">
        <f t="shared" si="186"/>
        <v>-1</v>
      </c>
      <c r="BN77" s="24">
        <f>'2023년 실적'!BN77</f>
        <v>423746</v>
      </c>
      <c r="BO77" s="165"/>
      <c r="BP77" s="165"/>
      <c r="BQ77" s="166" t="e">
        <f t="shared" si="187"/>
        <v>#DIV/0!</v>
      </c>
      <c r="BR77" s="167">
        <f t="shared" si="188"/>
        <v>-1</v>
      </c>
      <c r="BS77" s="57">
        <f>'2023년 실적'!BS77</f>
        <v>433364</v>
      </c>
      <c r="BT77" s="165"/>
      <c r="BU77" s="165"/>
      <c r="BV77" s="166" t="e">
        <f t="shared" si="189"/>
        <v>#DIV/0!</v>
      </c>
      <c r="BW77" s="167">
        <f t="shared" si="190"/>
        <v>-1</v>
      </c>
    </row>
    <row r="78" spans="2:75" ht="17.25" thickBot="1" x14ac:dyDescent="0.35">
      <c r="B78" s="301"/>
      <c r="C78" s="301"/>
      <c r="D78" s="307" t="s">
        <v>18</v>
      </c>
      <c r="E78" s="308"/>
      <c r="F78" s="170">
        <f>F79+F94</f>
        <v>4648868</v>
      </c>
      <c r="G78" s="171">
        <f>G79+G94</f>
        <v>4859570</v>
      </c>
      <c r="H78" s="171">
        <f>H79+H94</f>
        <v>5537500</v>
      </c>
      <c r="I78" s="256"/>
      <c r="J78" s="172">
        <f t="shared" si="164"/>
        <v>0.13950411250378125</v>
      </c>
      <c r="K78" s="173">
        <f>K79+K95</f>
        <v>2725918</v>
      </c>
      <c r="L78" s="173">
        <f t="shared" ref="L78:M78" si="193">L79+L95</f>
        <v>2618893</v>
      </c>
      <c r="M78" s="173">
        <f t="shared" si="193"/>
        <v>209741</v>
      </c>
      <c r="N78" s="174">
        <f t="shared" si="165"/>
        <v>-0.91991234464332827</v>
      </c>
      <c r="O78" s="175">
        <f t="shared" si="166"/>
        <v>-0.92305674638782242</v>
      </c>
      <c r="P78" s="173">
        <f>P79+P94</f>
        <v>404664</v>
      </c>
      <c r="Q78" s="171">
        <f>Q79+Q94</f>
        <v>443000</v>
      </c>
      <c r="R78" s="171">
        <f>R79+R94</f>
        <v>274687</v>
      </c>
      <c r="S78" s="174">
        <f t="shared" si="167"/>
        <v>-0.37993905191873589</v>
      </c>
      <c r="T78" s="175">
        <f t="shared" si="168"/>
        <v>-0.32119733902694581</v>
      </c>
      <c r="U78" s="170">
        <f>U79+U94</f>
        <v>393870</v>
      </c>
      <c r="V78" s="171">
        <f>V79+V94</f>
        <v>443000</v>
      </c>
      <c r="W78" s="171">
        <f>W79+W94</f>
        <v>268242</v>
      </c>
      <c r="X78" s="174">
        <f t="shared" si="169"/>
        <v>-0.39448758465011291</v>
      </c>
      <c r="Y78" s="172">
        <f t="shared" si="170"/>
        <v>-0.31895803183791605</v>
      </c>
      <c r="Z78" s="173">
        <f>Z79+Z94</f>
        <v>406749</v>
      </c>
      <c r="AA78" s="171">
        <f>AA79+AA94</f>
        <v>443000</v>
      </c>
      <c r="AB78" s="171">
        <f>AB79+AB94</f>
        <v>0</v>
      </c>
      <c r="AC78" s="174">
        <f t="shared" si="171"/>
        <v>-1</v>
      </c>
      <c r="AD78" s="175">
        <f t="shared" si="172"/>
        <v>-1</v>
      </c>
      <c r="AE78" s="170">
        <f>AE79+AE94</f>
        <v>351763</v>
      </c>
      <c r="AF78" s="171">
        <f>AF79+AF94</f>
        <v>443000</v>
      </c>
      <c r="AG78" s="171">
        <f>AG79+AG94</f>
        <v>0</v>
      </c>
      <c r="AH78" s="174">
        <f t="shared" si="173"/>
        <v>-1</v>
      </c>
      <c r="AI78" s="172">
        <f t="shared" si="174"/>
        <v>-1</v>
      </c>
      <c r="AJ78" s="173">
        <f>AJ79+AJ94</f>
        <v>387063</v>
      </c>
      <c r="AK78" s="171">
        <f>AK79+AK94</f>
        <v>428139</v>
      </c>
      <c r="AL78" s="171">
        <f>AL79+AL94</f>
        <v>0</v>
      </c>
      <c r="AM78" s="174">
        <f t="shared" si="175"/>
        <v>-1</v>
      </c>
      <c r="AN78" s="175">
        <f t="shared" si="176"/>
        <v>-1</v>
      </c>
      <c r="AO78" s="170">
        <f>AO79+AO94</f>
        <v>365731</v>
      </c>
      <c r="AP78" s="171">
        <f>AP79+AP94</f>
        <v>427178</v>
      </c>
      <c r="AQ78" s="171">
        <f>AQ79+AQ94</f>
        <v>0</v>
      </c>
      <c r="AR78" s="174">
        <f t="shared" si="177"/>
        <v>-1</v>
      </c>
      <c r="AS78" s="172">
        <f t="shared" si="178"/>
        <v>-1</v>
      </c>
      <c r="AT78" s="173">
        <f>AT79+AT94</f>
        <v>384313</v>
      </c>
      <c r="AU78" s="171">
        <f>AU79+AU94</f>
        <v>421568</v>
      </c>
      <c r="AV78" s="171">
        <f>AV79+AV94</f>
        <v>0</v>
      </c>
      <c r="AW78" s="174">
        <f t="shared" si="179"/>
        <v>-1</v>
      </c>
      <c r="AX78" s="175">
        <f t="shared" si="180"/>
        <v>-1</v>
      </c>
      <c r="AY78" s="170">
        <f>AY79+AY94</f>
        <v>385877</v>
      </c>
      <c r="AZ78" s="171">
        <f>AZ79+AZ94</f>
        <v>452364</v>
      </c>
      <c r="BA78" s="171">
        <f>BA79+BA94</f>
        <v>0</v>
      </c>
      <c r="BB78" s="174">
        <f t="shared" si="181"/>
        <v>-1</v>
      </c>
      <c r="BC78" s="172">
        <f t="shared" si="182"/>
        <v>-1</v>
      </c>
      <c r="BD78" s="173">
        <f>BD79+BD94</f>
        <v>367503</v>
      </c>
      <c r="BE78" s="171">
        <f>BE79+BE94</f>
        <v>429714</v>
      </c>
      <c r="BF78" s="171">
        <f>BF79+BF94</f>
        <v>0</v>
      </c>
      <c r="BG78" s="174">
        <f t="shared" si="183"/>
        <v>-1</v>
      </c>
      <c r="BH78" s="175">
        <f t="shared" si="184"/>
        <v>-1</v>
      </c>
      <c r="BI78" s="170">
        <f>BI79+BI94</f>
        <v>518324</v>
      </c>
      <c r="BJ78" s="171">
        <f>BJ79+BJ94</f>
        <v>553750</v>
      </c>
      <c r="BK78" s="171">
        <f>BK79+BK94</f>
        <v>0</v>
      </c>
      <c r="BL78" s="174">
        <f t="shared" si="185"/>
        <v>-1</v>
      </c>
      <c r="BM78" s="172">
        <f t="shared" si="186"/>
        <v>-1</v>
      </c>
      <c r="BN78" s="173">
        <f>BN79+BN94</f>
        <v>478461</v>
      </c>
      <c r="BO78" s="171">
        <f>BO79+BO94</f>
        <v>543143</v>
      </c>
      <c r="BP78" s="171">
        <f>BP79+BP94</f>
        <v>0</v>
      </c>
      <c r="BQ78" s="174">
        <f t="shared" si="187"/>
        <v>-1</v>
      </c>
      <c r="BR78" s="175">
        <f t="shared" si="188"/>
        <v>-1</v>
      </c>
      <c r="BS78" s="170">
        <f>BS79+BS94</f>
        <v>415180</v>
      </c>
      <c r="BT78" s="171">
        <f>BT79+BT94</f>
        <v>487944</v>
      </c>
      <c r="BU78" s="171">
        <f>BU79+BU94</f>
        <v>0</v>
      </c>
      <c r="BV78" s="174">
        <f t="shared" si="189"/>
        <v>-1</v>
      </c>
      <c r="BW78" s="175">
        <f t="shared" si="190"/>
        <v>-1</v>
      </c>
    </row>
    <row r="79" spans="2:75" ht="17.25" thickBot="1" x14ac:dyDescent="0.35">
      <c r="B79" s="301"/>
      <c r="C79" s="301"/>
      <c r="D79" s="309" t="s">
        <v>19</v>
      </c>
      <c r="E79" s="310"/>
      <c r="F79" s="185">
        <f>F83+F88+F91+F92+F93</f>
        <v>3885312</v>
      </c>
      <c r="G79" s="186">
        <f>G83+G88+G91+G92+G93</f>
        <v>4024174</v>
      </c>
      <c r="H79" s="186">
        <f>H83+H88+H91+H92+H93</f>
        <v>4647500</v>
      </c>
      <c r="I79" s="257"/>
      <c r="J79" s="187">
        <f t="shared" si="164"/>
        <v>0.15489538971227379</v>
      </c>
      <c r="K79" s="188">
        <f>K84+K89+K92+K93+K94</f>
        <v>2385349</v>
      </c>
      <c r="L79" s="188">
        <f t="shared" ref="L79:M79" si="194">L84+L89+L92+L93+L94</f>
        <v>2618893</v>
      </c>
      <c r="M79" s="188">
        <f t="shared" si="194"/>
        <v>209741</v>
      </c>
      <c r="N79" s="189">
        <f t="shared" si="165"/>
        <v>-0.91991234464332827</v>
      </c>
      <c r="O79" s="190">
        <f t="shared" si="166"/>
        <v>-0.91207114766015374</v>
      </c>
      <c r="P79" s="188">
        <f>P83+P88+P91+P92+P93</f>
        <v>354600</v>
      </c>
      <c r="Q79" s="186">
        <f>Q83+Q88+Q91+Q92+Q93</f>
        <v>371800</v>
      </c>
      <c r="R79" s="186">
        <f>R83+R88+R91+R92+R93</f>
        <v>274687</v>
      </c>
      <c r="S79" s="189">
        <f t="shared" si="167"/>
        <v>-0.26119688004303387</v>
      </c>
      <c r="T79" s="190">
        <f t="shared" si="168"/>
        <v>-0.22536097010716305</v>
      </c>
      <c r="U79" s="185">
        <f>U83+U88+U91+U92+U93</f>
        <v>319786</v>
      </c>
      <c r="V79" s="186">
        <f>V83+V88+V91+V92+V93</f>
        <v>371800</v>
      </c>
      <c r="W79" s="186">
        <f>W83+W88+W91+W92+W93</f>
        <v>268242</v>
      </c>
      <c r="X79" s="189">
        <f t="shared" si="169"/>
        <v>-0.27853146853146848</v>
      </c>
      <c r="Y79" s="187">
        <f t="shared" si="170"/>
        <v>-0.16118279099147559</v>
      </c>
      <c r="Z79" s="188">
        <f>Z83+Z88+Z91+Z92+Z93</f>
        <v>338677</v>
      </c>
      <c r="AA79" s="186">
        <f>AA83+AA88+AA91+AA92+AA93</f>
        <v>371800</v>
      </c>
      <c r="AB79" s="186">
        <f>AB83+AB88+AB91+AB92+AB93</f>
        <v>0</v>
      </c>
      <c r="AC79" s="189">
        <f t="shared" si="171"/>
        <v>-1</v>
      </c>
      <c r="AD79" s="190">
        <f t="shared" si="172"/>
        <v>-1</v>
      </c>
      <c r="AE79" s="185">
        <f>AE83+AE88+AE91+AE92+AE93</f>
        <v>267228</v>
      </c>
      <c r="AF79" s="186">
        <f>AF83+AF88+AF91+AF92+AF93</f>
        <v>371800</v>
      </c>
      <c r="AG79" s="186">
        <f>AG83+AG88+AG91+AG92+AG93</f>
        <v>0</v>
      </c>
      <c r="AH79" s="189">
        <f t="shared" si="173"/>
        <v>-1</v>
      </c>
      <c r="AI79" s="187">
        <f t="shared" si="174"/>
        <v>-1</v>
      </c>
      <c r="AJ79" s="188">
        <f>AJ83+AJ88+AJ91+AJ92+AJ93</f>
        <v>312554</v>
      </c>
      <c r="AK79" s="186">
        <f>AK83+AK88+AK91+AK92+AK93</f>
        <v>359327</v>
      </c>
      <c r="AL79" s="186">
        <f>AL83+AL88+AL91+AL92+AL93</f>
        <v>0</v>
      </c>
      <c r="AM79" s="189">
        <f t="shared" si="175"/>
        <v>-1</v>
      </c>
      <c r="AN79" s="190">
        <f t="shared" si="176"/>
        <v>-1</v>
      </c>
      <c r="AO79" s="185">
        <f>AO83+AO88+AO91+AO92+AO93</f>
        <v>311518</v>
      </c>
      <c r="AP79" s="186">
        <f>AP83+AP88+AP91+AP92+AP93</f>
        <v>358523</v>
      </c>
      <c r="AQ79" s="186">
        <f>AQ83+AQ88+AQ91+AQ92+AQ93</f>
        <v>0</v>
      </c>
      <c r="AR79" s="189">
        <f t="shared" si="177"/>
        <v>-1</v>
      </c>
      <c r="AS79" s="187">
        <f t="shared" si="178"/>
        <v>-1</v>
      </c>
      <c r="AT79" s="188">
        <f>AT83+AT88+AT91+AT92+AT93</f>
        <v>311734</v>
      </c>
      <c r="AU79" s="186">
        <f>AU83+AU88+AU91+AU92+AU93</f>
        <v>353813</v>
      </c>
      <c r="AV79" s="186">
        <f>AV83+AV88+AV91+AV92+AV93</f>
        <v>0</v>
      </c>
      <c r="AW79" s="189">
        <f t="shared" si="179"/>
        <v>-1</v>
      </c>
      <c r="AX79" s="190">
        <f t="shared" si="180"/>
        <v>-1</v>
      </c>
      <c r="AY79" s="185">
        <f>AY83+AY88+AY91+AY92+AY93</f>
        <v>319124</v>
      </c>
      <c r="AZ79" s="186">
        <f>AZ83+AZ88+AZ91+AZ92+AZ93</f>
        <v>379659</v>
      </c>
      <c r="BA79" s="186">
        <f>BA83+BA88+BA91+BA92+BA93</f>
        <v>0</v>
      </c>
      <c r="BB79" s="189">
        <f t="shared" si="181"/>
        <v>-1</v>
      </c>
      <c r="BC79" s="187">
        <f t="shared" si="182"/>
        <v>-1</v>
      </c>
      <c r="BD79" s="188">
        <f>BD83+BD88+BD91+BD92+BD93</f>
        <v>309742</v>
      </c>
      <c r="BE79" s="186">
        <f>BE83+BE88+BE91+BE92+BE93</f>
        <v>360649</v>
      </c>
      <c r="BF79" s="186">
        <f>BF83+BF88+BF91+BF92+BF93</f>
        <v>0</v>
      </c>
      <c r="BG79" s="189">
        <f t="shared" si="183"/>
        <v>-1</v>
      </c>
      <c r="BH79" s="190">
        <f t="shared" si="184"/>
        <v>-1</v>
      </c>
      <c r="BI79" s="185">
        <f>BI83+BI88+BI91+BI92+BI93</f>
        <v>438468</v>
      </c>
      <c r="BJ79" s="186">
        <f>BJ83+BJ88+BJ91+BJ92+BJ93</f>
        <v>464750</v>
      </c>
      <c r="BK79" s="186">
        <f>BK83+BK88+BK91+BK92+BK93</f>
        <v>0</v>
      </c>
      <c r="BL79" s="189">
        <f t="shared" si="185"/>
        <v>-1</v>
      </c>
      <c r="BM79" s="187">
        <f t="shared" si="186"/>
        <v>-1</v>
      </c>
      <c r="BN79" s="188">
        <f>BN83+BN88+BN91+BN92+BN93</f>
        <v>392437</v>
      </c>
      <c r="BO79" s="186">
        <f>BO83+BO88+BO91+BO92+BO93</f>
        <v>455848</v>
      </c>
      <c r="BP79" s="186">
        <f>BP83+BP88+BP91+BP92+BP93</f>
        <v>0</v>
      </c>
      <c r="BQ79" s="189">
        <f t="shared" si="187"/>
        <v>-1</v>
      </c>
      <c r="BR79" s="190">
        <f t="shared" si="188"/>
        <v>-1</v>
      </c>
      <c r="BS79" s="185">
        <f>BS83+BS88+BS91+BS92+BS93</f>
        <v>350626</v>
      </c>
      <c r="BT79" s="186">
        <f>BT83+BT88+BT91+BT92+BT93</f>
        <v>409520</v>
      </c>
      <c r="BU79" s="186">
        <f>BU83+BU88+BU91+BU92+BU93</f>
        <v>0</v>
      </c>
      <c r="BV79" s="189">
        <f t="shared" si="189"/>
        <v>-1</v>
      </c>
      <c r="BW79" s="190">
        <f t="shared" si="190"/>
        <v>-1</v>
      </c>
    </row>
    <row r="80" spans="2:75" x14ac:dyDescent="0.3">
      <c r="B80" s="301"/>
      <c r="C80" s="301"/>
      <c r="D80" s="311" t="s">
        <v>52</v>
      </c>
      <c r="E80" s="192" t="s">
        <v>20</v>
      </c>
      <c r="F80" s="52">
        <f>'2023년 실적'!F80</f>
        <v>274504</v>
      </c>
      <c r="G80" s="38">
        <f>'2023년 실적'!G80</f>
        <v>321951</v>
      </c>
      <c r="H80" s="38">
        <v>355000</v>
      </c>
      <c r="I80" s="254"/>
      <c r="J80" s="77">
        <f t="shared" si="164"/>
        <v>0.10265226695987906</v>
      </c>
      <c r="K80" s="131">
        <f t="shared" ref="K80:M82" si="195">P80+U80+Z80+AE80+AJ80+AO80+AT80+AY80+BD80+BI80+BN80+BS80</f>
        <v>321951</v>
      </c>
      <c r="L80" s="132">
        <f t="shared" si="195"/>
        <v>353607</v>
      </c>
      <c r="M80" s="132">
        <f t="shared" si="195"/>
        <v>48932</v>
      </c>
      <c r="N80" s="115">
        <f t="shared" si="165"/>
        <v>-0.86162038647424966</v>
      </c>
      <c r="O80" s="10">
        <f t="shared" si="166"/>
        <v>-0.84801413879751886</v>
      </c>
      <c r="P80" s="8">
        <f>'2023년 실적'!P80</f>
        <v>22882</v>
      </c>
      <c r="Q80" s="38">
        <v>28400</v>
      </c>
      <c r="R80" s="38">
        <v>25459</v>
      </c>
      <c r="S80" s="115">
        <f t="shared" si="167"/>
        <v>-0.10355633802816899</v>
      </c>
      <c r="T80" s="10">
        <f t="shared" si="168"/>
        <v>0.11262127436412905</v>
      </c>
      <c r="U80" s="52">
        <f>'2023년 실적'!U80</f>
        <v>25581</v>
      </c>
      <c r="V80" s="38">
        <v>28400</v>
      </c>
      <c r="W80" s="38">
        <v>23473</v>
      </c>
      <c r="X80" s="115">
        <f t="shared" si="169"/>
        <v>-0.17348591549295778</v>
      </c>
      <c r="Y80" s="77">
        <f t="shared" si="170"/>
        <v>-8.2404909894062017E-2</v>
      </c>
      <c r="Z80" s="8">
        <f>'2023년 실적'!Z80</f>
        <v>21966</v>
      </c>
      <c r="AA80" s="38">
        <v>28400</v>
      </c>
      <c r="AB80" s="38"/>
      <c r="AC80" s="115">
        <f t="shared" si="171"/>
        <v>-1</v>
      </c>
      <c r="AD80" s="10">
        <f t="shared" si="172"/>
        <v>-1</v>
      </c>
      <c r="AE80" s="52">
        <f>'2023년 실적'!AE80</f>
        <v>23867</v>
      </c>
      <c r="AF80" s="38">
        <v>28400</v>
      </c>
      <c r="AG80" s="38"/>
      <c r="AH80" s="115">
        <f t="shared" si="173"/>
        <v>-1</v>
      </c>
      <c r="AI80" s="77">
        <f t="shared" si="174"/>
        <v>-1</v>
      </c>
      <c r="AJ80" s="8">
        <f>'2023년 실적'!AJ80</f>
        <v>26277</v>
      </c>
      <c r="AK80" s="38">
        <v>27447</v>
      </c>
      <c r="AL80" s="38"/>
      <c r="AM80" s="115">
        <f t="shared" si="175"/>
        <v>-1</v>
      </c>
      <c r="AN80" s="10">
        <f t="shared" si="176"/>
        <v>-1</v>
      </c>
      <c r="AO80" s="52">
        <f>'2023년 실적'!AO80</f>
        <v>28344</v>
      </c>
      <c r="AP80" s="38">
        <v>27385</v>
      </c>
      <c r="AQ80" s="38"/>
      <c r="AR80" s="115">
        <f t="shared" si="177"/>
        <v>-1</v>
      </c>
      <c r="AS80" s="77">
        <f t="shared" si="178"/>
        <v>-1</v>
      </c>
      <c r="AT80" s="8">
        <f>'2023년 실적'!AT80</f>
        <v>24918</v>
      </c>
      <c r="AU80" s="38">
        <v>27026</v>
      </c>
      <c r="AV80" s="38"/>
      <c r="AW80" s="115">
        <f t="shared" si="179"/>
        <v>-1</v>
      </c>
      <c r="AX80" s="10">
        <f t="shared" si="180"/>
        <v>-1</v>
      </c>
      <c r="AY80" s="52">
        <f>'2023년 실적'!AY80</f>
        <v>24874</v>
      </c>
      <c r="AZ80" s="38">
        <v>29000</v>
      </c>
      <c r="BA80" s="38"/>
      <c r="BB80" s="115">
        <f t="shared" si="181"/>
        <v>-1</v>
      </c>
      <c r="BC80" s="77">
        <f t="shared" si="182"/>
        <v>-1</v>
      </c>
      <c r="BD80" s="8">
        <f>'2023년 실적'!BD80</f>
        <v>27144</v>
      </c>
      <c r="BE80" s="38">
        <v>27548</v>
      </c>
      <c r="BF80" s="38"/>
      <c r="BG80" s="115">
        <f t="shared" si="183"/>
        <v>-1</v>
      </c>
      <c r="BH80" s="10">
        <f t="shared" si="184"/>
        <v>-1</v>
      </c>
      <c r="BI80" s="52">
        <f>'2023년 실적'!BI80</f>
        <v>30214</v>
      </c>
      <c r="BJ80" s="38">
        <v>35500</v>
      </c>
      <c r="BK80" s="38"/>
      <c r="BL80" s="115">
        <f t="shared" si="185"/>
        <v>-1</v>
      </c>
      <c r="BM80" s="77">
        <f t="shared" si="186"/>
        <v>-1</v>
      </c>
      <c r="BN80" s="8">
        <f>'2023년 실적'!BN80</f>
        <v>34230</v>
      </c>
      <c r="BO80" s="38">
        <v>34820</v>
      </c>
      <c r="BP80" s="38"/>
      <c r="BQ80" s="115">
        <f t="shared" si="187"/>
        <v>-1</v>
      </c>
      <c r="BR80" s="10">
        <f t="shared" si="188"/>
        <v>-1</v>
      </c>
      <c r="BS80" s="52">
        <f>'2023년 실적'!BS80</f>
        <v>31654</v>
      </c>
      <c r="BT80" s="38">
        <v>31281</v>
      </c>
      <c r="BU80" s="38"/>
      <c r="BV80" s="115">
        <f t="shared" si="189"/>
        <v>-1</v>
      </c>
      <c r="BW80" s="10">
        <f t="shared" si="190"/>
        <v>-1</v>
      </c>
    </row>
    <row r="81" spans="2:75" x14ac:dyDescent="0.3">
      <c r="B81" s="301"/>
      <c r="C81" s="301"/>
      <c r="D81" s="312"/>
      <c r="E81" s="67" t="s">
        <v>21</v>
      </c>
      <c r="F81" s="45">
        <f>'2023년 실적'!F81</f>
        <v>394629</v>
      </c>
      <c r="G81" s="39">
        <f>'2023년 실적'!G81</f>
        <v>419768</v>
      </c>
      <c r="H81" s="39">
        <v>574000</v>
      </c>
      <c r="I81" s="258"/>
      <c r="J81" s="33">
        <f t="shared" si="164"/>
        <v>0.36742200453583895</v>
      </c>
      <c r="K81" s="107">
        <f t="shared" si="195"/>
        <v>419768</v>
      </c>
      <c r="L81" s="87">
        <f t="shared" si="195"/>
        <v>571751</v>
      </c>
      <c r="M81" s="87">
        <f t="shared" si="195"/>
        <v>46154</v>
      </c>
      <c r="N81" s="88">
        <f t="shared" si="165"/>
        <v>-0.91927604848963973</v>
      </c>
      <c r="O81" s="15">
        <f t="shared" si="166"/>
        <v>-0.89004878885479599</v>
      </c>
      <c r="P81" s="13">
        <f>'2023년 실적'!P81</f>
        <v>24520</v>
      </c>
      <c r="Q81" s="39">
        <v>45920</v>
      </c>
      <c r="R81" s="39">
        <v>23114</v>
      </c>
      <c r="S81" s="88">
        <f t="shared" si="167"/>
        <v>-0.49664634146341469</v>
      </c>
      <c r="T81" s="15">
        <f t="shared" si="168"/>
        <v>-5.7340946166394735E-2</v>
      </c>
      <c r="U81" s="45">
        <f>'2023년 실적'!U81</f>
        <v>42820</v>
      </c>
      <c r="V81" s="39">
        <v>45920</v>
      </c>
      <c r="W81" s="39">
        <v>23040</v>
      </c>
      <c r="X81" s="88">
        <f t="shared" si="169"/>
        <v>-0.49825783972125437</v>
      </c>
      <c r="Y81" s="33">
        <f t="shared" si="170"/>
        <v>-0.46193367585240541</v>
      </c>
      <c r="Z81" s="13">
        <f>'2023년 실적'!Z81</f>
        <v>27988</v>
      </c>
      <c r="AA81" s="39">
        <v>45920</v>
      </c>
      <c r="AB81" s="39"/>
      <c r="AC81" s="88">
        <f t="shared" si="171"/>
        <v>-1</v>
      </c>
      <c r="AD81" s="15">
        <f t="shared" si="172"/>
        <v>-1</v>
      </c>
      <c r="AE81" s="45">
        <f>'2023년 실적'!AE81</f>
        <v>27340</v>
      </c>
      <c r="AF81" s="39">
        <v>45920</v>
      </c>
      <c r="AG81" s="39"/>
      <c r="AH81" s="88">
        <f t="shared" si="173"/>
        <v>-1</v>
      </c>
      <c r="AI81" s="33">
        <f t="shared" si="174"/>
        <v>-1</v>
      </c>
      <c r="AJ81" s="13">
        <f>'2023년 실적'!AJ81</f>
        <v>29937</v>
      </c>
      <c r="AK81" s="39">
        <v>44380</v>
      </c>
      <c r="AL81" s="39"/>
      <c r="AM81" s="88">
        <f t="shared" si="175"/>
        <v>-1</v>
      </c>
      <c r="AN81" s="15">
        <f t="shared" si="176"/>
        <v>-1</v>
      </c>
      <c r="AO81" s="45">
        <f>'2023년 실적'!AO81</f>
        <v>31700</v>
      </c>
      <c r="AP81" s="39">
        <v>44279</v>
      </c>
      <c r="AQ81" s="39"/>
      <c r="AR81" s="88">
        <f t="shared" si="177"/>
        <v>-1</v>
      </c>
      <c r="AS81" s="33">
        <f t="shared" si="178"/>
        <v>-1</v>
      </c>
      <c r="AT81" s="13">
        <f>'2023년 실적'!AT81</f>
        <v>33415</v>
      </c>
      <c r="AU81" s="39">
        <v>43698</v>
      </c>
      <c r="AV81" s="39"/>
      <c r="AW81" s="88">
        <f t="shared" si="179"/>
        <v>-1</v>
      </c>
      <c r="AX81" s="15">
        <f t="shared" si="180"/>
        <v>-1</v>
      </c>
      <c r="AY81" s="45">
        <f>'2023년 실적'!AY81</f>
        <v>33368</v>
      </c>
      <c r="AZ81" s="39">
        <v>46891</v>
      </c>
      <c r="BA81" s="39"/>
      <c r="BB81" s="88">
        <f t="shared" si="181"/>
        <v>-1</v>
      </c>
      <c r="BC81" s="33">
        <f t="shared" si="182"/>
        <v>-1</v>
      </c>
      <c r="BD81" s="13">
        <f>'2023년 실적'!BD81</f>
        <v>32470</v>
      </c>
      <c r="BE81" s="39">
        <v>44543</v>
      </c>
      <c r="BF81" s="39"/>
      <c r="BG81" s="88">
        <f t="shared" si="183"/>
        <v>-1</v>
      </c>
      <c r="BH81" s="15">
        <f t="shared" si="184"/>
        <v>-1</v>
      </c>
      <c r="BI81" s="45">
        <f>'2023년 실적'!BI81</f>
        <v>39064</v>
      </c>
      <c r="BJ81" s="39">
        <v>57400</v>
      </c>
      <c r="BK81" s="39"/>
      <c r="BL81" s="88">
        <f t="shared" si="185"/>
        <v>-1</v>
      </c>
      <c r="BM81" s="33">
        <f t="shared" si="186"/>
        <v>-1</v>
      </c>
      <c r="BN81" s="13">
        <f>'2023년 실적'!BN81</f>
        <v>62218</v>
      </c>
      <c r="BO81" s="39">
        <v>56301</v>
      </c>
      <c r="BP81" s="39"/>
      <c r="BQ81" s="88">
        <f t="shared" si="187"/>
        <v>-1</v>
      </c>
      <c r="BR81" s="15">
        <f t="shared" si="188"/>
        <v>-1</v>
      </c>
      <c r="BS81" s="45">
        <f>'2023년 실적'!BS81</f>
        <v>34928</v>
      </c>
      <c r="BT81" s="39">
        <v>50579</v>
      </c>
      <c r="BU81" s="39"/>
      <c r="BV81" s="88">
        <f t="shared" si="189"/>
        <v>-1</v>
      </c>
      <c r="BW81" s="15">
        <f t="shared" si="190"/>
        <v>-1</v>
      </c>
    </row>
    <row r="82" spans="2:75" x14ac:dyDescent="0.3">
      <c r="B82" s="301"/>
      <c r="C82" s="301"/>
      <c r="D82" s="312"/>
      <c r="E82" s="67" t="s">
        <v>27</v>
      </c>
      <c r="F82" s="45">
        <f>'2023년 실적'!F82</f>
        <v>398047</v>
      </c>
      <c r="G82" s="39">
        <f>'2023년 실적'!G82</f>
        <v>207830</v>
      </c>
      <c r="H82" s="39">
        <v>260000</v>
      </c>
      <c r="I82" s="258"/>
      <c r="J82" s="33">
        <f t="shared" si="164"/>
        <v>0.25102247028821623</v>
      </c>
      <c r="K82" s="107">
        <f t="shared" si="195"/>
        <v>210150</v>
      </c>
      <c r="L82" s="87">
        <f t="shared" si="195"/>
        <v>258981</v>
      </c>
      <c r="M82" s="87">
        <f t="shared" si="195"/>
        <v>21983</v>
      </c>
      <c r="N82" s="88">
        <f t="shared" si="165"/>
        <v>-0.91511732520918521</v>
      </c>
      <c r="O82" s="15">
        <f t="shared" si="166"/>
        <v>-0.89539376635736379</v>
      </c>
      <c r="P82" s="13">
        <f>'2023년 실적'!P82</f>
        <v>24502</v>
      </c>
      <c r="Q82" s="39">
        <v>20800</v>
      </c>
      <c r="R82" s="39">
        <v>13981</v>
      </c>
      <c r="S82" s="88">
        <f t="shared" si="167"/>
        <v>-0.32783653846153848</v>
      </c>
      <c r="T82" s="15">
        <f t="shared" si="168"/>
        <v>-0.42939351889641664</v>
      </c>
      <c r="U82" s="45">
        <f>'2023년 실적'!U82</f>
        <v>24132</v>
      </c>
      <c r="V82" s="39">
        <v>20800</v>
      </c>
      <c r="W82" s="39">
        <v>8002</v>
      </c>
      <c r="X82" s="88">
        <f t="shared" si="169"/>
        <v>-0.61528846153846151</v>
      </c>
      <c r="Y82" s="33">
        <f t="shared" si="170"/>
        <v>-0.66840709431460299</v>
      </c>
      <c r="Z82" s="13">
        <f>'2023년 실적'!Z82</f>
        <v>30839</v>
      </c>
      <c r="AA82" s="39">
        <v>20800</v>
      </c>
      <c r="AB82" s="39"/>
      <c r="AC82" s="88">
        <f t="shared" si="171"/>
        <v>-1</v>
      </c>
      <c r="AD82" s="15">
        <f t="shared" si="172"/>
        <v>-1</v>
      </c>
      <c r="AE82" s="45">
        <f>'2023년 실적'!AE82</f>
        <v>12990</v>
      </c>
      <c r="AF82" s="39">
        <v>20800</v>
      </c>
      <c r="AG82" s="39"/>
      <c r="AH82" s="88">
        <f t="shared" si="173"/>
        <v>-1</v>
      </c>
      <c r="AI82" s="33">
        <f t="shared" si="174"/>
        <v>-1</v>
      </c>
      <c r="AJ82" s="13">
        <f>'2023년 실적'!AJ82</f>
        <v>18058</v>
      </c>
      <c r="AK82" s="39">
        <v>20102</v>
      </c>
      <c r="AL82" s="39"/>
      <c r="AM82" s="88">
        <f t="shared" si="175"/>
        <v>-1</v>
      </c>
      <c r="AN82" s="15">
        <f t="shared" si="176"/>
        <v>-1</v>
      </c>
      <c r="AO82" s="45">
        <f>'2023년 실적'!AO82</f>
        <v>15305</v>
      </c>
      <c r="AP82" s="39">
        <v>20057</v>
      </c>
      <c r="AQ82" s="39"/>
      <c r="AR82" s="88">
        <f t="shared" si="177"/>
        <v>-1</v>
      </c>
      <c r="AS82" s="33">
        <f t="shared" si="178"/>
        <v>-1</v>
      </c>
      <c r="AT82" s="13">
        <f>'2023년 실적'!AT82</f>
        <v>20578</v>
      </c>
      <c r="AU82" s="39">
        <v>19794</v>
      </c>
      <c r="AV82" s="39"/>
      <c r="AW82" s="88">
        <f t="shared" si="179"/>
        <v>-1</v>
      </c>
      <c r="AX82" s="15">
        <f t="shared" si="180"/>
        <v>-1</v>
      </c>
      <c r="AY82" s="45">
        <f>'2023년 실적'!AY82</f>
        <v>7942</v>
      </c>
      <c r="AZ82" s="39">
        <v>21240</v>
      </c>
      <c r="BA82" s="39"/>
      <c r="BB82" s="88">
        <f t="shared" si="181"/>
        <v>-1</v>
      </c>
      <c r="BC82" s="33">
        <f t="shared" si="182"/>
        <v>-1</v>
      </c>
      <c r="BD82" s="13">
        <f>'2023년 실적'!BD82</f>
        <v>11650</v>
      </c>
      <c r="BE82" s="39">
        <v>20176</v>
      </c>
      <c r="BF82" s="39"/>
      <c r="BG82" s="88">
        <f t="shared" si="183"/>
        <v>-1</v>
      </c>
      <c r="BH82" s="15">
        <f t="shared" si="184"/>
        <v>-1</v>
      </c>
      <c r="BI82" s="45">
        <f>'2023년 실적'!BI82</f>
        <v>6298</v>
      </c>
      <c r="BJ82" s="39">
        <v>26000</v>
      </c>
      <c r="BK82" s="39"/>
      <c r="BL82" s="88">
        <f t="shared" si="185"/>
        <v>-1</v>
      </c>
      <c r="BM82" s="33">
        <f t="shared" si="186"/>
        <v>-1</v>
      </c>
      <c r="BN82" s="13">
        <f>'2023년 실적'!BN82</f>
        <v>21384</v>
      </c>
      <c r="BO82" s="39">
        <v>25502</v>
      </c>
      <c r="BP82" s="39"/>
      <c r="BQ82" s="88">
        <f t="shared" si="187"/>
        <v>-1</v>
      </c>
      <c r="BR82" s="15">
        <f t="shared" si="188"/>
        <v>-1</v>
      </c>
      <c r="BS82" s="45">
        <f>'2023년 실적'!BS82</f>
        <v>16472</v>
      </c>
      <c r="BT82" s="39">
        <v>22910</v>
      </c>
      <c r="BU82" s="39"/>
      <c r="BV82" s="88">
        <f t="shared" si="189"/>
        <v>-1</v>
      </c>
      <c r="BW82" s="15">
        <f t="shared" si="190"/>
        <v>-1</v>
      </c>
    </row>
    <row r="83" spans="2:75" ht="17.25" thickBot="1" x14ac:dyDescent="0.35">
      <c r="B83" s="301"/>
      <c r="C83" s="301"/>
      <c r="D83" s="313"/>
      <c r="E83" s="193" t="s">
        <v>53</v>
      </c>
      <c r="F83" s="194">
        <f>SUM(F80:F82)</f>
        <v>1067180</v>
      </c>
      <c r="G83" s="195">
        <f>SUM(G80:G82)</f>
        <v>949549</v>
      </c>
      <c r="H83" s="195">
        <f>SUM(H80:H82)</f>
        <v>1189000</v>
      </c>
      <c r="I83" s="259"/>
      <c r="J83" s="196">
        <f t="shared" si="164"/>
        <v>0.25217340021420687</v>
      </c>
      <c r="K83" s="197">
        <f t="shared" ref="K83:M83" si="196">SUM(K80:K82)</f>
        <v>951869</v>
      </c>
      <c r="L83" s="195">
        <f t="shared" si="196"/>
        <v>1184339</v>
      </c>
      <c r="M83" s="195">
        <f t="shared" si="196"/>
        <v>117069</v>
      </c>
      <c r="N83" s="198">
        <f t="shared" si="165"/>
        <v>-0.90115245719342185</v>
      </c>
      <c r="O83" s="199">
        <f t="shared" si="166"/>
        <v>-0.87701143749822719</v>
      </c>
      <c r="P83" s="197">
        <f t="shared" ref="P83:R83" si="197">SUM(P80:P82)</f>
        <v>71904</v>
      </c>
      <c r="Q83" s="195">
        <f t="shared" si="197"/>
        <v>95120</v>
      </c>
      <c r="R83" s="195">
        <f t="shared" si="197"/>
        <v>62554</v>
      </c>
      <c r="S83" s="198">
        <f t="shared" si="167"/>
        <v>-0.34236753574432299</v>
      </c>
      <c r="T83" s="199">
        <f t="shared" si="168"/>
        <v>-0.13003449043168669</v>
      </c>
      <c r="U83" s="194">
        <f>SUM(U80:U82)</f>
        <v>92533</v>
      </c>
      <c r="V83" s="195">
        <f>SUM(V80:V82)</f>
        <v>95120</v>
      </c>
      <c r="W83" s="195">
        <f>SUM(W80:W82)</f>
        <v>54515</v>
      </c>
      <c r="X83" s="198">
        <f t="shared" si="169"/>
        <v>-0.42688183347350717</v>
      </c>
      <c r="Y83" s="196">
        <f t="shared" si="170"/>
        <v>-0.41085882874217849</v>
      </c>
      <c r="Z83" s="197">
        <f>SUM(Z80:Z82)</f>
        <v>80793</v>
      </c>
      <c r="AA83" s="195">
        <f>SUM(AA80:AA82)</f>
        <v>95120</v>
      </c>
      <c r="AB83" s="195">
        <f>SUM(AB80:AB82)</f>
        <v>0</v>
      </c>
      <c r="AC83" s="198">
        <f t="shared" si="171"/>
        <v>-1</v>
      </c>
      <c r="AD83" s="199">
        <f t="shared" si="172"/>
        <v>-1</v>
      </c>
      <c r="AE83" s="194">
        <f>SUM(AE80:AE82)</f>
        <v>64197</v>
      </c>
      <c r="AF83" s="195">
        <f>SUM(AF80:AF82)</f>
        <v>95120</v>
      </c>
      <c r="AG83" s="195">
        <f>SUM(AG80:AG82)</f>
        <v>0</v>
      </c>
      <c r="AH83" s="198">
        <f t="shared" si="173"/>
        <v>-1</v>
      </c>
      <c r="AI83" s="196">
        <f t="shared" si="174"/>
        <v>-1</v>
      </c>
      <c r="AJ83" s="197">
        <f>SUM(AJ80:AJ82)</f>
        <v>74272</v>
      </c>
      <c r="AK83" s="195">
        <f>SUM(AK80:AK82)</f>
        <v>91929</v>
      </c>
      <c r="AL83" s="195">
        <f>SUM(AL80:AL82)</f>
        <v>0</v>
      </c>
      <c r="AM83" s="198">
        <f t="shared" si="175"/>
        <v>-1</v>
      </c>
      <c r="AN83" s="199">
        <f t="shared" si="176"/>
        <v>-1</v>
      </c>
      <c r="AO83" s="194">
        <f>SUM(AO80:AO82)</f>
        <v>75349</v>
      </c>
      <c r="AP83" s="195">
        <f>SUM(AP80:AP82)</f>
        <v>91721</v>
      </c>
      <c r="AQ83" s="195">
        <f>SUM(AQ80:AQ82)</f>
        <v>0</v>
      </c>
      <c r="AR83" s="198">
        <f t="shared" si="177"/>
        <v>-1</v>
      </c>
      <c r="AS83" s="196">
        <f t="shared" si="178"/>
        <v>-1</v>
      </c>
      <c r="AT83" s="197">
        <f>SUM(AT80:AT82)</f>
        <v>78911</v>
      </c>
      <c r="AU83" s="195">
        <f>SUM(AU80:AU82)</f>
        <v>90518</v>
      </c>
      <c r="AV83" s="195">
        <f>SUM(AV80:AV82)</f>
        <v>0</v>
      </c>
      <c r="AW83" s="198">
        <f t="shared" si="179"/>
        <v>-1</v>
      </c>
      <c r="AX83" s="199">
        <f t="shared" si="180"/>
        <v>-1</v>
      </c>
      <c r="AY83" s="194">
        <f>SUM(AY80:AY82)</f>
        <v>66184</v>
      </c>
      <c r="AZ83" s="195">
        <f>SUM(AZ80:AZ82)</f>
        <v>97131</v>
      </c>
      <c r="BA83" s="195">
        <f>SUM(BA80:BA82)</f>
        <v>0</v>
      </c>
      <c r="BB83" s="198">
        <f t="shared" si="181"/>
        <v>-1</v>
      </c>
      <c r="BC83" s="196">
        <f t="shared" si="182"/>
        <v>-1</v>
      </c>
      <c r="BD83" s="197">
        <f>SUM(BD80:BD82)</f>
        <v>71264</v>
      </c>
      <c r="BE83" s="195">
        <f>SUM(BE80:BE82)</f>
        <v>92267</v>
      </c>
      <c r="BF83" s="195">
        <f>SUM(BF80:BF82)</f>
        <v>0</v>
      </c>
      <c r="BG83" s="198">
        <f t="shared" si="183"/>
        <v>-1</v>
      </c>
      <c r="BH83" s="199">
        <f t="shared" si="184"/>
        <v>-1</v>
      </c>
      <c r="BI83" s="194">
        <f>SUM(BI80:BI82)</f>
        <v>75576</v>
      </c>
      <c r="BJ83" s="195">
        <f>SUM(BJ80:BJ82)</f>
        <v>118900</v>
      </c>
      <c r="BK83" s="195">
        <f>SUM(BK80:BK82)</f>
        <v>0</v>
      </c>
      <c r="BL83" s="198">
        <f t="shared" si="185"/>
        <v>-1</v>
      </c>
      <c r="BM83" s="196">
        <f t="shared" si="186"/>
        <v>-1</v>
      </c>
      <c r="BN83" s="197">
        <f>SUM(BN80:BN82)</f>
        <v>117832</v>
      </c>
      <c r="BO83" s="195">
        <f>SUM(BO80:BO82)</f>
        <v>116623</v>
      </c>
      <c r="BP83" s="195">
        <f>SUM(BP80:BP82)</f>
        <v>0</v>
      </c>
      <c r="BQ83" s="198">
        <f t="shared" si="187"/>
        <v>-1</v>
      </c>
      <c r="BR83" s="199">
        <f t="shared" si="188"/>
        <v>-1</v>
      </c>
      <c r="BS83" s="194">
        <f>SUM(BS80:BS82)</f>
        <v>83054</v>
      </c>
      <c r="BT83" s="195">
        <f>SUM(BT80:BT82)</f>
        <v>104770</v>
      </c>
      <c r="BU83" s="195">
        <f>SUM(BU80:BU82)</f>
        <v>0</v>
      </c>
      <c r="BV83" s="198">
        <f t="shared" si="189"/>
        <v>-1</v>
      </c>
      <c r="BW83" s="199">
        <f t="shared" si="190"/>
        <v>-1</v>
      </c>
    </row>
    <row r="84" spans="2:75" x14ac:dyDescent="0.3">
      <c r="B84" s="301"/>
      <c r="C84" s="301"/>
      <c r="D84" s="314" t="s">
        <v>54</v>
      </c>
      <c r="E84" s="191" t="s">
        <v>22</v>
      </c>
      <c r="F84" s="56">
        <f>'2023년 실적'!F84</f>
        <v>255674</v>
      </c>
      <c r="G84" s="41">
        <f>'2023년 실적'!G84</f>
        <v>265892</v>
      </c>
      <c r="H84" s="41">
        <v>300000</v>
      </c>
      <c r="I84" s="260"/>
      <c r="J84" s="81">
        <f t="shared" si="164"/>
        <v>0.12827764656326623</v>
      </c>
      <c r="K84" s="129">
        <f t="shared" ref="K84:M87" si="198">P84+U84+Z84+AE84+AJ84+AO84+AT84+AY84+BD84+BI84+BN84+BS84</f>
        <v>294977</v>
      </c>
      <c r="L84" s="130">
        <f t="shared" si="198"/>
        <v>298823</v>
      </c>
      <c r="M84" s="130">
        <f t="shared" si="198"/>
        <v>47610</v>
      </c>
      <c r="N84" s="112">
        <f t="shared" si="165"/>
        <v>-0.84067491458154153</v>
      </c>
      <c r="O84" s="23">
        <f t="shared" si="166"/>
        <v>-0.83859758557446851</v>
      </c>
      <c r="P84" s="21">
        <f>'2023년 실적'!P84</f>
        <v>19273</v>
      </c>
      <c r="Q84" s="41">
        <v>24000</v>
      </c>
      <c r="R84" s="41">
        <v>24956</v>
      </c>
      <c r="S84" s="112">
        <f t="shared" si="167"/>
        <v>3.9833333333333387E-2</v>
      </c>
      <c r="T84" s="23">
        <f t="shared" si="168"/>
        <v>0.29486846884242213</v>
      </c>
      <c r="U84" s="56">
        <f>'2023년 실적'!U84</f>
        <v>32026</v>
      </c>
      <c r="V84" s="41">
        <v>24000</v>
      </c>
      <c r="W84" s="41">
        <v>22654</v>
      </c>
      <c r="X84" s="112">
        <f t="shared" si="169"/>
        <v>-5.6083333333333374E-2</v>
      </c>
      <c r="Y84" s="81">
        <f t="shared" si="170"/>
        <v>-0.2926372322487979</v>
      </c>
      <c r="Z84" s="21">
        <f>'2023년 실적'!Z84</f>
        <v>19043</v>
      </c>
      <c r="AA84" s="41">
        <v>24000</v>
      </c>
      <c r="AB84" s="41"/>
      <c r="AC84" s="112">
        <f t="shared" si="171"/>
        <v>-1</v>
      </c>
      <c r="AD84" s="23">
        <f t="shared" si="172"/>
        <v>-1</v>
      </c>
      <c r="AE84" s="56">
        <f>'2023년 실적'!AE84</f>
        <v>20732</v>
      </c>
      <c r="AF84" s="41">
        <v>24000</v>
      </c>
      <c r="AG84" s="41"/>
      <c r="AH84" s="112">
        <f t="shared" si="173"/>
        <v>-1</v>
      </c>
      <c r="AI84" s="81">
        <f t="shared" si="174"/>
        <v>-1</v>
      </c>
      <c r="AJ84" s="21">
        <f>'2023년 실적'!AJ84</f>
        <v>23468</v>
      </c>
      <c r="AK84" s="41">
        <v>23195</v>
      </c>
      <c r="AL84" s="41"/>
      <c r="AM84" s="112">
        <f t="shared" si="175"/>
        <v>-1</v>
      </c>
      <c r="AN84" s="23">
        <f t="shared" si="176"/>
        <v>-1</v>
      </c>
      <c r="AO84" s="56">
        <f>'2023년 실적'!AO84</f>
        <v>24188</v>
      </c>
      <c r="AP84" s="41">
        <v>23142</v>
      </c>
      <c r="AQ84" s="41"/>
      <c r="AR84" s="112">
        <f t="shared" si="177"/>
        <v>-1</v>
      </c>
      <c r="AS84" s="81">
        <f t="shared" si="178"/>
        <v>-1</v>
      </c>
      <c r="AT84" s="21">
        <f>'2023년 실적'!AT84</f>
        <v>22316</v>
      </c>
      <c r="AU84" s="41">
        <v>22839</v>
      </c>
      <c r="AV84" s="41"/>
      <c r="AW84" s="112">
        <f t="shared" si="179"/>
        <v>-1</v>
      </c>
      <c r="AX84" s="23">
        <f t="shared" si="180"/>
        <v>-1</v>
      </c>
      <c r="AY84" s="56">
        <f>'2023년 실적'!AY84</f>
        <v>25544</v>
      </c>
      <c r="AZ84" s="41">
        <v>24507</v>
      </c>
      <c r="BA84" s="41"/>
      <c r="BB84" s="112">
        <f t="shared" si="181"/>
        <v>-1</v>
      </c>
      <c r="BC84" s="81">
        <f t="shared" si="182"/>
        <v>-1</v>
      </c>
      <c r="BD84" s="21">
        <f>'2023년 실적'!BD84</f>
        <v>24514</v>
      </c>
      <c r="BE84" s="41">
        <v>23280</v>
      </c>
      <c r="BF84" s="41"/>
      <c r="BG84" s="112">
        <f t="shared" si="183"/>
        <v>-1</v>
      </c>
      <c r="BH84" s="23">
        <f t="shared" si="184"/>
        <v>-1</v>
      </c>
      <c r="BI84" s="56">
        <f>'2023년 실적'!BI84</f>
        <v>27828</v>
      </c>
      <c r="BJ84" s="41">
        <v>30000</v>
      </c>
      <c r="BK84" s="41"/>
      <c r="BL84" s="112">
        <f t="shared" si="185"/>
        <v>-1</v>
      </c>
      <c r="BM84" s="81">
        <f t="shared" si="186"/>
        <v>-1</v>
      </c>
      <c r="BN84" s="21">
        <f>'2023년 실적'!BN84</f>
        <v>30920</v>
      </c>
      <c r="BO84" s="41">
        <v>29425</v>
      </c>
      <c r="BP84" s="41"/>
      <c r="BQ84" s="112">
        <f t="shared" si="187"/>
        <v>-1</v>
      </c>
      <c r="BR84" s="23">
        <f t="shared" si="188"/>
        <v>-1</v>
      </c>
      <c r="BS84" s="56">
        <f>'2023년 실적'!BS84</f>
        <v>25125</v>
      </c>
      <c r="BT84" s="41">
        <v>26435</v>
      </c>
      <c r="BU84" s="41"/>
      <c r="BV84" s="112">
        <f t="shared" si="189"/>
        <v>-1</v>
      </c>
      <c r="BW84" s="23">
        <f t="shared" si="190"/>
        <v>-1</v>
      </c>
    </row>
    <row r="85" spans="2:75" x14ac:dyDescent="0.3">
      <c r="B85" s="301"/>
      <c r="C85" s="301"/>
      <c r="D85" s="312"/>
      <c r="E85" s="67" t="s">
        <v>23</v>
      </c>
      <c r="F85" s="45">
        <f>'2023년 실적'!F85</f>
        <v>583012</v>
      </c>
      <c r="G85" s="39">
        <f>'2023년 실적'!G85</f>
        <v>554782</v>
      </c>
      <c r="H85" s="39">
        <v>600300</v>
      </c>
      <c r="I85" s="258"/>
      <c r="J85" s="33">
        <f t="shared" si="164"/>
        <v>8.2046641743964255E-2</v>
      </c>
      <c r="K85" s="107">
        <f t="shared" si="198"/>
        <v>611068</v>
      </c>
      <c r="L85" s="87">
        <f t="shared" si="198"/>
        <v>597947</v>
      </c>
      <c r="M85" s="87">
        <f t="shared" si="198"/>
        <v>93030</v>
      </c>
      <c r="N85" s="88">
        <f t="shared" si="165"/>
        <v>-0.84441764905585281</v>
      </c>
      <c r="O85" s="15">
        <f t="shared" si="166"/>
        <v>-0.84775835095275809</v>
      </c>
      <c r="P85" s="13">
        <f>'2023년 실적'!P85</f>
        <v>50990</v>
      </c>
      <c r="Q85" s="39">
        <v>48024</v>
      </c>
      <c r="R85" s="39">
        <v>51458</v>
      </c>
      <c r="S85" s="88">
        <f t="shared" si="167"/>
        <v>7.1505913709811741E-2</v>
      </c>
      <c r="T85" s="15">
        <f t="shared" si="168"/>
        <v>9.1782702490683654E-3</v>
      </c>
      <c r="U85" s="45">
        <f>'2023년 실적'!U85</f>
        <v>45016</v>
      </c>
      <c r="V85" s="39">
        <v>48024</v>
      </c>
      <c r="W85" s="39">
        <v>41572</v>
      </c>
      <c r="X85" s="88">
        <f t="shared" si="169"/>
        <v>-0.13434949192070633</v>
      </c>
      <c r="Y85" s="33">
        <f t="shared" si="170"/>
        <v>-7.6506131153367685E-2</v>
      </c>
      <c r="Z85" s="13">
        <f>'2023년 실적'!Z85</f>
        <v>75300</v>
      </c>
      <c r="AA85" s="39">
        <v>48024</v>
      </c>
      <c r="AB85" s="39"/>
      <c r="AC85" s="88">
        <f t="shared" si="171"/>
        <v>-1</v>
      </c>
      <c r="AD85" s="15">
        <f t="shared" si="172"/>
        <v>-1</v>
      </c>
      <c r="AE85" s="45">
        <f>'2023년 실적'!AE85</f>
        <v>37975</v>
      </c>
      <c r="AF85" s="39">
        <v>48024</v>
      </c>
      <c r="AG85" s="39"/>
      <c r="AH85" s="88">
        <f t="shared" si="173"/>
        <v>-1</v>
      </c>
      <c r="AI85" s="33">
        <f t="shared" si="174"/>
        <v>-1</v>
      </c>
      <c r="AJ85" s="13">
        <f>'2023년 실적'!AJ85</f>
        <v>44598</v>
      </c>
      <c r="AK85" s="39">
        <v>46413</v>
      </c>
      <c r="AL85" s="39"/>
      <c r="AM85" s="88">
        <f t="shared" si="175"/>
        <v>-1</v>
      </c>
      <c r="AN85" s="15">
        <f t="shared" si="176"/>
        <v>-1</v>
      </c>
      <c r="AO85" s="45">
        <f>'2023년 실적'!AO85</f>
        <v>50986</v>
      </c>
      <c r="AP85" s="39">
        <v>46308</v>
      </c>
      <c r="AQ85" s="39"/>
      <c r="AR85" s="88">
        <f t="shared" si="177"/>
        <v>-1</v>
      </c>
      <c r="AS85" s="33">
        <f t="shared" si="178"/>
        <v>-1</v>
      </c>
      <c r="AT85" s="13">
        <f>'2023년 실적'!AT85</f>
        <v>48452</v>
      </c>
      <c r="AU85" s="39">
        <v>45701</v>
      </c>
      <c r="AV85" s="39"/>
      <c r="AW85" s="88">
        <f t="shared" si="179"/>
        <v>-1</v>
      </c>
      <c r="AX85" s="15">
        <f t="shared" si="180"/>
        <v>-1</v>
      </c>
      <c r="AY85" s="45">
        <f>'2023년 실적'!AY85</f>
        <v>45980</v>
      </c>
      <c r="AZ85" s="39">
        <v>49039</v>
      </c>
      <c r="BA85" s="39"/>
      <c r="BB85" s="88">
        <f t="shared" si="181"/>
        <v>-1</v>
      </c>
      <c r="BC85" s="33">
        <f t="shared" si="182"/>
        <v>-1</v>
      </c>
      <c r="BD85" s="13">
        <f>'2023년 실적'!BD85</f>
        <v>47436</v>
      </c>
      <c r="BE85" s="39">
        <v>46584</v>
      </c>
      <c r="BF85" s="39"/>
      <c r="BG85" s="88">
        <f t="shared" si="183"/>
        <v>-1</v>
      </c>
      <c r="BH85" s="15">
        <f t="shared" si="184"/>
        <v>-1</v>
      </c>
      <c r="BI85" s="45">
        <f>'2023년 실적'!BI85</f>
        <v>54452</v>
      </c>
      <c r="BJ85" s="39">
        <v>60030</v>
      </c>
      <c r="BK85" s="39"/>
      <c r="BL85" s="88">
        <f t="shared" si="185"/>
        <v>-1</v>
      </c>
      <c r="BM85" s="33">
        <f t="shared" si="186"/>
        <v>-1</v>
      </c>
      <c r="BN85" s="13">
        <f>'2023년 실적'!BN85</f>
        <v>64781</v>
      </c>
      <c r="BO85" s="39">
        <v>58880</v>
      </c>
      <c r="BP85" s="39"/>
      <c r="BQ85" s="88">
        <f t="shared" si="187"/>
        <v>-1</v>
      </c>
      <c r="BR85" s="15">
        <f t="shared" si="188"/>
        <v>-1</v>
      </c>
      <c r="BS85" s="45">
        <f>'2023년 실적'!BS85</f>
        <v>45102</v>
      </c>
      <c r="BT85" s="39">
        <v>52896</v>
      </c>
      <c r="BU85" s="39"/>
      <c r="BV85" s="88">
        <f t="shared" si="189"/>
        <v>-1</v>
      </c>
      <c r="BW85" s="15">
        <f t="shared" si="190"/>
        <v>-1</v>
      </c>
    </row>
    <row r="86" spans="2:75" x14ac:dyDescent="0.3">
      <c r="B86" s="301"/>
      <c r="C86" s="301"/>
      <c r="D86" s="312"/>
      <c r="E86" s="67" t="s">
        <v>24</v>
      </c>
      <c r="F86" s="45">
        <f>'2023년 실적'!F86</f>
        <v>255841</v>
      </c>
      <c r="G86" s="39">
        <f>'2023년 실적'!G86</f>
        <v>316827</v>
      </c>
      <c r="H86" s="39">
        <v>355000</v>
      </c>
      <c r="I86" s="258"/>
      <c r="J86" s="33">
        <f t="shared" si="164"/>
        <v>0.12048531217352054</v>
      </c>
      <c r="K86" s="107">
        <f t="shared" si="198"/>
        <v>231456</v>
      </c>
      <c r="L86" s="87">
        <f t="shared" si="198"/>
        <v>353607</v>
      </c>
      <c r="M86" s="87">
        <f t="shared" si="198"/>
        <v>41197</v>
      </c>
      <c r="N86" s="88">
        <f t="shared" si="165"/>
        <v>-0.88349495343700779</v>
      </c>
      <c r="O86" s="15">
        <f t="shared" si="166"/>
        <v>-0.82200936679109637</v>
      </c>
      <c r="P86" s="13">
        <f>'2023년 실적'!P86</f>
        <v>19114</v>
      </c>
      <c r="Q86" s="39">
        <v>28400</v>
      </c>
      <c r="R86" s="39">
        <v>21467</v>
      </c>
      <c r="S86" s="88">
        <f t="shared" si="167"/>
        <v>-0.24411971830985912</v>
      </c>
      <c r="T86" s="15">
        <f t="shared" si="168"/>
        <v>0.12310348435701579</v>
      </c>
      <c r="U86" s="45">
        <f>'2023년 실적'!U86</f>
        <v>23518</v>
      </c>
      <c r="V86" s="39">
        <v>28400</v>
      </c>
      <c r="W86" s="39">
        <v>19730</v>
      </c>
      <c r="X86" s="88">
        <f t="shared" si="169"/>
        <v>-0.30528169014084505</v>
      </c>
      <c r="Y86" s="33">
        <f t="shared" si="170"/>
        <v>-0.16106811803724808</v>
      </c>
      <c r="Z86" s="13">
        <f>'2023년 실적'!Z86</f>
        <v>18054</v>
      </c>
      <c r="AA86" s="39">
        <v>28400</v>
      </c>
      <c r="AB86" s="39"/>
      <c r="AC86" s="88">
        <f t="shared" si="171"/>
        <v>-1</v>
      </c>
      <c r="AD86" s="15">
        <f t="shared" si="172"/>
        <v>-1</v>
      </c>
      <c r="AE86" s="45">
        <f>'2023년 실적'!AE86</f>
        <v>15328</v>
      </c>
      <c r="AF86" s="39">
        <v>28400</v>
      </c>
      <c r="AG86" s="39"/>
      <c r="AH86" s="88">
        <f t="shared" si="173"/>
        <v>-1</v>
      </c>
      <c r="AI86" s="33">
        <f t="shared" si="174"/>
        <v>-1</v>
      </c>
      <c r="AJ86" s="13">
        <f>'2023년 실적'!AJ86</f>
        <v>17800</v>
      </c>
      <c r="AK86" s="39">
        <v>27447</v>
      </c>
      <c r="AL86" s="39"/>
      <c r="AM86" s="88">
        <f t="shared" si="175"/>
        <v>-1</v>
      </c>
      <c r="AN86" s="15">
        <f t="shared" si="176"/>
        <v>-1</v>
      </c>
      <c r="AO86" s="45">
        <f>'2023년 실적'!AO86</f>
        <v>20036</v>
      </c>
      <c r="AP86" s="39">
        <v>27385</v>
      </c>
      <c r="AQ86" s="39"/>
      <c r="AR86" s="88">
        <f t="shared" si="177"/>
        <v>-1</v>
      </c>
      <c r="AS86" s="33">
        <f t="shared" si="178"/>
        <v>-1</v>
      </c>
      <c r="AT86" s="13">
        <f>'2023년 실적'!AT86</f>
        <v>19118</v>
      </c>
      <c r="AU86" s="39">
        <v>27026</v>
      </c>
      <c r="AV86" s="39"/>
      <c r="AW86" s="88">
        <f t="shared" si="179"/>
        <v>-1</v>
      </c>
      <c r="AX86" s="15">
        <f t="shared" si="180"/>
        <v>-1</v>
      </c>
      <c r="AY86" s="45">
        <f>'2023년 실적'!AY86</f>
        <v>17860</v>
      </c>
      <c r="AZ86" s="39">
        <v>29000</v>
      </c>
      <c r="BA86" s="39"/>
      <c r="BB86" s="88">
        <f t="shared" si="181"/>
        <v>-1</v>
      </c>
      <c r="BC86" s="33">
        <f t="shared" si="182"/>
        <v>-1</v>
      </c>
      <c r="BD86" s="13">
        <f>'2023년 실적'!BD86</f>
        <v>17672</v>
      </c>
      <c r="BE86" s="39">
        <v>27548</v>
      </c>
      <c r="BF86" s="39"/>
      <c r="BG86" s="88">
        <f t="shared" si="183"/>
        <v>-1</v>
      </c>
      <c r="BH86" s="15">
        <f t="shared" si="184"/>
        <v>-1</v>
      </c>
      <c r="BI86" s="45">
        <f>'2023년 실적'!BI86</f>
        <v>21934</v>
      </c>
      <c r="BJ86" s="39">
        <v>35500</v>
      </c>
      <c r="BK86" s="39"/>
      <c r="BL86" s="88">
        <f t="shared" si="185"/>
        <v>-1</v>
      </c>
      <c r="BM86" s="33">
        <f t="shared" si="186"/>
        <v>-1</v>
      </c>
      <c r="BN86" s="13">
        <f>'2023년 실적'!BN86</f>
        <v>23514</v>
      </c>
      <c r="BO86" s="39">
        <v>34820</v>
      </c>
      <c r="BP86" s="39"/>
      <c r="BQ86" s="88">
        <f t="shared" si="187"/>
        <v>-1</v>
      </c>
      <c r="BR86" s="15">
        <f t="shared" si="188"/>
        <v>-1</v>
      </c>
      <c r="BS86" s="45">
        <f>'2023년 실적'!BS86</f>
        <v>17508</v>
      </c>
      <c r="BT86" s="39">
        <v>31281</v>
      </c>
      <c r="BU86" s="39"/>
      <c r="BV86" s="88">
        <f t="shared" si="189"/>
        <v>-1</v>
      </c>
      <c r="BW86" s="15">
        <f t="shared" si="190"/>
        <v>-1</v>
      </c>
    </row>
    <row r="87" spans="2:75" x14ac:dyDescent="0.3">
      <c r="B87" s="301"/>
      <c r="C87" s="301"/>
      <c r="D87" s="312"/>
      <c r="E87" s="67" t="s">
        <v>27</v>
      </c>
      <c r="F87" s="45">
        <f>'2023년 실적'!F87</f>
        <v>621242</v>
      </c>
      <c r="G87" s="39">
        <f>'2023년 실적'!G87</f>
        <v>666952</v>
      </c>
      <c r="H87" s="39">
        <v>750000</v>
      </c>
      <c r="I87" s="258"/>
      <c r="J87" s="33">
        <f t="shared" si="164"/>
        <v>0.12451870599383463</v>
      </c>
      <c r="K87" s="107">
        <f t="shared" si="198"/>
        <v>666952</v>
      </c>
      <c r="L87" s="87">
        <f t="shared" si="198"/>
        <v>747069</v>
      </c>
      <c r="M87" s="87">
        <f t="shared" si="198"/>
        <v>81892</v>
      </c>
      <c r="N87" s="88">
        <f t="shared" si="165"/>
        <v>-0.890382280619327</v>
      </c>
      <c r="O87" s="15">
        <f t="shared" si="166"/>
        <v>-0.87721455217167055</v>
      </c>
      <c r="P87" s="13">
        <f>'2023년 실적'!P87</f>
        <v>69905</v>
      </c>
      <c r="Q87" s="39">
        <v>60000</v>
      </c>
      <c r="R87" s="39">
        <v>41892</v>
      </c>
      <c r="S87" s="88">
        <f t="shared" si="167"/>
        <v>-0.30179999999999996</v>
      </c>
      <c r="T87" s="15">
        <f t="shared" si="168"/>
        <v>-0.40072956154781492</v>
      </c>
      <c r="U87" s="45">
        <f>'2023년 실적'!U87</f>
        <v>38673</v>
      </c>
      <c r="V87" s="39">
        <v>60000</v>
      </c>
      <c r="W87" s="39">
        <v>40000</v>
      </c>
      <c r="X87" s="88">
        <f t="shared" si="169"/>
        <v>-0.33333333333333337</v>
      </c>
      <c r="Y87" s="33">
        <f t="shared" si="170"/>
        <v>3.431334522793672E-2</v>
      </c>
      <c r="Z87" s="13">
        <f>'2023년 실적'!Z87</f>
        <v>51187</v>
      </c>
      <c r="AA87" s="39">
        <v>60000</v>
      </c>
      <c r="AB87" s="39"/>
      <c r="AC87" s="88">
        <f t="shared" si="171"/>
        <v>-1</v>
      </c>
      <c r="AD87" s="15">
        <f t="shared" si="172"/>
        <v>-1</v>
      </c>
      <c r="AE87" s="45">
        <f>'2023년 실적'!AE87</f>
        <v>43489</v>
      </c>
      <c r="AF87" s="39">
        <v>60000</v>
      </c>
      <c r="AG87" s="39"/>
      <c r="AH87" s="88">
        <f t="shared" si="173"/>
        <v>-1</v>
      </c>
      <c r="AI87" s="33">
        <f t="shared" si="174"/>
        <v>-1</v>
      </c>
      <c r="AJ87" s="13">
        <f>'2023년 실적'!AJ87</f>
        <v>48780</v>
      </c>
      <c r="AK87" s="39">
        <v>57987</v>
      </c>
      <c r="AL87" s="39"/>
      <c r="AM87" s="88">
        <f t="shared" si="175"/>
        <v>-1</v>
      </c>
      <c r="AN87" s="15">
        <f t="shared" si="176"/>
        <v>-1</v>
      </c>
      <c r="AO87" s="45">
        <f>'2023년 실적'!AO87</f>
        <v>54835</v>
      </c>
      <c r="AP87" s="39">
        <v>57865</v>
      </c>
      <c r="AQ87" s="39"/>
      <c r="AR87" s="88">
        <f t="shared" si="177"/>
        <v>-1</v>
      </c>
      <c r="AS87" s="33">
        <f t="shared" si="178"/>
        <v>-1</v>
      </c>
      <c r="AT87" s="13">
        <f>'2023년 실적'!AT87</f>
        <v>44913</v>
      </c>
      <c r="AU87" s="39">
        <v>57097</v>
      </c>
      <c r="AV87" s="39"/>
      <c r="AW87" s="88">
        <f t="shared" si="179"/>
        <v>-1</v>
      </c>
      <c r="AX87" s="15">
        <f t="shared" si="180"/>
        <v>-1</v>
      </c>
      <c r="AY87" s="45">
        <f>'2023년 실적'!AY87</f>
        <v>59304</v>
      </c>
      <c r="AZ87" s="39">
        <v>61268</v>
      </c>
      <c r="BA87" s="39"/>
      <c r="BB87" s="88">
        <f t="shared" si="181"/>
        <v>-1</v>
      </c>
      <c r="BC87" s="33">
        <f t="shared" si="182"/>
        <v>-1</v>
      </c>
      <c r="BD87" s="13">
        <f>'2023년 실적'!BD87</f>
        <v>51388</v>
      </c>
      <c r="BE87" s="39">
        <v>58201</v>
      </c>
      <c r="BF87" s="39"/>
      <c r="BG87" s="88">
        <f t="shared" si="183"/>
        <v>-1</v>
      </c>
      <c r="BH87" s="15">
        <f t="shared" si="184"/>
        <v>-1</v>
      </c>
      <c r="BI87" s="45">
        <f>'2023년 실적'!BI87</f>
        <v>89119</v>
      </c>
      <c r="BJ87" s="39">
        <v>75000</v>
      </c>
      <c r="BK87" s="39"/>
      <c r="BL87" s="88">
        <f t="shared" si="185"/>
        <v>-1</v>
      </c>
      <c r="BM87" s="33">
        <f t="shared" si="186"/>
        <v>-1</v>
      </c>
      <c r="BN87" s="13">
        <f>'2023년 실적'!BN87</f>
        <v>54183</v>
      </c>
      <c r="BO87" s="39">
        <v>73564</v>
      </c>
      <c r="BP87" s="39"/>
      <c r="BQ87" s="88">
        <f t="shared" si="187"/>
        <v>-1</v>
      </c>
      <c r="BR87" s="15">
        <f t="shared" si="188"/>
        <v>-1</v>
      </c>
      <c r="BS87" s="45">
        <f>'2023년 실적'!BS87</f>
        <v>61176</v>
      </c>
      <c r="BT87" s="39">
        <v>66087</v>
      </c>
      <c r="BU87" s="39"/>
      <c r="BV87" s="88">
        <f t="shared" si="189"/>
        <v>-1</v>
      </c>
      <c r="BW87" s="15">
        <f t="shared" si="190"/>
        <v>-1</v>
      </c>
    </row>
    <row r="88" spans="2:75" ht="17.25" thickBot="1" x14ac:dyDescent="0.35">
      <c r="B88" s="301"/>
      <c r="C88" s="301"/>
      <c r="D88" s="315"/>
      <c r="E88" s="200" t="s">
        <v>53</v>
      </c>
      <c r="F88" s="201">
        <f>SUM(F84:F87)</f>
        <v>1715769</v>
      </c>
      <c r="G88" s="202">
        <f>SUM(G84:G87)</f>
        <v>1804453</v>
      </c>
      <c r="H88" s="202">
        <f>SUM(H84:H87)</f>
        <v>2005300</v>
      </c>
      <c r="I88" s="261"/>
      <c r="J88" s="203">
        <f t="shared" si="164"/>
        <v>0.11130630722994717</v>
      </c>
      <c r="K88" s="204">
        <f t="shared" ref="K88:M88" si="199">SUM(K84:K87)</f>
        <v>1804453</v>
      </c>
      <c r="L88" s="202">
        <f t="shared" si="199"/>
        <v>1997446</v>
      </c>
      <c r="M88" s="202">
        <f t="shared" si="199"/>
        <v>263729</v>
      </c>
      <c r="N88" s="205">
        <f t="shared" si="165"/>
        <v>-0.86796689372328462</v>
      </c>
      <c r="O88" s="206">
        <f t="shared" si="166"/>
        <v>-0.85384545898396913</v>
      </c>
      <c r="P88" s="204">
        <f t="shared" ref="P88:R88" si="200">SUM(P84:P87)</f>
        <v>159282</v>
      </c>
      <c r="Q88" s="202">
        <f t="shared" si="200"/>
        <v>160424</v>
      </c>
      <c r="R88" s="202">
        <f t="shared" si="200"/>
        <v>139773</v>
      </c>
      <c r="S88" s="205">
        <f t="shared" si="167"/>
        <v>-0.12872762180222408</v>
      </c>
      <c r="T88" s="206">
        <f t="shared" si="168"/>
        <v>-0.12248088296229331</v>
      </c>
      <c r="U88" s="201">
        <f>SUM(U84:U87)</f>
        <v>139233</v>
      </c>
      <c r="V88" s="202">
        <f>SUM(V84:V87)</f>
        <v>160424</v>
      </c>
      <c r="W88" s="202">
        <f>SUM(W84:W87)</f>
        <v>123956</v>
      </c>
      <c r="X88" s="205">
        <f t="shared" si="169"/>
        <v>-0.2273225951229243</v>
      </c>
      <c r="Y88" s="203">
        <f t="shared" si="170"/>
        <v>-0.10972255140663489</v>
      </c>
      <c r="Z88" s="204">
        <f>SUM(Z84:Z87)</f>
        <v>163584</v>
      </c>
      <c r="AA88" s="202">
        <f>SUM(AA84:AA87)</f>
        <v>160424</v>
      </c>
      <c r="AB88" s="202">
        <f>SUM(AB84:AB87)</f>
        <v>0</v>
      </c>
      <c r="AC88" s="205">
        <f t="shared" si="171"/>
        <v>-1</v>
      </c>
      <c r="AD88" s="206">
        <f t="shared" si="172"/>
        <v>-1</v>
      </c>
      <c r="AE88" s="201">
        <f>SUM(AE84:AE87)</f>
        <v>117524</v>
      </c>
      <c r="AF88" s="202">
        <f>SUM(AF84:AF87)</f>
        <v>160424</v>
      </c>
      <c r="AG88" s="202">
        <f>SUM(AG84:AG87)</f>
        <v>0</v>
      </c>
      <c r="AH88" s="205">
        <f t="shared" si="173"/>
        <v>-1</v>
      </c>
      <c r="AI88" s="203">
        <f t="shared" si="174"/>
        <v>-1</v>
      </c>
      <c r="AJ88" s="204">
        <f>SUM(AJ84:AJ87)</f>
        <v>134646</v>
      </c>
      <c r="AK88" s="202">
        <f>SUM(AK84:AK87)</f>
        <v>155042</v>
      </c>
      <c r="AL88" s="202">
        <f>SUM(AL84:AL87)</f>
        <v>0</v>
      </c>
      <c r="AM88" s="205">
        <f t="shared" si="175"/>
        <v>-1</v>
      </c>
      <c r="AN88" s="206">
        <f t="shared" si="176"/>
        <v>-1</v>
      </c>
      <c r="AO88" s="201">
        <f>SUM(AO84:AO87)</f>
        <v>150045</v>
      </c>
      <c r="AP88" s="202">
        <f>SUM(AP84:AP87)</f>
        <v>154700</v>
      </c>
      <c r="AQ88" s="202">
        <f>SUM(AQ84:AQ87)</f>
        <v>0</v>
      </c>
      <c r="AR88" s="205">
        <f t="shared" si="177"/>
        <v>-1</v>
      </c>
      <c r="AS88" s="203">
        <f t="shared" si="178"/>
        <v>-1</v>
      </c>
      <c r="AT88" s="204">
        <f>SUM(AT84:AT87)</f>
        <v>134799</v>
      </c>
      <c r="AU88" s="202">
        <f>SUM(AU84:AU87)</f>
        <v>152663</v>
      </c>
      <c r="AV88" s="202">
        <f>SUM(AV84:AV87)</f>
        <v>0</v>
      </c>
      <c r="AW88" s="205">
        <f t="shared" si="179"/>
        <v>-1</v>
      </c>
      <c r="AX88" s="206">
        <f t="shared" si="180"/>
        <v>-1</v>
      </c>
      <c r="AY88" s="201">
        <f>SUM(AY84:AY87)</f>
        <v>148688</v>
      </c>
      <c r="AZ88" s="202">
        <f>SUM(AZ84:AZ87)</f>
        <v>163814</v>
      </c>
      <c r="BA88" s="202">
        <f>SUM(BA84:BA87)</f>
        <v>0</v>
      </c>
      <c r="BB88" s="205">
        <f t="shared" si="181"/>
        <v>-1</v>
      </c>
      <c r="BC88" s="203">
        <f t="shared" si="182"/>
        <v>-1</v>
      </c>
      <c r="BD88" s="204">
        <f>SUM(BD84:BD87)</f>
        <v>141010</v>
      </c>
      <c r="BE88" s="202">
        <f>SUM(BE84:BE87)</f>
        <v>155613</v>
      </c>
      <c r="BF88" s="202">
        <f>SUM(BF84:BF87)</f>
        <v>0</v>
      </c>
      <c r="BG88" s="205">
        <f t="shared" si="183"/>
        <v>-1</v>
      </c>
      <c r="BH88" s="206">
        <f t="shared" si="184"/>
        <v>-1</v>
      </c>
      <c r="BI88" s="201">
        <f>SUM(BI84:BI87)</f>
        <v>193333</v>
      </c>
      <c r="BJ88" s="202">
        <f>SUM(BJ84:BJ87)</f>
        <v>200530</v>
      </c>
      <c r="BK88" s="202">
        <f>SUM(BK84:BK87)</f>
        <v>0</v>
      </c>
      <c r="BL88" s="205">
        <f t="shared" si="185"/>
        <v>-1</v>
      </c>
      <c r="BM88" s="203">
        <f t="shared" si="186"/>
        <v>-1</v>
      </c>
      <c r="BN88" s="204">
        <f>SUM(BN84:BN87)</f>
        <v>173398</v>
      </c>
      <c r="BO88" s="202">
        <f>SUM(BO84:BO87)</f>
        <v>196689</v>
      </c>
      <c r="BP88" s="202">
        <f>SUM(BP84:BP87)</f>
        <v>0</v>
      </c>
      <c r="BQ88" s="205">
        <f t="shared" si="187"/>
        <v>-1</v>
      </c>
      <c r="BR88" s="206">
        <f t="shared" si="188"/>
        <v>-1</v>
      </c>
      <c r="BS88" s="201">
        <f>SUM(BS84:BS87)</f>
        <v>148911</v>
      </c>
      <c r="BT88" s="202">
        <f>SUM(BT84:BT87)</f>
        <v>176699</v>
      </c>
      <c r="BU88" s="202">
        <f>SUM(BU84:BU87)</f>
        <v>0</v>
      </c>
      <c r="BV88" s="205">
        <f t="shared" si="189"/>
        <v>-1</v>
      </c>
      <c r="BW88" s="206">
        <f t="shared" si="190"/>
        <v>-1</v>
      </c>
    </row>
    <row r="89" spans="2:75" x14ac:dyDescent="0.3">
      <c r="B89" s="301"/>
      <c r="C89" s="301"/>
      <c r="D89" s="311" t="s">
        <v>55</v>
      </c>
      <c r="E89" s="192" t="s">
        <v>25</v>
      </c>
      <c r="F89" s="52">
        <f>'2023년 실적'!F89</f>
        <v>492921</v>
      </c>
      <c r="G89" s="38">
        <f>'2023년 실적'!G89</f>
        <v>567346</v>
      </c>
      <c r="H89" s="38">
        <v>646000</v>
      </c>
      <c r="I89" s="254"/>
      <c r="J89" s="77">
        <f t="shared" si="164"/>
        <v>0.13863497759744492</v>
      </c>
      <c r="K89" s="131">
        <f t="shared" ref="K89:M90" si="201">P89+U89+Z89+AE89+AJ89+AO89+AT89+AY89+BD89+BI89+BN89+BS89</f>
        <v>567346</v>
      </c>
      <c r="L89" s="132">
        <f t="shared" si="201"/>
        <v>643467</v>
      </c>
      <c r="M89" s="132">
        <f t="shared" si="201"/>
        <v>83226</v>
      </c>
      <c r="N89" s="115">
        <f t="shared" si="165"/>
        <v>-0.87066003384788959</v>
      </c>
      <c r="O89" s="10">
        <f t="shared" si="166"/>
        <v>-0.85330644791714405</v>
      </c>
      <c r="P89" s="8">
        <f>'2023년 실적'!P89</f>
        <v>34826</v>
      </c>
      <c r="Q89" s="38">
        <v>51680</v>
      </c>
      <c r="R89" s="38">
        <v>44434</v>
      </c>
      <c r="S89" s="115">
        <f t="shared" si="167"/>
        <v>-0.14020897832817336</v>
      </c>
      <c r="T89" s="10">
        <f t="shared" si="168"/>
        <v>0.27588583242405096</v>
      </c>
      <c r="U89" s="52">
        <f>'2023년 실적'!U89</f>
        <v>64908</v>
      </c>
      <c r="V89" s="38">
        <v>51680</v>
      </c>
      <c r="W89" s="38">
        <v>38792</v>
      </c>
      <c r="X89" s="115">
        <f t="shared" si="169"/>
        <v>-0.24938080495356041</v>
      </c>
      <c r="Y89" s="77">
        <f t="shared" si="170"/>
        <v>-0.40235410118937576</v>
      </c>
      <c r="Z89" s="8">
        <f>'2023년 실적'!Z89</f>
        <v>35386</v>
      </c>
      <c r="AA89" s="38">
        <v>51680</v>
      </c>
      <c r="AB89" s="38"/>
      <c r="AC89" s="115">
        <f t="shared" si="171"/>
        <v>-1</v>
      </c>
      <c r="AD89" s="10">
        <f t="shared" si="172"/>
        <v>-1</v>
      </c>
      <c r="AE89" s="52">
        <f>'2023년 실적'!AE89</f>
        <v>36862</v>
      </c>
      <c r="AF89" s="38">
        <v>51680</v>
      </c>
      <c r="AG89" s="38"/>
      <c r="AH89" s="115">
        <f t="shared" si="173"/>
        <v>-1</v>
      </c>
      <c r="AI89" s="77">
        <f t="shared" si="174"/>
        <v>-1</v>
      </c>
      <c r="AJ89" s="8">
        <f>'2023년 실적'!AJ89</f>
        <v>40524</v>
      </c>
      <c r="AK89" s="38">
        <v>49946</v>
      </c>
      <c r="AL89" s="38"/>
      <c r="AM89" s="115">
        <f t="shared" si="175"/>
        <v>-1</v>
      </c>
      <c r="AN89" s="10">
        <f t="shared" si="176"/>
        <v>-1</v>
      </c>
      <c r="AO89" s="52">
        <f>'2023년 실적'!AO89</f>
        <v>43794</v>
      </c>
      <c r="AP89" s="38">
        <v>49833</v>
      </c>
      <c r="AQ89" s="38"/>
      <c r="AR89" s="115">
        <f t="shared" si="177"/>
        <v>-1</v>
      </c>
      <c r="AS89" s="77">
        <f t="shared" si="178"/>
        <v>-1</v>
      </c>
      <c r="AT89" s="8">
        <f>'2023년 실적'!AT89</f>
        <v>48814</v>
      </c>
      <c r="AU89" s="38">
        <v>49180</v>
      </c>
      <c r="AV89" s="38"/>
      <c r="AW89" s="115">
        <f t="shared" si="179"/>
        <v>-1</v>
      </c>
      <c r="AX89" s="10">
        <f t="shared" si="180"/>
        <v>-1</v>
      </c>
      <c r="AY89" s="52">
        <f>'2023년 실적'!AY89</f>
        <v>45134</v>
      </c>
      <c r="AZ89" s="38">
        <v>52772</v>
      </c>
      <c r="BA89" s="38"/>
      <c r="BB89" s="115">
        <f t="shared" si="181"/>
        <v>-1</v>
      </c>
      <c r="BC89" s="77">
        <f t="shared" si="182"/>
        <v>-1</v>
      </c>
      <c r="BD89" s="8">
        <f>'2023년 실적'!BD89</f>
        <v>42492</v>
      </c>
      <c r="BE89" s="38">
        <v>50130</v>
      </c>
      <c r="BF89" s="38"/>
      <c r="BG89" s="115">
        <f t="shared" si="183"/>
        <v>-1</v>
      </c>
      <c r="BH89" s="10">
        <f t="shared" si="184"/>
        <v>-1</v>
      </c>
      <c r="BI89" s="52">
        <f>'2023년 실적'!BI89</f>
        <v>50076</v>
      </c>
      <c r="BJ89" s="38">
        <v>64600</v>
      </c>
      <c r="BK89" s="38"/>
      <c r="BL89" s="115">
        <f t="shared" si="185"/>
        <v>-1</v>
      </c>
      <c r="BM89" s="77">
        <f t="shared" si="186"/>
        <v>-1</v>
      </c>
      <c r="BN89" s="8">
        <f>'2023년 실적'!BN89</f>
        <v>82518</v>
      </c>
      <c r="BO89" s="38">
        <v>63363</v>
      </c>
      <c r="BP89" s="38"/>
      <c r="BQ89" s="115">
        <f t="shared" si="187"/>
        <v>-1</v>
      </c>
      <c r="BR89" s="10">
        <f t="shared" si="188"/>
        <v>-1</v>
      </c>
      <c r="BS89" s="52">
        <f>'2023년 실적'!BS89</f>
        <v>42012</v>
      </c>
      <c r="BT89" s="38">
        <v>56923</v>
      </c>
      <c r="BU89" s="38"/>
      <c r="BV89" s="115">
        <f t="shared" si="189"/>
        <v>-1</v>
      </c>
      <c r="BW89" s="10">
        <f t="shared" si="190"/>
        <v>-1</v>
      </c>
    </row>
    <row r="90" spans="2:75" x14ac:dyDescent="0.3">
      <c r="B90" s="301"/>
      <c r="C90" s="301"/>
      <c r="D90" s="312"/>
      <c r="E90" s="67" t="s">
        <v>27</v>
      </c>
      <c r="F90" s="45">
        <f>'2023년 실적'!F90</f>
        <v>7464</v>
      </c>
      <c r="G90" s="39">
        <f>'2023년 실적'!G90</f>
        <v>12804</v>
      </c>
      <c r="H90" s="39">
        <v>14000</v>
      </c>
      <c r="I90" s="258"/>
      <c r="J90" s="33">
        <f t="shared" si="164"/>
        <v>9.3408309903155295E-2</v>
      </c>
      <c r="K90" s="107">
        <f t="shared" si="201"/>
        <v>12804</v>
      </c>
      <c r="L90" s="87">
        <f t="shared" si="201"/>
        <v>13945</v>
      </c>
      <c r="M90" s="87">
        <f t="shared" si="201"/>
        <v>0</v>
      </c>
      <c r="N90" s="88">
        <f t="shared" si="165"/>
        <v>-1</v>
      </c>
      <c r="O90" s="15">
        <f t="shared" si="166"/>
        <v>-1</v>
      </c>
      <c r="P90" s="13">
        <f>'2023년 실적'!P90</f>
        <v>2260</v>
      </c>
      <c r="Q90" s="39">
        <v>1120</v>
      </c>
      <c r="R90" s="39"/>
      <c r="S90" s="88">
        <f t="shared" si="167"/>
        <v>-1</v>
      </c>
      <c r="T90" s="15">
        <f t="shared" si="168"/>
        <v>-1</v>
      </c>
      <c r="U90" s="45">
        <f>'2023년 실적'!U90</f>
        <v>400</v>
      </c>
      <c r="V90" s="39">
        <v>1120</v>
      </c>
      <c r="W90" s="39"/>
      <c r="X90" s="88">
        <f t="shared" si="169"/>
        <v>-1</v>
      </c>
      <c r="Y90" s="33">
        <f t="shared" si="170"/>
        <v>-1</v>
      </c>
      <c r="Z90" s="13">
        <f>'2023년 실적'!Z90</f>
        <v>0</v>
      </c>
      <c r="AA90" s="39">
        <v>1120</v>
      </c>
      <c r="AB90" s="39"/>
      <c r="AC90" s="88">
        <f t="shared" si="171"/>
        <v>-1</v>
      </c>
      <c r="AD90" s="15" t="e">
        <f t="shared" si="172"/>
        <v>#DIV/0!</v>
      </c>
      <c r="AE90" s="45">
        <f>'2023년 실적'!AE90</f>
        <v>1584</v>
      </c>
      <c r="AF90" s="39">
        <v>1120</v>
      </c>
      <c r="AG90" s="39"/>
      <c r="AH90" s="88">
        <f t="shared" si="173"/>
        <v>-1</v>
      </c>
      <c r="AI90" s="33">
        <f t="shared" si="174"/>
        <v>-1</v>
      </c>
      <c r="AJ90" s="13">
        <f>'2023년 실적'!AJ90</f>
        <v>440</v>
      </c>
      <c r="AK90" s="39">
        <v>1082</v>
      </c>
      <c r="AL90" s="39"/>
      <c r="AM90" s="88">
        <f t="shared" si="175"/>
        <v>-1</v>
      </c>
      <c r="AN90" s="15">
        <f t="shared" si="176"/>
        <v>-1</v>
      </c>
      <c r="AO90" s="45">
        <f>'2023년 실적'!AO90</f>
        <v>120</v>
      </c>
      <c r="AP90" s="39">
        <v>1080</v>
      </c>
      <c r="AQ90" s="39"/>
      <c r="AR90" s="88">
        <f t="shared" si="177"/>
        <v>-1</v>
      </c>
      <c r="AS90" s="33">
        <f t="shared" si="178"/>
        <v>-1</v>
      </c>
      <c r="AT90" s="13">
        <f>'2023년 실적'!AT90</f>
        <v>120</v>
      </c>
      <c r="AU90" s="39">
        <v>1066</v>
      </c>
      <c r="AV90" s="39"/>
      <c r="AW90" s="88">
        <f t="shared" si="179"/>
        <v>-1</v>
      </c>
      <c r="AX90" s="15">
        <f t="shared" si="180"/>
        <v>-1</v>
      </c>
      <c r="AY90" s="45">
        <f>'2023년 실적'!AY90</f>
        <v>2340</v>
      </c>
      <c r="AZ90" s="39">
        <v>1144</v>
      </c>
      <c r="BA90" s="39"/>
      <c r="BB90" s="88">
        <f t="shared" si="181"/>
        <v>-1</v>
      </c>
      <c r="BC90" s="33">
        <f t="shared" si="182"/>
        <v>-1</v>
      </c>
      <c r="BD90" s="13">
        <f>'2023년 실적'!BD90</f>
        <v>1084</v>
      </c>
      <c r="BE90" s="39">
        <v>1086</v>
      </c>
      <c r="BF90" s="39"/>
      <c r="BG90" s="88">
        <f t="shared" si="183"/>
        <v>-1</v>
      </c>
      <c r="BH90" s="15">
        <f t="shared" si="184"/>
        <v>-1</v>
      </c>
      <c r="BI90" s="45">
        <f>'2023년 실적'!BI90</f>
        <v>2372</v>
      </c>
      <c r="BJ90" s="39">
        <v>1400</v>
      </c>
      <c r="BK90" s="39"/>
      <c r="BL90" s="88">
        <f t="shared" si="185"/>
        <v>-1</v>
      </c>
      <c r="BM90" s="33">
        <f t="shared" si="186"/>
        <v>-1</v>
      </c>
      <c r="BN90" s="13">
        <f>'2023년 실적'!BN90</f>
        <v>256</v>
      </c>
      <c r="BO90" s="39">
        <v>1373</v>
      </c>
      <c r="BP90" s="39"/>
      <c r="BQ90" s="88">
        <f t="shared" si="187"/>
        <v>-1</v>
      </c>
      <c r="BR90" s="15">
        <f t="shared" si="188"/>
        <v>-1</v>
      </c>
      <c r="BS90" s="45">
        <f>'2023년 실적'!BS90</f>
        <v>1828</v>
      </c>
      <c r="BT90" s="39">
        <v>1234</v>
      </c>
      <c r="BU90" s="39"/>
      <c r="BV90" s="88">
        <f t="shared" si="189"/>
        <v>-1</v>
      </c>
      <c r="BW90" s="15">
        <f t="shared" si="190"/>
        <v>-1</v>
      </c>
    </row>
    <row r="91" spans="2:75" ht="17.25" thickBot="1" x14ac:dyDescent="0.35">
      <c r="B91" s="301"/>
      <c r="C91" s="301"/>
      <c r="D91" s="313"/>
      <c r="E91" s="193" t="s">
        <v>53</v>
      </c>
      <c r="F91" s="194">
        <f>SUM(F89:F90)</f>
        <v>500385</v>
      </c>
      <c r="G91" s="195">
        <f>SUM(G89:G90)</f>
        <v>580150</v>
      </c>
      <c r="H91" s="195">
        <f>SUM(H89:H90)</f>
        <v>660000</v>
      </c>
      <c r="I91" s="259"/>
      <c r="J91" s="196">
        <f t="shared" si="164"/>
        <v>0.13763681806429373</v>
      </c>
      <c r="K91" s="197">
        <f t="shared" ref="K91:M91" si="202">SUM(K89:K90)</f>
        <v>580150</v>
      </c>
      <c r="L91" s="195">
        <f t="shared" si="202"/>
        <v>657412</v>
      </c>
      <c r="M91" s="195">
        <f t="shared" si="202"/>
        <v>83226</v>
      </c>
      <c r="N91" s="198">
        <f t="shared" si="165"/>
        <v>-0.87340358861718381</v>
      </c>
      <c r="O91" s="199">
        <f t="shared" si="166"/>
        <v>-0.85654399724209251</v>
      </c>
      <c r="P91" s="197">
        <f t="shared" ref="P91:R91" si="203">SUM(P89:P90)</f>
        <v>37086</v>
      </c>
      <c r="Q91" s="195">
        <f t="shared" si="203"/>
        <v>52800</v>
      </c>
      <c r="R91" s="195">
        <f t="shared" si="203"/>
        <v>44434</v>
      </c>
      <c r="S91" s="198">
        <f t="shared" si="167"/>
        <v>-0.1584469696969697</v>
      </c>
      <c r="T91" s="199">
        <f t="shared" si="168"/>
        <v>0.19813406676373835</v>
      </c>
      <c r="U91" s="194">
        <f>SUM(U89:U90)</f>
        <v>65308</v>
      </c>
      <c r="V91" s="195">
        <f>SUM(V89:V90)</f>
        <v>52800</v>
      </c>
      <c r="W91" s="195">
        <f>SUM(W89:W90)</f>
        <v>38792</v>
      </c>
      <c r="X91" s="198">
        <f t="shared" si="169"/>
        <v>-0.26530303030303026</v>
      </c>
      <c r="Y91" s="196">
        <f t="shared" si="170"/>
        <v>-0.40601457708090893</v>
      </c>
      <c r="Z91" s="197">
        <f>SUM(Z89:Z90)</f>
        <v>35386</v>
      </c>
      <c r="AA91" s="195">
        <f>SUM(AA89:AA90)</f>
        <v>52800</v>
      </c>
      <c r="AB91" s="195">
        <f>SUM(AB89:AB90)</f>
        <v>0</v>
      </c>
      <c r="AC91" s="198">
        <f t="shared" si="171"/>
        <v>-1</v>
      </c>
      <c r="AD91" s="199">
        <f t="shared" si="172"/>
        <v>-1</v>
      </c>
      <c r="AE91" s="194">
        <f>SUM(AE89:AE90)</f>
        <v>38446</v>
      </c>
      <c r="AF91" s="195">
        <f>SUM(AF89:AF90)</f>
        <v>52800</v>
      </c>
      <c r="AG91" s="195">
        <f>SUM(AG89:AG90)</f>
        <v>0</v>
      </c>
      <c r="AH91" s="198">
        <f t="shared" si="173"/>
        <v>-1</v>
      </c>
      <c r="AI91" s="196">
        <f t="shared" si="174"/>
        <v>-1</v>
      </c>
      <c r="AJ91" s="197">
        <f>SUM(AJ89:AJ90)</f>
        <v>40964</v>
      </c>
      <c r="AK91" s="195">
        <f>SUM(AK89:AK90)</f>
        <v>51028</v>
      </c>
      <c r="AL91" s="195">
        <f>SUM(AL89:AL90)</f>
        <v>0</v>
      </c>
      <c r="AM91" s="198">
        <f t="shared" si="175"/>
        <v>-1</v>
      </c>
      <c r="AN91" s="199">
        <f t="shared" si="176"/>
        <v>-1</v>
      </c>
      <c r="AO91" s="194">
        <f>SUM(AO89:AO90)</f>
        <v>43914</v>
      </c>
      <c r="AP91" s="195">
        <f>SUM(AP89:AP90)</f>
        <v>50913</v>
      </c>
      <c r="AQ91" s="195">
        <f>SUM(AQ89:AQ90)</f>
        <v>0</v>
      </c>
      <c r="AR91" s="198">
        <f t="shared" si="177"/>
        <v>-1</v>
      </c>
      <c r="AS91" s="196">
        <f t="shared" si="178"/>
        <v>-1</v>
      </c>
      <c r="AT91" s="197">
        <f>SUM(AT89:AT90)</f>
        <v>48934</v>
      </c>
      <c r="AU91" s="195">
        <f>SUM(AU89:AU90)</f>
        <v>50246</v>
      </c>
      <c r="AV91" s="195">
        <f>SUM(AV89:AV90)</f>
        <v>0</v>
      </c>
      <c r="AW91" s="198">
        <f t="shared" si="179"/>
        <v>-1</v>
      </c>
      <c r="AX91" s="199">
        <f t="shared" si="180"/>
        <v>-1</v>
      </c>
      <c r="AY91" s="194">
        <f>SUM(AY89:AY90)</f>
        <v>47474</v>
      </c>
      <c r="AZ91" s="195">
        <f>SUM(AZ89:AZ90)</f>
        <v>53916</v>
      </c>
      <c r="BA91" s="195">
        <f>SUM(BA89:BA90)</f>
        <v>0</v>
      </c>
      <c r="BB91" s="198">
        <f t="shared" si="181"/>
        <v>-1</v>
      </c>
      <c r="BC91" s="196">
        <f t="shared" si="182"/>
        <v>-1</v>
      </c>
      <c r="BD91" s="197">
        <f>SUM(BD89:BD90)</f>
        <v>43576</v>
      </c>
      <c r="BE91" s="195">
        <f>SUM(BE89:BE90)</f>
        <v>51216</v>
      </c>
      <c r="BF91" s="195">
        <f>SUM(BF89:BF90)</f>
        <v>0</v>
      </c>
      <c r="BG91" s="198">
        <f t="shared" si="183"/>
        <v>-1</v>
      </c>
      <c r="BH91" s="199">
        <f t="shared" si="184"/>
        <v>-1</v>
      </c>
      <c r="BI91" s="194">
        <f>SUM(BI89:BI90)</f>
        <v>52448</v>
      </c>
      <c r="BJ91" s="195">
        <f>SUM(BJ89:BJ90)</f>
        <v>66000</v>
      </c>
      <c r="BK91" s="195">
        <f>SUM(BK89:BK90)</f>
        <v>0</v>
      </c>
      <c r="BL91" s="198">
        <f t="shared" si="185"/>
        <v>-1</v>
      </c>
      <c r="BM91" s="196">
        <f t="shared" si="186"/>
        <v>-1</v>
      </c>
      <c r="BN91" s="197">
        <f>SUM(BN89:BN90)</f>
        <v>82774</v>
      </c>
      <c r="BO91" s="195">
        <f>SUM(BO89:BO90)</f>
        <v>64736</v>
      </c>
      <c r="BP91" s="195">
        <f>SUM(BP89:BP90)</f>
        <v>0</v>
      </c>
      <c r="BQ91" s="198">
        <f t="shared" si="187"/>
        <v>-1</v>
      </c>
      <c r="BR91" s="199">
        <f t="shared" si="188"/>
        <v>-1</v>
      </c>
      <c r="BS91" s="194">
        <f>SUM(BS89:BS90)</f>
        <v>43840</v>
      </c>
      <c r="BT91" s="195">
        <f>SUM(BT89:BT90)</f>
        <v>58157</v>
      </c>
      <c r="BU91" s="195">
        <f>SUM(BU89:BU90)</f>
        <v>0</v>
      </c>
      <c r="BV91" s="198">
        <f t="shared" si="189"/>
        <v>-1</v>
      </c>
      <c r="BW91" s="199">
        <f t="shared" si="190"/>
        <v>-1</v>
      </c>
    </row>
    <row r="92" spans="2:75" x14ac:dyDescent="0.3">
      <c r="B92" s="301"/>
      <c r="C92" s="301"/>
      <c r="D92" s="207" t="s">
        <v>56</v>
      </c>
      <c r="E92" s="208" t="s">
        <v>26</v>
      </c>
      <c r="F92" s="209">
        <f>'2023년 실적'!F92</f>
        <v>63204</v>
      </c>
      <c r="G92" s="210">
        <f>'2023년 실적'!G92</f>
        <v>79851</v>
      </c>
      <c r="H92" s="210">
        <v>93200</v>
      </c>
      <c r="I92" s="262"/>
      <c r="J92" s="211">
        <f t="shared" si="164"/>
        <v>0.16717386131670242</v>
      </c>
      <c r="K92" s="212">
        <f t="shared" ref="K92:M94" si="204">P92+U92+Z92+AE92+AJ92+AO92+AT92+AY92+BD92+BI92+BN92+BS92</f>
        <v>79851</v>
      </c>
      <c r="L92" s="213">
        <f t="shared" si="204"/>
        <v>92834</v>
      </c>
      <c r="M92" s="213">
        <f t="shared" si="204"/>
        <v>12478</v>
      </c>
      <c r="N92" s="214">
        <f t="shared" si="165"/>
        <v>-0.86558803886507096</v>
      </c>
      <c r="O92" s="215">
        <f t="shared" si="166"/>
        <v>-0.84373395449023803</v>
      </c>
      <c r="P92" s="216">
        <f>'2023년 실적'!P92</f>
        <v>4644</v>
      </c>
      <c r="Q92" s="210">
        <v>7456</v>
      </c>
      <c r="R92" s="210">
        <v>6046</v>
      </c>
      <c r="S92" s="214">
        <f t="shared" si="167"/>
        <v>-0.18910944206008584</v>
      </c>
      <c r="T92" s="215">
        <f t="shared" si="168"/>
        <v>0.30189491817398784</v>
      </c>
      <c r="U92" s="56">
        <f>'2023년 실적'!U92</f>
        <v>5468</v>
      </c>
      <c r="V92" s="210">
        <v>7456</v>
      </c>
      <c r="W92" s="210">
        <v>6432</v>
      </c>
      <c r="X92" s="214">
        <f t="shared" si="169"/>
        <v>-0.13733905579399142</v>
      </c>
      <c r="Y92" s="211">
        <f t="shared" si="170"/>
        <v>0.17629846378931968</v>
      </c>
      <c r="Z92" s="21">
        <f>'2023년 실적'!Z92</f>
        <v>5318</v>
      </c>
      <c r="AA92" s="210">
        <v>7456</v>
      </c>
      <c r="AB92" s="210"/>
      <c r="AC92" s="214">
        <f t="shared" si="171"/>
        <v>-1</v>
      </c>
      <c r="AD92" s="215">
        <f t="shared" si="172"/>
        <v>-1</v>
      </c>
      <c r="AE92" s="56">
        <f>'2023년 실적'!AE92</f>
        <v>5171</v>
      </c>
      <c r="AF92" s="210">
        <v>7456</v>
      </c>
      <c r="AG92" s="210"/>
      <c r="AH92" s="214">
        <f t="shared" si="173"/>
        <v>-1</v>
      </c>
      <c r="AI92" s="211">
        <f t="shared" si="174"/>
        <v>-1</v>
      </c>
      <c r="AJ92" s="21">
        <f>'2023년 실적'!AJ92</f>
        <v>8324</v>
      </c>
      <c r="AK92" s="210">
        <v>7206</v>
      </c>
      <c r="AL92" s="210"/>
      <c r="AM92" s="214">
        <f t="shared" si="175"/>
        <v>-1</v>
      </c>
      <c r="AN92" s="215">
        <f t="shared" si="176"/>
        <v>-1</v>
      </c>
      <c r="AO92" s="56">
        <f>'2023년 실적'!AO92</f>
        <v>5546</v>
      </c>
      <c r="AP92" s="210">
        <v>7190</v>
      </c>
      <c r="AQ92" s="210"/>
      <c r="AR92" s="214">
        <f t="shared" si="177"/>
        <v>-1</v>
      </c>
      <c r="AS92" s="211">
        <f t="shared" si="178"/>
        <v>-1</v>
      </c>
      <c r="AT92" s="21">
        <f>'2023년 실적'!AT92</f>
        <v>7534</v>
      </c>
      <c r="AU92" s="210">
        <v>7095</v>
      </c>
      <c r="AV92" s="210"/>
      <c r="AW92" s="214">
        <f t="shared" si="179"/>
        <v>-1</v>
      </c>
      <c r="AX92" s="215">
        <f t="shared" si="180"/>
        <v>-1</v>
      </c>
      <c r="AY92" s="56">
        <f>'2023년 실적'!AY92</f>
        <v>6522</v>
      </c>
      <c r="AZ92" s="210">
        <v>7614</v>
      </c>
      <c r="BA92" s="210"/>
      <c r="BB92" s="214">
        <f t="shared" si="181"/>
        <v>-1</v>
      </c>
      <c r="BC92" s="211">
        <f t="shared" si="182"/>
        <v>-1</v>
      </c>
      <c r="BD92" s="21">
        <f>'2023년 실적'!BD92</f>
        <v>7472</v>
      </c>
      <c r="BE92" s="210">
        <v>7232</v>
      </c>
      <c r="BF92" s="210"/>
      <c r="BG92" s="214">
        <f t="shared" si="183"/>
        <v>-1</v>
      </c>
      <c r="BH92" s="215">
        <f t="shared" si="184"/>
        <v>-1</v>
      </c>
      <c r="BI92" s="56">
        <f>'2023년 실적'!BI92</f>
        <v>6844</v>
      </c>
      <c r="BJ92" s="210">
        <v>9320</v>
      </c>
      <c r="BK92" s="210"/>
      <c r="BL92" s="214">
        <f t="shared" si="185"/>
        <v>-1</v>
      </c>
      <c r="BM92" s="211">
        <f t="shared" si="186"/>
        <v>-1</v>
      </c>
      <c r="BN92" s="21">
        <f>'2023년 실적'!BN92</f>
        <v>10654</v>
      </c>
      <c r="BO92" s="210">
        <v>9141</v>
      </c>
      <c r="BP92" s="210"/>
      <c r="BQ92" s="214">
        <f t="shared" si="187"/>
        <v>-1</v>
      </c>
      <c r="BR92" s="215">
        <f t="shared" si="188"/>
        <v>-1</v>
      </c>
      <c r="BS92" s="56">
        <f>'2023년 실적'!BS92</f>
        <v>6354</v>
      </c>
      <c r="BT92" s="210">
        <v>8212</v>
      </c>
      <c r="BU92" s="210"/>
      <c r="BV92" s="214">
        <f t="shared" si="189"/>
        <v>-1</v>
      </c>
      <c r="BW92" s="215">
        <f t="shared" si="190"/>
        <v>-1</v>
      </c>
    </row>
    <row r="93" spans="2:75" ht="17.25" thickBot="1" x14ac:dyDescent="0.35">
      <c r="B93" s="301"/>
      <c r="C93" s="301"/>
      <c r="D93" s="217" t="s">
        <v>28</v>
      </c>
      <c r="E93" s="218" t="s">
        <v>28</v>
      </c>
      <c r="F93" s="219">
        <f>'2023년 실적'!F93</f>
        <v>538774</v>
      </c>
      <c r="G93" s="220">
        <f>'2023년 실적'!G93</f>
        <v>610171</v>
      </c>
      <c r="H93" s="220">
        <v>700000</v>
      </c>
      <c r="I93" s="263"/>
      <c r="J93" s="221">
        <f t="shared" si="164"/>
        <v>0.1472193860409623</v>
      </c>
      <c r="K93" s="222">
        <f t="shared" si="204"/>
        <v>610171</v>
      </c>
      <c r="L93" s="223">
        <f t="shared" si="204"/>
        <v>697258</v>
      </c>
      <c r="M93" s="223">
        <f t="shared" si="204"/>
        <v>66427</v>
      </c>
      <c r="N93" s="224">
        <f t="shared" si="165"/>
        <v>-0.90473110383817756</v>
      </c>
      <c r="O93" s="225">
        <f t="shared" si="166"/>
        <v>-0.89113379691922434</v>
      </c>
      <c r="P93" s="226">
        <f>'2023년 실적'!P93</f>
        <v>81684</v>
      </c>
      <c r="Q93" s="220">
        <v>56000</v>
      </c>
      <c r="R93" s="220">
        <v>21880</v>
      </c>
      <c r="S93" s="224">
        <f t="shared" si="167"/>
        <v>-0.60928571428571421</v>
      </c>
      <c r="T93" s="225">
        <f>R93/P93-1</f>
        <v>-0.73213848489300237</v>
      </c>
      <c r="U93" s="57">
        <f>'2023년 실적'!U93</f>
        <v>17244</v>
      </c>
      <c r="V93" s="220">
        <v>56000</v>
      </c>
      <c r="W93" s="220">
        <v>44547</v>
      </c>
      <c r="X93" s="224">
        <f t="shared" si="169"/>
        <v>-0.2045178571428572</v>
      </c>
      <c r="Y93" s="221">
        <f t="shared" si="170"/>
        <v>1.5833333333333335</v>
      </c>
      <c r="Z93" s="24">
        <f>'2023년 실적'!Z93</f>
        <v>53596</v>
      </c>
      <c r="AA93" s="220">
        <v>56000</v>
      </c>
      <c r="AB93" s="220"/>
      <c r="AC93" s="224">
        <f t="shared" si="171"/>
        <v>-1</v>
      </c>
      <c r="AD93" s="225">
        <f t="shared" si="172"/>
        <v>-1</v>
      </c>
      <c r="AE93" s="57">
        <f>'2023년 실적'!AE93</f>
        <v>41890</v>
      </c>
      <c r="AF93" s="220">
        <v>56000</v>
      </c>
      <c r="AG93" s="220"/>
      <c r="AH93" s="224">
        <f t="shared" si="173"/>
        <v>-1</v>
      </c>
      <c r="AI93" s="221">
        <f t="shared" si="174"/>
        <v>-1</v>
      </c>
      <c r="AJ93" s="24">
        <f>'2023년 실적'!AJ93</f>
        <v>54348</v>
      </c>
      <c r="AK93" s="220">
        <v>54122</v>
      </c>
      <c r="AL93" s="220"/>
      <c r="AM93" s="224">
        <f t="shared" si="175"/>
        <v>-1</v>
      </c>
      <c r="AN93" s="225">
        <f t="shared" si="176"/>
        <v>-1</v>
      </c>
      <c r="AO93" s="57">
        <f>'2023년 실적'!AO93</f>
        <v>36664</v>
      </c>
      <c r="AP93" s="220">
        <v>53999</v>
      </c>
      <c r="AQ93" s="220"/>
      <c r="AR93" s="224">
        <f t="shared" si="177"/>
        <v>-1</v>
      </c>
      <c r="AS93" s="221">
        <f t="shared" si="178"/>
        <v>-1</v>
      </c>
      <c r="AT93" s="24">
        <f>'2023년 실적'!AT93</f>
        <v>41556</v>
      </c>
      <c r="AU93" s="220">
        <v>53291</v>
      </c>
      <c r="AV93" s="220"/>
      <c r="AW93" s="224">
        <f t="shared" si="179"/>
        <v>-1</v>
      </c>
      <c r="AX93" s="225">
        <f t="shared" si="180"/>
        <v>-1</v>
      </c>
      <c r="AY93" s="57">
        <f>'2023년 실적'!AY93</f>
        <v>50256</v>
      </c>
      <c r="AZ93" s="220">
        <v>57184</v>
      </c>
      <c r="BA93" s="220"/>
      <c r="BB93" s="224">
        <f t="shared" si="181"/>
        <v>-1</v>
      </c>
      <c r="BC93" s="221">
        <f t="shared" si="182"/>
        <v>-1</v>
      </c>
      <c r="BD93" s="24">
        <f>'2023년 실적'!BD93</f>
        <v>46420</v>
      </c>
      <c r="BE93" s="220">
        <v>54321</v>
      </c>
      <c r="BF93" s="220"/>
      <c r="BG93" s="224">
        <f t="shared" si="183"/>
        <v>-1</v>
      </c>
      <c r="BH93" s="225">
        <f t="shared" si="184"/>
        <v>-1</v>
      </c>
      <c r="BI93" s="57">
        <f>'2023년 실적'!BI93</f>
        <v>110267</v>
      </c>
      <c r="BJ93" s="220">
        <v>70000</v>
      </c>
      <c r="BK93" s="220"/>
      <c r="BL93" s="224">
        <f t="shared" si="185"/>
        <v>-1</v>
      </c>
      <c r="BM93" s="221">
        <f t="shared" si="186"/>
        <v>-1</v>
      </c>
      <c r="BN93" s="24">
        <f>'2023년 실적'!BN93</f>
        <v>7779</v>
      </c>
      <c r="BO93" s="220">
        <v>68659</v>
      </c>
      <c r="BP93" s="220"/>
      <c r="BQ93" s="224">
        <f t="shared" si="187"/>
        <v>-1</v>
      </c>
      <c r="BR93" s="225">
        <f t="shared" si="188"/>
        <v>-1</v>
      </c>
      <c r="BS93" s="57">
        <f>'2023년 실적'!BS93</f>
        <v>68467</v>
      </c>
      <c r="BT93" s="220">
        <v>61682</v>
      </c>
      <c r="BU93" s="220"/>
      <c r="BV93" s="224">
        <f t="shared" si="189"/>
        <v>-1</v>
      </c>
      <c r="BW93" s="225">
        <f t="shared" si="190"/>
        <v>-1</v>
      </c>
    </row>
    <row r="94" spans="2:75" ht="17.25" thickBot="1" x14ac:dyDescent="0.35">
      <c r="B94" s="301" t="s">
        <v>29</v>
      </c>
      <c r="C94" s="302"/>
      <c r="D94" s="316" t="s">
        <v>30</v>
      </c>
      <c r="E94" s="317"/>
      <c r="F94" s="227">
        <f>'2023년 실적'!F94</f>
        <v>763556</v>
      </c>
      <c r="G94" s="228">
        <f>'2023년 실적'!G94</f>
        <v>835396</v>
      </c>
      <c r="H94" s="228">
        <v>890000</v>
      </c>
      <c r="I94" s="264"/>
      <c r="J94" s="229">
        <f t="shared" si="164"/>
        <v>6.5363013469061482E-2</v>
      </c>
      <c r="K94" s="230">
        <f t="shared" si="204"/>
        <v>833004</v>
      </c>
      <c r="L94" s="231">
        <f t="shared" si="204"/>
        <v>886511</v>
      </c>
      <c r="M94" s="231">
        <f t="shared" si="204"/>
        <v>0</v>
      </c>
      <c r="N94" s="232">
        <f t="shared" si="165"/>
        <v>-1</v>
      </c>
      <c r="O94" s="233">
        <f t="shared" si="166"/>
        <v>-1</v>
      </c>
      <c r="P94" s="234">
        <f>'2023년 실적'!P94</f>
        <v>50064</v>
      </c>
      <c r="Q94" s="228">
        <v>71200</v>
      </c>
      <c r="R94" s="228"/>
      <c r="S94" s="232">
        <f t="shared" si="167"/>
        <v>-1</v>
      </c>
      <c r="T94" s="233">
        <f>R94/P94-1</f>
        <v>-1</v>
      </c>
      <c r="U94" s="227">
        <f>'2023년 실적'!U94</f>
        <v>74084</v>
      </c>
      <c r="V94" s="228">
        <v>71200</v>
      </c>
      <c r="W94" s="228"/>
      <c r="X94" s="232">
        <f t="shared" si="169"/>
        <v>-1</v>
      </c>
      <c r="Y94" s="229">
        <f t="shared" si="170"/>
        <v>-1</v>
      </c>
      <c r="Z94" s="157">
        <f>'2023년 실적'!Z94</f>
        <v>68072</v>
      </c>
      <c r="AA94" s="228">
        <v>71200</v>
      </c>
      <c r="AB94" s="228"/>
      <c r="AC94" s="232">
        <f t="shared" si="171"/>
        <v>-1</v>
      </c>
      <c r="AD94" s="233">
        <f t="shared" si="172"/>
        <v>-1</v>
      </c>
      <c r="AE94" s="235">
        <f>'2023년 실적'!AE94</f>
        <v>84535</v>
      </c>
      <c r="AF94" s="228">
        <v>71200</v>
      </c>
      <c r="AG94" s="228"/>
      <c r="AH94" s="232">
        <f t="shared" si="173"/>
        <v>-1</v>
      </c>
      <c r="AI94" s="229">
        <f t="shared" si="174"/>
        <v>-1</v>
      </c>
      <c r="AJ94" s="157">
        <f>'2023년 실적'!AJ94</f>
        <v>74509</v>
      </c>
      <c r="AK94" s="228">
        <v>68812</v>
      </c>
      <c r="AL94" s="228"/>
      <c r="AM94" s="232">
        <f t="shared" si="175"/>
        <v>-1</v>
      </c>
      <c r="AN94" s="233">
        <f t="shared" si="176"/>
        <v>-1</v>
      </c>
      <c r="AO94" s="227">
        <f>'2023년 실적'!AO94</f>
        <v>54213</v>
      </c>
      <c r="AP94" s="228">
        <v>68655</v>
      </c>
      <c r="AQ94" s="228"/>
      <c r="AR94" s="232">
        <f t="shared" si="177"/>
        <v>-1</v>
      </c>
      <c r="AS94" s="229">
        <f t="shared" si="178"/>
        <v>-1</v>
      </c>
      <c r="AT94" s="157">
        <f>'2023년 실적'!AT94</f>
        <v>72579</v>
      </c>
      <c r="AU94" s="228">
        <v>67755</v>
      </c>
      <c r="AV94" s="228"/>
      <c r="AW94" s="232">
        <f t="shared" si="179"/>
        <v>-1</v>
      </c>
      <c r="AX94" s="233">
        <f t="shared" si="180"/>
        <v>-1</v>
      </c>
      <c r="AY94" s="235">
        <f>'2023년 실적'!AY94</f>
        <v>66753</v>
      </c>
      <c r="AZ94" s="228">
        <v>72705</v>
      </c>
      <c r="BA94" s="228"/>
      <c r="BB94" s="232">
        <f t="shared" si="181"/>
        <v>-1</v>
      </c>
      <c r="BC94" s="229">
        <f t="shared" si="182"/>
        <v>-1</v>
      </c>
      <c r="BD94" s="157">
        <f>'2023년 실적'!BD94</f>
        <v>57761</v>
      </c>
      <c r="BE94" s="228">
        <v>69065</v>
      </c>
      <c r="BF94" s="228"/>
      <c r="BG94" s="232">
        <f t="shared" si="183"/>
        <v>-1</v>
      </c>
      <c r="BH94" s="233">
        <f t="shared" si="184"/>
        <v>-1</v>
      </c>
      <c r="BI94" s="235">
        <f>'2023년 실적'!BI94</f>
        <v>79856</v>
      </c>
      <c r="BJ94" s="228">
        <v>89000</v>
      </c>
      <c r="BK94" s="228"/>
      <c r="BL94" s="232">
        <f t="shared" si="185"/>
        <v>-1</v>
      </c>
      <c r="BM94" s="229">
        <f t="shared" si="186"/>
        <v>-1</v>
      </c>
      <c r="BN94" s="234">
        <f>'2023년 실적'!BN94</f>
        <v>86024</v>
      </c>
      <c r="BO94" s="228">
        <v>87295</v>
      </c>
      <c r="BP94" s="228"/>
      <c r="BQ94" s="232">
        <f t="shared" si="187"/>
        <v>-1</v>
      </c>
      <c r="BR94" s="233">
        <f t="shared" si="188"/>
        <v>-1</v>
      </c>
      <c r="BS94" s="227">
        <f>'2023년 실적'!BS94</f>
        <v>64554</v>
      </c>
      <c r="BT94" s="228">
        <v>78424</v>
      </c>
      <c r="BU94" s="228"/>
      <c r="BV94" s="232">
        <f t="shared" si="189"/>
        <v>-1</v>
      </c>
      <c r="BW94" s="233">
        <f t="shared" si="190"/>
        <v>-1</v>
      </c>
    </row>
    <row r="95" spans="2:75" ht="17.25" thickBot="1" x14ac:dyDescent="0.35">
      <c r="B95" s="312"/>
      <c r="C95" s="318" t="s">
        <v>31</v>
      </c>
      <c r="D95" s="321" t="s">
        <v>32</v>
      </c>
      <c r="E95" s="322"/>
      <c r="F95" s="56">
        <v>358721</v>
      </c>
      <c r="G95" s="41">
        <v>358721</v>
      </c>
      <c r="H95" s="41">
        <f>ROUND(H96/24,0)</f>
        <v>333555</v>
      </c>
      <c r="I95" s="260"/>
      <c r="J95" s="81">
        <f t="shared" si="164"/>
        <v>-7.0154799969893045E-2</v>
      </c>
      <c r="K95" s="8">
        <f t="shared" ref="K95:M95" si="205">BS95</f>
        <v>340569</v>
      </c>
      <c r="L95" s="8">
        <f t="shared" si="205"/>
        <v>0</v>
      </c>
      <c r="M95" s="8">
        <f t="shared" si="205"/>
        <v>0</v>
      </c>
      <c r="N95" s="112" t="e">
        <f t="shared" si="165"/>
        <v>#DIV/0!</v>
      </c>
      <c r="O95" s="23">
        <f t="shared" si="166"/>
        <v>-1</v>
      </c>
      <c r="P95" s="21">
        <f>'2023년 실적'!P95</f>
        <v>631428</v>
      </c>
      <c r="Q95" s="41">
        <f>ROUND(Q96/2,2)</f>
        <v>250155.5</v>
      </c>
      <c r="R95" s="41">
        <v>329768</v>
      </c>
      <c r="S95" s="112"/>
      <c r="T95" s="23">
        <f t="shared" ref="T95:T105" si="206">R95/P95-1</f>
        <v>-0.47774251379413013</v>
      </c>
      <c r="U95" s="56">
        <f>'2023년 실적'!U95</f>
        <v>356790</v>
      </c>
      <c r="V95" s="41">
        <f>V96/2</f>
        <v>333555.20333333337</v>
      </c>
      <c r="W95" s="41">
        <v>278123</v>
      </c>
      <c r="X95" s="112">
        <f t="shared" si="169"/>
        <v>-0.16618599493990815</v>
      </c>
      <c r="Y95" s="81">
        <f t="shared" si="170"/>
        <v>-0.22048543961433897</v>
      </c>
      <c r="Z95" s="21">
        <f>'2023년 실적'!Z95</f>
        <v>342979</v>
      </c>
      <c r="AA95" s="41">
        <f>AA96/2</f>
        <v>333555.20333333337</v>
      </c>
      <c r="AB95" s="41"/>
      <c r="AC95" s="112">
        <f t="shared" si="171"/>
        <v>-1</v>
      </c>
      <c r="AD95" s="23">
        <f t="shared" si="172"/>
        <v>-1</v>
      </c>
      <c r="AE95" s="56">
        <f>'2023년 실적'!AE95</f>
        <v>309133</v>
      </c>
      <c r="AF95" s="41"/>
      <c r="AG95" s="41"/>
      <c r="AH95" s="112" t="e">
        <f t="shared" si="173"/>
        <v>#DIV/0!</v>
      </c>
      <c r="AI95" s="81">
        <f t="shared" si="174"/>
        <v>-1</v>
      </c>
      <c r="AJ95" s="21">
        <f>'2023년 실적'!AJ95</f>
        <v>349942</v>
      </c>
      <c r="AK95" s="41"/>
      <c r="AL95" s="41"/>
      <c r="AM95" s="112" t="e">
        <f t="shared" si="175"/>
        <v>#DIV/0!</v>
      </c>
      <c r="AN95" s="23">
        <f t="shared" si="176"/>
        <v>-1</v>
      </c>
      <c r="AO95" s="56">
        <f>'2023년 실적'!AO95</f>
        <v>631428</v>
      </c>
      <c r="AP95" s="41"/>
      <c r="AQ95" s="41"/>
      <c r="AR95" s="112" t="e">
        <f t="shared" si="177"/>
        <v>#DIV/0!</v>
      </c>
      <c r="AS95" s="81">
        <f t="shared" si="178"/>
        <v>-1</v>
      </c>
      <c r="AT95" s="21">
        <f>'2023년 실적'!AT95</f>
        <v>252188</v>
      </c>
      <c r="AU95" s="41"/>
      <c r="AV95" s="41"/>
      <c r="AW95" s="112" t="e">
        <f t="shared" si="179"/>
        <v>#DIV/0!</v>
      </c>
      <c r="AX95" s="23">
        <f t="shared" si="180"/>
        <v>-1</v>
      </c>
      <c r="AY95" s="56">
        <f>'2023년 실적'!AY95</f>
        <v>232179</v>
      </c>
      <c r="AZ95" s="41"/>
      <c r="BA95" s="41"/>
      <c r="BB95" s="112" t="e">
        <f t="shared" si="181"/>
        <v>#DIV/0!</v>
      </c>
      <c r="BC95" s="81">
        <f t="shared" si="182"/>
        <v>-1</v>
      </c>
      <c r="BD95" s="21">
        <f>'2023년 실적'!BD95</f>
        <v>327994</v>
      </c>
      <c r="BE95" s="41"/>
      <c r="BF95" s="41"/>
      <c r="BG95" s="112" t="e">
        <f t="shared" si="183"/>
        <v>#DIV/0!</v>
      </c>
      <c r="BH95" s="23">
        <f t="shared" si="184"/>
        <v>-1</v>
      </c>
      <c r="BI95" s="56">
        <f>'2023년 실적'!BI95</f>
        <v>529532</v>
      </c>
      <c r="BJ95" s="41"/>
      <c r="BK95" s="41"/>
      <c r="BL95" s="112" t="e">
        <f t="shared" si="185"/>
        <v>#DIV/0!</v>
      </c>
      <c r="BM95" s="81">
        <f t="shared" si="186"/>
        <v>-1</v>
      </c>
      <c r="BN95" s="21">
        <f>'2023년 실적'!BN95</f>
        <v>447516</v>
      </c>
      <c r="BO95" s="41"/>
      <c r="BP95" s="41"/>
      <c r="BQ95" s="112" t="e">
        <f t="shared" si="187"/>
        <v>#DIV/0!</v>
      </c>
      <c r="BR95" s="23">
        <f t="shared" si="188"/>
        <v>-1</v>
      </c>
      <c r="BS95" s="56">
        <f>'2023년 실적'!BS95</f>
        <v>340569</v>
      </c>
      <c r="BT95" s="41"/>
      <c r="BU95" s="41"/>
      <c r="BV95" s="112" t="e">
        <f t="shared" si="189"/>
        <v>#DIV/0!</v>
      </c>
      <c r="BW95" s="23">
        <f t="shared" si="190"/>
        <v>-1</v>
      </c>
    </row>
    <row r="96" spans="2:75" ht="17.25" thickBot="1" x14ac:dyDescent="0.35">
      <c r="B96" s="312"/>
      <c r="C96" s="319"/>
      <c r="D96" s="305" t="s">
        <v>33</v>
      </c>
      <c r="E96" s="306"/>
      <c r="F96" s="164">
        <v>5704093</v>
      </c>
      <c r="G96" s="165">
        <v>5704093</v>
      </c>
      <c r="H96" s="165">
        <f>H97</f>
        <v>8005324.8800000008</v>
      </c>
      <c r="I96" s="255"/>
      <c r="J96" s="169">
        <f t="shared" si="164"/>
        <v>0.4034351964457803</v>
      </c>
      <c r="K96" s="131">
        <f t="shared" ref="K96:M96" si="207">P96+U96+Z96+AE96+AJ96+AO96+AT96+AY96+BD96+BI96+BN96+BS96</f>
        <v>5827355</v>
      </c>
      <c r="L96" s="132">
        <f t="shared" si="207"/>
        <v>1834531.8133333335</v>
      </c>
      <c r="M96" s="132">
        <f t="shared" si="207"/>
        <v>738286</v>
      </c>
      <c r="N96" s="166">
        <f t="shared" si="165"/>
        <v>-0.59756162600498119</v>
      </c>
      <c r="O96" s="25">
        <f t="shared" si="166"/>
        <v>-0.87330684332771902</v>
      </c>
      <c r="P96" s="24">
        <f>'2023년 실적'!P96</f>
        <v>660352</v>
      </c>
      <c r="Q96" s="165">
        <f>Q97</f>
        <v>500311</v>
      </c>
      <c r="R96" s="165">
        <v>341246</v>
      </c>
      <c r="S96" s="166">
        <f t="shared" ref="S96:S105" si="208">R96/Q96-1</f>
        <v>-0.31793224614289917</v>
      </c>
      <c r="T96" s="25">
        <f t="shared" si="206"/>
        <v>-0.48323621341345224</v>
      </c>
      <c r="U96" s="57">
        <f>'2023년 실적'!U96</f>
        <v>384987</v>
      </c>
      <c r="V96" s="165">
        <f>V97</f>
        <v>667110.40666666673</v>
      </c>
      <c r="W96" s="165">
        <v>397040</v>
      </c>
      <c r="X96" s="166">
        <f t="shared" si="169"/>
        <v>-0.40483614701218729</v>
      </c>
      <c r="Y96" s="82">
        <f t="shared" si="170"/>
        <v>3.130755064456725E-2</v>
      </c>
      <c r="Z96" s="24">
        <f>'2023년 실적'!Z96</f>
        <v>450197</v>
      </c>
      <c r="AA96" s="165">
        <f>AA97</f>
        <v>667110.40666666673</v>
      </c>
      <c r="AB96" s="165"/>
      <c r="AC96" s="166">
        <f t="shared" si="171"/>
        <v>-1</v>
      </c>
      <c r="AD96" s="25">
        <f t="shared" si="172"/>
        <v>-1</v>
      </c>
      <c r="AE96" s="57">
        <f>'2023년 실적'!AE96</f>
        <v>476422</v>
      </c>
      <c r="AF96" s="165"/>
      <c r="AG96" s="165"/>
      <c r="AH96" s="166" t="e">
        <f t="shared" si="173"/>
        <v>#DIV/0!</v>
      </c>
      <c r="AI96" s="82">
        <f t="shared" si="174"/>
        <v>-1</v>
      </c>
      <c r="AJ96" s="24">
        <f>'2023년 실적'!AJ96</f>
        <v>570143</v>
      </c>
      <c r="AK96" s="165"/>
      <c r="AL96" s="165"/>
      <c r="AM96" s="166" t="e">
        <f t="shared" si="175"/>
        <v>#DIV/0!</v>
      </c>
      <c r="AN96" s="25">
        <f t="shared" si="176"/>
        <v>-1</v>
      </c>
      <c r="AO96" s="57">
        <f>'2023년 실적'!AO96</f>
        <v>401556</v>
      </c>
      <c r="AP96" s="165"/>
      <c r="AQ96" s="165"/>
      <c r="AR96" s="166" t="e">
        <f t="shared" si="177"/>
        <v>#DIV/0!</v>
      </c>
      <c r="AS96" s="82">
        <f t="shared" si="178"/>
        <v>-1</v>
      </c>
      <c r="AT96" s="24">
        <f>'2023년 실적'!AT96</f>
        <v>334659</v>
      </c>
      <c r="AU96" s="165"/>
      <c r="AV96" s="165"/>
      <c r="AW96" s="166" t="e">
        <f t="shared" si="179"/>
        <v>#DIV/0!</v>
      </c>
      <c r="AX96" s="25">
        <f t="shared" si="180"/>
        <v>-1</v>
      </c>
      <c r="AY96" s="57">
        <f>'2023년 실적'!AY96</f>
        <v>415213</v>
      </c>
      <c r="AZ96" s="165"/>
      <c r="BA96" s="165"/>
      <c r="BB96" s="166" t="e">
        <f t="shared" si="181"/>
        <v>#DIV/0!</v>
      </c>
      <c r="BC96" s="82">
        <f t="shared" si="182"/>
        <v>-1</v>
      </c>
      <c r="BD96" s="24">
        <f>'2023년 실적'!BD96</f>
        <v>475682</v>
      </c>
      <c r="BE96" s="165"/>
      <c r="BF96" s="165"/>
      <c r="BG96" s="166" t="e">
        <f t="shared" si="183"/>
        <v>#DIV/0!</v>
      </c>
      <c r="BH96" s="25">
        <f t="shared" si="184"/>
        <v>-1</v>
      </c>
      <c r="BI96" s="57">
        <f>'2023년 실적'!BI96</f>
        <v>808061</v>
      </c>
      <c r="BJ96" s="165"/>
      <c r="BK96" s="165"/>
      <c r="BL96" s="166" t="e">
        <f t="shared" si="185"/>
        <v>#DIV/0!</v>
      </c>
      <c r="BM96" s="82">
        <f t="shared" si="186"/>
        <v>-1</v>
      </c>
      <c r="BN96" s="24">
        <f>'2023년 실적'!BN96</f>
        <v>492353</v>
      </c>
      <c r="BO96" s="165"/>
      <c r="BP96" s="165"/>
      <c r="BQ96" s="166" t="e">
        <f t="shared" si="187"/>
        <v>#DIV/0!</v>
      </c>
      <c r="BR96" s="25">
        <f t="shared" si="188"/>
        <v>-1</v>
      </c>
      <c r="BS96" s="57">
        <f>'2023년 실적'!BS96</f>
        <v>357730</v>
      </c>
      <c r="BT96" s="165"/>
      <c r="BU96" s="165"/>
      <c r="BV96" s="166" t="e">
        <f t="shared" si="189"/>
        <v>#DIV/0!</v>
      </c>
      <c r="BW96" s="25">
        <f t="shared" si="190"/>
        <v>-1</v>
      </c>
    </row>
    <row r="97" spans="2:75" ht="17.25" thickBot="1" x14ac:dyDescent="0.35">
      <c r="B97" s="312"/>
      <c r="C97" s="319"/>
      <c r="D97" s="307" t="s">
        <v>34</v>
      </c>
      <c r="E97" s="308"/>
      <c r="F97" s="170">
        <f>SUM(F98:F104)</f>
        <v>7247124.9000000004</v>
      </c>
      <c r="G97" s="171">
        <f>SUM(G98:G104)</f>
        <v>7144286</v>
      </c>
      <c r="H97" s="171">
        <f>SUM(H98:H104)</f>
        <v>8005324.8800000008</v>
      </c>
      <c r="I97" s="256"/>
      <c r="J97" s="172">
        <f t="shared" si="164"/>
        <v>0.12052133411232435</v>
      </c>
      <c r="K97" s="173">
        <f>SUM(K98:K104)</f>
        <v>7144286</v>
      </c>
      <c r="L97" s="171">
        <f>SUM(L98:L104)</f>
        <v>6871804.0333333341</v>
      </c>
      <c r="M97" s="171">
        <f>SUM(M98:M104)</f>
        <v>6843324</v>
      </c>
      <c r="N97" s="174">
        <f t="shared" si="165"/>
        <v>-4.144476937232966E-3</v>
      </c>
      <c r="O97" s="175">
        <f t="shared" si="166"/>
        <v>-4.2126253064337038E-2</v>
      </c>
      <c r="P97" s="173">
        <f>SUM(P98:P104)</f>
        <v>487727</v>
      </c>
      <c r="Q97" s="171">
        <f>SUM(Q98:Q104)</f>
        <v>500311</v>
      </c>
      <c r="R97" s="171">
        <f>SUM(R98:R104)</f>
        <v>521256</v>
      </c>
      <c r="S97" s="174">
        <f t="shared" si="208"/>
        <v>4.1863960616496554E-2</v>
      </c>
      <c r="T97" s="175">
        <f t="shared" si="206"/>
        <v>6.8745425207134225E-2</v>
      </c>
      <c r="U97" s="170">
        <f>SUM(U98:U104)</f>
        <v>744060</v>
      </c>
      <c r="V97" s="171">
        <f>SUM(V98:V104)</f>
        <v>667110.40666666673</v>
      </c>
      <c r="W97" s="171">
        <f>SUM(W98:W104)</f>
        <v>506781</v>
      </c>
      <c r="X97" s="174">
        <f t="shared" si="169"/>
        <v>-0.24033414119228114</v>
      </c>
      <c r="Y97" s="172">
        <f t="shared" si="170"/>
        <v>-0.31889766954277876</v>
      </c>
      <c r="Z97" s="173">
        <f>SUM(Z98:Z104)</f>
        <v>576987</v>
      </c>
      <c r="AA97" s="171">
        <f>SUM(AA98:AA104)</f>
        <v>667110.40666666673</v>
      </c>
      <c r="AB97" s="171">
        <f>SUM(AB98:AB104)</f>
        <v>595429</v>
      </c>
      <c r="AC97" s="174">
        <f t="shared" si="171"/>
        <v>-0.10745058981291467</v>
      </c>
      <c r="AD97" s="175">
        <f t="shared" si="172"/>
        <v>3.1962591878153201E-2</v>
      </c>
      <c r="AE97" s="170">
        <f>SUM(AE98:AE104)</f>
        <v>604107</v>
      </c>
      <c r="AF97" s="171">
        <f>SUM(AF98:AF104)</f>
        <v>667110.40666666673</v>
      </c>
      <c r="AG97" s="171">
        <f>SUM(AG98:AG104)</f>
        <v>574755</v>
      </c>
      <c r="AH97" s="174">
        <f t="shared" si="173"/>
        <v>-0.13844096231107617</v>
      </c>
      <c r="AI97" s="172">
        <f t="shared" si="174"/>
        <v>-4.8587419116149944E-2</v>
      </c>
      <c r="AJ97" s="173">
        <f>SUM(AJ98:AJ104)</f>
        <v>647714</v>
      </c>
      <c r="AK97" s="171">
        <f>SUM(AK98:AK104)</f>
        <v>667110.40666666673</v>
      </c>
      <c r="AL97" s="171">
        <f>SUM(AL98:AL104)</f>
        <v>642827</v>
      </c>
      <c r="AM97" s="174">
        <f t="shared" si="175"/>
        <v>-3.640088120945828E-2</v>
      </c>
      <c r="AN97" s="175">
        <f t="shared" si="176"/>
        <v>-7.5449967115115424E-3</v>
      </c>
      <c r="AO97" s="170">
        <f>SUM(AO98:AO104)</f>
        <v>579654</v>
      </c>
      <c r="AP97" s="171">
        <f>SUM(AP98:AP104)</f>
        <v>667110.40666666673</v>
      </c>
      <c r="AQ97" s="171">
        <f>SUM(AQ98:AQ104)</f>
        <v>506078</v>
      </c>
      <c r="AR97" s="174">
        <f t="shared" si="177"/>
        <v>-0.24138793977340745</v>
      </c>
      <c r="AS97" s="172">
        <f t="shared" si="178"/>
        <v>-0.1269308932570119</v>
      </c>
      <c r="AT97" s="173">
        <f>SUM(AT98:AT104)</f>
        <v>518998</v>
      </c>
      <c r="AU97" s="171">
        <f>SUM(AU98:AU104)</f>
        <v>500311</v>
      </c>
      <c r="AV97" s="171">
        <f>SUM(AV98:AV104)</f>
        <v>602774</v>
      </c>
      <c r="AW97" s="174">
        <f t="shared" si="179"/>
        <v>0.20479861526130749</v>
      </c>
      <c r="AX97" s="175">
        <f t="shared" si="180"/>
        <v>0.16141873379088167</v>
      </c>
      <c r="AY97" s="170">
        <f>SUM(AY98:AY104)</f>
        <v>542556</v>
      </c>
      <c r="AZ97" s="171">
        <f>SUM(AZ98:AZ104)</f>
        <v>507126</v>
      </c>
      <c r="BA97" s="171">
        <f>SUM(BA98:BA104)</f>
        <v>554339</v>
      </c>
      <c r="BB97" s="174">
        <f t="shared" si="181"/>
        <v>9.30991509013539E-2</v>
      </c>
      <c r="BC97" s="172">
        <f t="shared" si="182"/>
        <v>2.1717573854127536E-2</v>
      </c>
      <c r="BD97" s="173">
        <f>SUM(BD98:BD104)</f>
        <v>482790</v>
      </c>
      <c r="BE97" s="171">
        <f>SUM(BE98:BE104)</f>
        <v>507126</v>
      </c>
      <c r="BF97" s="171">
        <f>SUM(BF98:BF104)</f>
        <v>484768</v>
      </c>
      <c r="BG97" s="174">
        <f t="shared" si="183"/>
        <v>-4.4087662632166347E-2</v>
      </c>
      <c r="BH97" s="175">
        <f t="shared" si="184"/>
        <v>4.097019408024094E-3</v>
      </c>
      <c r="BI97" s="170">
        <f>SUM(BI98:BI104)</f>
        <v>733558</v>
      </c>
      <c r="BJ97" s="171">
        <f>SUM(BJ98:BJ104)</f>
        <v>507126</v>
      </c>
      <c r="BK97" s="171">
        <f>SUM(BK98:BK104)</f>
        <v>603717</v>
      </c>
      <c r="BL97" s="174">
        <f t="shared" si="185"/>
        <v>0.19046745779155483</v>
      </c>
      <c r="BM97" s="172">
        <f t="shared" si="186"/>
        <v>-0.17700168221190415</v>
      </c>
      <c r="BN97" s="173">
        <f>SUM(BN98:BN104)</f>
        <v>652822</v>
      </c>
      <c r="BO97" s="171">
        <f>SUM(BO98:BO104)</f>
        <v>507126</v>
      </c>
      <c r="BP97" s="171">
        <f>SUM(BP98:BP104)</f>
        <v>617592</v>
      </c>
      <c r="BQ97" s="174">
        <f t="shared" si="187"/>
        <v>0.2178275221542576</v>
      </c>
      <c r="BR97" s="175">
        <f t="shared" si="188"/>
        <v>-5.3965705812610509E-2</v>
      </c>
      <c r="BS97" s="170">
        <f>SUM(BS98:BS104)</f>
        <v>573313</v>
      </c>
      <c r="BT97" s="171">
        <f>SUM(BT98:BT104)</f>
        <v>507126</v>
      </c>
      <c r="BU97" s="171">
        <f>SUM(BU98:BU104)</f>
        <v>633008</v>
      </c>
      <c r="BV97" s="174">
        <f t="shared" si="189"/>
        <v>0.24822627907068462</v>
      </c>
      <c r="BW97" s="175">
        <f t="shared" si="190"/>
        <v>0.10412287877651472</v>
      </c>
    </row>
    <row r="98" spans="2:75" x14ac:dyDescent="0.3">
      <c r="B98" s="312"/>
      <c r="C98" s="319"/>
      <c r="D98" s="321" t="s">
        <v>35</v>
      </c>
      <c r="E98" s="322"/>
      <c r="F98" s="56">
        <v>1353342</v>
      </c>
      <c r="G98" s="41">
        <f>'2023년 실적'!G98</f>
        <v>1326210</v>
      </c>
      <c r="H98" s="41">
        <f>G98*1.12</f>
        <v>1485355.2000000002</v>
      </c>
      <c r="I98" s="260"/>
      <c r="J98" s="81">
        <f t="shared" si="164"/>
        <v>0.12000000000000011</v>
      </c>
      <c r="K98" s="129">
        <f t="shared" ref="K98:M104" si="209">P98+U98+Z98+AE98+AJ98+AO98+AT98+AY98+BD98+BI98+BN98+BS98</f>
        <v>1326210</v>
      </c>
      <c r="L98" s="130">
        <f t="shared" si="209"/>
        <v>1018150.0000000001</v>
      </c>
      <c r="M98" s="130">
        <f t="shared" si="209"/>
        <v>1143380</v>
      </c>
      <c r="N98" s="112">
        <f t="shared" si="165"/>
        <v>0.12299759367480223</v>
      </c>
      <c r="O98" s="23">
        <f t="shared" si="166"/>
        <v>-0.13785901177038329</v>
      </c>
      <c r="P98" s="21">
        <v>76068</v>
      </c>
      <c r="Q98" s="41">
        <f>ROUND($H30/12*1.12,0)</f>
        <v>57036</v>
      </c>
      <c r="R98" s="41">
        <v>106467</v>
      </c>
      <c r="S98" s="112">
        <f t="shared" si="208"/>
        <v>0.86666316010940458</v>
      </c>
      <c r="T98" s="23">
        <f t="shared" si="206"/>
        <v>0.39962927906609869</v>
      </c>
      <c r="U98" s="56">
        <v>363330</v>
      </c>
      <c r="V98" s="41">
        <f>$H98/12</f>
        <v>123779.60000000002</v>
      </c>
      <c r="W98" s="41">
        <v>82544</v>
      </c>
      <c r="X98" s="112">
        <f t="shared" si="169"/>
        <v>-0.33313728595018899</v>
      </c>
      <c r="Y98" s="81">
        <f t="shared" si="170"/>
        <v>-0.77281259461095975</v>
      </c>
      <c r="Z98" s="21">
        <v>105164</v>
      </c>
      <c r="AA98" s="41">
        <f>$H98/12</f>
        <v>123779.60000000002</v>
      </c>
      <c r="AB98" s="41">
        <v>89636</v>
      </c>
      <c r="AC98" s="112">
        <f t="shared" si="171"/>
        <v>-0.27584189963451178</v>
      </c>
      <c r="AD98" s="23">
        <f t="shared" si="172"/>
        <v>-0.14765509109581221</v>
      </c>
      <c r="AE98" s="56">
        <v>85232</v>
      </c>
      <c r="AF98" s="41">
        <f>$H98/12</f>
        <v>123779.60000000002</v>
      </c>
      <c r="AG98" s="41">
        <v>94960</v>
      </c>
      <c r="AH98" s="112">
        <f t="shared" si="173"/>
        <v>-0.23282996551935875</v>
      </c>
      <c r="AI98" s="81">
        <f t="shared" si="174"/>
        <v>0.11413553594893933</v>
      </c>
      <c r="AJ98" s="21">
        <v>64334</v>
      </c>
      <c r="AK98" s="41">
        <f>$H98/12</f>
        <v>123779.60000000002</v>
      </c>
      <c r="AL98" s="41">
        <v>107330</v>
      </c>
      <c r="AM98" s="112">
        <f t="shared" si="175"/>
        <v>-0.13289427336976378</v>
      </c>
      <c r="AN98" s="23">
        <f t="shared" si="176"/>
        <v>0.66832468057325833</v>
      </c>
      <c r="AO98" s="56">
        <v>88553</v>
      </c>
      <c r="AP98" s="41">
        <f>$H98/12</f>
        <v>123779.60000000002</v>
      </c>
      <c r="AQ98" s="41">
        <v>79246</v>
      </c>
      <c r="AR98" s="112">
        <f t="shared" si="177"/>
        <v>-0.35978141793962826</v>
      </c>
      <c r="AS98" s="81">
        <f t="shared" si="178"/>
        <v>-0.10510090002597317</v>
      </c>
      <c r="AT98" s="21">
        <f>'2023년 실적'!AT98</f>
        <v>61108</v>
      </c>
      <c r="AU98" s="41">
        <f>ROUND($H30/12*1.12,0)</f>
        <v>57036</v>
      </c>
      <c r="AV98" s="41">
        <v>139716</v>
      </c>
      <c r="AW98" s="112">
        <f t="shared" si="179"/>
        <v>1.4496107721439091</v>
      </c>
      <c r="AX98" s="23">
        <f t="shared" si="180"/>
        <v>1.2863782156182495</v>
      </c>
      <c r="AY98" s="56">
        <f>'2023년 실적'!AY98</f>
        <v>62670</v>
      </c>
      <c r="AZ98" s="41">
        <f>ROUND($H30/12*1.12,0)</f>
        <v>57036</v>
      </c>
      <c r="BA98" s="41">
        <v>69464</v>
      </c>
      <c r="BB98" s="112">
        <f t="shared" si="181"/>
        <v>0.2178974682656567</v>
      </c>
      <c r="BC98" s="81">
        <f t="shared" si="182"/>
        <v>0.10840912717408657</v>
      </c>
      <c r="BD98" s="21">
        <f>'2023년 실적'!BD98</f>
        <v>51833</v>
      </c>
      <c r="BE98" s="41">
        <f>ROUND($H30/12*1.12,0)</f>
        <v>57036</v>
      </c>
      <c r="BF98" s="41">
        <v>88899</v>
      </c>
      <c r="BG98" s="112">
        <f t="shared" si="183"/>
        <v>0.55864717020828958</v>
      </c>
      <c r="BH98" s="23">
        <f t="shared" si="184"/>
        <v>0.71510427719792413</v>
      </c>
      <c r="BI98" s="56">
        <f>'2023년 실적'!BI98</f>
        <v>129938</v>
      </c>
      <c r="BJ98" s="41">
        <f>ROUND($H30/12*1.12,0)</f>
        <v>57036</v>
      </c>
      <c r="BK98" s="41">
        <v>93449</v>
      </c>
      <c r="BL98" s="112">
        <f t="shared" si="185"/>
        <v>0.63842134792061156</v>
      </c>
      <c r="BM98" s="81">
        <f t="shared" si="186"/>
        <v>-0.28081854422878605</v>
      </c>
      <c r="BN98" s="21">
        <f>'2023년 실적'!BN98</f>
        <v>155213</v>
      </c>
      <c r="BO98" s="41">
        <f>ROUND($H30/12*1.12,0)</f>
        <v>57036</v>
      </c>
      <c r="BP98" s="41">
        <v>77886</v>
      </c>
      <c r="BQ98" s="112">
        <f t="shared" si="187"/>
        <v>0.36555859457184936</v>
      </c>
      <c r="BR98" s="23">
        <f t="shared" si="188"/>
        <v>-0.49819924877426502</v>
      </c>
      <c r="BS98" s="56">
        <f>'2023년 실적'!BS98</f>
        <v>82767</v>
      </c>
      <c r="BT98" s="41">
        <f>ROUND($H30/12*1.12,0)</f>
        <v>57036</v>
      </c>
      <c r="BU98" s="41">
        <v>113783</v>
      </c>
      <c r="BV98" s="112">
        <f t="shared" si="189"/>
        <v>0.99493302475629419</v>
      </c>
      <c r="BW98" s="23">
        <f t="shared" si="190"/>
        <v>0.37473872437082423</v>
      </c>
    </row>
    <row r="99" spans="2:75" x14ac:dyDescent="0.3">
      <c r="B99" s="312"/>
      <c r="C99" s="319"/>
      <c r="D99" s="284" t="s">
        <v>36</v>
      </c>
      <c r="E99" s="285"/>
      <c r="F99" s="45">
        <v>2591261</v>
      </c>
      <c r="G99" s="39">
        <f>'2023년 실적'!G99</f>
        <v>2250544</v>
      </c>
      <c r="H99" s="39">
        <f>G99*1.1</f>
        <v>2475598.4000000004</v>
      </c>
      <c r="I99" s="258"/>
      <c r="J99" s="33">
        <f t="shared" si="164"/>
        <v>0.10000000000000009</v>
      </c>
      <c r="K99" s="107">
        <f t="shared" si="209"/>
        <v>2250544</v>
      </c>
      <c r="L99" s="87">
        <f t="shared" si="209"/>
        <v>2178246.3333333335</v>
      </c>
      <c r="M99" s="87">
        <f t="shared" si="209"/>
        <v>2156128</v>
      </c>
      <c r="N99" s="88">
        <f t="shared" si="165"/>
        <v>-1.0154192845345578E-2</v>
      </c>
      <c r="O99" s="15">
        <f t="shared" si="166"/>
        <v>-4.1952523478767767E-2</v>
      </c>
      <c r="P99" s="13">
        <v>158374</v>
      </c>
      <c r="Q99" s="41">
        <f t="shared" ref="Q99:Q103" si="210">ROUND($H31/12*1.12,0)</f>
        <v>163821</v>
      </c>
      <c r="R99" s="41">
        <v>133396</v>
      </c>
      <c r="S99" s="88">
        <f t="shared" si="208"/>
        <v>-0.18572100036014916</v>
      </c>
      <c r="T99" s="15">
        <f t="shared" si="206"/>
        <v>-0.15771528154873904</v>
      </c>
      <c r="U99" s="45">
        <v>165054</v>
      </c>
      <c r="V99" s="41">
        <f t="shared" ref="V99:V103" si="211">$H99/12</f>
        <v>206299.8666666667</v>
      </c>
      <c r="W99" s="39">
        <v>166552</v>
      </c>
      <c r="X99" s="88">
        <f t="shared" si="169"/>
        <v>-0.19267034588485765</v>
      </c>
      <c r="Y99" s="33">
        <f t="shared" si="170"/>
        <v>9.0758176112060163E-3</v>
      </c>
      <c r="Z99" s="13">
        <v>183672</v>
      </c>
      <c r="AA99" s="41">
        <f t="shared" ref="AA99:AA103" si="212">$H99/12</f>
        <v>206299.8666666667</v>
      </c>
      <c r="AB99" s="39">
        <v>156562</v>
      </c>
      <c r="AC99" s="88">
        <f t="shared" si="171"/>
        <v>-0.24109500151559327</v>
      </c>
      <c r="AD99" s="15">
        <f t="shared" si="172"/>
        <v>-0.14760006968944639</v>
      </c>
      <c r="AE99" s="45">
        <v>209776</v>
      </c>
      <c r="AF99" s="41">
        <f t="shared" ref="AF99:AF103" si="213">$H99/12</f>
        <v>206299.8666666667</v>
      </c>
      <c r="AG99" s="39">
        <v>169571</v>
      </c>
      <c r="AH99" s="88">
        <f t="shared" si="173"/>
        <v>-0.17803630831236616</v>
      </c>
      <c r="AI99" s="33">
        <f t="shared" si="174"/>
        <v>-0.19165681488826181</v>
      </c>
      <c r="AJ99" s="13">
        <v>239161</v>
      </c>
      <c r="AK99" s="41">
        <f t="shared" ref="AK99:AK103" si="214">$H99/12</f>
        <v>206299.8666666667</v>
      </c>
      <c r="AL99" s="39">
        <v>192212</v>
      </c>
      <c r="AM99" s="88">
        <f t="shared" si="175"/>
        <v>-6.8288297487993366E-2</v>
      </c>
      <c r="AN99" s="15">
        <f t="shared" si="176"/>
        <v>-0.1963070902028341</v>
      </c>
      <c r="AO99" s="45">
        <v>208643</v>
      </c>
      <c r="AP99" s="41">
        <f t="shared" ref="AP99:AP103" si="215">$H99/12</f>
        <v>206299.8666666667</v>
      </c>
      <c r="AQ99" s="39">
        <v>181339</v>
      </c>
      <c r="AR99" s="88">
        <f t="shared" si="177"/>
        <v>-0.12099313038819237</v>
      </c>
      <c r="AS99" s="33">
        <f t="shared" si="178"/>
        <v>-0.13086468273558183</v>
      </c>
      <c r="AT99" s="13">
        <f>'2023년 실적'!AT99</f>
        <v>159982</v>
      </c>
      <c r="AU99" s="39">
        <f t="shared" ref="AU99:AU103" si="216">ROUND($H31/12*1.12,0)</f>
        <v>163821</v>
      </c>
      <c r="AV99" s="39">
        <v>189474</v>
      </c>
      <c r="AW99" s="88">
        <f t="shared" si="179"/>
        <v>0.15659164575970119</v>
      </c>
      <c r="AX99" s="15">
        <f t="shared" si="180"/>
        <v>0.18434573889562578</v>
      </c>
      <c r="AY99" s="45">
        <f>'2023년 실적'!AY99</f>
        <v>164230</v>
      </c>
      <c r="AZ99" s="39">
        <f t="shared" ref="AZ99:AZ104" si="217">ROUND($H31/12*1.12,0)</f>
        <v>163821</v>
      </c>
      <c r="BA99" s="39">
        <v>205184</v>
      </c>
      <c r="BB99" s="88">
        <f t="shared" si="181"/>
        <v>0.25248899713711914</v>
      </c>
      <c r="BC99" s="33">
        <f t="shared" si="182"/>
        <v>0.24936978627534545</v>
      </c>
      <c r="BD99" s="13">
        <f>'2023년 실적'!BD99</f>
        <v>144069</v>
      </c>
      <c r="BE99" s="39">
        <f t="shared" ref="BE99:BE104" si="218">ROUND($H31/12*1.12,0)</f>
        <v>163821</v>
      </c>
      <c r="BF99" s="39">
        <v>135040</v>
      </c>
      <c r="BG99" s="88">
        <f t="shared" si="183"/>
        <v>-0.17568565690601323</v>
      </c>
      <c r="BH99" s="15">
        <f t="shared" si="184"/>
        <v>-6.2671358862767201E-2</v>
      </c>
      <c r="BI99" s="45">
        <f>'2023년 실적'!BI99</f>
        <v>272519</v>
      </c>
      <c r="BJ99" s="39">
        <f t="shared" ref="BJ99:BJ104" si="219">ROUND($H31/12*1.12,0)</f>
        <v>163821</v>
      </c>
      <c r="BK99" s="39">
        <v>215469</v>
      </c>
      <c r="BL99" s="88">
        <f t="shared" si="185"/>
        <v>0.31527093596059119</v>
      </c>
      <c r="BM99" s="33">
        <f t="shared" si="186"/>
        <v>-0.20934320175840948</v>
      </c>
      <c r="BN99" s="13">
        <f>'2023년 실적'!BN99</f>
        <v>188466</v>
      </c>
      <c r="BO99" s="39">
        <f t="shared" ref="BO99:BO104" si="220">ROUND($H31/12*1.12,0)</f>
        <v>163821</v>
      </c>
      <c r="BP99" s="39">
        <v>201729</v>
      </c>
      <c r="BQ99" s="88">
        <f t="shared" si="187"/>
        <v>0.23139890490230197</v>
      </c>
      <c r="BR99" s="15">
        <f t="shared" si="188"/>
        <v>7.0373436057432182E-2</v>
      </c>
      <c r="BS99" s="45">
        <f>'2023년 실적'!BS99</f>
        <v>156598</v>
      </c>
      <c r="BT99" s="39">
        <f t="shared" ref="BT99:BT104" si="221">ROUND($H31/12*1.12,0)</f>
        <v>163821</v>
      </c>
      <c r="BU99" s="39">
        <v>209600</v>
      </c>
      <c r="BV99" s="88">
        <f t="shared" si="189"/>
        <v>0.27944524816720695</v>
      </c>
      <c r="BW99" s="15">
        <f t="shared" si="190"/>
        <v>0.33845898415049991</v>
      </c>
    </row>
    <row r="100" spans="2:75" x14ac:dyDescent="0.3">
      <c r="B100" s="312"/>
      <c r="C100" s="319"/>
      <c r="D100" s="284" t="s">
        <v>37</v>
      </c>
      <c r="E100" s="285"/>
      <c r="F100" s="45">
        <v>611472</v>
      </c>
      <c r="G100" s="39">
        <f>'2023년 실적'!G100</f>
        <v>646705</v>
      </c>
      <c r="H100" s="39">
        <f>G100*1.3</f>
        <v>840716.5</v>
      </c>
      <c r="I100" s="258"/>
      <c r="J100" s="33">
        <f t="shared" si="164"/>
        <v>0.30000000000000004</v>
      </c>
      <c r="K100" s="107">
        <f t="shared" si="209"/>
        <v>646705</v>
      </c>
      <c r="L100" s="87">
        <f t="shared" si="209"/>
        <v>741332.54166666663</v>
      </c>
      <c r="M100" s="87">
        <f t="shared" si="209"/>
        <v>675683</v>
      </c>
      <c r="N100" s="88">
        <f t="shared" si="165"/>
        <v>-8.8556130989573267E-2</v>
      </c>
      <c r="O100" s="15">
        <f t="shared" si="166"/>
        <v>4.4808684021307998E-2</v>
      </c>
      <c r="P100" s="13">
        <v>74738</v>
      </c>
      <c r="Q100" s="41">
        <f t="shared" si="210"/>
        <v>55862</v>
      </c>
      <c r="R100" s="41">
        <v>42097</v>
      </c>
      <c r="S100" s="88">
        <f t="shared" si="208"/>
        <v>-0.24641079803802224</v>
      </c>
      <c r="T100" s="15">
        <f t="shared" si="206"/>
        <v>-0.43673900826888601</v>
      </c>
      <c r="U100" s="45">
        <v>32744</v>
      </c>
      <c r="V100" s="41">
        <f t="shared" si="211"/>
        <v>70059.708333333328</v>
      </c>
      <c r="W100" s="39">
        <v>21151</v>
      </c>
      <c r="X100" s="88">
        <f t="shared" si="169"/>
        <v>-0.69810037033887162</v>
      </c>
      <c r="Y100" s="33">
        <f t="shared" si="170"/>
        <v>-0.35404959687270954</v>
      </c>
      <c r="Z100" s="13">
        <v>86411</v>
      </c>
      <c r="AA100" s="41">
        <f t="shared" si="212"/>
        <v>70059.708333333328</v>
      </c>
      <c r="AB100" s="39">
        <v>137128</v>
      </c>
      <c r="AC100" s="88">
        <f t="shared" si="171"/>
        <v>0.95730189665600718</v>
      </c>
      <c r="AD100" s="15">
        <f t="shared" si="172"/>
        <v>0.58692759023735408</v>
      </c>
      <c r="AE100" s="45">
        <v>66876</v>
      </c>
      <c r="AF100" s="41">
        <f t="shared" si="213"/>
        <v>70059.708333333328</v>
      </c>
      <c r="AG100" s="39">
        <v>91367</v>
      </c>
      <c r="AH100" s="88">
        <f t="shared" si="173"/>
        <v>0.3041304649070169</v>
      </c>
      <c r="AI100" s="33">
        <f t="shared" si="174"/>
        <v>0.36621508463424846</v>
      </c>
      <c r="AJ100" s="13">
        <v>51856</v>
      </c>
      <c r="AK100" s="41">
        <f t="shared" si="214"/>
        <v>70059.708333333328</v>
      </c>
      <c r="AL100" s="39">
        <v>96508</v>
      </c>
      <c r="AM100" s="88">
        <f t="shared" si="175"/>
        <v>0.37751073043053163</v>
      </c>
      <c r="AN100" s="15">
        <f t="shared" si="176"/>
        <v>0.86107682813946318</v>
      </c>
      <c r="AO100" s="45">
        <v>36605</v>
      </c>
      <c r="AP100" s="41">
        <f t="shared" si="215"/>
        <v>70059.708333333328</v>
      </c>
      <c r="AQ100" s="39">
        <v>37311</v>
      </c>
      <c r="AR100" s="88">
        <f t="shared" si="177"/>
        <v>-0.46743997530677694</v>
      </c>
      <c r="AS100" s="33">
        <f t="shared" si="178"/>
        <v>1.928698265264317E-2</v>
      </c>
      <c r="AT100" s="13">
        <f>'2023년 실적'!AT100</f>
        <v>39928</v>
      </c>
      <c r="AU100" s="39">
        <f t="shared" si="216"/>
        <v>55862</v>
      </c>
      <c r="AV100" s="39">
        <v>29294</v>
      </c>
      <c r="AW100" s="88">
        <f t="shared" si="179"/>
        <v>-0.47560058716121867</v>
      </c>
      <c r="AX100" s="15">
        <f t="shared" si="180"/>
        <v>-0.26632939290723301</v>
      </c>
      <c r="AY100" s="45">
        <f>'2023년 실적'!AY100</f>
        <v>33534</v>
      </c>
      <c r="AZ100" s="39">
        <f t="shared" si="217"/>
        <v>55862</v>
      </c>
      <c r="BA100" s="39">
        <v>45756</v>
      </c>
      <c r="BB100" s="88">
        <f t="shared" si="181"/>
        <v>-0.18091009988901219</v>
      </c>
      <c r="BC100" s="33">
        <f t="shared" si="182"/>
        <v>0.36446591519055294</v>
      </c>
      <c r="BD100" s="13">
        <f>'2023년 실적'!BD100</f>
        <v>36838</v>
      </c>
      <c r="BE100" s="39">
        <f t="shared" si="218"/>
        <v>55862</v>
      </c>
      <c r="BF100" s="39">
        <v>25076</v>
      </c>
      <c r="BG100" s="88">
        <f t="shared" si="183"/>
        <v>-0.55110808778776277</v>
      </c>
      <c r="BH100" s="15">
        <f t="shared" si="184"/>
        <v>-0.31928986372767254</v>
      </c>
      <c r="BI100" s="45">
        <f>'2023년 실적'!BI100</f>
        <v>34948</v>
      </c>
      <c r="BJ100" s="39">
        <f t="shared" si="219"/>
        <v>55862</v>
      </c>
      <c r="BK100" s="39">
        <v>55291</v>
      </c>
      <c r="BL100" s="88">
        <f t="shared" si="185"/>
        <v>-1.0221617557552576E-2</v>
      </c>
      <c r="BM100" s="33">
        <f t="shared" si="186"/>
        <v>0.58209339590248366</v>
      </c>
      <c r="BN100" s="13">
        <f>'2023년 실적'!BN100</f>
        <v>61613</v>
      </c>
      <c r="BO100" s="39">
        <f t="shared" si="220"/>
        <v>55862</v>
      </c>
      <c r="BP100" s="39">
        <v>28137</v>
      </c>
      <c r="BQ100" s="88">
        <f t="shared" si="187"/>
        <v>-0.49631234112634703</v>
      </c>
      <c r="BR100" s="15">
        <f t="shared" si="188"/>
        <v>-0.54332689529807021</v>
      </c>
      <c r="BS100" s="45">
        <f>'2023년 실적'!BS100</f>
        <v>90614</v>
      </c>
      <c r="BT100" s="39">
        <f t="shared" si="221"/>
        <v>55862</v>
      </c>
      <c r="BU100" s="39">
        <v>66567</v>
      </c>
      <c r="BV100" s="88">
        <f t="shared" si="189"/>
        <v>0.19163295263327496</v>
      </c>
      <c r="BW100" s="15">
        <f t="shared" si="190"/>
        <v>-0.26537841834595099</v>
      </c>
    </row>
    <row r="101" spans="2:75" x14ac:dyDescent="0.3">
      <c r="B101" s="312"/>
      <c r="C101" s="319"/>
      <c r="D101" s="284" t="s">
        <v>38</v>
      </c>
      <c r="E101" s="285"/>
      <c r="F101" s="45">
        <v>366503</v>
      </c>
      <c r="G101" s="39">
        <f>'2023년 실적'!G101</f>
        <v>448798</v>
      </c>
      <c r="H101" s="39">
        <f>G101*1.12</f>
        <v>502653.76000000007</v>
      </c>
      <c r="I101" s="258"/>
      <c r="J101" s="33">
        <f t="shared" si="164"/>
        <v>0.12000000000000011</v>
      </c>
      <c r="K101" s="107">
        <f t="shared" si="209"/>
        <v>448798</v>
      </c>
      <c r="L101" s="87">
        <f t="shared" si="209"/>
        <v>409926.06666666671</v>
      </c>
      <c r="M101" s="87">
        <f t="shared" si="209"/>
        <v>377418</v>
      </c>
      <c r="N101" s="88">
        <f t="shared" si="165"/>
        <v>-7.9302267677212157E-2</v>
      </c>
      <c r="O101" s="15">
        <f t="shared" si="166"/>
        <v>-0.15904705457689206</v>
      </c>
      <c r="P101" s="13">
        <v>31656</v>
      </c>
      <c r="Q101" s="41">
        <f t="shared" si="210"/>
        <v>28641</v>
      </c>
      <c r="R101" s="41">
        <v>36269</v>
      </c>
      <c r="S101" s="88">
        <f t="shared" si="208"/>
        <v>0.26633148283928643</v>
      </c>
      <c r="T101" s="15">
        <f t="shared" si="206"/>
        <v>0.14572276977508203</v>
      </c>
      <c r="U101" s="45">
        <v>31010</v>
      </c>
      <c r="V101" s="41">
        <f t="shared" si="211"/>
        <v>41887.813333333339</v>
      </c>
      <c r="W101" s="39">
        <v>38167</v>
      </c>
      <c r="X101" s="88">
        <f t="shared" si="169"/>
        <v>-8.8828063277593072E-2</v>
      </c>
      <c r="Y101" s="33">
        <f t="shared" si="170"/>
        <v>0.23079651725249928</v>
      </c>
      <c r="Z101" s="13">
        <v>45307</v>
      </c>
      <c r="AA101" s="41">
        <f t="shared" si="212"/>
        <v>41887.813333333339</v>
      </c>
      <c r="AB101" s="39">
        <v>29231</v>
      </c>
      <c r="AC101" s="88">
        <f t="shared" si="171"/>
        <v>-0.30215980081398386</v>
      </c>
      <c r="AD101" s="15">
        <f t="shared" si="172"/>
        <v>-0.35482375791820253</v>
      </c>
      <c r="AE101" s="45">
        <v>26657</v>
      </c>
      <c r="AF101" s="41">
        <f t="shared" si="213"/>
        <v>41887.813333333339</v>
      </c>
      <c r="AG101" s="39">
        <v>34198</v>
      </c>
      <c r="AH101" s="88">
        <f t="shared" si="173"/>
        <v>-0.18358115932525809</v>
      </c>
      <c r="AI101" s="33">
        <f t="shared" si="174"/>
        <v>0.28289004764227021</v>
      </c>
      <c r="AJ101" s="13">
        <v>74601</v>
      </c>
      <c r="AK101" s="41">
        <f t="shared" si="214"/>
        <v>41887.813333333339</v>
      </c>
      <c r="AL101" s="39">
        <v>34057</v>
      </c>
      <c r="AM101" s="88">
        <f t="shared" si="175"/>
        <v>-0.18694729350079875</v>
      </c>
      <c r="AN101" s="15">
        <f t="shared" si="176"/>
        <v>-0.54347796946421623</v>
      </c>
      <c r="AO101" s="45">
        <v>29149</v>
      </c>
      <c r="AP101" s="41">
        <f t="shared" si="215"/>
        <v>41887.813333333339</v>
      </c>
      <c r="AQ101" s="39">
        <v>29068</v>
      </c>
      <c r="AR101" s="88">
        <f t="shared" si="177"/>
        <v>-0.30605114741407691</v>
      </c>
      <c r="AS101" s="33">
        <f t="shared" si="178"/>
        <v>-2.7788260317678226E-3</v>
      </c>
      <c r="AT101" s="13">
        <f>'2023년 실적'!AT101</f>
        <v>33566</v>
      </c>
      <c r="AU101" s="39">
        <f t="shared" si="216"/>
        <v>28641</v>
      </c>
      <c r="AV101" s="39">
        <v>34229</v>
      </c>
      <c r="AW101" s="88">
        <f t="shared" si="179"/>
        <v>0.19510491952096642</v>
      </c>
      <c r="AX101" s="15">
        <f t="shared" si="180"/>
        <v>1.9752130131680978E-2</v>
      </c>
      <c r="AY101" s="45">
        <f>'2023년 실적'!AY101</f>
        <v>33377</v>
      </c>
      <c r="AZ101" s="39">
        <f t="shared" si="217"/>
        <v>28641</v>
      </c>
      <c r="BA101" s="39">
        <v>24254</v>
      </c>
      <c r="BB101" s="88">
        <f t="shared" si="181"/>
        <v>-0.15317202611640657</v>
      </c>
      <c r="BC101" s="33">
        <f t="shared" si="182"/>
        <v>-0.27333193516493393</v>
      </c>
      <c r="BD101" s="13">
        <f>'2023년 실적'!BD101</f>
        <v>39909</v>
      </c>
      <c r="BE101" s="39">
        <f t="shared" si="218"/>
        <v>28641</v>
      </c>
      <c r="BF101" s="39">
        <v>26328</v>
      </c>
      <c r="BG101" s="88">
        <f t="shared" si="183"/>
        <v>-8.0758353409448036E-2</v>
      </c>
      <c r="BH101" s="15">
        <f t="shared" si="184"/>
        <v>-0.34029918063594677</v>
      </c>
      <c r="BI101" s="45">
        <f>'2023년 실적'!BI101</f>
        <v>29119</v>
      </c>
      <c r="BJ101" s="39">
        <f t="shared" si="219"/>
        <v>28641</v>
      </c>
      <c r="BK101" s="39">
        <v>28867</v>
      </c>
      <c r="BL101" s="88">
        <f t="shared" si="185"/>
        <v>7.8907859362451482E-3</v>
      </c>
      <c r="BM101" s="33">
        <f t="shared" si="186"/>
        <v>-8.6541433428345416E-3</v>
      </c>
      <c r="BN101" s="13">
        <f>'2023년 실적'!BN101</f>
        <v>35105</v>
      </c>
      <c r="BO101" s="39">
        <f t="shared" si="220"/>
        <v>28641</v>
      </c>
      <c r="BP101" s="39">
        <v>35031</v>
      </c>
      <c r="BQ101" s="88">
        <f t="shared" si="187"/>
        <v>0.22310673510003132</v>
      </c>
      <c r="BR101" s="15">
        <f t="shared" si="188"/>
        <v>-2.107961828799354E-3</v>
      </c>
      <c r="BS101" s="45">
        <f>'2023년 실적'!BS101</f>
        <v>39342</v>
      </c>
      <c r="BT101" s="39">
        <f t="shared" si="221"/>
        <v>28641</v>
      </c>
      <c r="BU101" s="39">
        <v>27719</v>
      </c>
      <c r="BV101" s="88">
        <f t="shared" si="189"/>
        <v>-3.2191613421319043E-2</v>
      </c>
      <c r="BW101" s="15">
        <f t="shared" si="190"/>
        <v>-0.2954349041736567</v>
      </c>
    </row>
    <row r="102" spans="2:75" x14ac:dyDescent="0.3">
      <c r="B102" s="312"/>
      <c r="C102" s="319"/>
      <c r="D102" s="284" t="s">
        <v>39</v>
      </c>
      <c r="E102" s="285"/>
      <c r="F102" s="45">
        <v>1914925.7000000004</v>
      </c>
      <c r="G102" s="39">
        <f>'2023년 실적'!G102</f>
        <v>1823088</v>
      </c>
      <c r="H102" s="39">
        <f>G102*1.09</f>
        <v>1987165.9200000002</v>
      </c>
      <c r="I102" s="258"/>
      <c r="J102" s="33">
        <f t="shared" si="164"/>
        <v>9.000000000000008E-2</v>
      </c>
      <c r="K102" s="107">
        <f t="shared" si="209"/>
        <v>1823088</v>
      </c>
      <c r="L102" s="87">
        <f t="shared" si="209"/>
        <v>1841914.8000000003</v>
      </c>
      <c r="M102" s="87">
        <f t="shared" si="209"/>
        <v>1865152</v>
      </c>
      <c r="N102" s="88">
        <f t="shared" si="165"/>
        <v>1.2615784400016539E-2</v>
      </c>
      <c r="O102" s="15">
        <f t="shared" si="166"/>
        <v>2.3072939978761253E-2</v>
      </c>
      <c r="P102" s="13">
        <v>112118</v>
      </c>
      <c r="Q102" s="41">
        <f t="shared" si="210"/>
        <v>144847</v>
      </c>
      <c r="R102" s="41">
        <v>171127</v>
      </c>
      <c r="S102" s="88">
        <f t="shared" si="208"/>
        <v>0.18143282221930734</v>
      </c>
      <c r="T102" s="15">
        <f t="shared" si="206"/>
        <v>0.52631156460158057</v>
      </c>
      <c r="U102" s="45">
        <v>120772</v>
      </c>
      <c r="V102" s="41">
        <f t="shared" si="211"/>
        <v>165597.16</v>
      </c>
      <c r="W102" s="39">
        <v>156033</v>
      </c>
      <c r="X102" s="88">
        <f t="shared" si="169"/>
        <v>-5.7755579866224815E-2</v>
      </c>
      <c r="Y102" s="33">
        <f t="shared" si="170"/>
        <v>0.29196336899281294</v>
      </c>
      <c r="Z102" s="13">
        <v>124667</v>
      </c>
      <c r="AA102" s="41">
        <f t="shared" si="212"/>
        <v>165597.16</v>
      </c>
      <c r="AB102" s="39">
        <v>140166</v>
      </c>
      <c r="AC102" s="88">
        <f t="shared" si="171"/>
        <v>-0.15357244049354468</v>
      </c>
      <c r="AD102" s="15">
        <f t="shared" si="172"/>
        <v>0.1243231969967995</v>
      </c>
      <c r="AE102" s="45">
        <v>171103</v>
      </c>
      <c r="AF102" s="41">
        <f t="shared" si="213"/>
        <v>165597.16</v>
      </c>
      <c r="AG102" s="39">
        <v>142290</v>
      </c>
      <c r="AH102" s="88">
        <f t="shared" si="173"/>
        <v>-0.14074613356895738</v>
      </c>
      <c r="AI102" s="33">
        <f t="shared" si="174"/>
        <v>-0.16839564472861379</v>
      </c>
      <c r="AJ102" s="13">
        <v>149552</v>
      </c>
      <c r="AK102" s="41">
        <f t="shared" si="214"/>
        <v>165597.16</v>
      </c>
      <c r="AL102" s="39">
        <v>162618</v>
      </c>
      <c r="AM102" s="88">
        <f t="shared" si="175"/>
        <v>-1.7990405149460265E-2</v>
      </c>
      <c r="AN102" s="15">
        <f t="shared" si="176"/>
        <v>8.7367604579009273E-2</v>
      </c>
      <c r="AO102" s="45">
        <v>160153</v>
      </c>
      <c r="AP102" s="41">
        <f t="shared" si="215"/>
        <v>165597.16</v>
      </c>
      <c r="AQ102" s="39">
        <v>136432</v>
      </c>
      <c r="AR102" s="88">
        <f t="shared" si="177"/>
        <v>-0.17612113637697657</v>
      </c>
      <c r="AS102" s="33">
        <f t="shared" si="178"/>
        <v>-0.14811461539902471</v>
      </c>
      <c r="AT102" s="13">
        <f>'2023년 실적'!AT102</f>
        <v>182333</v>
      </c>
      <c r="AU102" s="39">
        <f t="shared" si="216"/>
        <v>144847</v>
      </c>
      <c r="AV102" s="39">
        <v>147569</v>
      </c>
      <c r="AW102" s="88">
        <f t="shared" si="179"/>
        <v>1.8792242849351437E-2</v>
      </c>
      <c r="AX102" s="15">
        <f t="shared" si="180"/>
        <v>-0.1906621401501648</v>
      </c>
      <c r="AY102" s="45">
        <f>'2023년 실적'!AY102</f>
        <v>161455</v>
      </c>
      <c r="AZ102" s="39">
        <f t="shared" si="217"/>
        <v>144847</v>
      </c>
      <c r="BA102" s="39">
        <v>145563</v>
      </c>
      <c r="BB102" s="88">
        <f t="shared" si="181"/>
        <v>4.943146906736029E-3</v>
      </c>
      <c r="BC102" s="33">
        <f t="shared" si="182"/>
        <v>-9.8429903068966595E-2</v>
      </c>
      <c r="BD102" s="13">
        <f>'2023년 실적'!BD102</f>
        <v>144563</v>
      </c>
      <c r="BE102" s="39">
        <f t="shared" si="218"/>
        <v>144847</v>
      </c>
      <c r="BF102" s="39">
        <v>158945</v>
      </c>
      <c r="BG102" s="88">
        <f t="shared" si="183"/>
        <v>9.7330286440174829E-2</v>
      </c>
      <c r="BH102" s="15">
        <f t="shared" si="184"/>
        <v>9.9486037229443269E-2</v>
      </c>
      <c r="BI102" s="45">
        <f>'2023년 실적'!BI102</f>
        <v>174863</v>
      </c>
      <c r="BJ102" s="39">
        <f t="shared" si="219"/>
        <v>144847</v>
      </c>
      <c r="BK102" s="39">
        <v>168289</v>
      </c>
      <c r="BL102" s="88">
        <f t="shared" si="185"/>
        <v>0.16183973434037302</v>
      </c>
      <c r="BM102" s="33">
        <f t="shared" si="186"/>
        <v>-3.7595145914229966E-2</v>
      </c>
      <c r="BN102" s="13">
        <f>'2023년 실적'!BN102</f>
        <v>160592</v>
      </c>
      <c r="BO102" s="39">
        <f t="shared" si="220"/>
        <v>144847</v>
      </c>
      <c r="BP102" s="39">
        <v>189220</v>
      </c>
      <c r="BQ102" s="88">
        <f t="shared" si="187"/>
        <v>0.30634393532486004</v>
      </c>
      <c r="BR102" s="15">
        <f t="shared" si="188"/>
        <v>0.17826541795357187</v>
      </c>
      <c r="BS102" s="45">
        <f>'2023년 실적'!BS102</f>
        <v>160917</v>
      </c>
      <c r="BT102" s="39">
        <f t="shared" si="221"/>
        <v>144847</v>
      </c>
      <c r="BU102" s="39">
        <v>146900</v>
      </c>
      <c r="BV102" s="88">
        <f t="shared" si="189"/>
        <v>1.4173576256325537E-2</v>
      </c>
      <c r="BW102" s="15">
        <f t="shared" si="190"/>
        <v>-8.7107017903639727E-2</v>
      </c>
    </row>
    <row r="103" spans="2:75" x14ac:dyDescent="0.3">
      <c r="B103" s="312"/>
      <c r="C103" s="319"/>
      <c r="D103" s="284" t="s">
        <v>40</v>
      </c>
      <c r="E103" s="285"/>
      <c r="F103" s="45">
        <v>409621.2</v>
      </c>
      <c r="G103" s="39">
        <f>'2023년 실적'!G103</f>
        <v>648941</v>
      </c>
      <c r="H103" s="39">
        <f>G103*1.1</f>
        <v>713835.10000000009</v>
      </c>
      <c r="I103" s="258"/>
      <c r="J103" s="33">
        <f t="shared" si="164"/>
        <v>0.10000000000000009</v>
      </c>
      <c r="K103" s="107">
        <f t="shared" si="209"/>
        <v>648941</v>
      </c>
      <c r="L103" s="87">
        <f t="shared" si="209"/>
        <v>648159.29166666674</v>
      </c>
      <c r="M103" s="87">
        <f t="shared" si="209"/>
        <v>552545</v>
      </c>
      <c r="N103" s="88">
        <f t="shared" si="165"/>
        <v>-0.14751665662433944</v>
      </c>
      <c r="O103" s="15">
        <f t="shared" si="166"/>
        <v>-0.14854355018406917</v>
      </c>
      <c r="P103" s="13">
        <v>34773</v>
      </c>
      <c r="Q103" s="41">
        <f t="shared" si="210"/>
        <v>50104</v>
      </c>
      <c r="R103" s="41">
        <v>27316</v>
      </c>
      <c r="S103" s="88">
        <f t="shared" si="208"/>
        <v>-0.45481398690723296</v>
      </c>
      <c r="T103" s="15">
        <f t="shared" si="206"/>
        <v>-0.21444799125758496</v>
      </c>
      <c r="U103" s="45">
        <v>31150</v>
      </c>
      <c r="V103" s="41">
        <f t="shared" si="211"/>
        <v>59486.258333333339</v>
      </c>
      <c r="W103" s="39">
        <v>36258</v>
      </c>
      <c r="X103" s="88">
        <f t="shared" si="169"/>
        <v>-0.39048107889343076</v>
      </c>
      <c r="Y103" s="33">
        <f t="shared" si="170"/>
        <v>0.16398073836276073</v>
      </c>
      <c r="Z103" s="13">
        <v>31766</v>
      </c>
      <c r="AA103" s="41">
        <f t="shared" si="212"/>
        <v>59486.258333333339</v>
      </c>
      <c r="AB103" s="39">
        <v>39040</v>
      </c>
      <c r="AC103" s="88">
        <f t="shared" si="171"/>
        <v>-0.34371397539852</v>
      </c>
      <c r="AD103" s="15">
        <f t="shared" si="172"/>
        <v>0.22898696719763278</v>
      </c>
      <c r="AE103" s="45">
        <v>44463</v>
      </c>
      <c r="AF103" s="41">
        <f t="shared" si="213"/>
        <v>59486.258333333339</v>
      </c>
      <c r="AG103" s="39">
        <v>39561</v>
      </c>
      <c r="AH103" s="88">
        <f t="shared" si="173"/>
        <v>-0.33495565012143569</v>
      </c>
      <c r="AI103" s="33">
        <f t="shared" si="174"/>
        <v>-0.11024897105458475</v>
      </c>
      <c r="AJ103" s="13">
        <v>68210</v>
      </c>
      <c r="AK103" s="41">
        <f t="shared" si="214"/>
        <v>59486.258333333339</v>
      </c>
      <c r="AL103" s="39">
        <v>42238</v>
      </c>
      <c r="AM103" s="88">
        <f t="shared" si="175"/>
        <v>-0.2899536601660524</v>
      </c>
      <c r="AN103" s="15">
        <f t="shared" si="176"/>
        <v>-0.38076528368274443</v>
      </c>
      <c r="AO103" s="45">
        <v>56551</v>
      </c>
      <c r="AP103" s="41">
        <f t="shared" si="215"/>
        <v>59486.258333333339</v>
      </c>
      <c r="AQ103" s="39">
        <v>39215</v>
      </c>
      <c r="AR103" s="88">
        <f t="shared" si="177"/>
        <v>-0.34077211949930741</v>
      </c>
      <c r="AS103" s="33">
        <f t="shared" si="178"/>
        <v>-0.30655514491344094</v>
      </c>
      <c r="AT103" s="13">
        <f>'2023년 실적'!AT103</f>
        <v>42081</v>
      </c>
      <c r="AU103" s="39">
        <f t="shared" si="216"/>
        <v>50104</v>
      </c>
      <c r="AV103" s="39">
        <v>51943</v>
      </c>
      <c r="AW103" s="88">
        <f t="shared" si="179"/>
        <v>3.6703656394698969E-2</v>
      </c>
      <c r="AX103" s="15">
        <f t="shared" si="180"/>
        <v>0.23435754853734458</v>
      </c>
      <c r="AY103" s="45">
        <f>'2023년 실적'!AY103</f>
        <v>87290</v>
      </c>
      <c r="AZ103" s="39">
        <f t="shared" si="217"/>
        <v>50104</v>
      </c>
      <c r="BA103" s="39">
        <v>59462</v>
      </c>
      <c r="BB103" s="88">
        <f t="shared" si="181"/>
        <v>0.18677151524828361</v>
      </c>
      <c r="BC103" s="33">
        <f t="shared" si="182"/>
        <v>-0.31879940428456865</v>
      </c>
      <c r="BD103" s="13">
        <f>'2023년 실적'!BD103</f>
        <v>65578</v>
      </c>
      <c r="BE103" s="39">
        <f t="shared" si="218"/>
        <v>50104</v>
      </c>
      <c r="BF103" s="39">
        <v>41681</v>
      </c>
      <c r="BG103" s="88">
        <f t="shared" si="183"/>
        <v>-0.16811033051253388</v>
      </c>
      <c r="BH103" s="15">
        <f t="shared" si="184"/>
        <v>-0.364405745829394</v>
      </c>
      <c r="BI103" s="45">
        <f>'2023년 실적'!BI103</f>
        <v>92171</v>
      </c>
      <c r="BJ103" s="39">
        <f t="shared" si="219"/>
        <v>50104</v>
      </c>
      <c r="BK103" s="39">
        <v>36941</v>
      </c>
      <c r="BL103" s="88">
        <f t="shared" si="185"/>
        <v>-0.26271355580392786</v>
      </c>
      <c r="BM103" s="33">
        <f t="shared" si="186"/>
        <v>-0.59921233359733539</v>
      </c>
      <c r="BN103" s="13">
        <f>'2023년 실적'!BN103</f>
        <v>51833</v>
      </c>
      <c r="BO103" s="39">
        <f t="shared" si="220"/>
        <v>50104</v>
      </c>
      <c r="BP103" s="39">
        <v>75579</v>
      </c>
      <c r="BQ103" s="88">
        <f t="shared" si="187"/>
        <v>0.50844243972537129</v>
      </c>
      <c r="BR103" s="15">
        <f t="shared" si="188"/>
        <v>0.45812513263750887</v>
      </c>
      <c r="BS103" s="45">
        <f>'2023년 실적'!BS103</f>
        <v>43075</v>
      </c>
      <c r="BT103" s="39">
        <f t="shared" si="221"/>
        <v>50104</v>
      </c>
      <c r="BU103" s="39">
        <v>63311</v>
      </c>
      <c r="BV103" s="88">
        <f t="shared" si="189"/>
        <v>0.26359172920325724</v>
      </c>
      <c r="BW103" s="15">
        <f t="shared" si="190"/>
        <v>0.46978525827045847</v>
      </c>
    </row>
    <row r="104" spans="2:75" ht="17.25" thickBot="1" x14ac:dyDescent="0.35">
      <c r="B104" s="312"/>
      <c r="C104" s="320"/>
      <c r="D104" s="286" t="s">
        <v>41</v>
      </c>
      <c r="E104" s="287"/>
      <c r="F104" s="57"/>
      <c r="G104" s="42"/>
      <c r="H104" s="42"/>
      <c r="I104" s="253"/>
      <c r="J104" s="82"/>
      <c r="K104" s="176">
        <f t="shared" si="209"/>
        <v>0</v>
      </c>
      <c r="L104" s="177">
        <f t="shared" si="209"/>
        <v>34075</v>
      </c>
      <c r="M104" s="177">
        <f t="shared" si="209"/>
        <v>73018</v>
      </c>
      <c r="N104" s="146">
        <f t="shared" si="165"/>
        <v>1.142861335289802</v>
      </c>
      <c r="O104" s="25" t="e">
        <f t="shared" si="166"/>
        <v>#DIV/0!</v>
      </c>
      <c r="P104" s="24"/>
      <c r="Q104" s="41"/>
      <c r="R104" s="42">
        <v>4584</v>
      </c>
      <c r="S104" s="146"/>
      <c r="T104" s="25"/>
      <c r="U104" s="57"/>
      <c r="V104" s="42"/>
      <c r="W104" s="42">
        <v>6076</v>
      </c>
      <c r="X104" s="146"/>
      <c r="Y104" s="82"/>
      <c r="Z104" s="24"/>
      <c r="AA104" s="42"/>
      <c r="AB104" s="42">
        <v>3666</v>
      </c>
      <c r="AC104" s="146"/>
      <c r="AD104" s="25"/>
      <c r="AE104" s="57"/>
      <c r="AF104" s="42"/>
      <c r="AG104" s="42">
        <v>2808</v>
      </c>
      <c r="AH104" s="146"/>
      <c r="AI104" s="82"/>
      <c r="AJ104" s="24"/>
      <c r="AK104" s="42"/>
      <c r="AL104" s="42">
        <v>7864</v>
      </c>
      <c r="AM104" s="146"/>
      <c r="AN104" s="25"/>
      <c r="AO104" s="57"/>
      <c r="AP104" s="42"/>
      <c r="AQ104" s="42">
        <v>3467</v>
      </c>
      <c r="AR104" s="146"/>
      <c r="AS104" s="82"/>
      <c r="AT104" s="24"/>
      <c r="AU104" s="42"/>
      <c r="AV104" s="42">
        <v>10549</v>
      </c>
      <c r="AW104" s="146" t="e">
        <f t="shared" si="179"/>
        <v>#DIV/0!</v>
      </c>
      <c r="AX104" s="25" t="e">
        <f t="shared" si="180"/>
        <v>#DIV/0!</v>
      </c>
      <c r="AY104" s="57">
        <f>'2023년 실적'!AY104</f>
        <v>0</v>
      </c>
      <c r="AZ104" s="42">
        <f t="shared" si="217"/>
        <v>6815</v>
      </c>
      <c r="BA104" s="42">
        <v>4656</v>
      </c>
      <c r="BB104" s="146">
        <f t="shared" si="181"/>
        <v>-0.31680117388114448</v>
      </c>
      <c r="BC104" s="82" t="e">
        <f t="shared" si="182"/>
        <v>#DIV/0!</v>
      </c>
      <c r="BD104" s="24">
        <f>'2023년 실적'!BD104</f>
        <v>0</v>
      </c>
      <c r="BE104" s="42">
        <f t="shared" si="218"/>
        <v>6815</v>
      </c>
      <c r="BF104" s="42">
        <v>8799</v>
      </c>
      <c r="BG104" s="146">
        <f t="shared" si="183"/>
        <v>0.2911225238444608</v>
      </c>
      <c r="BH104" s="25" t="e">
        <f t="shared" si="184"/>
        <v>#DIV/0!</v>
      </c>
      <c r="BI104" s="57">
        <f>'2023년 실적'!BI104</f>
        <v>0</v>
      </c>
      <c r="BJ104" s="42">
        <f t="shared" si="219"/>
        <v>6815</v>
      </c>
      <c r="BK104" s="42">
        <v>5411</v>
      </c>
      <c r="BL104" s="146">
        <f t="shared" si="185"/>
        <v>-0.20601614086573738</v>
      </c>
      <c r="BM104" s="82" t="e">
        <f t="shared" si="186"/>
        <v>#DIV/0!</v>
      </c>
      <c r="BN104" s="24">
        <f>'2023년 실적'!BN104</f>
        <v>0</v>
      </c>
      <c r="BO104" s="42">
        <f t="shared" si="220"/>
        <v>6815</v>
      </c>
      <c r="BP104" s="42">
        <v>10010</v>
      </c>
      <c r="BQ104" s="146">
        <f t="shared" si="187"/>
        <v>0.46881878209831251</v>
      </c>
      <c r="BR104" s="25" t="e">
        <f t="shared" si="188"/>
        <v>#DIV/0!</v>
      </c>
      <c r="BS104" s="57">
        <f>'2023년 실적'!BS104</f>
        <v>0</v>
      </c>
      <c r="BT104" s="42">
        <f t="shared" si="221"/>
        <v>6815</v>
      </c>
      <c r="BU104" s="42">
        <v>5128</v>
      </c>
      <c r="BV104" s="146">
        <f t="shared" si="189"/>
        <v>-0.24754218635363168</v>
      </c>
      <c r="BW104" s="25" t="e">
        <f t="shared" si="190"/>
        <v>#DIV/0!</v>
      </c>
    </row>
    <row r="105" spans="2:75" ht="17.25" thickBot="1" x14ac:dyDescent="0.35">
      <c r="B105" s="302"/>
      <c r="C105" s="323" t="s">
        <v>42</v>
      </c>
      <c r="D105" s="324"/>
      <c r="E105" s="325"/>
      <c r="F105" s="178">
        <f>F97+F94</f>
        <v>8010680.9000000004</v>
      </c>
      <c r="G105" s="179">
        <f>G97+G94</f>
        <v>7979682</v>
      </c>
      <c r="H105" s="179">
        <f>H97+H94</f>
        <v>8895324.8800000008</v>
      </c>
      <c r="I105" s="265"/>
      <c r="J105" s="180">
        <f t="shared" si="164"/>
        <v>0.11474678815521733</v>
      </c>
      <c r="K105" s="181">
        <f>K97+K94</f>
        <v>7977290</v>
      </c>
      <c r="L105" s="179">
        <f>L97+L94</f>
        <v>7758315.0333333341</v>
      </c>
      <c r="M105" s="179">
        <f>M97+M94</f>
        <v>6843324</v>
      </c>
      <c r="N105" s="182">
        <f t="shared" si="165"/>
        <v>-0.11793682383379722</v>
      </c>
      <c r="O105" s="183">
        <f t="shared" si="166"/>
        <v>-0.14214927625797735</v>
      </c>
      <c r="P105" s="181">
        <f>P97+P94</f>
        <v>537791</v>
      </c>
      <c r="Q105" s="179">
        <f>Q97+Q94</f>
        <v>571511</v>
      </c>
      <c r="R105" s="179">
        <f>R97+R94</f>
        <v>521256</v>
      </c>
      <c r="S105" s="182">
        <f t="shared" si="208"/>
        <v>-8.7933565583164675E-2</v>
      </c>
      <c r="T105" s="183">
        <f t="shared" si="206"/>
        <v>-3.0746144877842885E-2</v>
      </c>
      <c r="U105" s="178">
        <f>U97+U94</f>
        <v>818144</v>
      </c>
      <c r="V105" s="179">
        <f>V97+V94</f>
        <v>738310.40666666673</v>
      </c>
      <c r="W105" s="179">
        <f>W97+W94</f>
        <v>506781</v>
      </c>
      <c r="X105" s="182">
        <f t="shared" si="169"/>
        <v>-0.31359358418362093</v>
      </c>
      <c r="Y105" s="184">
        <f t="shared" si="170"/>
        <v>-0.38057236867837452</v>
      </c>
      <c r="Z105" s="181">
        <f>Z97+Z94</f>
        <v>645059</v>
      </c>
      <c r="AA105" s="179">
        <f>AA97+AA94</f>
        <v>738310.40666666673</v>
      </c>
      <c r="AB105" s="179">
        <f>AB97+AB94</f>
        <v>595429</v>
      </c>
      <c r="AC105" s="182">
        <f t="shared" si="171"/>
        <v>-0.19352484453219276</v>
      </c>
      <c r="AD105" s="183">
        <f t="shared" si="172"/>
        <v>-7.6938698630667934E-2</v>
      </c>
      <c r="AE105" s="178">
        <f>AE97+AE94</f>
        <v>688642</v>
      </c>
      <c r="AF105" s="179">
        <f>AF97+AF94</f>
        <v>738310.40666666673</v>
      </c>
      <c r="AG105" s="179">
        <f>AG97+AG94</f>
        <v>574755</v>
      </c>
      <c r="AH105" s="182">
        <f t="shared" si="173"/>
        <v>-0.22152661697549247</v>
      </c>
      <c r="AI105" s="184">
        <f t="shared" si="174"/>
        <v>-0.16537910844822123</v>
      </c>
      <c r="AJ105" s="181">
        <f>AJ97+AJ94</f>
        <v>722223</v>
      </c>
      <c r="AK105" s="179">
        <f>AK97+AK94</f>
        <v>735922.40666666673</v>
      </c>
      <c r="AL105" s="179">
        <f>AL97+AL94</f>
        <v>642827</v>
      </c>
      <c r="AM105" s="182">
        <f t="shared" si="175"/>
        <v>-0.12650166080462055</v>
      </c>
      <c r="AN105" s="183">
        <f t="shared" si="176"/>
        <v>-0.1099328046877488</v>
      </c>
      <c r="AO105" s="178">
        <f>AO97+AO94</f>
        <v>633867</v>
      </c>
      <c r="AP105" s="179">
        <f>AP97+AP94</f>
        <v>735765.40666666673</v>
      </c>
      <c r="AQ105" s="179">
        <f>AQ97+AQ94</f>
        <v>506078</v>
      </c>
      <c r="AR105" s="182">
        <f t="shared" si="177"/>
        <v>-0.31217478368172991</v>
      </c>
      <c r="AS105" s="184">
        <f t="shared" si="178"/>
        <v>-0.20160222885873536</v>
      </c>
      <c r="AT105" s="181">
        <f>AT97+AT94</f>
        <v>591577</v>
      </c>
      <c r="AU105" s="179">
        <f>AU97+AU94</f>
        <v>568066</v>
      </c>
      <c r="AV105" s="179">
        <f>AV97+AV94</f>
        <v>602774</v>
      </c>
      <c r="AW105" s="182">
        <f t="shared" si="179"/>
        <v>6.109853432523682E-2</v>
      </c>
      <c r="AX105" s="183">
        <f t="shared" si="180"/>
        <v>1.892737547267731E-2</v>
      </c>
      <c r="AY105" s="178">
        <f>AY97+AY94</f>
        <v>609309</v>
      </c>
      <c r="AZ105" s="179">
        <f>AZ97+AZ94</f>
        <v>579831</v>
      </c>
      <c r="BA105" s="179">
        <f>BA97+BA94</f>
        <v>554339</v>
      </c>
      <c r="BB105" s="182">
        <f t="shared" si="181"/>
        <v>-4.3964534493671437E-2</v>
      </c>
      <c r="BC105" s="184">
        <f t="shared" si="182"/>
        <v>-9.0216950676914376E-2</v>
      </c>
      <c r="BD105" s="181">
        <f>BD97+BD94</f>
        <v>540551</v>
      </c>
      <c r="BE105" s="179">
        <f>BE97+BE94</f>
        <v>576191</v>
      </c>
      <c r="BF105" s="179">
        <f>BF97+BF94</f>
        <v>484768</v>
      </c>
      <c r="BG105" s="182">
        <f t="shared" si="183"/>
        <v>-0.15866787228540535</v>
      </c>
      <c r="BH105" s="183">
        <f t="shared" si="184"/>
        <v>-0.10319655314669662</v>
      </c>
      <c r="BI105" s="178">
        <f>BI97+BI94</f>
        <v>813414</v>
      </c>
      <c r="BJ105" s="179">
        <f>BJ97+BJ94</f>
        <v>596126</v>
      </c>
      <c r="BK105" s="179">
        <f>BK97+BK94</f>
        <v>603717</v>
      </c>
      <c r="BL105" s="182">
        <f t="shared" si="185"/>
        <v>1.2733885118246802E-2</v>
      </c>
      <c r="BM105" s="184">
        <f t="shared" si="186"/>
        <v>-0.25779861177702867</v>
      </c>
      <c r="BN105" s="181">
        <f>BN97+BN94</f>
        <v>738846</v>
      </c>
      <c r="BO105" s="179">
        <f>BO97+BO94</f>
        <v>594421</v>
      </c>
      <c r="BP105" s="179">
        <f>BP97+BP94</f>
        <v>617592</v>
      </c>
      <c r="BQ105" s="182">
        <f t="shared" si="187"/>
        <v>3.8980789709650132E-2</v>
      </c>
      <c r="BR105" s="183">
        <f t="shared" si="188"/>
        <v>-0.16411268383397892</v>
      </c>
      <c r="BS105" s="178">
        <f>BS97+BS94</f>
        <v>637867</v>
      </c>
      <c r="BT105" s="179">
        <f>BT97+BT94</f>
        <v>585550</v>
      </c>
      <c r="BU105" s="179">
        <f>BU97+BU94</f>
        <v>633008</v>
      </c>
      <c r="BV105" s="182">
        <f t="shared" si="189"/>
        <v>8.1048586798736277E-2</v>
      </c>
      <c r="BW105" s="183">
        <f t="shared" si="190"/>
        <v>-7.6175754506817572E-3</v>
      </c>
    </row>
  </sheetData>
  <mergeCells count="131">
    <mergeCell ref="B2:E3"/>
    <mergeCell ref="F2:F3"/>
    <mergeCell ref="G2:G3"/>
    <mergeCell ref="H2:H3"/>
    <mergeCell ref="J2:J3"/>
    <mergeCell ref="K2:O2"/>
    <mergeCell ref="AT2:AX2"/>
    <mergeCell ref="AY2:BC2"/>
    <mergeCell ref="BD2:BH2"/>
    <mergeCell ref="I2:I3"/>
    <mergeCell ref="BI2:BM2"/>
    <mergeCell ref="BN2:BR2"/>
    <mergeCell ref="BS2:BW2"/>
    <mergeCell ref="P2:T2"/>
    <mergeCell ref="U2:Y2"/>
    <mergeCell ref="Z2:AD2"/>
    <mergeCell ref="AE2:AI2"/>
    <mergeCell ref="AJ2:AN2"/>
    <mergeCell ref="AO2:AS2"/>
    <mergeCell ref="D36:E36"/>
    <mergeCell ref="C37:E37"/>
    <mergeCell ref="B26:B37"/>
    <mergeCell ref="D26:E26"/>
    <mergeCell ref="C27:C36"/>
    <mergeCell ref="D27:E27"/>
    <mergeCell ref="D28:E28"/>
    <mergeCell ref="D29:E29"/>
    <mergeCell ref="B4:C6"/>
    <mergeCell ref="D4:E4"/>
    <mergeCell ref="D5:E5"/>
    <mergeCell ref="D6:E6"/>
    <mergeCell ref="B7:B25"/>
    <mergeCell ref="C7:C26"/>
    <mergeCell ref="D7:E7"/>
    <mergeCell ref="D8:E8"/>
    <mergeCell ref="D9:E9"/>
    <mergeCell ref="D10:E10"/>
    <mergeCell ref="D30:E30"/>
    <mergeCell ref="D31:E31"/>
    <mergeCell ref="D32:E32"/>
    <mergeCell ref="D33:E33"/>
    <mergeCell ref="D34:E34"/>
    <mergeCell ref="D35:E35"/>
    <mergeCell ref="D11:E11"/>
    <mergeCell ref="D12:D15"/>
    <mergeCell ref="D16:D20"/>
    <mergeCell ref="D21:D23"/>
    <mergeCell ref="BI48:BM48"/>
    <mergeCell ref="BN48:BR48"/>
    <mergeCell ref="BS48:BW48"/>
    <mergeCell ref="B50:C54"/>
    <mergeCell ref="D50:E50"/>
    <mergeCell ref="D51:E51"/>
    <mergeCell ref="D52:E52"/>
    <mergeCell ref="D53:E53"/>
    <mergeCell ref="D54:E54"/>
    <mergeCell ref="Z48:AD48"/>
    <mergeCell ref="AE48:AI48"/>
    <mergeCell ref="AJ48:AN48"/>
    <mergeCell ref="AO48:AS48"/>
    <mergeCell ref="AT48:AX48"/>
    <mergeCell ref="AY48:BC48"/>
    <mergeCell ref="G48:G49"/>
    <mergeCell ref="H48:H49"/>
    <mergeCell ref="J48:J49"/>
    <mergeCell ref="K48:O48"/>
    <mergeCell ref="P48:T48"/>
    <mergeCell ref="BD48:BH48"/>
    <mergeCell ref="AT71:AX71"/>
    <mergeCell ref="AY71:BC71"/>
    <mergeCell ref="BD71:BH71"/>
    <mergeCell ref="I48:I49"/>
    <mergeCell ref="BI71:BM71"/>
    <mergeCell ref="BN71:BR71"/>
    <mergeCell ref="BS71:BW71"/>
    <mergeCell ref="P71:T71"/>
    <mergeCell ref="U71:Y71"/>
    <mergeCell ref="Z71:AD71"/>
    <mergeCell ref="AE71:AI71"/>
    <mergeCell ref="AJ71:AN71"/>
    <mergeCell ref="AO71:AS71"/>
    <mergeCell ref="U48:Y48"/>
    <mergeCell ref="J71:J72"/>
    <mergeCell ref="K71:O71"/>
    <mergeCell ref="B94:B105"/>
    <mergeCell ref="D94:E94"/>
    <mergeCell ref="C95:C104"/>
    <mergeCell ref="D95:E95"/>
    <mergeCell ref="D96:E96"/>
    <mergeCell ref="D97:E97"/>
    <mergeCell ref="D98:E98"/>
    <mergeCell ref="B73:C75"/>
    <mergeCell ref="D73:E73"/>
    <mergeCell ref="D74:E74"/>
    <mergeCell ref="D75:E75"/>
    <mergeCell ref="B76:B93"/>
    <mergeCell ref="C76:C94"/>
    <mergeCell ref="D76:E76"/>
    <mergeCell ref="D77:E77"/>
    <mergeCell ref="D78:E78"/>
    <mergeCell ref="D79:E79"/>
    <mergeCell ref="C105:E105"/>
    <mergeCell ref="D99:E99"/>
    <mergeCell ref="D100:E100"/>
    <mergeCell ref="D101:E101"/>
    <mergeCell ref="D102:E102"/>
    <mergeCell ref="D103:E103"/>
    <mergeCell ref="D104:E104"/>
    <mergeCell ref="B38:B40"/>
    <mergeCell ref="C38:E38"/>
    <mergeCell ref="D80:D83"/>
    <mergeCell ref="D84:D88"/>
    <mergeCell ref="D89:D91"/>
    <mergeCell ref="B71:E72"/>
    <mergeCell ref="F71:F72"/>
    <mergeCell ref="G71:G72"/>
    <mergeCell ref="H71:H72"/>
    <mergeCell ref="B41:B43"/>
    <mergeCell ref="C41:E41"/>
    <mergeCell ref="C42:E42"/>
    <mergeCell ref="C43:E43"/>
    <mergeCell ref="C39:E39"/>
    <mergeCell ref="C40:E40"/>
    <mergeCell ref="B48:E49"/>
    <mergeCell ref="F48:F49"/>
    <mergeCell ref="B55:C59"/>
    <mergeCell ref="D55:E55"/>
    <mergeCell ref="D56:E56"/>
    <mergeCell ref="D57:E57"/>
    <mergeCell ref="D58:E58"/>
    <mergeCell ref="D59:E59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2F8D5-7F02-4597-9A68-C8BE704B4B31}">
  <sheetPr>
    <pageSetUpPr fitToPage="1"/>
  </sheetPr>
  <dimension ref="B1:BY105"/>
  <sheetViews>
    <sheetView zoomScaleNormal="100" workbookViewId="0">
      <pane xSplit="14" ySplit="3" topLeftCell="BH25" activePane="bottomRight" state="frozen"/>
      <selection pane="topRight" activeCell="N1" sqref="N1"/>
      <selection pane="bottomLeft" activeCell="A4" sqref="A4"/>
      <selection pane="bottomRight" activeCell="BW46" sqref="BW46"/>
    </sheetView>
  </sheetViews>
  <sheetFormatPr defaultRowHeight="16.5" x14ac:dyDescent="0.3"/>
  <cols>
    <col min="1" max="1" width="3" customWidth="1"/>
    <col min="2" max="2" width="4.375" customWidth="1"/>
    <col min="3" max="3" width="4.5" customWidth="1"/>
    <col min="4" max="4" width="6" customWidth="1"/>
    <col min="5" max="5" width="8.625" customWidth="1"/>
    <col min="6" max="6" width="9" customWidth="1"/>
    <col min="7" max="7" width="8.125" style="37" customWidth="1"/>
    <col min="8" max="8" width="8.25" style="37" customWidth="1"/>
    <col min="9" max="9" width="9" style="30" customWidth="1"/>
    <col min="13" max="13" width="8.75" customWidth="1"/>
    <col min="14" max="14" width="9" customWidth="1"/>
    <col min="15" max="15" width="7.375" bestFit="1" customWidth="1"/>
    <col min="16" max="16" width="6.75" bestFit="1" customWidth="1"/>
    <col min="17" max="17" width="7.375" bestFit="1" customWidth="1"/>
    <col min="18" max="18" width="7.125" bestFit="1" customWidth="1"/>
    <col min="19" max="19" width="9" bestFit="1" customWidth="1"/>
    <col min="20" max="20" width="7.375" bestFit="1" customWidth="1"/>
    <col min="21" max="21" width="6.75" bestFit="1" customWidth="1"/>
    <col min="22" max="22" width="7.375" bestFit="1" customWidth="1"/>
    <col min="23" max="23" width="8" bestFit="1" customWidth="1"/>
    <col min="24" max="24" width="9" bestFit="1" customWidth="1"/>
    <col min="25" max="25" width="7.375" bestFit="1" customWidth="1"/>
    <col min="26" max="26" width="6.75" bestFit="1" customWidth="1"/>
    <col min="27" max="27" width="7.375" bestFit="1" customWidth="1"/>
    <col min="28" max="28" width="7.5" bestFit="1" customWidth="1"/>
    <col min="29" max="29" width="9" bestFit="1" customWidth="1"/>
    <col min="30" max="30" width="7.375" bestFit="1" customWidth="1"/>
    <col min="31" max="31" width="6.75" bestFit="1" customWidth="1"/>
    <col min="32" max="32" width="7.375" bestFit="1" customWidth="1"/>
    <col min="33" max="33" width="8.75" bestFit="1" customWidth="1"/>
    <col min="34" max="34" width="9" bestFit="1" customWidth="1"/>
    <col min="35" max="35" width="7.375" bestFit="1" customWidth="1"/>
    <col min="36" max="36" width="6.75" bestFit="1" customWidth="1"/>
    <col min="37" max="37" width="7.375" bestFit="1" customWidth="1"/>
    <col min="38" max="38" width="8.75" bestFit="1" customWidth="1"/>
    <col min="39" max="39" width="9" bestFit="1" customWidth="1"/>
    <col min="40" max="40" width="7.375" bestFit="1" customWidth="1"/>
    <col min="41" max="41" width="6.75" bestFit="1" customWidth="1"/>
    <col min="42" max="42" width="7.375" bestFit="1" customWidth="1"/>
    <col min="43" max="43" width="8.75" bestFit="1" customWidth="1"/>
    <col min="44" max="44" width="9" bestFit="1" customWidth="1"/>
    <col min="45" max="45" width="7.375" bestFit="1" customWidth="1"/>
    <col min="46" max="46" width="6.75" bestFit="1" customWidth="1"/>
    <col min="47" max="47" width="7.375" bestFit="1" customWidth="1"/>
    <col min="48" max="48" width="8.75" bestFit="1" customWidth="1"/>
    <col min="49" max="49" width="9" bestFit="1" customWidth="1"/>
    <col min="50" max="50" width="7.375" bestFit="1" customWidth="1"/>
    <col min="51" max="51" width="6.75" bestFit="1" customWidth="1"/>
    <col min="52" max="52" width="7.375" bestFit="1" customWidth="1"/>
    <col min="53" max="53" width="8.75" bestFit="1" customWidth="1"/>
    <col min="54" max="54" width="9" bestFit="1" customWidth="1"/>
    <col min="55" max="55" width="7.375" bestFit="1" customWidth="1"/>
    <col min="56" max="56" width="6.75" bestFit="1" customWidth="1"/>
    <col min="57" max="57" width="7.375" bestFit="1" customWidth="1"/>
    <col min="58" max="58" width="8.75" bestFit="1" customWidth="1"/>
    <col min="59" max="59" width="9" bestFit="1" customWidth="1"/>
    <col min="60" max="60" width="7.375" bestFit="1" customWidth="1"/>
    <col min="61" max="61" width="6.75" bestFit="1" customWidth="1"/>
    <col min="62" max="62" width="7.375" bestFit="1" customWidth="1"/>
    <col min="63" max="63" width="8.75" bestFit="1" customWidth="1"/>
    <col min="64" max="64" width="9" bestFit="1" customWidth="1"/>
    <col min="65" max="65" width="7.375" bestFit="1" customWidth="1"/>
    <col min="66" max="66" width="6.75" bestFit="1" customWidth="1"/>
    <col min="67" max="67" width="7.375" bestFit="1" customWidth="1"/>
    <col min="68" max="68" width="8.75" bestFit="1" customWidth="1"/>
    <col min="69" max="69" width="9" bestFit="1" customWidth="1"/>
    <col min="70" max="70" width="7.375" bestFit="1" customWidth="1"/>
    <col min="71" max="71" width="6.75" bestFit="1" customWidth="1"/>
    <col min="72" max="72" width="7.375" bestFit="1" customWidth="1"/>
    <col min="73" max="73" width="8.75" bestFit="1" customWidth="1"/>
    <col min="74" max="74" width="9" bestFit="1" customWidth="1"/>
    <col min="77" max="77" width="10.875" style="150" bestFit="1" customWidth="1"/>
  </cols>
  <sheetData>
    <row r="1" spans="2:77" ht="17.25" thickBot="1" x14ac:dyDescent="0.35"/>
    <row r="2" spans="2:77" x14ac:dyDescent="0.3">
      <c r="B2" s="331" t="s">
        <v>2</v>
      </c>
      <c r="C2" s="332"/>
      <c r="D2" s="332"/>
      <c r="E2" s="333"/>
      <c r="F2" s="329" t="s">
        <v>71</v>
      </c>
      <c r="G2" s="327" t="s">
        <v>3</v>
      </c>
      <c r="H2" s="327" t="s">
        <v>4</v>
      </c>
      <c r="I2" s="339" t="s">
        <v>5</v>
      </c>
      <c r="J2" s="326" t="s">
        <v>6</v>
      </c>
      <c r="K2" s="327"/>
      <c r="L2" s="327"/>
      <c r="M2" s="327"/>
      <c r="N2" s="328"/>
      <c r="O2" s="326" t="s">
        <v>7</v>
      </c>
      <c r="P2" s="327"/>
      <c r="Q2" s="327"/>
      <c r="R2" s="327"/>
      <c r="S2" s="328"/>
      <c r="T2" s="329" t="s">
        <v>58</v>
      </c>
      <c r="U2" s="327"/>
      <c r="V2" s="327"/>
      <c r="W2" s="327"/>
      <c r="X2" s="330"/>
      <c r="Y2" s="326" t="s">
        <v>59</v>
      </c>
      <c r="Z2" s="327"/>
      <c r="AA2" s="327"/>
      <c r="AB2" s="327"/>
      <c r="AC2" s="328"/>
      <c r="AD2" s="329" t="s">
        <v>60</v>
      </c>
      <c r="AE2" s="327"/>
      <c r="AF2" s="327"/>
      <c r="AG2" s="327"/>
      <c r="AH2" s="330"/>
      <c r="AI2" s="326" t="s">
        <v>61</v>
      </c>
      <c r="AJ2" s="327"/>
      <c r="AK2" s="327"/>
      <c r="AL2" s="327"/>
      <c r="AM2" s="328"/>
      <c r="AN2" s="329" t="s">
        <v>62</v>
      </c>
      <c r="AO2" s="327"/>
      <c r="AP2" s="327"/>
      <c r="AQ2" s="327"/>
      <c r="AR2" s="330"/>
      <c r="AS2" s="326" t="s">
        <v>63</v>
      </c>
      <c r="AT2" s="327"/>
      <c r="AU2" s="327"/>
      <c r="AV2" s="327"/>
      <c r="AW2" s="328"/>
      <c r="AX2" s="329" t="s">
        <v>64</v>
      </c>
      <c r="AY2" s="327"/>
      <c r="AZ2" s="327"/>
      <c r="BA2" s="327"/>
      <c r="BB2" s="330"/>
      <c r="BC2" s="326" t="s">
        <v>65</v>
      </c>
      <c r="BD2" s="327"/>
      <c r="BE2" s="327"/>
      <c r="BF2" s="327"/>
      <c r="BG2" s="328"/>
      <c r="BH2" s="329" t="s">
        <v>66</v>
      </c>
      <c r="BI2" s="327"/>
      <c r="BJ2" s="327"/>
      <c r="BK2" s="327"/>
      <c r="BL2" s="330"/>
      <c r="BM2" s="326" t="s">
        <v>67</v>
      </c>
      <c r="BN2" s="327"/>
      <c r="BO2" s="327"/>
      <c r="BP2" s="327"/>
      <c r="BQ2" s="328"/>
      <c r="BR2" s="329" t="s">
        <v>68</v>
      </c>
      <c r="BS2" s="327"/>
      <c r="BT2" s="327"/>
      <c r="BU2" s="327"/>
      <c r="BV2" s="328"/>
    </row>
    <row r="3" spans="2:77" ht="17.25" thickBot="1" x14ac:dyDescent="0.35">
      <c r="B3" s="334"/>
      <c r="C3" s="335"/>
      <c r="D3" s="335"/>
      <c r="E3" s="336"/>
      <c r="F3" s="337"/>
      <c r="G3" s="338"/>
      <c r="H3" s="338"/>
      <c r="I3" s="340"/>
      <c r="J3" s="104" t="s">
        <v>8</v>
      </c>
      <c r="K3" s="97" t="s">
        <v>9</v>
      </c>
      <c r="L3" s="97" t="s">
        <v>10</v>
      </c>
      <c r="M3" s="98" t="s">
        <v>11</v>
      </c>
      <c r="N3" s="99" t="s">
        <v>12</v>
      </c>
      <c r="O3" s="111" t="str">
        <f t="shared" ref="O3:AT3" si="0">J3</f>
        <v>2023년</v>
      </c>
      <c r="P3" s="97" t="str">
        <f t="shared" si="0"/>
        <v>목표</v>
      </c>
      <c r="Q3" s="97" t="str">
        <f t="shared" si="0"/>
        <v>2024년</v>
      </c>
      <c r="R3" s="98" t="str">
        <f t="shared" si="0"/>
        <v>달성율</v>
      </c>
      <c r="S3" s="99" t="str">
        <f t="shared" si="0"/>
        <v>전년대비</v>
      </c>
      <c r="T3" s="103" t="str">
        <f t="shared" si="0"/>
        <v>2023년</v>
      </c>
      <c r="U3" s="97" t="str">
        <f t="shared" si="0"/>
        <v>목표</v>
      </c>
      <c r="V3" s="97" t="str">
        <f t="shared" si="0"/>
        <v>2024년</v>
      </c>
      <c r="W3" s="98" t="str">
        <f t="shared" si="0"/>
        <v>달성율</v>
      </c>
      <c r="X3" s="109" t="str">
        <f t="shared" si="0"/>
        <v>전년대비</v>
      </c>
      <c r="Y3" s="111" t="str">
        <f t="shared" si="0"/>
        <v>2023년</v>
      </c>
      <c r="Z3" s="97" t="str">
        <f t="shared" si="0"/>
        <v>목표</v>
      </c>
      <c r="AA3" s="97" t="str">
        <f t="shared" si="0"/>
        <v>2024년</v>
      </c>
      <c r="AB3" s="98" t="str">
        <f t="shared" si="0"/>
        <v>달성율</v>
      </c>
      <c r="AC3" s="99" t="str">
        <f t="shared" si="0"/>
        <v>전년대비</v>
      </c>
      <c r="AD3" s="103" t="str">
        <f t="shared" si="0"/>
        <v>2023년</v>
      </c>
      <c r="AE3" s="97" t="str">
        <f t="shared" si="0"/>
        <v>목표</v>
      </c>
      <c r="AF3" s="97" t="str">
        <f t="shared" si="0"/>
        <v>2024년</v>
      </c>
      <c r="AG3" s="98" t="str">
        <f t="shared" si="0"/>
        <v>달성율</v>
      </c>
      <c r="AH3" s="109" t="str">
        <f t="shared" si="0"/>
        <v>전년대비</v>
      </c>
      <c r="AI3" s="111" t="str">
        <f t="shared" si="0"/>
        <v>2023년</v>
      </c>
      <c r="AJ3" s="97" t="str">
        <f t="shared" si="0"/>
        <v>목표</v>
      </c>
      <c r="AK3" s="97" t="str">
        <f t="shared" si="0"/>
        <v>2024년</v>
      </c>
      <c r="AL3" s="98" t="str">
        <f t="shared" si="0"/>
        <v>달성율</v>
      </c>
      <c r="AM3" s="99" t="str">
        <f t="shared" si="0"/>
        <v>전년대비</v>
      </c>
      <c r="AN3" s="103" t="str">
        <f t="shared" si="0"/>
        <v>2023년</v>
      </c>
      <c r="AO3" s="97" t="str">
        <f t="shared" si="0"/>
        <v>목표</v>
      </c>
      <c r="AP3" s="97" t="str">
        <f t="shared" si="0"/>
        <v>2024년</v>
      </c>
      <c r="AQ3" s="98" t="str">
        <f t="shared" si="0"/>
        <v>달성율</v>
      </c>
      <c r="AR3" s="109" t="str">
        <f t="shared" si="0"/>
        <v>전년대비</v>
      </c>
      <c r="AS3" s="111" t="str">
        <f t="shared" si="0"/>
        <v>2023년</v>
      </c>
      <c r="AT3" s="97" t="str">
        <f t="shared" si="0"/>
        <v>목표</v>
      </c>
      <c r="AU3" s="97" t="str">
        <f t="shared" ref="AU3:BV3" si="1">AP3</f>
        <v>2024년</v>
      </c>
      <c r="AV3" s="98" t="str">
        <f t="shared" si="1"/>
        <v>달성율</v>
      </c>
      <c r="AW3" s="99" t="str">
        <f t="shared" si="1"/>
        <v>전년대비</v>
      </c>
      <c r="AX3" s="103" t="str">
        <f t="shared" si="1"/>
        <v>2023년</v>
      </c>
      <c r="AY3" s="97" t="str">
        <f t="shared" si="1"/>
        <v>목표</v>
      </c>
      <c r="AZ3" s="97" t="str">
        <f t="shared" si="1"/>
        <v>2024년</v>
      </c>
      <c r="BA3" s="98" t="str">
        <f t="shared" si="1"/>
        <v>달성율</v>
      </c>
      <c r="BB3" s="109" t="str">
        <f t="shared" si="1"/>
        <v>전년대비</v>
      </c>
      <c r="BC3" s="111" t="str">
        <f t="shared" si="1"/>
        <v>2023년</v>
      </c>
      <c r="BD3" s="97" t="str">
        <f t="shared" si="1"/>
        <v>목표</v>
      </c>
      <c r="BE3" s="97" t="str">
        <f t="shared" si="1"/>
        <v>2024년</v>
      </c>
      <c r="BF3" s="98" t="str">
        <f t="shared" si="1"/>
        <v>달성율</v>
      </c>
      <c r="BG3" s="99" t="str">
        <f t="shared" si="1"/>
        <v>전년대비</v>
      </c>
      <c r="BH3" s="103" t="str">
        <f t="shared" si="1"/>
        <v>2023년</v>
      </c>
      <c r="BI3" s="97" t="str">
        <f t="shared" si="1"/>
        <v>목표</v>
      </c>
      <c r="BJ3" s="97" t="str">
        <f t="shared" si="1"/>
        <v>2024년</v>
      </c>
      <c r="BK3" s="98" t="str">
        <f t="shared" si="1"/>
        <v>달성율</v>
      </c>
      <c r="BL3" s="109" t="str">
        <f t="shared" si="1"/>
        <v>전년대비</v>
      </c>
      <c r="BM3" s="111" t="str">
        <f t="shared" si="1"/>
        <v>2023년</v>
      </c>
      <c r="BN3" s="97" t="str">
        <f t="shared" si="1"/>
        <v>목표</v>
      </c>
      <c r="BO3" s="97" t="str">
        <f t="shared" si="1"/>
        <v>2024년</v>
      </c>
      <c r="BP3" s="98" t="str">
        <f t="shared" si="1"/>
        <v>달성율</v>
      </c>
      <c r="BQ3" s="99" t="str">
        <f t="shared" si="1"/>
        <v>전년대비</v>
      </c>
      <c r="BR3" s="103" t="str">
        <f t="shared" si="1"/>
        <v>2023년</v>
      </c>
      <c r="BS3" s="97" t="str">
        <f t="shared" si="1"/>
        <v>목표</v>
      </c>
      <c r="BT3" s="97" t="str">
        <f t="shared" si="1"/>
        <v>2024년</v>
      </c>
      <c r="BU3" s="98" t="str">
        <f t="shared" si="1"/>
        <v>달성율</v>
      </c>
      <c r="BV3" s="99" t="str">
        <f t="shared" si="1"/>
        <v>전년대비</v>
      </c>
    </row>
    <row r="4" spans="2:77" ht="16.5" customHeight="1" x14ac:dyDescent="0.3">
      <c r="B4" s="288" t="s">
        <v>57</v>
      </c>
      <c r="C4" s="289"/>
      <c r="D4" s="294" t="s">
        <v>13</v>
      </c>
      <c r="E4" s="295"/>
      <c r="F4" s="161">
        <f>F9+F29</f>
        <v>10715192.9</v>
      </c>
      <c r="G4" s="158">
        <f>G9+G29</f>
        <v>10656512</v>
      </c>
      <c r="H4" s="158">
        <f>H9+H29</f>
        <v>12037500</v>
      </c>
      <c r="I4" s="162">
        <f>H4/G4-1</f>
        <v>0.1295909956278376</v>
      </c>
      <c r="J4" s="163">
        <f t="shared" ref="J4:J5" si="2">O4+T4+Y4+AD4+AI4+AN4+AS4+AX4+BC4+BH4+BM4+BR4</f>
        <v>10650848</v>
      </c>
      <c r="K4" s="158">
        <f t="shared" ref="K4:K5" si="3">P4+U4+Z4+AE4+AJ4+AO4+AT4+AY4+BD4+BI4+BN4+BS4</f>
        <v>12015780</v>
      </c>
      <c r="L4" s="158">
        <f t="shared" ref="L4:L5" si="4">Q4+V4+AA4+AF4+AK4+AP4+AU4+AZ4+BE4+BJ4+BO4+BT4</f>
        <v>10517294</v>
      </c>
      <c r="M4" s="159">
        <f>L4/K4-1</f>
        <v>-0.12470983989387285</v>
      </c>
      <c r="N4" s="160">
        <f>L4/J4-1</f>
        <v>-1.2539283257070211E-2</v>
      </c>
      <c r="O4" s="163">
        <f>O9+O29</f>
        <v>813676</v>
      </c>
      <c r="P4" s="158">
        <f>P9+P29</f>
        <v>984665</v>
      </c>
      <c r="Q4" s="158">
        <f>Q9+Q29</f>
        <v>750995</v>
      </c>
      <c r="R4" s="159">
        <f>Q4/P4-1</f>
        <v>-0.23730913559433919</v>
      </c>
      <c r="S4" s="160">
        <f>Q4/O4-1</f>
        <v>-7.7034347823949578E-2</v>
      </c>
      <c r="T4" s="161">
        <f>T9+T29</f>
        <v>1027633</v>
      </c>
      <c r="U4" s="158">
        <f>U9+U29</f>
        <v>984665</v>
      </c>
      <c r="V4" s="158">
        <f>V9+V29</f>
        <v>731815</v>
      </c>
      <c r="W4" s="159">
        <f>V4/U4-1</f>
        <v>-0.25678784155017187</v>
      </c>
      <c r="X4" s="162">
        <f>V4/T4-1</f>
        <v>-0.28786346876754643</v>
      </c>
      <c r="Y4" s="163">
        <f>Y9+Y29</f>
        <v>886260</v>
      </c>
      <c r="Z4" s="158">
        <f>Z9+Z29</f>
        <v>984665</v>
      </c>
      <c r="AA4" s="158">
        <f>AA9+AA29</f>
        <v>940726</v>
      </c>
      <c r="AB4" s="159">
        <f>AA4/Z4-1</f>
        <v>-4.4623298279110157E-2</v>
      </c>
      <c r="AC4" s="160">
        <f>AA4/Y4-1</f>
        <v>6.1456006138153496E-2</v>
      </c>
      <c r="AD4" s="161">
        <f>AD9+AD29</f>
        <v>834245</v>
      </c>
      <c r="AE4" s="158">
        <f>AE9+AE29</f>
        <v>984665</v>
      </c>
      <c r="AF4" s="158">
        <f>AF9+AF29</f>
        <v>899518</v>
      </c>
      <c r="AG4" s="159">
        <f>AF4/AE4-1</f>
        <v>-8.6473064443236991E-2</v>
      </c>
      <c r="AH4" s="162">
        <f>AF4/AD4-1</f>
        <v>7.8242003248446101E-2</v>
      </c>
      <c r="AI4" s="163">
        <f>AI9+AI29</f>
        <v>919597</v>
      </c>
      <c r="AJ4" s="158">
        <f>AJ9+AJ29</f>
        <v>969804</v>
      </c>
      <c r="AK4" s="158">
        <f>AK9+AK29</f>
        <v>888999</v>
      </c>
      <c r="AL4" s="159">
        <f>AK4/AJ4-1</f>
        <v>-8.332095969907316E-2</v>
      </c>
      <c r="AM4" s="160">
        <f>AK4/AI4-1</f>
        <v>-3.3273270791444487E-2</v>
      </c>
      <c r="AN4" s="161">
        <f>AN9+AN29</f>
        <v>841034</v>
      </c>
      <c r="AO4" s="158">
        <f>AO9+AO29</f>
        <v>968843</v>
      </c>
      <c r="AP4" s="158">
        <f>AP9+AP29</f>
        <v>810468</v>
      </c>
      <c r="AQ4" s="159">
        <f>AP4/AO4-1</f>
        <v>-0.16346817802265179</v>
      </c>
      <c r="AR4" s="162">
        <f>AP4/AN4-1</f>
        <v>-3.6343358294670614E-2</v>
      </c>
      <c r="AS4" s="163">
        <f>AS9+AS29</f>
        <v>771634</v>
      </c>
      <c r="AT4" s="158">
        <f>AT9+AT29</f>
        <v>963233</v>
      </c>
      <c r="AU4" s="158">
        <f>AU9+AU29</f>
        <v>917440</v>
      </c>
      <c r="AV4" s="159">
        <f>AU4/AT4-1</f>
        <v>-4.7540937654752313E-2</v>
      </c>
      <c r="AW4" s="160">
        <f>AU4/AS4-1</f>
        <v>0.18895745910626016</v>
      </c>
      <c r="AX4" s="161">
        <f>AX9+AX29</f>
        <v>815628</v>
      </c>
      <c r="AY4" s="158">
        <f>AY9+AY29</f>
        <v>994029</v>
      </c>
      <c r="AZ4" s="158">
        <f>AZ9+AZ29</f>
        <v>839998</v>
      </c>
      <c r="BA4" s="159">
        <f>AZ4/AY4-1</f>
        <v>-0.15495624373131967</v>
      </c>
      <c r="BB4" s="162">
        <f>AZ4/AX4-1</f>
        <v>2.987881730396702E-2</v>
      </c>
      <c r="BC4" s="163">
        <f>BC9+BC29</f>
        <v>747561</v>
      </c>
      <c r="BD4" s="158">
        <f>BD9+BD29</f>
        <v>971379</v>
      </c>
      <c r="BE4" s="158">
        <f>BE9+BE29</f>
        <v>762755</v>
      </c>
      <c r="BF4" s="159">
        <f>BE4/BD4-1</f>
        <v>-0.21477095963573434</v>
      </c>
      <c r="BG4" s="160">
        <f>BE4/BC4-1</f>
        <v>2.0324762795276952E-2</v>
      </c>
      <c r="BH4" s="161">
        <f>BH9+BH29</f>
        <v>1131094</v>
      </c>
      <c r="BI4" s="158">
        <f>BI9+BI29</f>
        <v>1095415</v>
      </c>
      <c r="BJ4" s="158">
        <f>BJ9+BJ29</f>
        <v>1032921</v>
      </c>
      <c r="BK4" s="159">
        <f>BJ4/BI4-1</f>
        <v>-5.7050524230542798E-2</v>
      </c>
      <c r="BL4" s="162">
        <f>BJ4/BH4-1</f>
        <v>-8.6794731472362163E-2</v>
      </c>
      <c r="BM4" s="163">
        <f>BM9+BM29</f>
        <v>987740</v>
      </c>
      <c r="BN4" s="158">
        <f>BN9+BN29</f>
        <v>1084808</v>
      </c>
      <c r="BO4" s="158">
        <f>BO9+BO29</f>
        <v>970781</v>
      </c>
      <c r="BP4" s="159">
        <f>BO4/BN4-1</f>
        <v>-0.10511260978901338</v>
      </c>
      <c r="BQ4" s="160">
        <f>BO4/BM4-1</f>
        <v>-1.7169498046044507E-2</v>
      </c>
      <c r="BR4" s="161">
        <f>BR9+BR29</f>
        <v>874746</v>
      </c>
      <c r="BS4" s="158">
        <f>BS9+BS29</f>
        <v>1029609</v>
      </c>
      <c r="BT4" s="158">
        <f>BT9+BT29</f>
        <v>970878</v>
      </c>
      <c r="BU4" s="159">
        <f>BT4/BS4-1</f>
        <v>-5.7042042173291008E-2</v>
      </c>
      <c r="BV4" s="160">
        <f>BT4/BR4-1</f>
        <v>0.10989704439917425</v>
      </c>
    </row>
    <row r="5" spans="2:77" x14ac:dyDescent="0.3">
      <c r="B5" s="290"/>
      <c r="C5" s="291"/>
      <c r="D5" s="296" t="s">
        <v>14</v>
      </c>
      <c r="E5" s="297"/>
      <c r="F5" s="84">
        <f>F8+F28</f>
        <v>10804093</v>
      </c>
      <c r="G5" s="62">
        <f>G8+G28</f>
        <v>10654645</v>
      </c>
      <c r="H5" s="62">
        <f>H8+H28</f>
        <v>12037500</v>
      </c>
      <c r="I5" s="75">
        <f t="shared" ref="I5:I43" si="5">H5/G5-1</f>
        <v>0.12978893243275591</v>
      </c>
      <c r="J5" s="3">
        <f t="shared" si="2"/>
        <v>10726735</v>
      </c>
      <c r="K5" s="62">
        <f t="shared" si="3"/>
        <v>12030641</v>
      </c>
      <c r="L5" s="62">
        <f t="shared" si="4"/>
        <v>10432495</v>
      </c>
      <c r="M5" s="86">
        <f t="shared" ref="M5:M43" si="6">L5/K5-1</f>
        <v>-0.13283963838668278</v>
      </c>
      <c r="N5" s="4">
        <f t="shared" ref="N5:N43" si="7">L5/J5-1</f>
        <v>-2.7430527555682094E-2</v>
      </c>
      <c r="O5" s="3">
        <f>O8+O28</f>
        <v>1076282</v>
      </c>
      <c r="P5" s="62">
        <f>P8+P28</f>
        <v>984665</v>
      </c>
      <c r="Q5" s="62">
        <f>Q8+Q28</f>
        <v>638533</v>
      </c>
      <c r="R5" s="86">
        <f t="shared" ref="R5:R43" si="8">Q5/P5-1</f>
        <v>-0.35152259905653194</v>
      </c>
      <c r="S5" s="4">
        <f t="shared" ref="S5:S43" si="9">Q5/O5-1</f>
        <v>-0.40672333087425039</v>
      </c>
      <c r="T5" s="84">
        <f>T8+T28</f>
        <v>705345</v>
      </c>
      <c r="U5" s="62">
        <f>U8+U28</f>
        <v>984665</v>
      </c>
      <c r="V5" s="62">
        <f>V8+V28</f>
        <v>719427</v>
      </c>
      <c r="W5" s="86">
        <f t="shared" ref="W5:W43" si="10">V5/U5-1</f>
        <v>-0.2693687700893197</v>
      </c>
      <c r="X5" s="75">
        <f t="shared" ref="X5:X43" si="11">V5/T5-1</f>
        <v>1.9964698126448743E-2</v>
      </c>
      <c r="Y5" s="3">
        <f>Y8+Y28</f>
        <v>883127</v>
      </c>
      <c r="Z5" s="62">
        <f>Z8+Z28</f>
        <v>984665</v>
      </c>
      <c r="AA5" s="62">
        <f>AA8+AA28</f>
        <v>924619</v>
      </c>
      <c r="AB5" s="86">
        <f t="shared" ref="AB5:AB43" si="12">AA5/Z5-1</f>
        <v>-6.0981145871946252E-2</v>
      </c>
      <c r="AC5" s="4">
        <f t="shared" ref="AC5:AC43" si="13">AA5/Y5-1</f>
        <v>4.6983050003000626E-2</v>
      </c>
      <c r="AD5" s="84">
        <f>AD8+AD28</f>
        <v>948746</v>
      </c>
      <c r="AE5" s="62">
        <f>AE8+AE28</f>
        <v>984665</v>
      </c>
      <c r="AF5" s="62">
        <f>AF8+AF28</f>
        <v>938664</v>
      </c>
      <c r="AG5" s="86">
        <f t="shared" ref="AG5:AG43" si="14">AF5/AE5-1</f>
        <v>-4.6717411505435846E-2</v>
      </c>
      <c r="AH5" s="75">
        <f t="shared" ref="AH5:AH43" si="15">AF5/AD5-1</f>
        <v>-1.0626658768521868E-2</v>
      </c>
      <c r="AI5" s="3">
        <f>AI8+AI28</f>
        <v>951450</v>
      </c>
      <c r="AJ5" s="62">
        <f>AJ8+AJ28</f>
        <v>984665</v>
      </c>
      <c r="AK5" s="62">
        <f>AK8+AK28</f>
        <v>978656</v>
      </c>
      <c r="AL5" s="86">
        <f t="shared" ref="AL5:AL43" si="16">AK5/AJ5-1</f>
        <v>-6.1025831120228302E-3</v>
      </c>
      <c r="AM5" s="4">
        <f t="shared" ref="AM5:AM43" si="17">AK5/AI5-1</f>
        <v>2.8594250880235483E-2</v>
      </c>
      <c r="AN5" s="84">
        <f>AN8+AN28</f>
        <v>681836</v>
      </c>
      <c r="AO5" s="62">
        <f>AO8+AO28</f>
        <v>968843</v>
      </c>
      <c r="AP5" s="62">
        <f>AP8+AP28</f>
        <v>833917</v>
      </c>
      <c r="AQ5" s="86">
        <f t="shared" ref="AQ5:AQ43" si="18">AP5/AO5-1</f>
        <v>-0.13926508216501543</v>
      </c>
      <c r="AR5" s="75">
        <f t="shared" ref="AR5:AR43" si="19">AP5/AN5-1</f>
        <v>0.22304630438991202</v>
      </c>
      <c r="AS5" s="3">
        <f>AS8+AS28</f>
        <v>732861</v>
      </c>
      <c r="AT5" s="62">
        <f>AT8+AT28</f>
        <v>963233</v>
      </c>
      <c r="AU5" s="62">
        <f>AU8+AU28</f>
        <v>825476</v>
      </c>
      <c r="AV5" s="86">
        <f t="shared" ref="AV5:AV43" si="20">AU5/AT5-1</f>
        <v>-0.14301524137981148</v>
      </c>
      <c r="AW5" s="4">
        <f t="shared" ref="AW5:AW43" si="21">AU5/AS5-1</f>
        <v>0.12637457853535672</v>
      </c>
      <c r="AX5" s="84">
        <f>AX8+AX28</f>
        <v>775215</v>
      </c>
      <c r="AY5" s="62">
        <f>AY8+AY28</f>
        <v>994029</v>
      </c>
      <c r="AZ5" s="62">
        <f>AZ8+AZ28</f>
        <v>851637</v>
      </c>
      <c r="BA5" s="86">
        <f t="shared" ref="BA5:BA43" si="22">AZ5/AY5-1</f>
        <v>-0.1432473298062733</v>
      </c>
      <c r="BB5" s="75">
        <f t="shared" ref="BB5:BB43" si="23">AZ5/AX5-1</f>
        <v>9.8581683790948338E-2</v>
      </c>
      <c r="BC5" s="3">
        <f>BC8+BC28</f>
        <v>846538</v>
      </c>
      <c r="BD5" s="62">
        <f>BD8+BD28</f>
        <v>971379</v>
      </c>
      <c r="BE5" s="62">
        <f>BE8+BE28</f>
        <v>720078</v>
      </c>
      <c r="BF5" s="86">
        <f t="shared" ref="BF5:BF43" si="24">BE5/BD5-1</f>
        <v>-0.25870540746711634</v>
      </c>
      <c r="BG5" s="4">
        <f t="shared" ref="BG5:BG43" si="25">BE5/BC5-1</f>
        <v>-0.1493849065251649</v>
      </c>
      <c r="BH5" s="84">
        <f>BH8+BH28</f>
        <v>1419367</v>
      </c>
      <c r="BI5" s="62">
        <f>BI8+BI28</f>
        <v>1095415</v>
      </c>
      <c r="BJ5" s="62">
        <f>BJ8+BJ28</f>
        <v>1120930</v>
      </c>
      <c r="BK5" s="86">
        <f t="shared" ref="BK5:BK43" si="26">BJ5/BI5-1</f>
        <v>2.3292542095918023E-2</v>
      </c>
      <c r="BL5" s="75">
        <f t="shared" ref="BL5:BL43" si="27">BJ5/BH5-1</f>
        <v>-0.21026063026687247</v>
      </c>
      <c r="BM5" s="3">
        <f>BM8+BM28</f>
        <v>916099</v>
      </c>
      <c r="BN5" s="62">
        <f>BN8+BN28</f>
        <v>1084808</v>
      </c>
      <c r="BO5" s="62">
        <f>BO8+BO28</f>
        <v>945381</v>
      </c>
      <c r="BP5" s="86">
        <f t="shared" ref="BP5:BP43" si="28">BO5/BN5-1</f>
        <v>-0.12852689139460627</v>
      </c>
      <c r="BQ5" s="4">
        <f t="shared" ref="BQ5:BQ43" si="29">BO5/BM5-1</f>
        <v>3.1963794306073989E-2</v>
      </c>
      <c r="BR5" s="84">
        <f>BR8+BR28</f>
        <v>789869</v>
      </c>
      <c r="BS5" s="62">
        <f>BS8+BS28</f>
        <v>1029609</v>
      </c>
      <c r="BT5" s="62">
        <f>BT8+BT28</f>
        <v>935177</v>
      </c>
      <c r="BU5" s="86">
        <f t="shared" ref="BU5:BU43" si="30">BT5/BS5-1</f>
        <v>-9.1716370000650693E-2</v>
      </c>
      <c r="BV5" s="4">
        <f t="shared" ref="BV5:BV43" si="31">BT5/BR5-1</f>
        <v>0.18396468275119049</v>
      </c>
    </row>
    <row r="6" spans="2:77" ht="17.25" thickBot="1" x14ac:dyDescent="0.35">
      <c r="B6" s="292"/>
      <c r="C6" s="293"/>
      <c r="D6" s="298" t="s">
        <v>15</v>
      </c>
      <c r="E6" s="299"/>
      <c r="F6" s="57">
        <f>F7+F27</f>
        <v>664657</v>
      </c>
      <c r="G6" s="42">
        <f>G7+G27</f>
        <v>753757</v>
      </c>
      <c r="H6" s="42">
        <f>H7+H27</f>
        <v>501562</v>
      </c>
      <c r="I6" s="82">
        <f t="shared" si="5"/>
        <v>-0.33458395742925107</v>
      </c>
      <c r="J6" s="24">
        <f>J7+J27</f>
        <v>753757</v>
      </c>
      <c r="K6" s="42">
        <f>K7+K27</f>
        <v>514804.5</v>
      </c>
      <c r="L6" s="42">
        <f>L7+L27</f>
        <v>668998</v>
      </c>
      <c r="M6" s="146">
        <f t="shared" si="6"/>
        <v>0.29951855510198522</v>
      </c>
      <c r="N6" s="25">
        <f t="shared" si="7"/>
        <v>-0.1124487069440151</v>
      </c>
      <c r="O6" s="24">
        <f>O7+O27</f>
        <v>900864</v>
      </c>
      <c r="P6" s="42">
        <f>P7+P27</f>
        <v>492332.5</v>
      </c>
      <c r="Q6" s="42">
        <f>Q7+Q27</f>
        <v>639609</v>
      </c>
      <c r="R6" s="146">
        <f t="shared" si="8"/>
        <v>0.29914031675747599</v>
      </c>
      <c r="S6" s="25">
        <f t="shared" si="9"/>
        <v>-0.29000492860187554</v>
      </c>
      <c r="T6" s="57">
        <f>T7+T27</f>
        <v>608969</v>
      </c>
      <c r="U6" s="42">
        <f>U7+U27</f>
        <v>492332.5</v>
      </c>
      <c r="V6" s="42">
        <f>V7+V27</f>
        <v>563024</v>
      </c>
      <c r="W6" s="146">
        <f t="shared" si="10"/>
        <v>0.14358487404345643</v>
      </c>
      <c r="X6" s="82">
        <f t="shared" si="11"/>
        <v>-7.5447190251063723E-2</v>
      </c>
      <c r="Y6" s="24">
        <f>Y7+Y27</f>
        <v>618968</v>
      </c>
      <c r="Z6" s="42">
        <f>Z7+Z27</f>
        <v>492332.5</v>
      </c>
      <c r="AA6" s="42">
        <f>AA7+AA27</f>
        <v>476578</v>
      </c>
      <c r="AB6" s="146">
        <f t="shared" si="12"/>
        <v>-3.1999715639329129E-2</v>
      </c>
      <c r="AC6" s="25">
        <f t="shared" si="13"/>
        <v>-0.23004420260821234</v>
      </c>
      <c r="AD6" s="57">
        <f>AD7+AD27</f>
        <v>703696</v>
      </c>
      <c r="AE6" s="42">
        <f>AE7+AE27</f>
        <v>492332.5</v>
      </c>
      <c r="AF6" s="42">
        <f>AF7+AF27</f>
        <v>483429</v>
      </c>
      <c r="AG6" s="146">
        <f t="shared" si="14"/>
        <v>-1.8084323094656574E-2</v>
      </c>
      <c r="AH6" s="82">
        <f t="shared" si="15"/>
        <v>-0.31301442668425006</v>
      </c>
      <c r="AI6" s="24">
        <f>AI7+AI27</f>
        <v>739260</v>
      </c>
      <c r="AJ6" s="42">
        <f>AJ7+AJ27</f>
        <v>492332.5</v>
      </c>
      <c r="AK6" s="42">
        <f>AK7+AK27</f>
        <v>749888</v>
      </c>
      <c r="AL6" s="146">
        <f t="shared" si="16"/>
        <v>0.5231332483636566</v>
      </c>
      <c r="AM6" s="25">
        <f t="shared" si="17"/>
        <v>1.4376538700862973E-2</v>
      </c>
      <c r="AN6" s="57">
        <f>AN7+AN27</f>
        <v>900864</v>
      </c>
      <c r="AO6" s="42">
        <f>AO7+AO27</f>
        <v>484421.5</v>
      </c>
      <c r="AP6" s="42">
        <f>AP7+AP27</f>
        <v>771620</v>
      </c>
      <c r="AQ6" s="146">
        <f t="shared" si="18"/>
        <v>0.5928690200579454</v>
      </c>
      <c r="AR6" s="82">
        <f t="shared" si="19"/>
        <v>-0.14346671639670361</v>
      </c>
      <c r="AS6" s="24">
        <f>AS7+AS27</f>
        <v>564752</v>
      </c>
      <c r="AT6" s="42">
        <f>AT7+AT27</f>
        <v>481616.5</v>
      </c>
      <c r="AU6" s="42">
        <f>AU7+AU27</f>
        <v>449939</v>
      </c>
      <c r="AV6" s="146">
        <f t="shared" si="20"/>
        <v>-6.5773286421872967E-2</v>
      </c>
      <c r="AW6" s="25">
        <f t="shared" si="21"/>
        <v>-0.20329808482307277</v>
      </c>
      <c r="AX6" s="57">
        <f>AX7+AX27</f>
        <v>513105</v>
      </c>
      <c r="AY6" s="42">
        <f>AY7+AY27</f>
        <v>497014.5</v>
      </c>
      <c r="AZ6" s="42">
        <f>AZ7+AZ27</f>
        <v>614643</v>
      </c>
      <c r="BA6" s="146">
        <f t="shared" si="22"/>
        <v>0.23667015751049525</v>
      </c>
      <c r="BB6" s="82">
        <f t="shared" si="23"/>
        <v>0.19788932089923117</v>
      </c>
      <c r="BC6" s="24">
        <f>BC7+BC27</f>
        <v>616909</v>
      </c>
      <c r="BD6" s="42">
        <f>BD7+BD27</f>
        <v>485689.5</v>
      </c>
      <c r="BE6" s="42">
        <f>BE7+BE27</f>
        <v>651732</v>
      </c>
      <c r="BF6" s="146">
        <f t="shared" si="24"/>
        <v>0.34186965128955848</v>
      </c>
      <c r="BG6" s="25">
        <f t="shared" si="25"/>
        <v>5.6447547369222972E-2</v>
      </c>
      <c r="BH6" s="57">
        <f>BH7+BH27</f>
        <v>911497</v>
      </c>
      <c r="BI6" s="42">
        <f>BI7+BI27</f>
        <v>547707.5</v>
      </c>
      <c r="BJ6" s="42">
        <f>BJ7+BJ27</f>
        <v>740283</v>
      </c>
      <c r="BK6" s="146">
        <f t="shared" si="26"/>
        <v>0.35160281719713526</v>
      </c>
      <c r="BL6" s="82">
        <f t="shared" si="27"/>
        <v>-0.18783824850767472</v>
      </c>
      <c r="BM6" s="24">
        <f>BM7+BM27</f>
        <v>775102</v>
      </c>
      <c r="BN6" s="42">
        <f>BN7+BN27</f>
        <v>542404</v>
      </c>
      <c r="BO6" s="42">
        <f>BO7+BO27</f>
        <v>705251</v>
      </c>
      <c r="BP6" s="146">
        <f t="shared" si="28"/>
        <v>0.30023193044299079</v>
      </c>
      <c r="BQ6" s="25">
        <f t="shared" si="29"/>
        <v>-9.0118461828249674E-2</v>
      </c>
      <c r="BR6" s="24">
        <f>BR7+BR27</f>
        <v>753757</v>
      </c>
      <c r="BS6" s="42">
        <f>BS7+BS27</f>
        <v>514804.5</v>
      </c>
      <c r="BT6" s="42">
        <f>BT7+BT27</f>
        <v>668998</v>
      </c>
      <c r="BU6" s="146">
        <f t="shared" si="30"/>
        <v>0.29951855510198522</v>
      </c>
      <c r="BV6" s="25">
        <f t="shared" si="31"/>
        <v>-0.1124487069440151</v>
      </c>
    </row>
    <row r="7" spans="2:77" ht="17.25" thickBot="1" x14ac:dyDescent="0.35">
      <c r="B7" s="300" t="s">
        <v>16</v>
      </c>
      <c r="C7" s="300" t="s">
        <v>17</v>
      </c>
      <c r="D7" s="303" t="s">
        <v>15</v>
      </c>
      <c r="E7" s="304"/>
      <c r="F7" s="52">
        <v>305936</v>
      </c>
      <c r="G7" s="38">
        <f>BR7</f>
        <v>343119</v>
      </c>
      <c r="H7" s="38">
        <f>ROUND(H8/24,0)</f>
        <v>230729</v>
      </c>
      <c r="I7" s="77">
        <f t="shared" si="5"/>
        <v>-0.32755399730122781</v>
      </c>
      <c r="J7" s="8">
        <f>BR7</f>
        <v>343119</v>
      </c>
      <c r="K7" s="8">
        <f t="shared" ref="K7:L7" si="32">BS7</f>
        <v>243972</v>
      </c>
      <c r="L7" s="8">
        <f t="shared" si="32"/>
        <v>309009</v>
      </c>
      <c r="M7" s="115">
        <f t="shared" si="6"/>
        <v>0.26657567261816939</v>
      </c>
      <c r="N7" s="10">
        <f t="shared" si="7"/>
        <v>-9.9411574410044334E-2</v>
      </c>
      <c r="O7" s="8">
        <f>'2023년 실적'!P7</f>
        <v>269436</v>
      </c>
      <c r="P7" s="38">
        <f>ROUND(P9/2,2)</f>
        <v>221500</v>
      </c>
      <c r="Q7" s="38">
        <v>309841</v>
      </c>
      <c r="R7" s="115">
        <f t="shared" si="8"/>
        <v>0.39883069977426633</v>
      </c>
      <c r="S7" s="10">
        <f t="shared" si="9"/>
        <v>0.14996140085215037</v>
      </c>
      <c r="T7" s="52">
        <f>'2023년 실적'!U7</f>
        <v>252179</v>
      </c>
      <c r="U7" s="38">
        <v>221500</v>
      </c>
      <c r="V7" s="38">
        <v>284901</v>
      </c>
      <c r="W7" s="115">
        <f t="shared" si="10"/>
        <v>0.28623476297968398</v>
      </c>
      <c r="X7" s="77">
        <f t="shared" si="11"/>
        <v>0.12975703765975766</v>
      </c>
      <c r="Y7" s="8">
        <f>'2023년 실적'!Z7</f>
        <v>275989</v>
      </c>
      <c r="Z7" s="38">
        <f>Z8/2</f>
        <v>221500</v>
      </c>
      <c r="AA7" s="38">
        <v>135478</v>
      </c>
      <c r="AB7" s="115">
        <f t="shared" si="12"/>
        <v>-0.38836117381489843</v>
      </c>
      <c r="AC7" s="10">
        <f t="shared" si="13"/>
        <v>-0.50911811702640319</v>
      </c>
      <c r="AD7" s="52">
        <f>'2023년 실적'!AE7</f>
        <v>394563</v>
      </c>
      <c r="AE7" s="38">
        <f>AE8/2</f>
        <v>221500</v>
      </c>
      <c r="AF7" s="38">
        <v>152494</v>
      </c>
      <c r="AG7" s="115">
        <f t="shared" si="14"/>
        <v>-0.31153950338600456</v>
      </c>
      <c r="AH7" s="77">
        <f t="shared" si="15"/>
        <v>-0.61351165720049772</v>
      </c>
      <c r="AI7" s="8">
        <f>'2023년 실적'!AJ7</f>
        <v>389318</v>
      </c>
      <c r="AJ7" s="38">
        <f>AJ8/2</f>
        <v>221500</v>
      </c>
      <c r="AK7" s="38">
        <v>343961</v>
      </c>
      <c r="AL7" s="115">
        <f t="shared" si="16"/>
        <v>0.55287133182844239</v>
      </c>
      <c r="AM7" s="10">
        <f t="shared" si="17"/>
        <v>-0.11650373216753396</v>
      </c>
      <c r="AN7" s="52">
        <f>'2023년 실적'!AO7</f>
        <v>269436</v>
      </c>
      <c r="AO7" s="38">
        <f>AO8/2</f>
        <v>213589</v>
      </c>
      <c r="AP7" s="38">
        <f>181489+103706+67072</f>
        <v>352267</v>
      </c>
      <c r="AQ7" s="115">
        <f t="shared" si="18"/>
        <v>0.64927500948082528</v>
      </c>
      <c r="AR7" s="77">
        <f t="shared" si="19"/>
        <v>0.30742365533930127</v>
      </c>
      <c r="AS7" s="8">
        <f>'2023년 실적'!AT7</f>
        <v>312564</v>
      </c>
      <c r="AT7" s="38">
        <f>AT8/2</f>
        <v>210784</v>
      </c>
      <c r="AU7" s="38">
        <f>158232</f>
        <v>158232</v>
      </c>
      <c r="AV7" s="115">
        <f t="shared" si="20"/>
        <v>-0.24931683619250034</v>
      </c>
      <c r="AW7" s="10">
        <f t="shared" si="21"/>
        <v>-0.49376127769032907</v>
      </c>
      <c r="AX7" s="52">
        <f>'2023년 실적'!AY7</f>
        <v>280926</v>
      </c>
      <c r="AY7" s="38">
        <f>AY9/2</f>
        <v>226182</v>
      </c>
      <c r="AZ7" s="38">
        <f>160384+108420+68667</f>
        <v>337471</v>
      </c>
      <c r="BA7" s="115">
        <f t="shared" si="22"/>
        <v>0.49203296460372625</v>
      </c>
      <c r="BB7" s="77">
        <f t="shared" si="23"/>
        <v>0.20128076432939634</v>
      </c>
      <c r="BC7" s="8">
        <f>'2023년 실적'!BD7</f>
        <v>288915</v>
      </c>
      <c r="BD7" s="38">
        <f>BD9/2</f>
        <v>214857</v>
      </c>
      <c r="BE7" s="38">
        <f>166838+101991+68078</f>
        <v>336907</v>
      </c>
      <c r="BF7" s="115">
        <f t="shared" si="24"/>
        <v>0.56805223939643579</v>
      </c>
      <c r="BG7" s="10">
        <f t="shared" si="25"/>
        <v>0.16611113995465798</v>
      </c>
      <c r="BH7" s="52">
        <f>'2023년 실적'!BI7</f>
        <v>381965</v>
      </c>
      <c r="BI7" s="38">
        <f>BI8/2</f>
        <v>276875</v>
      </c>
      <c r="BJ7" s="38">
        <f>214364+142307</f>
        <v>356671</v>
      </c>
      <c r="BK7" s="115">
        <f t="shared" si="26"/>
        <v>0.28820225733634319</v>
      </c>
      <c r="BL7" s="77">
        <f t="shared" si="27"/>
        <v>-6.6220727029963511E-2</v>
      </c>
      <c r="BM7" s="8">
        <f>'2023년 실적'!BN7</f>
        <v>327586</v>
      </c>
      <c r="BN7" s="38">
        <f>BN8/2</f>
        <v>271571.5</v>
      </c>
      <c r="BO7" s="38">
        <v>330282</v>
      </c>
      <c r="BP7" s="115">
        <f t="shared" si="28"/>
        <v>0.21618800205470756</v>
      </c>
      <c r="BQ7" s="10">
        <f t="shared" si="29"/>
        <v>8.2298999346737123E-3</v>
      </c>
      <c r="BR7" s="8">
        <f>'2023년 실적'!BS7</f>
        <v>343119</v>
      </c>
      <c r="BS7" s="38">
        <f>BS9/2</f>
        <v>243972</v>
      </c>
      <c r="BT7" s="38">
        <f>162836+93432+52741</f>
        <v>309009</v>
      </c>
      <c r="BU7" s="115">
        <f t="shared" si="30"/>
        <v>0.26657567261816939</v>
      </c>
      <c r="BV7" s="10">
        <f t="shared" si="31"/>
        <v>-9.9411574410044334E-2</v>
      </c>
      <c r="BY7" s="150">
        <v>309009</v>
      </c>
    </row>
    <row r="8" spans="2:77" ht="17.25" thickBot="1" x14ac:dyDescent="0.35">
      <c r="B8" s="301"/>
      <c r="C8" s="301"/>
      <c r="D8" s="305" t="s">
        <v>14</v>
      </c>
      <c r="E8" s="306"/>
      <c r="F8" s="164">
        <f>'2023년 실적'!J8</f>
        <v>5100000</v>
      </c>
      <c r="G8" s="165">
        <f>'2023년 실적'!K8</f>
        <v>4950552</v>
      </c>
      <c r="H8" s="165">
        <f>H9</f>
        <v>5537500</v>
      </c>
      <c r="I8" s="82">
        <f t="shared" si="5"/>
        <v>0.11856213206123267</v>
      </c>
      <c r="J8" s="131">
        <f>O8+T8+Y8+AD8+AI8+AN8+AS8+AX8+BC8+BH8+BM8+BR8</f>
        <v>4950552</v>
      </c>
      <c r="K8" s="132">
        <f t="shared" ref="K8:L8" si="33">P8+U8+Z8+AE8+AJ8+AO8+AT8+AY8+BD8+BI8+BN8+BS8</f>
        <v>5530661</v>
      </c>
      <c r="L8" s="132">
        <f t="shared" si="33"/>
        <v>5050656</v>
      </c>
      <c r="M8" s="166">
        <f t="shared" si="6"/>
        <v>-8.6789806860337326E-2</v>
      </c>
      <c r="N8" s="167">
        <f t="shared" si="7"/>
        <v>2.0220775380199951E-2</v>
      </c>
      <c r="O8" s="168">
        <f>'2023년 실적'!P8</f>
        <v>469678</v>
      </c>
      <c r="P8" s="165">
        <f>P9</f>
        <v>443000</v>
      </c>
      <c r="Q8" s="165">
        <v>297287</v>
      </c>
      <c r="R8" s="166">
        <f t="shared" si="8"/>
        <v>-0.32892325056433414</v>
      </c>
      <c r="S8" s="167">
        <f t="shared" si="9"/>
        <v>-0.36704082371326741</v>
      </c>
      <c r="T8" s="57">
        <f>'2023년 실적'!U8</f>
        <v>320358</v>
      </c>
      <c r="U8" s="165">
        <f>U9</f>
        <v>443000</v>
      </c>
      <c r="V8" s="165">
        <v>322387</v>
      </c>
      <c r="W8" s="166">
        <f t="shared" si="10"/>
        <v>-0.27226410835214443</v>
      </c>
      <c r="X8" s="169">
        <f t="shared" si="11"/>
        <v>6.3335393528489714E-3</v>
      </c>
      <c r="Y8" s="24">
        <f>'2023년 실적'!Z8</f>
        <v>432930</v>
      </c>
      <c r="Z8" s="165">
        <f>Z9</f>
        <v>443000</v>
      </c>
      <c r="AA8" s="165">
        <v>456333</v>
      </c>
      <c r="AB8" s="166">
        <f t="shared" si="12"/>
        <v>3.0097065462753925E-2</v>
      </c>
      <c r="AC8" s="167">
        <f t="shared" si="13"/>
        <v>5.4057237890652088E-2</v>
      </c>
      <c r="AD8" s="57">
        <f>'2023년 실적'!AE8</f>
        <v>472323</v>
      </c>
      <c r="AE8" s="165">
        <f>AE9</f>
        <v>443000</v>
      </c>
      <c r="AF8" s="165">
        <v>491302</v>
      </c>
      <c r="AG8" s="166">
        <f t="shared" si="14"/>
        <v>0.10903386004514681</v>
      </c>
      <c r="AH8" s="169">
        <f t="shared" si="15"/>
        <v>4.0182248164920997E-2</v>
      </c>
      <c r="AI8" s="24">
        <f>'2023년 실적'!AJ8</f>
        <v>381307</v>
      </c>
      <c r="AJ8" s="165">
        <v>443000</v>
      </c>
      <c r="AK8" s="165">
        <v>427552</v>
      </c>
      <c r="AL8" s="166">
        <f t="shared" si="16"/>
        <v>-3.4871331828442487E-2</v>
      </c>
      <c r="AM8" s="167">
        <f t="shared" si="17"/>
        <v>0.12128022826751139</v>
      </c>
      <c r="AN8" s="57">
        <f>'2023년 실적'!AO8</f>
        <v>280280</v>
      </c>
      <c r="AO8" s="165">
        <f>AO9</f>
        <v>427178</v>
      </c>
      <c r="AP8" s="165">
        <v>417231</v>
      </c>
      <c r="AQ8" s="166">
        <f t="shared" si="18"/>
        <v>-2.3285375183178858E-2</v>
      </c>
      <c r="AR8" s="169">
        <f t="shared" si="19"/>
        <v>0.48862209219352071</v>
      </c>
      <c r="AS8" s="24">
        <f>'2023년 실적'!AT8</f>
        <v>395242</v>
      </c>
      <c r="AT8" s="165">
        <f>AT9</f>
        <v>421568</v>
      </c>
      <c r="AU8" s="165">
        <v>425307</v>
      </c>
      <c r="AV8" s="166">
        <f t="shared" si="20"/>
        <v>8.8692690147260667E-3</v>
      </c>
      <c r="AW8" s="167">
        <f t="shared" si="21"/>
        <v>7.6067320780686343E-2</v>
      </c>
      <c r="AX8" s="57">
        <f>'2023년 실적'!AY8</f>
        <v>360002</v>
      </c>
      <c r="AY8" s="165">
        <f>AY9</f>
        <v>452364</v>
      </c>
      <c r="AZ8" s="165">
        <v>410717</v>
      </c>
      <c r="BA8" s="166">
        <f t="shared" si="22"/>
        <v>-9.2065239497395868E-2</v>
      </c>
      <c r="BB8" s="169">
        <f t="shared" si="23"/>
        <v>0.14087421736545913</v>
      </c>
      <c r="BC8" s="24">
        <f>'2023년 실적'!BD8</f>
        <v>370856</v>
      </c>
      <c r="BD8" s="165">
        <f>BD9</f>
        <v>429714</v>
      </c>
      <c r="BE8" s="165">
        <f>255414+121616</f>
        <v>377030</v>
      </c>
      <c r="BF8" s="166">
        <f t="shared" si="24"/>
        <v>-0.12260247513462441</v>
      </c>
      <c r="BG8" s="167">
        <f t="shared" si="25"/>
        <v>1.664797118018857E-2</v>
      </c>
      <c r="BH8" s="57">
        <f>'2023년 실적'!BI8</f>
        <v>611306</v>
      </c>
      <c r="BI8" s="165">
        <f>BI9</f>
        <v>553750</v>
      </c>
      <c r="BJ8" s="165">
        <v>563230</v>
      </c>
      <c r="BK8" s="166">
        <f t="shared" si="26"/>
        <v>1.7119638826185168E-2</v>
      </c>
      <c r="BL8" s="169">
        <f t="shared" si="27"/>
        <v>-7.864473766002622E-2</v>
      </c>
      <c r="BM8" s="24">
        <f>'2023년 실적'!BN8</f>
        <v>423746</v>
      </c>
      <c r="BN8" s="165">
        <f>BN9</f>
        <v>543143</v>
      </c>
      <c r="BO8" s="165">
        <v>444511</v>
      </c>
      <c r="BP8" s="166">
        <f t="shared" si="28"/>
        <v>-0.18159490226330821</v>
      </c>
      <c r="BQ8" s="167">
        <f t="shared" si="29"/>
        <v>4.9003412421592119E-2</v>
      </c>
      <c r="BR8" s="57">
        <f>'2023년 실적'!BS8</f>
        <v>432524</v>
      </c>
      <c r="BS8" s="165">
        <f>BS9</f>
        <v>487944</v>
      </c>
      <c r="BT8" s="165">
        <v>417769</v>
      </c>
      <c r="BU8" s="166">
        <f t="shared" si="30"/>
        <v>-0.14381773318249635</v>
      </c>
      <c r="BV8" s="167">
        <f t="shared" si="31"/>
        <v>-3.4113713921077204E-2</v>
      </c>
    </row>
    <row r="9" spans="2:77" ht="17.25" thickBot="1" x14ac:dyDescent="0.35">
      <c r="B9" s="301"/>
      <c r="C9" s="301"/>
      <c r="D9" s="307" t="s">
        <v>18</v>
      </c>
      <c r="E9" s="308"/>
      <c r="F9" s="170">
        <f>F10+F26</f>
        <v>4648868</v>
      </c>
      <c r="G9" s="171">
        <f>G10+G26</f>
        <v>4859570</v>
      </c>
      <c r="H9" s="171">
        <f>H10+H26</f>
        <v>5537500</v>
      </c>
      <c r="I9" s="172">
        <f t="shared" si="5"/>
        <v>0.13950411250378125</v>
      </c>
      <c r="J9" s="173">
        <f>J10+J26</f>
        <v>4859498</v>
      </c>
      <c r="K9" s="173">
        <f t="shared" ref="K9:L9" si="34">K10+K26</f>
        <v>5515800</v>
      </c>
      <c r="L9" s="173">
        <f t="shared" si="34"/>
        <v>5083802</v>
      </c>
      <c r="M9" s="174">
        <f t="shared" si="6"/>
        <v>-7.8320098625765944E-2</v>
      </c>
      <c r="N9" s="175">
        <f t="shared" si="7"/>
        <v>4.6157854165183254E-2</v>
      </c>
      <c r="O9" s="173">
        <f>O10+O26</f>
        <v>404664</v>
      </c>
      <c r="P9" s="171">
        <f>P10+P26</f>
        <v>443000</v>
      </c>
      <c r="Q9" s="171">
        <f>Q10+Q26</f>
        <v>328580</v>
      </c>
      <c r="R9" s="174">
        <f t="shared" si="8"/>
        <v>-0.25828442437923249</v>
      </c>
      <c r="S9" s="175">
        <f t="shared" si="9"/>
        <v>-0.18801771346104423</v>
      </c>
      <c r="T9" s="170">
        <f>T10+T26</f>
        <v>393870</v>
      </c>
      <c r="U9" s="171">
        <f>U10+U26</f>
        <v>443000</v>
      </c>
      <c r="V9" s="171">
        <f>V10+V26</f>
        <v>346389</v>
      </c>
      <c r="W9" s="174">
        <f t="shared" si="10"/>
        <v>-0.21808352144469523</v>
      </c>
      <c r="X9" s="172">
        <f t="shared" si="11"/>
        <v>-0.12054992764109984</v>
      </c>
      <c r="Y9" s="173">
        <f>Y10+Y26</f>
        <v>406749</v>
      </c>
      <c r="Z9" s="171">
        <f>Z10+Z26</f>
        <v>443000</v>
      </c>
      <c r="AA9" s="171">
        <f>AA10+AA26</f>
        <v>464840</v>
      </c>
      <c r="AB9" s="174">
        <f t="shared" si="12"/>
        <v>4.9300225733634351E-2</v>
      </c>
      <c r="AC9" s="175">
        <f t="shared" si="13"/>
        <v>0.14281780655883614</v>
      </c>
      <c r="AD9" s="170">
        <f>AD10+AD26</f>
        <v>351763</v>
      </c>
      <c r="AE9" s="171">
        <f>AE10+AE26</f>
        <v>443000</v>
      </c>
      <c r="AF9" s="171">
        <f>AF10+AF26</f>
        <v>455471</v>
      </c>
      <c r="AG9" s="174">
        <f t="shared" si="14"/>
        <v>2.8151241534988714E-2</v>
      </c>
      <c r="AH9" s="172">
        <f t="shared" si="15"/>
        <v>0.29482350332468177</v>
      </c>
      <c r="AI9" s="173">
        <f>AI10+AI26</f>
        <v>387063</v>
      </c>
      <c r="AJ9" s="171">
        <f>AJ10+AJ26</f>
        <v>428139</v>
      </c>
      <c r="AK9" s="171">
        <f>AK10+AK26</f>
        <v>396406</v>
      </c>
      <c r="AL9" s="174">
        <f t="shared" si="16"/>
        <v>-7.4118452184921302E-2</v>
      </c>
      <c r="AM9" s="175">
        <f t="shared" si="17"/>
        <v>2.4138189390357612E-2</v>
      </c>
      <c r="AN9" s="170">
        <f>AN10+AN26</f>
        <v>365731</v>
      </c>
      <c r="AO9" s="171">
        <f>AO10+AO26</f>
        <v>427178</v>
      </c>
      <c r="AP9" s="171">
        <f>AP10+AP26</f>
        <v>408513</v>
      </c>
      <c r="AQ9" s="174">
        <f t="shared" si="18"/>
        <v>-4.3693729545997262E-2</v>
      </c>
      <c r="AR9" s="172">
        <f t="shared" si="19"/>
        <v>0.11697668504994119</v>
      </c>
      <c r="AS9" s="173">
        <f>AS10+AS26</f>
        <v>384313</v>
      </c>
      <c r="AT9" s="171">
        <f>AT10+AT26</f>
        <v>421568</v>
      </c>
      <c r="AU9" s="171">
        <f>AU10+AU26</f>
        <v>432986</v>
      </c>
      <c r="AV9" s="174">
        <f t="shared" si="20"/>
        <v>2.7084598451495356E-2</v>
      </c>
      <c r="AW9" s="175">
        <f t="shared" si="21"/>
        <v>0.12664937173605884</v>
      </c>
      <c r="AX9" s="170">
        <f>AX10+AX26</f>
        <v>385877</v>
      </c>
      <c r="AY9" s="171">
        <f>AY10+AY26</f>
        <v>452364</v>
      </c>
      <c r="AZ9" s="171">
        <f>AZ10+AZ26</f>
        <v>415086</v>
      </c>
      <c r="BA9" s="174">
        <f t="shared" si="22"/>
        <v>-8.2407088097196102E-2</v>
      </c>
      <c r="BB9" s="172">
        <f t="shared" si="23"/>
        <v>7.5695104916851719E-2</v>
      </c>
      <c r="BC9" s="173">
        <f>BC10+BC26</f>
        <v>367503</v>
      </c>
      <c r="BD9" s="171">
        <f>BD10+BD26</f>
        <v>429714</v>
      </c>
      <c r="BE9" s="171">
        <f>BE10+BE26</f>
        <v>384010</v>
      </c>
      <c r="BF9" s="174">
        <f t="shared" si="24"/>
        <v>-0.10635911327068703</v>
      </c>
      <c r="BG9" s="175">
        <f t="shared" si="25"/>
        <v>4.4916640136271058E-2</v>
      </c>
      <c r="BH9" s="170">
        <f>BH10+BH26</f>
        <v>518324</v>
      </c>
      <c r="BI9" s="171">
        <f>BI10+BI26</f>
        <v>553750</v>
      </c>
      <c r="BJ9" s="171">
        <f>BJ10+BJ26</f>
        <v>543703</v>
      </c>
      <c r="BK9" s="174">
        <f t="shared" si="26"/>
        <v>-1.8143566591422133E-2</v>
      </c>
      <c r="BL9" s="172">
        <f t="shared" si="27"/>
        <v>4.8963582623995805E-2</v>
      </c>
      <c r="BM9" s="173">
        <f>BM10+BM26</f>
        <v>478461</v>
      </c>
      <c r="BN9" s="171">
        <f>BN10+BN26</f>
        <v>543143</v>
      </c>
      <c r="BO9" s="171">
        <f>BO10+BO26</f>
        <v>469271</v>
      </c>
      <c r="BP9" s="174">
        <f t="shared" si="28"/>
        <v>-0.13600838084997868</v>
      </c>
      <c r="BQ9" s="175">
        <f t="shared" si="29"/>
        <v>-1.9207417114456504E-2</v>
      </c>
      <c r="BR9" s="170">
        <f>BR10+BR26</f>
        <v>415180</v>
      </c>
      <c r="BS9" s="171">
        <f>BS10+BS26</f>
        <v>487944</v>
      </c>
      <c r="BT9" s="171">
        <f>BT10+BT26</f>
        <v>438547</v>
      </c>
      <c r="BU9" s="174">
        <f t="shared" si="30"/>
        <v>-0.10123497778433588</v>
      </c>
      <c r="BV9" s="175">
        <f t="shared" si="31"/>
        <v>5.6281612794450542E-2</v>
      </c>
    </row>
    <row r="10" spans="2:77" ht="17.25" thickBot="1" x14ac:dyDescent="0.35">
      <c r="B10" s="301"/>
      <c r="C10" s="301"/>
      <c r="D10" s="309" t="s">
        <v>19</v>
      </c>
      <c r="E10" s="310"/>
      <c r="F10" s="185">
        <f>F15+F20+F23+F24+F25</f>
        <v>3885312</v>
      </c>
      <c r="G10" s="186">
        <f>G15+G20+G23+G24+G25</f>
        <v>4024174</v>
      </c>
      <c r="H10" s="186">
        <f>H15+H20+H23+H24+H25</f>
        <v>4647500</v>
      </c>
      <c r="I10" s="187">
        <f t="shared" si="5"/>
        <v>0.15489538971227379</v>
      </c>
      <c r="J10" s="188">
        <f>J15+J20+J23+J24+J25</f>
        <v>4026494</v>
      </c>
      <c r="K10" s="188">
        <f t="shared" ref="K10:L10" si="35">K15+K20+K23+K24+K25</f>
        <v>4629289</v>
      </c>
      <c r="L10" s="188">
        <f t="shared" si="35"/>
        <v>4179787</v>
      </c>
      <c r="M10" s="189">
        <f t="shared" si="6"/>
        <v>-9.7099576198418358E-2</v>
      </c>
      <c r="N10" s="190">
        <f t="shared" si="7"/>
        <v>3.8071086160813783E-2</v>
      </c>
      <c r="O10" s="188">
        <f>O15+O20+O23+O24+O25</f>
        <v>354600</v>
      </c>
      <c r="P10" s="186">
        <f>P15+P20+P23+P24+P25</f>
        <v>371800</v>
      </c>
      <c r="Q10" s="186">
        <f>Q15+Q20+Q23+Q24+Q25</f>
        <v>274687</v>
      </c>
      <c r="R10" s="189">
        <f t="shared" si="8"/>
        <v>-0.26119688004303387</v>
      </c>
      <c r="S10" s="190">
        <f t="shared" si="9"/>
        <v>-0.22536097010716305</v>
      </c>
      <c r="T10" s="185">
        <f>T15+T20+T23+T24+T25</f>
        <v>319786</v>
      </c>
      <c r="U10" s="186">
        <f>U15+U20+U23+U24+U25</f>
        <v>371800</v>
      </c>
      <c r="V10" s="186">
        <f>V15+V20+V23+V24+V25</f>
        <v>268242</v>
      </c>
      <c r="W10" s="189">
        <f t="shared" si="10"/>
        <v>-0.27853146853146848</v>
      </c>
      <c r="X10" s="187">
        <f t="shared" si="11"/>
        <v>-0.16118279099147559</v>
      </c>
      <c r="Y10" s="188">
        <f>Y15+Y20+Y23+Y24+Y25</f>
        <v>338677</v>
      </c>
      <c r="Z10" s="186">
        <f>Z15+Z20+Z23+Z24+Z25</f>
        <v>371800</v>
      </c>
      <c r="AA10" s="186">
        <f>AA15+AA20+AA23+AA24+AA25</f>
        <v>393184</v>
      </c>
      <c r="AB10" s="189">
        <f t="shared" si="12"/>
        <v>5.7514792899408196E-2</v>
      </c>
      <c r="AC10" s="190">
        <f t="shared" si="13"/>
        <v>0.16094095554171073</v>
      </c>
      <c r="AD10" s="185">
        <f>AD15+AD20+AD23+AD24+AD25</f>
        <v>267228</v>
      </c>
      <c r="AE10" s="186">
        <f>AE15+AE20+AE23+AE24+AE25</f>
        <v>371800</v>
      </c>
      <c r="AF10" s="186">
        <f>AF15+AF20+AF23+AF24+AF25</f>
        <v>372658</v>
      </c>
      <c r="AG10" s="189">
        <f t="shared" si="14"/>
        <v>2.3076923076923439E-3</v>
      </c>
      <c r="AH10" s="187">
        <f t="shared" si="15"/>
        <v>0.3945320101187002</v>
      </c>
      <c r="AI10" s="188">
        <f>AI15+AI20+AI23+AI24+AI25</f>
        <v>312554</v>
      </c>
      <c r="AJ10" s="186">
        <f>AJ15+AJ20+AJ23+AJ24+AJ25</f>
        <v>359327</v>
      </c>
      <c r="AK10" s="186">
        <f>AK15+AK20+AK23+AK24+AK25</f>
        <v>317789</v>
      </c>
      <c r="AL10" s="189">
        <f t="shared" si="16"/>
        <v>-0.11559944006434253</v>
      </c>
      <c r="AM10" s="190">
        <f t="shared" si="17"/>
        <v>1.6749105754525706E-2</v>
      </c>
      <c r="AN10" s="185">
        <f>AN15+AN20+AN23+AN24+AN25</f>
        <v>311518</v>
      </c>
      <c r="AO10" s="186">
        <f>AO15+AO20+AO23+AO24+AO25</f>
        <v>358523</v>
      </c>
      <c r="AP10" s="186">
        <f>AP15+AP20+AP23+AP24+AP25</f>
        <v>341134</v>
      </c>
      <c r="AQ10" s="189">
        <f t="shared" si="18"/>
        <v>-4.8501769760935787E-2</v>
      </c>
      <c r="AR10" s="187">
        <f t="shared" si="19"/>
        <v>9.5069947803979149E-2</v>
      </c>
      <c r="AS10" s="188">
        <f>AS15+AS20+AS23+AS24+AS25</f>
        <v>311734</v>
      </c>
      <c r="AT10" s="186">
        <f>AT15+AT20+AT23+AT24+AT25</f>
        <v>353813</v>
      </c>
      <c r="AU10" s="186">
        <f>AU15+AU20+AU23+AU24+AU25</f>
        <v>349793</v>
      </c>
      <c r="AV10" s="189">
        <f t="shared" si="20"/>
        <v>-1.1361934129045514E-2</v>
      </c>
      <c r="AW10" s="190">
        <f t="shared" si="21"/>
        <v>0.12208806225820723</v>
      </c>
      <c r="AX10" s="185">
        <f>AX15+AX20+AX23+AX24+AX25</f>
        <v>319124</v>
      </c>
      <c r="AY10" s="186">
        <f>AY15+AY20+AY23+AY24+AY25</f>
        <v>379659</v>
      </c>
      <c r="AZ10" s="186">
        <f>AZ15+AZ20+AZ23+AZ24+AZ25</f>
        <v>333757</v>
      </c>
      <c r="BA10" s="189">
        <f t="shared" si="22"/>
        <v>-0.12090323158413208</v>
      </c>
      <c r="BB10" s="187">
        <f t="shared" si="23"/>
        <v>4.5853649365137139E-2</v>
      </c>
      <c r="BC10" s="188">
        <f>BC15+BC20+BC23+BC24+BC25</f>
        <v>309742</v>
      </c>
      <c r="BD10" s="186">
        <f>BD15+BD20+BD23+BD24+BD25</f>
        <v>360649</v>
      </c>
      <c r="BE10" s="186">
        <f>BE15+BE20+BE23+BE24+BE25</f>
        <v>321541</v>
      </c>
      <c r="BF10" s="189">
        <f t="shared" si="24"/>
        <v>-0.10843784399790379</v>
      </c>
      <c r="BG10" s="190">
        <f t="shared" si="25"/>
        <v>3.809299352364226E-2</v>
      </c>
      <c r="BH10" s="185">
        <f>BH15+BH20+BH23+BH24+BH25</f>
        <v>438468</v>
      </c>
      <c r="BI10" s="186">
        <f>BI15+BI20+BI23+BI24+BI25</f>
        <v>464750</v>
      </c>
      <c r="BJ10" s="186">
        <f>BJ15+BJ20+BJ23+BJ24+BJ25</f>
        <v>457529</v>
      </c>
      <c r="BK10" s="189">
        <f t="shared" si="26"/>
        <v>-1.5537385691231864E-2</v>
      </c>
      <c r="BL10" s="187">
        <f t="shared" si="27"/>
        <v>4.3471815503069777E-2</v>
      </c>
      <c r="BM10" s="188">
        <f>BM15+BM20+BM23+BM24+BM25</f>
        <v>392437</v>
      </c>
      <c r="BN10" s="186">
        <f>BN15+BN20+BN23+BN24+BN25</f>
        <v>455848</v>
      </c>
      <c r="BO10" s="186">
        <f>BO15+BO20+BO23+BO24+BO25</f>
        <v>381403</v>
      </c>
      <c r="BP10" s="189">
        <f t="shared" si="28"/>
        <v>-0.16331101595268593</v>
      </c>
      <c r="BQ10" s="190">
        <f t="shared" si="29"/>
        <v>-2.8116614896148917E-2</v>
      </c>
      <c r="BR10" s="185">
        <f>BR15+BR20+BR23+BR24+BR25</f>
        <v>350626</v>
      </c>
      <c r="BS10" s="186">
        <f>BS15+BS20+BS23+BS24+BS25</f>
        <v>409520</v>
      </c>
      <c r="BT10" s="186">
        <f>BT15+BT20+BT23+BT24+BT25</f>
        <v>368070</v>
      </c>
      <c r="BU10" s="189">
        <f t="shared" si="30"/>
        <v>-0.10121605782379373</v>
      </c>
      <c r="BV10" s="190">
        <f t="shared" si="31"/>
        <v>4.9751016752893396E-2</v>
      </c>
    </row>
    <row r="11" spans="2:77" ht="17.25" thickBot="1" x14ac:dyDescent="0.35">
      <c r="B11" s="301"/>
      <c r="C11" s="301"/>
      <c r="D11" s="370" t="s">
        <v>73</v>
      </c>
      <c r="E11" s="371"/>
      <c r="F11" s="236">
        <f>F12+F13+F16+F17+F18+F21+F24</f>
        <v>2319785</v>
      </c>
      <c r="G11" s="236">
        <f t="shared" ref="G11:H11" si="36">G12+G13+G16+G17+G18+G21+G24</f>
        <v>2526417</v>
      </c>
      <c r="H11" s="236">
        <f t="shared" si="36"/>
        <v>2923500</v>
      </c>
      <c r="I11" s="238">
        <f t="shared" si="5"/>
        <v>0.15717239078109424</v>
      </c>
      <c r="J11" s="239">
        <f>J12+J13+J16+J17+J18+J21+J24</f>
        <v>2526417</v>
      </c>
      <c r="K11" s="239">
        <f t="shared" ref="K11:L11" si="37">K12+K13+K16+K17+K18+K21+K24</f>
        <v>2912036</v>
      </c>
      <c r="L11" s="239">
        <f t="shared" si="37"/>
        <v>2758457</v>
      </c>
      <c r="M11" s="240">
        <f t="shared" ref="M11" si="38">L11/K11-1</f>
        <v>-5.2739389210847643E-2</v>
      </c>
      <c r="N11" s="241">
        <f t="shared" ref="N11" si="39">L11/J11-1</f>
        <v>9.1845487106839485E-2</v>
      </c>
      <c r="O11" s="239">
        <f t="shared" ref="O11" si="40">O12+O13+O16+O17+O18+O21+O24</f>
        <v>176249</v>
      </c>
      <c r="P11" s="237">
        <f t="shared" ref="P11" si="41">P12+P13+P16+P17+P18+P21+P24</f>
        <v>233880</v>
      </c>
      <c r="Q11" s="237">
        <f t="shared" ref="Q11" si="42">Q12+Q13+Q16+Q17+Q18+Q21+Q24</f>
        <v>196934</v>
      </c>
      <c r="R11" s="240">
        <f t="shared" si="8"/>
        <v>-0.1579698990935523</v>
      </c>
      <c r="S11" s="241">
        <f t="shared" si="9"/>
        <v>0.11736236801343547</v>
      </c>
      <c r="T11" s="236">
        <f t="shared" ref="T11" si="43">T12+T13+T16+T17+T18+T21+T24</f>
        <v>239337</v>
      </c>
      <c r="U11" s="237">
        <f t="shared" ref="U11" si="44">U12+U13+U16+U17+U18+U21+U24</f>
        <v>233880</v>
      </c>
      <c r="V11" s="237">
        <f t="shared" ref="V11" si="45">V12+V13+V16+V17+V18+V21+V24</f>
        <v>175693</v>
      </c>
      <c r="W11" s="240">
        <f t="shared" si="10"/>
        <v>-0.2487899777663759</v>
      </c>
      <c r="X11" s="238">
        <f t="shared" si="11"/>
        <v>-0.265917931619432</v>
      </c>
      <c r="Y11" s="239">
        <f t="shared" ref="Y11" si="46">Y12+Y13+Y16+Y17+Y18+Y21+Y24</f>
        <v>203055</v>
      </c>
      <c r="Z11" s="237">
        <f t="shared" ref="Z11" si="47">Z12+Z13+Z16+Z17+Z18+Z21+Z24</f>
        <v>233880</v>
      </c>
      <c r="AA11" s="237">
        <f t="shared" ref="AA11" si="48">AA12+AA13+AA16+AA17+AA18+AA21+AA24</f>
        <v>279353</v>
      </c>
      <c r="AB11" s="240">
        <f t="shared" si="12"/>
        <v>0.19442876688900301</v>
      </c>
      <c r="AC11" s="241">
        <f t="shared" si="13"/>
        <v>0.37575041244982876</v>
      </c>
      <c r="AD11" s="236">
        <f t="shared" ref="AD11" si="49">AD12+AD13+AD16+AD17+AD18+AD21+AD24</f>
        <v>167275</v>
      </c>
      <c r="AE11" s="237">
        <f t="shared" ref="AE11" si="50">AE12+AE13+AE16+AE17+AE18+AE21+AE24</f>
        <v>233880</v>
      </c>
      <c r="AF11" s="237">
        <f t="shared" ref="AF11" si="51">AF12+AF13+AF16+AF17+AF18+AF21+AF24</f>
        <v>238174</v>
      </c>
      <c r="AG11" s="240">
        <f t="shared" si="14"/>
        <v>1.8359842654352754E-2</v>
      </c>
      <c r="AH11" s="238">
        <f t="shared" si="15"/>
        <v>0.42384695860110599</v>
      </c>
      <c r="AI11" s="239">
        <f t="shared" ref="AI11" si="52">AI12+AI13+AI16+AI17+AI18+AI21+AI24</f>
        <v>190928</v>
      </c>
      <c r="AJ11" s="237">
        <f t="shared" ref="AJ11" si="53">AJ12+AJ13+AJ16+AJ17+AJ18+AJ21+AJ24</f>
        <v>226034</v>
      </c>
      <c r="AK11" s="237">
        <f t="shared" ref="AK11" si="54">AK12+AK13+AK16+AK17+AK18+AK21+AK24</f>
        <v>202277</v>
      </c>
      <c r="AL11" s="240">
        <f t="shared" si="16"/>
        <v>-0.10510365697196</v>
      </c>
      <c r="AM11" s="241">
        <f t="shared" si="17"/>
        <v>5.9441255342328025E-2</v>
      </c>
      <c r="AN11" s="236">
        <f t="shared" ref="AN11" si="55">AN12+AN13+AN16+AN17+AN18+AN21+AN24</f>
        <v>204594</v>
      </c>
      <c r="AO11" s="237">
        <f t="shared" ref="AO11" si="56">AO12+AO13+AO16+AO17+AO18+AO21+AO24</f>
        <v>225522</v>
      </c>
      <c r="AP11" s="237">
        <f t="shared" ref="AP11" si="57">AP12+AP13+AP16+AP17+AP18+AP21+AP24</f>
        <v>220110</v>
      </c>
      <c r="AQ11" s="240">
        <f t="shared" si="18"/>
        <v>-2.3997658764998486E-2</v>
      </c>
      <c r="AR11" s="238">
        <f t="shared" si="19"/>
        <v>7.5838001114402198E-2</v>
      </c>
      <c r="AS11" s="239">
        <f t="shared" ref="AS11" si="58">AS12+AS13+AS16+AS17+AS18+AS21+AS24</f>
        <v>204567</v>
      </c>
      <c r="AT11" s="237">
        <f t="shared" ref="AT11" si="59">AT12+AT13+AT16+AT17+AT18+AT21+AT24</f>
        <v>222565</v>
      </c>
      <c r="AU11" s="237">
        <f t="shared" ref="AU11" si="60">AU12+AU13+AU16+AU17+AU18+AU21+AU24</f>
        <v>213751</v>
      </c>
      <c r="AV11" s="240">
        <f t="shared" si="20"/>
        <v>-3.9601914047581621E-2</v>
      </c>
      <c r="AW11" s="241">
        <f t="shared" si="21"/>
        <v>4.489482663381672E-2</v>
      </c>
      <c r="AX11" s="236">
        <f t="shared" ref="AX11" si="61">AX12+AX13+AX16+AX17+AX18+AX21+AX24</f>
        <v>199282</v>
      </c>
      <c r="AY11" s="237">
        <f t="shared" ref="AY11" si="62">AY12+AY13+AY16+AY17+AY18+AY21+AY24</f>
        <v>238823</v>
      </c>
      <c r="AZ11" s="237">
        <f t="shared" ref="AZ11" si="63">AZ12+AZ13+AZ16+AZ17+AZ18+AZ21+AZ24</f>
        <v>221691</v>
      </c>
      <c r="BA11" s="240">
        <f t="shared" si="22"/>
        <v>-7.1735134388228983E-2</v>
      </c>
      <c r="BB11" s="238">
        <f t="shared" si="23"/>
        <v>0.112448690799972</v>
      </c>
      <c r="BC11" s="239">
        <f t="shared" ref="BC11" si="64">BC12+BC13+BC16+BC17+BC18+BC21+BC24</f>
        <v>199200</v>
      </c>
      <c r="BD11" s="237">
        <f t="shared" ref="BD11" si="65">BD12+BD13+BD16+BD17+BD18+BD21+BD24</f>
        <v>226865</v>
      </c>
      <c r="BE11" s="237">
        <f t="shared" ref="BE11" si="66">BE12+BE13+BE16+BE17+BE18+BE21+BE24</f>
        <v>212618</v>
      </c>
      <c r="BF11" s="240">
        <f t="shared" si="24"/>
        <v>-6.2799462235250014E-2</v>
      </c>
      <c r="BG11" s="241">
        <f t="shared" si="25"/>
        <v>6.7359437751004059E-2</v>
      </c>
      <c r="BH11" s="236">
        <f t="shared" ref="BH11" si="67">BH12+BH13+BH16+BH17+BH18+BH21+BH24</f>
        <v>230412</v>
      </c>
      <c r="BI11" s="237">
        <f t="shared" ref="BI11" si="68">BI12+BI13+BI16+BI17+BI18+BI21+BI24</f>
        <v>292350</v>
      </c>
      <c r="BJ11" s="237">
        <f t="shared" ref="BJ11" si="69">BJ12+BJ13+BJ16+BJ17+BJ18+BJ21+BJ24</f>
        <v>323624</v>
      </c>
      <c r="BK11" s="240">
        <f t="shared" si="26"/>
        <v>0.10697451684624593</v>
      </c>
      <c r="BL11" s="238">
        <f t="shared" si="27"/>
        <v>0.40454490217523387</v>
      </c>
      <c r="BM11" s="239">
        <f t="shared" ref="BM11" si="70">BM12+BM13+BM16+BM17+BM18+BM21+BM24</f>
        <v>308835</v>
      </c>
      <c r="BN11" s="237">
        <f t="shared" ref="BN11" si="71">BN12+BN13+BN16+BN17+BN18+BN21+BN24</f>
        <v>286750</v>
      </c>
      <c r="BO11" s="237">
        <f t="shared" ref="BO11" si="72">BO12+BO13+BO16+BO17+BO18+BO21+BO24</f>
        <v>238215</v>
      </c>
      <c r="BP11" s="240">
        <f t="shared" si="28"/>
        <v>-0.16925893635571054</v>
      </c>
      <c r="BQ11" s="241">
        <f t="shared" si="29"/>
        <v>-0.22866579241342466</v>
      </c>
      <c r="BR11" s="236">
        <f t="shared" ref="BR11" si="73">BR12+BR13+BR16+BR17+BR18+BR21+BR24</f>
        <v>202683</v>
      </c>
      <c r="BS11" s="237">
        <f t="shared" ref="BS11" si="74">BS12+BS13+BS16+BS17+BS18+BS21+BS24</f>
        <v>257607</v>
      </c>
      <c r="BT11" s="237">
        <f t="shared" ref="BT11" si="75">BT12+BT13+BT16+BT17+BT18+BT21+BT24</f>
        <v>236017</v>
      </c>
      <c r="BU11" s="240">
        <f t="shared" si="30"/>
        <v>-8.3809834360091151E-2</v>
      </c>
      <c r="BV11" s="241">
        <f t="shared" si="31"/>
        <v>0.16446371920684033</v>
      </c>
    </row>
    <row r="12" spans="2:77" x14ac:dyDescent="0.3">
      <c r="B12" s="301"/>
      <c r="C12" s="301"/>
      <c r="D12" s="311" t="s">
        <v>52</v>
      </c>
      <c r="E12" s="192" t="s">
        <v>20</v>
      </c>
      <c r="F12" s="52">
        <f>'2023년 실적'!F12</f>
        <v>274504</v>
      </c>
      <c r="G12" s="38">
        <f>'2023년 실적'!G12</f>
        <v>321951</v>
      </c>
      <c r="H12" s="38">
        <v>355000</v>
      </c>
      <c r="I12" s="77">
        <f t="shared" si="5"/>
        <v>0.10265226695987906</v>
      </c>
      <c r="J12" s="131">
        <f>O12+T12+Y12+AD12+AI12+AN12+AS12+AX12+BC12+BH12+BM12+BR12</f>
        <v>321951</v>
      </c>
      <c r="K12" s="132">
        <f t="shared" ref="K12:K14" si="76">P12+U12+Z12+AE12+AJ12+AO12+AT12+AY12+BD12+BI12+BN12+BS12</f>
        <v>353607</v>
      </c>
      <c r="L12" s="132">
        <f t="shared" ref="L12:L14" si="77">Q12+V12+AA12+AF12+AK12+AP12+AU12+AZ12+BE12+BJ12+BO12+BT12</f>
        <v>326920</v>
      </c>
      <c r="M12" s="115">
        <f t="shared" si="6"/>
        <v>-7.5470791019408567E-2</v>
      </c>
      <c r="N12" s="10">
        <f t="shared" si="7"/>
        <v>1.5434025674714524E-2</v>
      </c>
      <c r="O12" s="8">
        <f>'2023년 실적'!P12</f>
        <v>22882</v>
      </c>
      <c r="P12" s="38">
        <v>28400</v>
      </c>
      <c r="Q12" s="38">
        <v>25459</v>
      </c>
      <c r="R12" s="115">
        <f t="shared" si="8"/>
        <v>-0.10355633802816899</v>
      </c>
      <c r="S12" s="10">
        <f t="shared" si="9"/>
        <v>0.11262127436412905</v>
      </c>
      <c r="T12" s="52">
        <f>'2023년 실적'!U12</f>
        <v>25581</v>
      </c>
      <c r="U12" s="38">
        <v>28400</v>
      </c>
      <c r="V12" s="38">
        <v>23473</v>
      </c>
      <c r="W12" s="115">
        <f t="shared" si="10"/>
        <v>-0.17348591549295778</v>
      </c>
      <c r="X12" s="77">
        <f t="shared" si="11"/>
        <v>-8.2404909894062017E-2</v>
      </c>
      <c r="Y12" s="8">
        <f>'2023년 실적'!Z12</f>
        <v>21966</v>
      </c>
      <c r="Z12" s="38">
        <v>28400</v>
      </c>
      <c r="AA12" s="38">
        <v>29112</v>
      </c>
      <c r="AB12" s="115">
        <f t="shared" si="12"/>
        <v>2.507042253521119E-2</v>
      </c>
      <c r="AC12" s="10">
        <f t="shared" si="13"/>
        <v>0.32532095055995636</v>
      </c>
      <c r="AD12" s="52">
        <f>'2023년 실적'!AE12</f>
        <v>23867</v>
      </c>
      <c r="AE12" s="38">
        <v>28400</v>
      </c>
      <c r="AF12" s="38">
        <v>26275</v>
      </c>
      <c r="AG12" s="115">
        <f t="shared" si="14"/>
        <v>-7.482394366197187E-2</v>
      </c>
      <c r="AH12" s="77">
        <f t="shared" si="15"/>
        <v>0.10089244563623412</v>
      </c>
      <c r="AI12" s="8">
        <f>'2023년 실적'!AJ12</f>
        <v>26277</v>
      </c>
      <c r="AJ12" s="38">
        <v>27447</v>
      </c>
      <c r="AK12" s="38">
        <v>25884</v>
      </c>
      <c r="AL12" s="115">
        <f t="shared" si="16"/>
        <v>-5.694611432943486E-2</v>
      </c>
      <c r="AM12" s="10">
        <f t="shared" si="17"/>
        <v>-1.4956045210640534E-2</v>
      </c>
      <c r="AN12" s="52">
        <f>'2023년 실적'!AO12</f>
        <v>28344</v>
      </c>
      <c r="AO12" s="38">
        <v>27385</v>
      </c>
      <c r="AP12" s="38">
        <v>25094</v>
      </c>
      <c r="AQ12" s="115">
        <f t="shared" si="18"/>
        <v>-8.3658937374475051E-2</v>
      </c>
      <c r="AR12" s="77">
        <f t="shared" si="19"/>
        <v>-0.11466271521309623</v>
      </c>
      <c r="AS12" s="8">
        <f>'2023년 실적'!AT12</f>
        <v>24918</v>
      </c>
      <c r="AT12" s="38">
        <v>27026</v>
      </c>
      <c r="AU12" s="38">
        <v>27682</v>
      </c>
      <c r="AV12" s="115">
        <f t="shared" si="20"/>
        <v>2.4272922371050054E-2</v>
      </c>
      <c r="AW12" s="10">
        <f t="shared" si="21"/>
        <v>0.1109238301629345</v>
      </c>
      <c r="AX12" s="52">
        <f>'2023년 실적'!AY12</f>
        <v>24874</v>
      </c>
      <c r="AY12" s="38">
        <v>29000</v>
      </c>
      <c r="AZ12" s="38">
        <v>30232</v>
      </c>
      <c r="BA12" s="115">
        <f t="shared" si="22"/>
        <v>4.2482758620689731E-2</v>
      </c>
      <c r="BB12" s="77">
        <f t="shared" si="23"/>
        <v>0.21540564444801791</v>
      </c>
      <c r="BC12" s="8">
        <f>'2023년 실적'!BD12</f>
        <v>27144</v>
      </c>
      <c r="BD12" s="38">
        <v>27548</v>
      </c>
      <c r="BE12" s="38">
        <v>25176</v>
      </c>
      <c r="BF12" s="115">
        <f t="shared" si="24"/>
        <v>-8.6104254392333379E-2</v>
      </c>
      <c r="BG12" s="10">
        <f t="shared" si="25"/>
        <v>-7.2502210433244896E-2</v>
      </c>
      <c r="BH12" s="52">
        <f>'2023년 실적'!BI12</f>
        <v>30214</v>
      </c>
      <c r="BI12" s="38">
        <v>35500</v>
      </c>
      <c r="BJ12" s="38">
        <v>28252</v>
      </c>
      <c r="BK12" s="115">
        <f t="shared" si="26"/>
        <v>-0.20416901408450705</v>
      </c>
      <c r="BL12" s="77">
        <f t="shared" si="27"/>
        <v>-6.4936784272191739E-2</v>
      </c>
      <c r="BM12" s="8">
        <f>'2023년 실적'!BN12</f>
        <v>34230</v>
      </c>
      <c r="BN12" s="38">
        <v>34820</v>
      </c>
      <c r="BO12" s="38">
        <v>31261</v>
      </c>
      <c r="BP12" s="115">
        <f t="shared" si="28"/>
        <v>-0.10221137277426762</v>
      </c>
      <c r="BQ12" s="10">
        <f t="shared" si="29"/>
        <v>-8.6736780601811225E-2</v>
      </c>
      <c r="BR12" s="52">
        <f>'2023년 실적'!BS12</f>
        <v>31654</v>
      </c>
      <c r="BS12" s="38">
        <v>31281</v>
      </c>
      <c r="BT12" s="38">
        <v>29020</v>
      </c>
      <c r="BU12" s="115">
        <f t="shared" si="30"/>
        <v>-7.2280297944439131E-2</v>
      </c>
      <c r="BV12" s="10">
        <f t="shared" si="31"/>
        <v>-8.3212232261325569E-2</v>
      </c>
    </row>
    <row r="13" spans="2:77" x14ac:dyDescent="0.3">
      <c r="B13" s="301"/>
      <c r="C13" s="301"/>
      <c r="D13" s="312"/>
      <c r="E13" s="67" t="s">
        <v>21</v>
      </c>
      <c r="F13" s="45">
        <f>'2023년 실적'!F13</f>
        <v>394629</v>
      </c>
      <c r="G13" s="39">
        <f>'2023년 실적'!G13</f>
        <v>419768</v>
      </c>
      <c r="H13" s="39">
        <v>574000</v>
      </c>
      <c r="I13" s="33">
        <f t="shared" si="5"/>
        <v>0.36742200453583895</v>
      </c>
      <c r="J13" s="107">
        <f t="shared" ref="J13:J14" si="78">O13+T13+Y13+AD13+AI13+AN13+AS13+AX13+BC13+BH13+BM13+BR13</f>
        <v>419768</v>
      </c>
      <c r="K13" s="87">
        <f t="shared" si="76"/>
        <v>571751</v>
      </c>
      <c r="L13" s="87">
        <f t="shared" si="77"/>
        <v>408254</v>
      </c>
      <c r="M13" s="88">
        <f t="shared" si="6"/>
        <v>-0.28595839797394318</v>
      </c>
      <c r="N13" s="15">
        <f t="shared" si="7"/>
        <v>-2.7429437212936669E-2</v>
      </c>
      <c r="O13" s="13">
        <f>'2023년 실적'!P13</f>
        <v>24520</v>
      </c>
      <c r="P13" s="39">
        <v>45920</v>
      </c>
      <c r="Q13" s="39">
        <v>23114</v>
      </c>
      <c r="R13" s="88">
        <f t="shared" si="8"/>
        <v>-0.49664634146341469</v>
      </c>
      <c r="S13" s="15">
        <f t="shared" si="9"/>
        <v>-5.7340946166394735E-2</v>
      </c>
      <c r="T13" s="45">
        <f>'2023년 실적'!U13</f>
        <v>42820</v>
      </c>
      <c r="U13" s="39">
        <v>45920</v>
      </c>
      <c r="V13" s="39">
        <v>23040</v>
      </c>
      <c r="W13" s="88">
        <f t="shared" si="10"/>
        <v>-0.49825783972125437</v>
      </c>
      <c r="X13" s="33">
        <f t="shared" si="11"/>
        <v>-0.46193367585240541</v>
      </c>
      <c r="Y13" s="13">
        <f>'2023년 실적'!Z13</f>
        <v>27988</v>
      </c>
      <c r="Z13" s="39">
        <v>45920</v>
      </c>
      <c r="AA13" s="39">
        <v>32253</v>
      </c>
      <c r="AB13" s="88">
        <f t="shared" si="12"/>
        <v>-0.29762630662020906</v>
      </c>
      <c r="AC13" s="15">
        <f t="shared" si="13"/>
        <v>0.15238673717307427</v>
      </c>
      <c r="AD13" s="45">
        <f>'2023년 실적'!AE13</f>
        <v>27340</v>
      </c>
      <c r="AE13" s="39">
        <v>45920</v>
      </c>
      <c r="AF13" s="39">
        <v>38343</v>
      </c>
      <c r="AG13" s="88">
        <f t="shared" si="14"/>
        <v>-0.16500435540069691</v>
      </c>
      <c r="AH13" s="33">
        <f t="shared" si="15"/>
        <v>0.40245062179956115</v>
      </c>
      <c r="AI13" s="13">
        <f>'2023년 실적'!AJ13</f>
        <v>29937</v>
      </c>
      <c r="AJ13" s="39">
        <v>44380</v>
      </c>
      <c r="AK13" s="39">
        <v>27107</v>
      </c>
      <c r="AL13" s="88">
        <f t="shared" si="16"/>
        <v>-0.38920684993240195</v>
      </c>
      <c r="AM13" s="15">
        <f t="shared" si="17"/>
        <v>-9.4531850218792846E-2</v>
      </c>
      <c r="AN13" s="45">
        <f>'2023년 실적'!AO13</f>
        <v>31700</v>
      </c>
      <c r="AO13" s="39">
        <v>44279</v>
      </c>
      <c r="AP13" s="39">
        <v>31256</v>
      </c>
      <c r="AQ13" s="88">
        <f t="shared" si="18"/>
        <v>-0.29411233316018881</v>
      </c>
      <c r="AR13" s="33">
        <f t="shared" si="19"/>
        <v>-1.400630914826495E-2</v>
      </c>
      <c r="AS13" s="13">
        <f>'2023년 실적'!AT13</f>
        <v>33415</v>
      </c>
      <c r="AT13" s="39">
        <v>43698</v>
      </c>
      <c r="AU13" s="39">
        <v>31416</v>
      </c>
      <c r="AV13" s="88">
        <f t="shared" si="20"/>
        <v>-0.281065494988329</v>
      </c>
      <c r="AW13" s="15">
        <f t="shared" si="21"/>
        <v>-5.9823432590154102E-2</v>
      </c>
      <c r="AX13" s="45">
        <f>'2023년 실적'!AY13</f>
        <v>33368</v>
      </c>
      <c r="AY13" s="39">
        <v>46891</v>
      </c>
      <c r="AZ13" s="39">
        <v>30542</v>
      </c>
      <c r="BA13" s="88">
        <f t="shared" si="22"/>
        <v>-0.34865965750357208</v>
      </c>
      <c r="BB13" s="33">
        <f t="shared" si="23"/>
        <v>-8.4691920402781062E-2</v>
      </c>
      <c r="BC13" s="13">
        <f>'2023년 실적'!BD13</f>
        <v>32470</v>
      </c>
      <c r="BD13" s="39">
        <v>44543</v>
      </c>
      <c r="BE13" s="39">
        <v>32278</v>
      </c>
      <c r="BF13" s="88">
        <f t="shared" si="24"/>
        <v>-0.27535190714590396</v>
      </c>
      <c r="BG13" s="15">
        <f t="shared" si="25"/>
        <v>-5.9131506005543066E-3</v>
      </c>
      <c r="BH13" s="45">
        <f>'2023년 실적'!BI13</f>
        <v>39064</v>
      </c>
      <c r="BI13" s="39">
        <v>57400</v>
      </c>
      <c r="BJ13" s="39">
        <v>63542</v>
      </c>
      <c r="BK13" s="88">
        <f t="shared" si="26"/>
        <v>0.1070034843205574</v>
      </c>
      <c r="BL13" s="33">
        <f t="shared" si="27"/>
        <v>0.62661273807085816</v>
      </c>
      <c r="BM13" s="13">
        <f>'2023년 실적'!BN13</f>
        <v>62218</v>
      </c>
      <c r="BN13" s="39">
        <v>56301</v>
      </c>
      <c r="BO13" s="39">
        <v>36878</v>
      </c>
      <c r="BP13" s="88">
        <f t="shared" si="28"/>
        <v>-0.34498499138558814</v>
      </c>
      <c r="BQ13" s="15">
        <f t="shared" si="29"/>
        <v>-0.40727763669677586</v>
      </c>
      <c r="BR13" s="45">
        <f>'2023년 실적'!BS13</f>
        <v>34928</v>
      </c>
      <c r="BS13" s="39">
        <v>50579</v>
      </c>
      <c r="BT13" s="39">
        <v>38485</v>
      </c>
      <c r="BU13" s="88">
        <f t="shared" si="30"/>
        <v>-0.23911109353684334</v>
      </c>
      <c r="BV13" s="15">
        <f t="shared" si="31"/>
        <v>0.10183806688043973</v>
      </c>
    </row>
    <row r="14" spans="2:77" x14ac:dyDescent="0.3">
      <c r="B14" s="301"/>
      <c r="C14" s="301"/>
      <c r="D14" s="312"/>
      <c r="E14" s="67" t="s">
        <v>27</v>
      </c>
      <c r="F14" s="45">
        <f>'2023년 실적'!F14</f>
        <v>398047</v>
      </c>
      <c r="G14" s="39">
        <f>'2023년 실적'!G14</f>
        <v>207830</v>
      </c>
      <c r="H14" s="39">
        <v>260000</v>
      </c>
      <c r="I14" s="33">
        <f t="shared" si="5"/>
        <v>0.25102247028821623</v>
      </c>
      <c r="J14" s="107">
        <f t="shared" si="78"/>
        <v>210150</v>
      </c>
      <c r="K14" s="87">
        <f t="shared" si="76"/>
        <v>258981</v>
      </c>
      <c r="L14" s="87">
        <f t="shared" si="77"/>
        <v>182489</v>
      </c>
      <c r="M14" s="88">
        <f t="shared" si="6"/>
        <v>-0.29535757449388178</v>
      </c>
      <c r="N14" s="15">
        <f t="shared" si="7"/>
        <v>-0.13162502974066148</v>
      </c>
      <c r="O14" s="13">
        <f>'2023년 실적'!P14</f>
        <v>24502</v>
      </c>
      <c r="P14" s="39">
        <v>20800</v>
      </c>
      <c r="Q14" s="39">
        <v>13981</v>
      </c>
      <c r="R14" s="88">
        <f t="shared" si="8"/>
        <v>-0.32783653846153848</v>
      </c>
      <c r="S14" s="15">
        <f t="shared" si="9"/>
        <v>-0.42939351889641664</v>
      </c>
      <c r="T14" s="45">
        <f>'2023년 실적'!U14</f>
        <v>24132</v>
      </c>
      <c r="U14" s="39">
        <v>20800</v>
      </c>
      <c r="V14" s="39">
        <v>8002</v>
      </c>
      <c r="W14" s="88">
        <f t="shared" si="10"/>
        <v>-0.61528846153846151</v>
      </c>
      <c r="X14" s="33">
        <f t="shared" si="11"/>
        <v>-0.66840709431460299</v>
      </c>
      <c r="Y14" s="13">
        <f>'2023년 실적'!Z14</f>
        <v>30839</v>
      </c>
      <c r="Z14" s="39">
        <v>20800</v>
      </c>
      <c r="AA14" s="39">
        <v>10718</v>
      </c>
      <c r="AB14" s="88">
        <f t="shared" si="12"/>
        <v>-0.48471153846153847</v>
      </c>
      <c r="AC14" s="15">
        <f t="shared" si="13"/>
        <v>-0.65245306268037218</v>
      </c>
      <c r="AD14" s="45">
        <f>'2023년 실적'!AE14</f>
        <v>12990</v>
      </c>
      <c r="AE14" s="39">
        <v>20800</v>
      </c>
      <c r="AF14" s="39">
        <v>12080</v>
      </c>
      <c r="AG14" s="88">
        <f t="shared" si="14"/>
        <v>-0.41923076923076918</v>
      </c>
      <c r="AH14" s="33">
        <f t="shared" si="15"/>
        <v>-7.0053887605850629E-2</v>
      </c>
      <c r="AI14" s="13">
        <f>'2023년 실적'!AJ14</f>
        <v>18058</v>
      </c>
      <c r="AJ14" s="39">
        <v>20102</v>
      </c>
      <c r="AK14" s="39">
        <v>15112</v>
      </c>
      <c r="AL14" s="88">
        <f t="shared" si="16"/>
        <v>-0.24823400656651085</v>
      </c>
      <c r="AM14" s="15">
        <f t="shared" si="17"/>
        <v>-0.16314099014287298</v>
      </c>
      <c r="AN14" s="45">
        <f>'2023년 실적'!AO14</f>
        <v>15305</v>
      </c>
      <c r="AO14" s="39">
        <v>20057</v>
      </c>
      <c r="AP14" s="39">
        <v>14825</v>
      </c>
      <c r="AQ14" s="88">
        <f t="shared" si="18"/>
        <v>-0.26085655880739889</v>
      </c>
      <c r="AR14" s="33">
        <f t="shared" si="19"/>
        <v>-3.1362299901992796E-2</v>
      </c>
      <c r="AS14" s="13">
        <f>'2023년 실적'!AT14</f>
        <v>20578</v>
      </c>
      <c r="AT14" s="39">
        <v>19794</v>
      </c>
      <c r="AU14" s="39">
        <v>11788</v>
      </c>
      <c r="AV14" s="88">
        <f t="shared" si="20"/>
        <v>-0.40446599979791853</v>
      </c>
      <c r="AW14" s="15">
        <f t="shared" si="21"/>
        <v>-0.42715521430654102</v>
      </c>
      <c r="AX14" s="45">
        <f>'2023년 실적'!AY14</f>
        <v>7942</v>
      </c>
      <c r="AY14" s="39">
        <v>21240</v>
      </c>
      <c r="AZ14" s="39">
        <v>21539</v>
      </c>
      <c r="BA14" s="88">
        <f t="shared" si="22"/>
        <v>1.4077212806026473E-2</v>
      </c>
      <c r="BB14" s="33">
        <f t="shared" si="23"/>
        <v>1.7120372702090152</v>
      </c>
      <c r="BC14" s="13">
        <f>'2023년 실적'!BD14</f>
        <v>11650</v>
      </c>
      <c r="BD14" s="39">
        <v>20176</v>
      </c>
      <c r="BE14" s="39">
        <v>18332</v>
      </c>
      <c r="BF14" s="88">
        <f t="shared" si="24"/>
        <v>-9.1395717684377487E-2</v>
      </c>
      <c r="BG14" s="15">
        <f t="shared" si="25"/>
        <v>0.5735622317596567</v>
      </c>
      <c r="BH14" s="45">
        <f>'2023년 실적'!BI14</f>
        <v>6298</v>
      </c>
      <c r="BI14" s="39">
        <v>26000</v>
      </c>
      <c r="BJ14" s="39">
        <v>13216</v>
      </c>
      <c r="BK14" s="88">
        <f t="shared" si="26"/>
        <v>-0.49169230769230765</v>
      </c>
      <c r="BL14" s="33">
        <f t="shared" si="27"/>
        <v>1.0984439504604637</v>
      </c>
      <c r="BM14" s="13">
        <f>'2023년 실적'!BN14</f>
        <v>21384</v>
      </c>
      <c r="BN14" s="39">
        <v>25502</v>
      </c>
      <c r="BO14" s="39">
        <v>21416</v>
      </c>
      <c r="BP14" s="88">
        <f t="shared" si="28"/>
        <v>-0.16022272762920553</v>
      </c>
      <c r="BQ14" s="15">
        <f t="shared" si="29"/>
        <v>1.4964459408903785E-3</v>
      </c>
      <c r="BR14" s="45">
        <f>'2023년 실적'!BS14</f>
        <v>16472</v>
      </c>
      <c r="BS14" s="39">
        <v>22910</v>
      </c>
      <c r="BT14" s="39">
        <v>21480</v>
      </c>
      <c r="BU14" s="88">
        <f t="shared" si="30"/>
        <v>-6.241815800960282E-2</v>
      </c>
      <c r="BV14" s="15">
        <f t="shared" si="31"/>
        <v>0.30403108305002435</v>
      </c>
    </row>
    <row r="15" spans="2:77" ht="17.25" thickBot="1" x14ac:dyDescent="0.35">
      <c r="B15" s="301"/>
      <c r="C15" s="301"/>
      <c r="D15" s="313"/>
      <c r="E15" s="193" t="s">
        <v>53</v>
      </c>
      <c r="F15" s="194">
        <f>SUM(F12:F14)</f>
        <v>1067180</v>
      </c>
      <c r="G15" s="195">
        <f>SUM(G12:G14)</f>
        <v>949549</v>
      </c>
      <c r="H15" s="195">
        <f>SUM(H12:H14)</f>
        <v>1189000</v>
      </c>
      <c r="I15" s="196">
        <f t="shared" si="5"/>
        <v>0.25217340021420687</v>
      </c>
      <c r="J15" s="197">
        <f t="shared" ref="J15:Q15" si="79">SUM(J12:J14)</f>
        <v>951869</v>
      </c>
      <c r="K15" s="195">
        <f t="shared" si="79"/>
        <v>1184339</v>
      </c>
      <c r="L15" s="195">
        <f t="shared" si="79"/>
        <v>917663</v>
      </c>
      <c r="M15" s="198">
        <f t="shared" si="6"/>
        <v>-0.2251686383712771</v>
      </c>
      <c r="N15" s="199">
        <f t="shared" si="7"/>
        <v>-3.5935617191021008E-2</v>
      </c>
      <c r="O15" s="197">
        <f t="shared" si="79"/>
        <v>71904</v>
      </c>
      <c r="P15" s="195">
        <f t="shared" si="79"/>
        <v>95120</v>
      </c>
      <c r="Q15" s="195">
        <f t="shared" si="79"/>
        <v>62554</v>
      </c>
      <c r="R15" s="198">
        <f t="shared" si="8"/>
        <v>-0.34236753574432299</v>
      </c>
      <c r="S15" s="199">
        <f t="shared" si="9"/>
        <v>-0.13003449043168669</v>
      </c>
      <c r="T15" s="194">
        <f>SUM(T12:T14)</f>
        <v>92533</v>
      </c>
      <c r="U15" s="195">
        <f>SUM(U12:U14)</f>
        <v>95120</v>
      </c>
      <c r="V15" s="195">
        <f>SUM(V12:V14)</f>
        <v>54515</v>
      </c>
      <c r="W15" s="198">
        <f t="shared" si="10"/>
        <v>-0.42688183347350717</v>
      </c>
      <c r="X15" s="196">
        <f t="shared" si="11"/>
        <v>-0.41085882874217849</v>
      </c>
      <c r="Y15" s="197">
        <f>SUM(Y12:Y14)</f>
        <v>80793</v>
      </c>
      <c r="Z15" s="195">
        <f>SUM(Z12:Z14)</f>
        <v>95120</v>
      </c>
      <c r="AA15" s="195">
        <f>SUM(AA12:AA14)</f>
        <v>72083</v>
      </c>
      <c r="AB15" s="198">
        <f t="shared" si="12"/>
        <v>-0.24218881412952065</v>
      </c>
      <c r="AC15" s="199">
        <f t="shared" si="13"/>
        <v>-0.10780636936368249</v>
      </c>
      <c r="AD15" s="194">
        <f>SUM(AD12:AD14)</f>
        <v>64197</v>
      </c>
      <c r="AE15" s="195">
        <f>SUM(AE12:AE14)</f>
        <v>95120</v>
      </c>
      <c r="AF15" s="195">
        <f>SUM(AF12:AF14)</f>
        <v>76698</v>
      </c>
      <c r="AG15" s="198">
        <f t="shared" si="14"/>
        <v>-0.19367115222876363</v>
      </c>
      <c r="AH15" s="196">
        <f t="shared" si="15"/>
        <v>0.19472872564138521</v>
      </c>
      <c r="AI15" s="197">
        <f>SUM(AI12:AI14)</f>
        <v>74272</v>
      </c>
      <c r="AJ15" s="195">
        <f>SUM(AJ12:AJ14)</f>
        <v>91929</v>
      </c>
      <c r="AK15" s="195">
        <f>SUM(AK12:AK14)</f>
        <v>68103</v>
      </c>
      <c r="AL15" s="198">
        <f t="shared" si="16"/>
        <v>-0.25917827888914269</v>
      </c>
      <c r="AM15" s="199">
        <f t="shared" si="17"/>
        <v>-8.3059564842740241E-2</v>
      </c>
      <c r="AN15" s="194">
        <f>SUM(AN12:AN14)</f>
        <v>75349</v>
      </c>
      <c r="AO15" s="195">
        <f>SUM(AO12:AO14)</f>
        <v>91721</v>
      </c>
      <c r="AP15" s="195">
        <f>SUM(AP12:AP14)</f>
        <v>71175</v>
      </c>
      <c r="AQ15" s="198">
        <f t="shared" si="18"/>
        <v>-0.2240054077037974</v>
      </c>
      <c r="AR15" s="196">
        <f t="shared" si="19"/>
        <v>-5.5395559330581712E-2</v>
      </c>
      <c r="AS15" s="197">
        <f>SUM(AS12:AS14)</f>
        <v>78911</v>
      </c>
      <c r="AT15" s="195">
        <f>SUM(AT12:AT14)</f>
        <v>90518</v>
      </c>
      <c r="AU15" s="195">
        <f>SUM(AU12:AU14)</f>
        <v>70886</v>
      </c>
      <c r="AV15" s="198">
        <f t="shared" si="20"/>
        <v>-0.21688503943966941</v>
      </c>
      <c r="AW15" s="199">
        <f t="shared" si="21"/>
        <v>-0.10169684834813908</v>
      </c>
      <c r="AX15" s="194">
        <f>SUM(AX12:AX14)</f>
        <v>66184</v>
      </c>
      <c r="AY15" s="195">
        <f>SUM(AY12:AY14)</f>
        <v>97131</v>
      </c>
      <c r="AZ15" s="195">
        <f>SUM(AZ12:AZ14)</f>
        <v>82313</v>
      </c>
      <c r="BA15" s="198">
        <f t="shared" si="22"/>
        <v>-0.15255685620450732</v>
      </c>
      <c r="BB15" s="196">
        <f t="shared" si="23"/>
        <v>0.24369938353680642</v>
      </c>
      <c r="BC15" s="197">
        <f>SUM(BC12:BC14)</f>
        <v>71264</v>
      </c>
      <c r="BD15" s="195">
        <f>SUM(BD12:BD14)</f>
        <v>92267</v>
      </c>
      <c r="BE15" s="195">
        <f>SUM(BE12:BE14)</f>
        <v>75786</v>
      </c>
      <c r="BF15" s="198">
        <f t="shared" si="24"/>
        <v>-0.17862290959931504</v>
      </c>
      <c r="BG15" s="199">
        <f t="shared" si="25"/>
        <v>6.3454198473282375E-2</v>
      </c>
      <c r="BH15" s="194">
        <f>SUM(BH12:BH14)</f>
        <v>75576</v>
      </c>
      <c r="BI15" s="195">
        <f>SUM(BI12:BI14)</f>
        <v>118900</v>
      </c>
      <c r="BJ15" s="195">
        <f>SUM(BJ12:BJ14)</f>
        <v>105010</v>
      </c>
      <c r="BK15" s="198">
        <f t="shared" si="26"/>
        <v>-0.11682085786375107</v>
      </c>
      <c r="BL15" s="196">
        <f t="shared" si="27"/>
        <v>0.38946226315232346</v>
      </c>
      <c r="BM15" s="197">
        <f>SUM(BM12:BM14)</f>
        <v>117832</v>
      </c>
      <c r="BN15" s="195">
        <f>SUM(BN12:BN14)</f>
        <v>116623</v>
      </c>
      <c r="BO15" s="195">
        <f>SUM(BO12:BO14)</f>
        <v>89555</v>
      </c>
      <c r="BP15" s="198">
        <f t="shared" si="28"/>
        <v>-0.23209829964929729</v>
      </c>
      <c r="BQ15" s="199">
        <f t="shared" si="29"/>
        <v>-0.23997725575395479</v>
      </c>
      <c r="BR15" s="194">
        <f>SUM(BR12:BR14)</f>
        <v>83054</v>
      </c>
      <c r="BS15" s="195">
        <f>SUM(BS12:BS14)</f>
        <v>104770</v>
      </c>
      <c r="BT15" s="195">
        <f>SUM(BT12:BT14)</f>
        <v>88985</v>
      </c>
      <c r="BU15" s="198">
        <f t="shared" si="30"/>
        <v>-0.15066335783144025</v>
      </c>
      <c r="BV15" s="199">
        <f t="shared" si="31"/>
        <v>7.1411370915308137E-2</v>
      </c>
    </row>
    <row r="16" spans="2:77" x14ac:dyDescent="0.3">
      <c r="B16" s="301"/>
      <c r="C16" s="301"/>
      <c r="D16" s="314" t="s">
        <v>54</v>
      </c>
      <c r="E16" s="191" t="s">
        <v>22</v>
      </c>
      <c r="F16" s="56">
        <f>'2023년 실적'!F16</f>
        <v>255674</v>
      </c>
      <c r="G16" s="41">
        <f>'2023년 실적'!G16</f>
        <v>265892</v>
      </c>
      <c r="H16" s="41">
        <v>300000</v>
      </c>
      <c r="I16" s="81">
        <f t="shared" si="5"/>
        <v>0.12827764656326623</v>
      </c>
      <c r="J16" s="129">
        <f t="shared" ref="J16:J19" si="80">O16+T16+Y16+AD16+AI16+AN16+AS16+AX16+BC16+BH16+BM16+BR16</f>
        <v>294977</v>
      </c>
      <c r="K16" s="130">
        <f t="shared" ref="K16:K19" si="81">P16+U16+Z16+AE16+AJ16+AO16+AT16+AY16+BD16+BI16+BN16+BS16</f>
        <v>298823</v>
      </c>
      <c r="L16" s="130">
        <f t="shared" ref="L16:L19" si="82">Q16+V16+AA16+AF16+AK16+AP16+AU16+AZ16+BE16+BJ16+BO16+BT16</f>
        <v>345199</v>
      </c>
      <c r="M16" s="112">
        <f t="shared" si="6"/>
        <v>0.15519555054329826</v>
      </c>
      <c r="N16" s="23">
        <f t="shared" si="7"/>
        <v>0.17025734209785837</v>
      </c>
      <c r="O16" s="21">
        <f>'2023년 실적'!P16</f>
        <v>19273</v>
      </c>
      <c r="P16" s="41">
        <v>24000</v>
      </c>
      <c r="Q16" s="41">
        <v>24956</v>
      </c>
      <c r="R16" s="112">
        <f t="shared" si="8"/>
        <v>3.9833333333333387E-2</v>
      </c>
      <c r="S16" s="23">
        <f t="shared" si="9"/>
        <v>0.29486846884242213</v>
      </c>
      <c r="T16" s="56">
        <f>'2023년 실적'!U16</f>
        <v>32026</v>
      </c>
      <c r="U16" s="41">
        <v>24000</v>
      </c>
      <c r="V16" s="41">
        <v>22654</v>
      </c>
      <c r="W16" s="112">
        <f t="shared" si="10"/>
        <v>-5.6083333333333374E-2</v>
      </c>
      <c r="X16" s="81">
        <f t="shared" si="11"/>
        <v>-0.2926372322487979</v>
      </c>
      <c r="Y16" s="21">
        <f>'2023년 실적'!Z16</f>
        <v>19043</v>
      </c>
      <c r="Z16" s="41">
        <v>24000</v>
      </c>
      <c r="AA16" s="41">
        <v>28088</v>
      </c>
      <c r="AB16" s="112">
        <f t="shared" si="12"/>
        <v>0.17033333333333323</v>
      </c>
      <c r="AC16" s="23">
        <f t="shared" si="13"/>
        <v>0.47497768208790636</v>
      </c>
      <c r="AD16" s="56">
        <f>'2023년 실적'!AE16</f>
        <v>20732</v>
      </c>
      <c r="AE16" s="41">
        <v>24000</v>
      </c>
      <c r="AF16" s="41">
        <v>32132</v>
      </c>
      <c r="AG16" s="112">
        <f t="shared" si="14"/>
        <v>0.33883333333333332</v>
      </c>
      <c r="AH16" s="81">
        <f t="shared" si="15"/>
        <v>0.5498745900057882</v>
      </c>
      <c r="AI16" s="21">
        <f>'2023년 실적'!AJ16</f>
        <v>23468</v>
      </c>
      <c r="AJ16" s="41">
        <v>23195</v>
      </c>
      <c r="AK16" s="41">
        <v>27494</v>
      </c>
      <c r="AL16" s="112">
        <f t="shared" si="16"/>
        <v>0.18534166846303091</v>
      </c>
      <c r="AM16" s="23">
        <f t="shared" si="17"/>
        <v>0.17155275268450665</v>
      </c>
      <c r="AN16" s="56">
        <f>'2023년 실적'!AO16</f>
        <v>24188</v>
      </c>
      <c r="AO16" s="41">
        <v>23142</v>
      </c>
      <c r="AP16" s="41">
        <v>28060</v>
      </c>
      <c r="AQ16" s="112">
        <f t="shared" si="18"/>
        <v>0.21251404373001459</v>
      </c>
      <c r="AR16" s="81">
        <f t="shared" si="19"/>
        <v>0.16007937820406815</v>
      </c>
      <c r="AS16" s="21">
        <f>'2023년 실적'!AT16</f>
        <v>22316</v>
      </c>
      <c r="AT16" s="41">
        <v>22839</v>
      </c>
      <c r="AU16" s="41">
        <v>30993</v>
      </c>
      <c r="AV16" s="112">
        <f t="shared" si="20"/>
        <v>0.3570208853277288</v>
      </c>
      <c r="AW16" s="23">
        <f t="shared" si="21"/>
        <v>0.38882416203620718</v>
      </c>
      <c r="AX16" s="56">
        <f>'2023년 실적'!AY16</f>
        <v>25544</v>
      </c>
      <c r="AY16" s="41">
        <v>24507</v>
      </c>
      <c r="AZ16" s="41">
        <v>30145</v>
      </c>
      <c r="BA16" s="112">
        <f t="shared" si="22"/>
        <v>0.2300567184885951</v>
      </c>
      <c r="BB16" s="81">
        <f t="shared" si="23"/>
        <v>0.18012057626056999</v>
      </c>
      <c r="BC16" s="21">
        <f>'2023년 실적'!BD16</f>
        <v>24514</v>
      </c>
      <c r="BD16" s="41">
        <v>23280</v>
      </c>
      <c r="BE16" s="41">
        <v>25653</v>
      </c>
      <c r="BF16" s="112">
        <f t="shared" si="24"/>
        <v>0.10193298969072173</v>
      </c>
      <c r="BG16" s="23">
        <f t="shared" si="25"/>
        <v>4.6463245492371685E-2</v>
      </c>
      <c r="BH16" s="56">
        <f>'2023년 실적'!BI16</f>
        <v>27828</v>
      </c>
      <c r="BI16" s="41">
        <v>30000</v>
      </c>
      <c r="BJ16" s="41">
        <v>32744</v>
      </c>
      <c r="BK16" s="112">
        <f t="shared" si="26"/>
        <v>9.1466666666666585E-2</v>
      </c>
      <c r="BL16" s="81">
        <f t="shared" si="27"/>
        <v>0.17665660485841594</v>
      </c>
      <c r="BM16" s="21">
        <f>'2023년 실적'!BN16</f>
        <v>30920</v>
      </c>
      <c r="BN16" s="41">
        <v>29425</v>
      </c>
      <c r="BO16" s="41">
        <v>30570</v>
      </c>
      <c r="BP16" s="112">
        <f t="shared" si="28"/>
        <v>3.8912489379779203E-2</v>
      </c>
      <c r="BQ16" s="23">
        <f t="shared" si="29"/>
        <v>-1.1319534282018151E-2</v>
      </c>
      <c r="BR16" s="56">
        <f>'2023년 실적'!BS16</f>
        <v>25125</v>
      </c>
      <c r="BS16" s="41">
        <v>26435</v>
      </c>
      <c r="BT16" s="41">
        <v>31710</v>
      </c>
      <c r="BU16" s="112">
        <f t="shared" si="30"/>
        <v>0.19954605636466805</v>
      </c>
      <c r="BV16" s="23">
        <f t="shared" si="31"/>
        <v>0.26208955223880603</v>
      </c>
    </row>
    <row r="17" spans="2:77" x14ac:dyDescent="0.3">
      <c r="B17" s="301"/>
      <c r="C17" s="301"/>
      <c r="D17" s="312"/>
      <c r="E17" s="67" t="s">
        <v>23</v>
      </c>
      <c r="F17" s="45">
        <f>'2023년 실적'!F17</f>
        <v>583012</v>
      </c>
      <c r="G17" s="39">
        <f>'2023년 실적'!G17</f>
        <v>554782</v>
      </c>
      <c r="H17" s="39">
        <v>600300</v>
      </c>
      <c r="I17" s="33">
        <f t="shared" si="5"/>
        <v>8.2046641743964255E-2</v>
      </c>
      <c r="J17" s="107">
        <f t="shared" si="80"/>
        <v>611068</v>
      </c>
      <c r="K17" s="87">
        <f t="shared" si="81"/>
        <v>597947</v>
      </c>
      <c r="L17" s="87">
        <f t="shared" si="82"/>
        <v>681035</v>
      </c>
      <c r="M17" s="88">
        <f t="shared" si="6"/>
        <v>0.13895545926311192</v>
      </c>
      <c r="N17" s="15">
        <f t="shared" si="7"/>
        <v>0.11449953196698237</v>
      </c>
      <c r="O17" s="13">
        <f>'2023년 실적'!P17</f>
        <v>50990</v>
      </c>
      <c r="P17" s="39">
        <v>48024</v>
      </c>
      <c r="Q17" s="39">
        <v>51458</v>
      </c>
      <c r="R17" s="88">
        <f t="shared" si="8"/>
        <v>7.1505913709811741E-2</v>
      </c>
      <c r="S17" s="15">
        <f t="shared" si="9"/>
        <v>9.1782702490683654E-3</v>
      </c>
      <c r="T17" s="45">
        <f>'2023년 실적'!U17</f>
        <v>45016</v>
      </c>
      <c r="U17" s="39">
        <v>48024</v>
      </c>
      <c r="V17" s="39">
        <v>41572</v>
      </c>
      <c r="W17" s="88">
        <f t="shared" si="10"/>
        <v>-0.13434949192070633</v>
      </c>
      <c r="X17" s="33">
        <f t="shared" si="11"/>
        <v>-7.6506131153367685E-2</v>
      </c>
      <c r="Y17" s="13">
        <f>'2023년 실적'!Z17</f>
        <v>75300</v>
      </c>
      <c r="Z17" s="39">
        <v>48024</v>
      </c>
      <c r="AA17" s="39">
        <v>111312</v>
      </c>
      <c r="AB17" s="88">
        <f t="shared" si="12"/>
        <v>1.31784107946027</v>
      </c>
      <c r="AC17" s="15">
        <f t="shared" si="13"/>
        <v>0.47824701195219133</v>
      </c>
      <c r="AD17" s="45">
        <f>'2023년 실적'!AE17</f>
        <v>37975</v>
      </c>
      <c r="AE17" s="39">
        <v>48024</v>
      </c>
      <c r="AF17" s="39">
        <v>45296</v>
      </c>
      <c r="AG17" s="88">
        <f t="shared" si="14"/>
        <v>-5.6804930867899395E-2</v>
      </c>
      <c r="AH17" s="33">
        <f t="shared" si="15"/>
        <v>0.19278472679394332</v>
      </c>
      <c r="AI17" s="13">
        <f>'2023년 실적'!AJ17</f>
        <v>44598</v>
      </c>
      <c r="AJ17" s="39">
        <v>46413</v>
      </c>
      <c r="AK17" s="39">
        <v>45576</v>
      </c>
      <c r="AL17" s="88">
        <f t="shared" si="16"/>
        <v>-1.8033740546829602E-2</v>
      </c>
      <c r="AM17" s="15">
        <f t="shared" si="17"/>
        <v>2.1929234494820316E-2</v>
      </c>
      <c r="AN17" s="45">
        <f>'2023년 실적'!AO17</f>
        <v>50986</v>
      </c>
      <c r="AO17" s="39">
        <v>46308</v>
      </c>
      <c r="AP17" s="39">
        <v>57196</v>
      </c>
      <c r="AQ17" s="88">
        <f t="shared" si="18"/>
        <v>0.23512136131985839</v>
      </c>
      <c r="AR17" s="33">
        <f t="shared" si="19"/>
        <v>0.12179814066606509</v>
      </c>
      <c r="AS17" s="13">
        <f>'2023년 실적'!AT17</f>
        <v>48452</v>
      </c>
      <c r="AT17" s="39">
        <v>45701</v>
      </c>
      <c r="AU17" s="39">
        <v>45164</v>
      </c>
      <c r="AV17" s="88">
        <f t="shared" si="20"/>
        <v>-1.1750289928010305E-2</v>
      </c>
      <c r="AW17" s="15">
        <f t="shared" si="21"/>
        <v>-6.7860975811112056E-2</v>
      </c>
      <c r="AX17" s="45">
        <f>'2023년 실적'!AY17</f>
        <v>45980</v>
      </c>
      <c r="AY17" s="39">
        <v>49039</v>
      </c>
      <c r="AZ17" s="39">
        <v>49634</v>
      </c>
      <c r="BA17" s="88">
        <f t="shared" si="22"/>
        <v>1.2133200106038133E-2</v>
      </c>
      <c r="BB17" s="33">
        <f t="shared" si="23"/>
        <v>7.9469334493257993E-2</v>
      </c>
      <c r="BC17" s="13">
        <f>'2023년 실적'!BD17</f>
        <v>47436</v>
      </c>
      <c r="BD17" s="39">
        <v>46584</v>
      </c>
      <c r="BE17" s="39">
        <v>47638</v>
      </c>
      <c r="BF17" s="88">
        <f t="shared" si="24"/>
        <v>2.2625794264125032E-2</v>
      </c>
      <c r="BG17" s="15">
        <f t="shared" si="25"/>
        <v>4.2583691710937899E-3</v>
      </c>
      <c r="BH17" s="45">
        <f>'2023년 실적'!BI17</f>
        <v>54452</v>
      </c>
      <c r="BI17" s="39">
        <v>60030</v>
      </c>
      <c r="BJ17" s="39">
        <v>80623</v>
      </c>
      <c r="BK17" s="88">
        <f t="shared" si="26"/>
        <v>0.34304514409461939</v>
      </c>
      <c r="BL17" s="33">
        <f t="shared" si="27"/>
        <v>0.48062513773598758</v>
      </c>
      <c r="BM17" s="13">
        <f>'2023년 실적'!BN17</f>
        <v>64781</v>
      </c>
      <c r="BN17" s="39">
        <v>58880</v>
      </c>
      <c r="BO17" s="39">
        <v>51218</v>
      </c>
      <c r="BP17" s="88">
        <f t="shared" si="28"/>
        <v>-0.13012907608695656</v>
      </c>
      <c r="BQ17" s="15">
        <f t="shared" si="29"/>
        <v>-0.20936694401136136</v>
      </c>
      <c r="BR17" s="45">
        <f>'2023년 실적'!BS17</f>
        <v>45102</v>
      </c>
      <c r="BS17" s="39">
        <v>52896</v>
      </c>
      <c r="BT17" s="39">
        <v>54348</v>
      </c>
      <c r="BU17" s="88">
        <f t="shared" si="30"/>
        <v>2.7450090744101541E-2</v>
      </c>
      <c r="BV17" s="15">
        <f t="shared" si="31"/>
        <v>0.20500199547691889</v>
      </c>
      <c r="BY17" s="248"/>
    </row>
    <row r="18" spans="2:77" x14ac:dyDescent="0.3">
      <c r="B18" s="301"/>
      <c r="C18" s="301"/>
      <c r="D18" s="312"/>
      <c r="E18" s="67" t="s">
        <v>24</v>
      </c>
      <c r="F18" s="45">
        <f>'2023년 실적'!F18</f>
        <v>255841</v>
      </c>
      <c r="G18" s="39">
        <f>'2023년 실적'!G18</f>
        <v>316827</v>
      </c>
      <c r="H18" s="39">
        <v>355000</v>
      </c>
      <c r="I18" s="33">
        <f t="shared" si="5"/>
        <v>0.12048531217352054</v>
      </c>
      <c r="J18" s="107">
        <f t="shared" si="80"/>
        <v>231456</v>
      </c>
      <c r="K18" s="87">
        <f t="shared" si="81"/>
        <v>353607</v>
      </c>
      <c r="L18" s="87">
        <f t="shared" si="82"/>
        <v>265074</v>
      </c>
      <c r="M18" s="88">
        <f t="shared" si="6"/>
        <v>-0.25037117477877979</v>
      </c>
      <c r="N18" s="15">
        <f t="shared" si="7"/>
        <v>0.14524574865201156</v>
      </c>
      <c r="O18" s="13">
        <f>'2023년 실적'!P18</f>
        <v>19114</v>
      </c>
      <c r="P18" s="39">
        <v>28400</v>
      </c>
      <c r="Q18" s="39">
        <v>21467</v>
      </c>
      <c r="R18" s="88">
        <f t="shared" si="8"/>
        <v>-0.24411971830985912</v>
      </c>
      <c r="S18" s="15">
        <f t="shared" si="9"/>
        <v>0.12310348435701579</v>
      </c>
      <c r="T18" s="45">
        <f>'2023년 실적'!U18</f>
        <v>23518</v>
      </c>
      <c r="U18" s="39">
        <v>28400</v>
      </c>
      <c r="V18" s="39">
        <v>19730</v>
      </c>
      <c r="W18" s="88">
        <f t="shared" si="10"/>
        <v>-0.30528169014084505</v>
      </c>
      <c r="X18" s="33">
        <f t="shared" si="11"/>
        <v>-0.16106811803724808</v>
      </c>
      <c r="Y18" s="13">
        <f>'2023년 실적'!Z18</f>
        <v>18054</v>
      </c>
      <c r="Z18" s="39">
        <v>28400</v>
      </c>
      <c r="AA18" s="39">
        <v>20764</v>
      </c>
      <c r="AB18" s="88">
        <f t="shared" si="12"/>
        <v>-0.26887323943661967</v>
      </c>
      <c r="AC18" s="15">
        <f t="shared" si="13"/>
        <v>0.1501052398360474</v>
      </c>
      <c r="AD18" s="45">
        <f>'2023년 실적'!AE18</f>
        <v>15328</v>
      </c>
      <c r="AE18" s="39">
        <v>28400</v>
      </c>
      <c r="AF18" s="39">
        <v>21938</v>
      </c>
      <c r="AG18" s="88">
        <f t="shared" si="14"/>
        <v>-0.22753521126760567</v>
      </c>
      <c r="AH18" s="33">
        <f t="shared" si="15"/>
        <v>0.43123695198329859</v>
      </c>
      <c r="AI18" s="13">
        <f>'2023년 실적'!AJ18</f>
        <v>17800</v>
      </c>
      <c r="AJ18" s="39">
        <v>27447</v>
      </c>
      <c r="AK18" s="39">
        <v>22265</v>
      </c>
      <c r="AL18" s="88">
        <f t="shared" si="16"/>
        <v>-0.18880023317666772</v>
      </c>
      <c r="AM18" s="15">
        <f t="shared" si="17"/>
        <v>0.25084269662921344</v>
      </c>
      <c r="AN18" s="45">
        <f>'2023년 실적'!AO18</f>
        <v>20036</v>
      </c>
      <c r="AO18" s="39">
        <v>27385</v>
      </c>
      <c r="AP18" s="39">
        <v>21398</v>
      </c>
      <c r="AQ18" s="88">
        <f t="shared" si="18"/>
        <v>-0.218623333941939</v>
      </c>
      <c r="AR18" s="33">
        <f t="shared" si="19"/>
        <v>6.7977640247554483E-2</v>
      </c>
      <c r="AS18" s="13">
        <f>'2023년 실적'!AT18</f>
        <v>19118</v>
      </c>
      <c r="AT18" s="39">
        <v>27026</v>
      </c>
      <c r="AU18" s="39">
        <v>22294</v>
      </c>
      <c r="AV18" s="88">
        <f t="shared" si="20"/>
        <v>-0.17509065344483088</v>
      </c>
      <c r="AW18" s="15">
        <f t="shared" si="21"/>
        <v>0.16612616382466783</v>
      </c>
      <c r="AX18" s="45">
        <f>'2023년 실적'!AY18</f>
        <v>17860</v>
      </c>
      <c r="AY18" s="39">
        <v>29000</v>
      </c>
      <c r="AZ18" s="39">
        <v>22017</v>
      </c>
      <c r="BA18" s="88">
        <f t="shared" si="22"/>
        <v>-0.24079310344827587</v>
      </c>
      <c r="BB18" s="33">
        <f t="shared" si="23"/>
        <v>0.23275475923852174</v>
      </c>
      <c r="BC18" s="13">
        <f>'2023년 실적'!BD18</f>
        <v>17672</v>
      </c>
      <c r="BD18" s="39">
        <v>27548</v>
      </c>
      <c r="BE18" s="39">
        <v>20017</v>
      </c>
      <c r="BF18" s="88">
        <f t="shared" si="24"/>
        <v>-0.27337737766807024</v>
      </c>
      <c r="BG18" s="15">
        <f t="shared" si="25"/>
        <v>0.1326957899502037</v>
      </c>
      <c r="BH18" s="45">
        <f>'2023년 실적'!BI18</f>
        <v>21934</v>
      </c>
      <c r="BI18" s="39">
        <v>35500</v>
      </c>
      <c r="BJ18" s="39">
        <v>24813</v>
      </c>
      <c r="BK18" s="88">
        <f t="shared" si="26"/>
        <v>-0.30104225352112679</v>
      </c>
      <c r="BL18" s="33">
        <f t="shared" si="27"/>
        <v>0.13125740858940449</v>
      </c>
      <c r="BM18" s="13">
        <f>'2023년 실적'!BN18</f>
        <v>23514</v>
      </c>
      <c r="BN18" s="39">
        <v>34820</v>
      </c>
      <c r="BO18" s="39">
        <v>25063</v>
      </c>
      <c r="BP18" s="88">
        <f t="shared" si="28"/>
        <v>-0.28021252153934517</v>
      </c>
      <c r="BQ18" s="15">
        <f t="shared" si="29"/>
        <v>6.5875648549800214E-2</v>
      </c>
      <c r="BR18" s="45">
        <f>'2023년 실적'!BS18</f>
        <v>17508</v>
      </c>
      <c r="BS18" s="39">
        <v>31281</v>
      </c>
      <c r="BT18" s="39">
        <v>23308</v>
      </c>
      <c r="BU18" s="88">
        <f t="shared" si="30"/>
        <v>-0.25488315590933797</v>
      </c>
      <c r="BV18" s="15">
        <f t="shared" si="31"/>
        <v>0.33127713045464935</v>
      </c>
      <c r="BY18" s="248"/>
    </row>
    <row r="19" spans="2:77" x14ac:dyDescent="0.3">
      <c r="B19" s="301"/>
      <c r="C19" s="301"/>
      <c r="D19" s="312"/>
      <c r="E19" s="67" t="s">
        <v>27</v>
      </c>
      <c r="F19" s="45">
        <f>'2023년 실적'!F19</f>
        <v>621242</v>
      </c>
      <c r="G19" s="39">
        <f>'2023년 실적'!G19</f>
        <v>666952</v>
      </c>
      <c r="H19" s="39">
        <v>750000</v>
      </c>
      <c r="I19" s="33">
        <f t="shared" si="5"/>
        <v>0.12451870599383463</v>
      </c>
      <c r="J19" s="107">
        <f t="shared" si="80"/>
        <v>666952</v>
      </c>
      <c r="K19" s="87">
        <f t="shared" si="81"/>
        <v>747069</v>
      </c>
      <c r="L19" s="87">
        <f t="shared" si="82"/>
        <v>669366</v>
      </c>
      <c r="M19" s="88">
        <f t="shared" si="6"/>
        <v>-0.10401047292820342</v>
      </c>
      <c r="N19" s="15">
        <f t="shared" si="7"/>
        <v>3.6194508750255761E-3</v>
      </c>
      <c r="O19" s="13">
        <f>'2023년 실적'!P19</f>
        <v>69905</v>
      </c>
      <c r="P19" s="39">
        <v>60000</v>
      </c>
      <c r="Q19" s="39">
        <v>41822</v>
      </c>
      <c r="R19" s="88">
        <f t="shared" si="8"/>
        <v>-0.30296666666666672</v>
      </c>
      <c r="S19" s="15">
        <f t="shared" si="9"/>
        <v>-0.4017309205350118</v>
      </c>
      <c r="T19" s="45">
        <f>'2023년 실적'!U19</f>
        <v>38673</v>
      </c>
      <c r="U19" s="39">
        <v>60000</v>
      </c>
      <c r="V19" s="39">
        <v>39970</v>
      </c>
      <c r="W19" s="88">
        <f t="shared" si="10"/>
        <v>-0.33383333333333332</v>
      </c>
      <c r="X19" s="33">
        <f t="shared" si="11"/>
        <v>3.3537610219015912E-2</v>
      </c>
      <c r="Y19" s="13">
        <f>'2023년 실적'!Z19</f>
        <v>51187</v>
      </c>
      <c r="Z19" s="39">
        <v>60000</v>
      </c>
      <c r="AA19" s="39">
        <v>54988</v>
      </c>
      <c r="AB19" s="88">
        <f t="shared" si="12"/>
        <v>-8.3533333333333348E-2</v>
      </c>
      <c r="AC19" s="15">
        <f t="shared" si="13"/>
        <v>7.4257135600836133E-2</v>
      </c>
      <c r="AD19" s="45">
        <f>'2023년 실적'!AE19</f>
        <v>43489</v>
      </c>
      <c r="AE19" s="39">
        <v>60000</v>
      </c>
      <c r="AF19" s="39">
        <v>69684</v>
      </c>
      <c r="AG19" s="88">
        <f t="shared" si="14"/>
        <v>0.16139999999999999</v>
      </c>
      <c r="AH19" s="33">
        <f t="shared" si="15"/>
        <v>0.60233622295293054</v>
      </c>
      <c r="AI19" s="13">
        <f>'2023년 실적'!AJ19</f>
        <v>48780</v>
      </c>
      <c r="AJ19" s="39">
        <v>57987</v>
      </c>
      <c r="AK19" s="39">
        <v>54288</v>
      </c>
      <c r="AL19" s="88">
        <f t="shared" si="16"/>
        <v>-6.3790159863417628E-2</v>
      </c>
      <c r="AM19" s="15">
        <f t="shared" si="17"/>
        <v>0.11291512915129154</v>
      </c>
      <c r="AN19" s="45">
        <f>'2023년 실적'!AO19</f>
        <v>54835</v>
      </c>
      <c r="AO19" s="39">
        <v>57865</v>
      </c>
      <c r="AP19" s="39">
        <v>64667</v>
      </c>
      <c r="AQ19" s="88">
        <f t="shared" si="18"/>
        <v>0.11754946859068527</v>
      </c>
      <c r="AR19" s="33">
        <f t="shared" si="19"/>
        <v>0.17930154098659612</v>
      </c>
      <c r="AS19" s="13">
        <f>'2023년 실적'!AT19</f>
        <v>44913</v>
      </c>
      <c r="AT19" s="39">
        <v>57097</v>
      </c>
      <c r="AU19" s="39">
        <v>64020</v>
      </c>
      <c r="AV19" s="88">
        <f t="shared" si="20"/>
        <v>0.12124980296688093</v>
      </c>
      <c r="AW19" s="15">
        <f t="shared" si="21"/>
        <v>0.42542248346803824</v>
      </c>
      <c r="AX19" s="45">
        <f>'2023년 실적'!AY19</f>
        <v>59304</v>
      </c>
      <c r="AY19" s="39">
        <v>61268</v>
      </c>
      <c r="AZ19" s="39">
        <v>53627</v>
      </c>
      <c r="BA19" s="88">
        <f t="shared" si="22"/>
        <v>-0.12471436965463212</v>
      </c>
      <c r="BB19" s="33">
        <f t="shared" si="23"/>
        <v>-9.5727101038715734E-2</v>
      </c>
      <c r="BC19" s="13">
        <f>'2023년 실적'!BD19</f>
        <v>51388</v>
      </c>
      <c r="BD19" s="39">
        <v>58201</v>
      </c>
      <c r="BE19" s="39">
        <v>49995</v>
      </c>
      <c r="BF19" s="88">
        <f t="shared" si="24"/>
        <v>-0.14099414099414098</v>
      </c>
      <c r="BG19" s="15">
        <f t="shared" si="25"/>
        <v>-2.7107495913442858E-2</v>
      </c>
      <c r="BH19" s="45">
        <f>'2023년 실적'!BI19</f>
        <v>89119</v>
      </c>
      <c r="BI19" s="39">
        <v>75000</v>
      </c>
      <c r="BJ19" s="39">
        <v>55062</v>
      </c>
      <c r="BK19" s="88">
        <f t="shared" si="26"/>
        <v>-0.26583999999999997</v>
      </c>
      <c r="BL19" s="33">
        <f t="shared" si="27"/>
        <v>-0.38215195412874925</v>
      </c>
      <c r="BM19" s="13">
        <f>'2023년 실적'!BN19</f>
        <v>54183</v>
      </c>
      <c r="BN19" s="39">
        <v>73564</v>
      </c>
      <c r="BO19" s="39">
        <v>63034</v>
      </c>
      <c r="BP19" s="88">
        <f t="shared" si="28"/>
        <v>-0.14314066663041702</v>
      </c>
      <c r="BQ19" s="15">
        <f t="shared" si="29"/>
        <v>0.16335381946366945</v>
      </c>
      <c r="BR19" s="45">
        <f>'2023년 실적'!BS19</f>
        <v>61176</v>
      </c>
      <c r="BS19" s="39">
        <v>66087</v>
      </c>
      <c r="BT19" s="39">
        <v>58209</v>
      </c>
      <c r="BU19" s="88">
        <f t="shared" si="30"/>
        <v>-0.11920650052203918</v>
      </c>
      <c r="BV19" s="15">
        <f t="shared" si="31"/>
        <v>-4.8499411533934889E-2</v>
      </c>
      <c r="BY19" s="248"/>
    </row>
    <row r="20" spans="2:77" ht="17.25" thickBot="1" x14ac:dyDescent="0.35">
      <c r="B20" s="301"/>
      <c r="C20" s="301"/>
      <c r="D20" s="315"/>
      <c r="E20" s="200" t="s">
        <v>53</v>
      </c>
      <c r="F20" s="201">
        <f>SUM(F16:F19)</f>
        <v>1715769</v>
      </c>
      <c r="G20" s="202">
        <f>SUM(G16:G19)</f>
        <v>1804453</v>
      </c>
      <c r="H20" s="202">
        <f>SUM(H16:H19)</f>
        <v>2005300</v>
      </c>
      <c r="I20" s="203">
        <f t="shared" si="5"/>
        <v>0.11130630722994717</v>
      </c>
      <c r="J20" s="204">
        <f t="shared" ref="J20:Q20" si="83">SUM(J16:J19)</f>
        <v>1804453</v>
      </c>
      <c r="K20" s="202">
        <f t="shared" si="83"/>
        <v>1997446</v>
      </c>
      <c r="L20" s="202">
        <f t="shared" si="83"/>
        <v>1960674</v>
      </c>
      <c r="M20" s="205">
        <f t="shared" si="6"/>
        <v>-1.840950894292015E-2</v>
      </c>
      <c r="N20" s="206">
        <f t="shared" si="7"/>
        <v>8.6575266853722521E-2</v>
      </c>
      <c r="O20" s="204">
        <f t="shared" si="83"/>
        <v>159282</v>
      </c>
      <c r="P20" s="202">
        <f t="shared" si="83"/>
        <v>160424</v>
      </c>
      <c r="Q20" s="202">
        <f t="shared" si="83"/>
        <v>139703</v>
      </c>
      <c r="R20" s="205">
        <f t="shared" si="8"/>
        <v>-0.12916396549144771</v>
      </c>
      <c r="S20" s="206">
        <f t="shared" si="9"/>
        <v>-0.12292035509348198</v>
      </c>
      <c r="T20" s="201">
        <f>SUM(T16:T19)</f>
        <v>139233</v>
      </c>
      <c r="U20" s="202">
        <f>SUM(U16:U19)</f>
        <v>160424</v>
      </c>
      <c r="V20" s="202">
        <f>SUM(V16:V19)</f>
        <v>123926</v>
      </c>
      <c r="W20" s="205">
        <f t="shared" si="10"/>
        <v>-0.2275095995611629</v>
      </c>
      <c r="X20" s="203">
        <f t="shared" si="11"/>
        <v>-0.1099380175676743</v>
      </c>
      <c r="Y20" s="204">
        <f>SUM(Y16:Y19)</f>
        <v>163584</v>
      </c>
      <c r="Z20" s="202">
        <f>SUM(Z16:Z19)</f>
        <v>160424</v>
      </c>
      <c r="AA20" s="202">
        <f>SUM(AA16:AA19)</f>
        <v>215152</v>
      </c>
      <c r="AB20" s="205">
        <f t="shared" si="12"/>
        <v>0.34114596319752666</v>
      </c>
      <c r="AC20" s="206">
        <f t="shared" si="13"/>
        <v>0.31523865414710484</v>
      </c>
      <c r="AD20" s="201">
        <f>SUM(AD16:AD19)</f>
        <v>117524</v>
      </c>
      <c r="AE20" s="202">
        <f>SUM(AE16:AE19)</f>
        <v>160424</v>
      </c>
      <c r="AF20" s="202">
        <f>SUM(AF16:AF19)</f>
        <v>169050</v>
      </c>
      <c r="AG20" s="205">
        <f t="shared" si="14"/>
        <v>5.3770009474891634E-2</v>
      </c>
      <c r="AH20" s="203">
        <f t="shared" si="15"/>
        <v>0.43842959735883724</v>
      </c>
      <c r="AI20" s="204">
        <f>SUM(AI16:AI19)</f>
        <v>134646</v>
      </c>
      <c r="AJ20" s="202">
        <f>SUM(AJ16:AJ19)</f>
        <v>155042</v>
      </c>
      <c r="AK20" s="202">
        <f>SUM(AK16:AK19)</f>
        <v>149623</v>
      </c>
      <c r="AL20" s="205">
        <f t="shared" si="16"/>
        <v>-3.4951819506972348E-2</v>
      </c>
      <c r="AM20" s="206">
        <f t="shared" si="17"/>
        <v>0.11123241685605212</v>
      </c>
      <c r="AN20" s="201">
        <f>SUM(AN16:AN19)</f>
        <v>150045</v>
      </c>
      <c r="AO20" s="202">
        <f>SUM(AO16:AO19)</f>
        <v>154700</v>
      </c>
      <c r="AP20" s="202">
        <f>SUM(AP16:AP19)</f>
        <v>171321</v>
      </c>
      <c r="AQ20" s="205">
        <f t="shared" si="18"/>
        <v>0.10744020685197153</v>
      </c>
      <c r="AR20" s="203">
        <f t="shared" si="19"/>
        <v>0.14179746076177158</v>
      </c>
      <c r="AS20" s="204">
        <f>SUM(AS16:AS19)</f>
        <v>134799</v>
      </c>
      <c r="AT20" s="202">
        <f>SUM(AT16:AT19)</f>
        <v>152663</v>
      </c>
      <c r="AU20" s="202">
        <f>SUM(AU16:AU19)</f>
        <v>162471</v>
      </c>
      <c r="AV20" s="205">
        <f t="shared" si="20"/>
        <v>6.4246084512946888E-2</v>
      </c>
      <c r="AW20" s="206">
        <f t="shared" si="21"/>
        <v>0.20528342198384264</v>
      </c>
      <c r="AX20" s="201">
        <f>SUM(AX16:AX19)</f>
        <v>148688</v>
      </c>
      <c r="AY20" s="202">
        <f>SUM(AY16:AY19)</f>
        <v>163814</v>
      </c>
      <c r="AZ20" s="202">
        <f>SUM(AZ16:AZ19)</f>
        <v>155423</v>
      </c>
      <c r="BA20" s="205">
        <f t="shared" si="22"/>
        <v>-5.1222728216147595E-2</v>
      </c>
      <c r="BB20" s="203">
        <f t="shared" si="23"/>
        <v>4.5296190681157755E-2</v>
      </c>
      <c r="BC20" s="204">
        <f>SUM(BC16:BC19)</f>
        <v>141010</v>
      </c>
      <c r="BD20" s="202">
        <f>SUM(BD16:BD19)</f>
        <v>155613</v>
      </c>
      <c r="BE20" s="202">
        <f>SUM(BE16:BE19)</f>
        <v>143303</v>
      </c>
      <c r="BF20" s="205">
        <f t="shared" si="24"/>
        <v>-7.9106501384845762E-2</v>
      </c>
      <c r="BG20" s="206">
        <f t="shared" si="25"/>
        <v>1.6261258066803785E-2</v>
      </c>
      <c r="BH20" s="201">
        <f>SUM(BH16:BH19)</f>
        <v>193333</v>
      </c>
      <c r="BI20" s="202">
        <f>SUM(BI16:BI19)</f>
        <v>200530</v>
      </c>
      <c r="BJ20" s="202">
        <f>SUM(BJ16:BJ19)</f>
        <v>193242</v>
      </c>
      <c r="BK20" s="205">
        <f t="shared" si="26"/>
        <v>-3.6343689223557574E-2</v>
      </c>
      <c r="BL20" s="203">
        <f t="shared" si="27"/>
        <v>-4.7069046670766834E-4</v>
      </c>
      <c r="BM20" s="204">
        <f>SUM(BM16:BM19)</f>
        <v>173398</v>
      </c>
      <c r="BN20" s="202">
        <f>SUM(BN16:BN19)</f>
        <v>196689</v>
      </c>
      <c r="BO20" s="202">
        <f>SUM(BO16:BO19)</f>
        <v>169885</v>
      </c>
      <c r="BP20" s="205">
        <f t="shared" si="28"/>
        <v>-0.13627605000788046</v>
      </c>
      <c r="BQ20" s="206">
        <f t="shared" si="29"/>
        <v>-2.0259749247396153E-2</v>
      </c>
      <c r="BR20" s="201">
        <f>SUM(BR16:BR19)</f>
        <v>148911</v>
      </c>
      <c r="BS20" s="202">
        <f>SUM(BS16:BS19)</f>
        <v>176699</v>
      </c>
      <c r="BT20" s="202">
        <f>SUM(BT16:BT19)</f>
        <v>167575</v>
      </c>
      <c r="BU20" s="205">
        <f t="shared" si="30"/>
        <v>-5.1635832687225158E-2</v>
      </c>
      <c r="BV20" s="206">
        <f t="shared" si="31"/>
        <v>0.12533661045859601</v>
      </c>
    </row>
    <row r="21" spans="2:77" x14ac:dyDescent="0.3">
      <c r="B21" s="301"/>
      <c r="C21" s="301"/>
      <c r="D21" s="311" t="s">
        <v>55</v>
      </c>
      <c r="E21" s="192" t="s">
        <v>25</v>
      </c>
      <c r="F21" s="52">
        <f>'2023년 실적'!F21</f>
        <v>492921</v>
      </c>
      <c r="G21" s="38">
        <f>'2023년 실적'!G21</f>
        <v>567346</v>
      </c>
      <c r="H21" s="38">
        <v>646000</v>
      </c>
      <c r="I21" s="77">
        <f t="shared" si="5"/>
        <v>0.13863497759744492</v>
      </c>
      <c r="J21" s="131">
        <f t="shared" ref="J21:J22" si="84">O21+T21+Y21+AD21+AI21+AN21+AS21+AX21+BC21+BH21+BM21+BR21</f>
        <v>567346</v>
      </c>
      <c r="K21" s="132">
        <f t="shared" ref="K21:K22" si="85">P21+U21+Z21+AE21+AJ21+AO21+AT21+AY21+BD21+BI21+BN21+BS21</f>
        <v>643467</v>
      </c>
      <c r="L21" s="132">
        <f t="shared" ref="L21:L22" si="86">Q21+V21+AA21+AF21+AK21+AP21+AU21+AZ21+BE21+BJ21+BO21+BT21</f>
        <v>647422</v>
      </c>
      <c r="M21" s="115">
        <f t="shared" si="6"/>
        <v>6.1463913456323294E-3</v>
      </c>
      <c r="N21" s="10">
        <f t="shared" si="7"/>
        <v>0.14114138462243497</v>
      </c>
      <c r="O21" s="8">
        <f>'2023년 실적'!P21</f>
        <v>34826</v>
      </c>
      <c r="P21" s="38">
        <v>51680</v>
      </c>
      <c r="Q21" s="38">
        <v>44434</v>
      </c>
      <c r="R21" s="115">
        <f t="shared" si="8"/>
        <v>-0.14020897832817336</v>
      </c>
      <c r="S21" s="10">
        <f t="shared" si="9"/>
        <v>0.27588583242405096</v>
      </c>
      <c r="T21" s="52">
        <f>'2023년 실적'!U21</f>
        <v>64908</v>
      </c>
      <c r="U21" s="38">
        <v>51680</v>
      </c>
      <c r="V21" s="38">
        <v>38792</v>
      </c>
      <c r="W21" s="115">
        <f t="shared" si="10"/>
        <v>-0.24938080495356041</v>
      </c>
      <c r="X21" s="77">
        <f t="shared" si="11"/>
        <v>-0.40235410118937576</v>
      </c>
      <c r="Y21" s="8">
        <f>'2023년 실적'!Z21</f>
        <v>35386</v>
      </c>
      <c r="Z21" s="38">
        <v>51680</v>
      </c>
      <c r="AA21" s="38">
        <v>51640</v>
      </c>
      <c r="AB21" s="115">
        <f t="shared" si="12"/>
        <v>-7.7399380804954454E-4</v>
      </c>
      <c r="AC21" s="10">
        <f t="shared" si="13"/>
        <v>0.45933419996608826</v>
      </c>
      <c r="AD21" s="52">
        <f>'2023년 실적'!AE21</f>
        <v>36862</v>
      </c>
      <c r="AE21" s="38">
        <v>51680</v>
      </c>
      <c r="AF21" s="38">
        <v>67734</v>
      </c>
      <c r="AG21" s="115">
        <f t="shared" si="14"/>
        <v>0.310642414860681</v>
      </c>
      <c r="AH21" s="77">
        <f t="shared" si="15"/>
        <v>0.83750203461559325</v>
      </c>
      <c r="AI21" s="8">
        <f>'2023년 실적'!AJ21</f>
        <v>40524</v>
      </c>
      <c r="AJ21" s="38">
        <v>49946</v>
      </c>
      <c r="AK21" s="38">
        <v>47127</v>
      </c>
      <c r="AL21" s="115">
        <f t="shared" si="16"/>
        <v>-5.6440956232731376E-2</v>
      </c>
      <c r="AM21" s="10">
        <f t="shared" si="17"/>
        <v>0.16294047971572412</v>
      </c>
      <c r="AN21" s="52">
        <f>'2023년 실적'!AO21</f>
        <v>43794</v>
      </c>
      <c r="AO21" s="38">
        <v>49833</v>
      </c>
      <c r="AP21" s="38">
        <v>50438</v>
      </c>
      <c r="AQ21" s="115">
        <f t="shared" si="18"/>
        <v>1.2140549435113224E-2</v>
      </c>
      <c r="AR21" s="77">
        <f t="shared" si="19"/>
        <v>0.15171027994702468</v>
      </c>
      <c r="AS21" s="8">
        <f>'2023년 실적'!AT21</f>
        <v>48814</v>
      </c>
      <c r="AT21" s="38">
        <v>49180</v>
      </c>
      <c r="AU21" s="38">
        <v>48176</v>
      </c>
      <c r="AV21" s="115">
        <f t="shared" si="20"/>
        <v>-2.0414802765351792E-2</v>
      </c>
      <c r="AW21" s="10">
        <f t="shared" si="21"/>
        <v>-1.3070020895644685E-2</v>
      </c>
      <c r="AX21" s="52">
        <f>'2023년 실적'!AY21</f>
        <v>45134</v>
      </c>
      <c r="AY21" s="38">
        <v>52772</v>
      </c>
      <c r="AZ21" s="38">
        <v>53422</v>
      </c>
      <c r="BA21" s="115">
        <f t="shared" si="22"/>
        <v>1.2317137876146411E-2</v>
      </c>
      <c r="BB21" s="77">
        <f t="shared" si="23"/>
        <v>0.18363096556919389</v>
      </c>
      <c r="BC21" s="8">
        <f>'2023년 실적'!BD21</f>
        <v>42492</v>
      </c>
      <c r="BD21" s="38">
        <v>50130</v>
      </c>
      <c r="BE21" s="38">
        <v>55410</v>
      </c>
      <c r="BF21" s="115">
        <f t="shared" si="24"/>
        <v>0.10532615200478745</v>
      </c>
      <c r="BG21" s="10">
        <f t="shared" si="25"/>
        <v>0.3040101666195989</v>
      </c>
      <c r="BH21" s="52">
        <f>'2023년 실적'!BI21</f>
        <v>50076</v>
      </c>
      <c r="BI21" s="38">
        <v>64600</v>
      </c>
      <c r="BJ21" s="38">
        <v>83434</v>
      </c>
      <c r="BK21" s="115">
        <f t="shared" si="26"/>
        <v>0.29154798761609912</v>
      </c>
      <c r="BL21" s="77">
        <f t="shared" si="27"/>
        <v>0.66614745586708213</v>
      </c>
      <c r="BM21" s="8">
        <f>'2023년 실적'!BN21</f>
        <v>82518</v>
      </c>
      <c r="BN21" s="38">
        <v>63363</v>
      </c>
      <c r="BO21" s="38">
        <v>55539</v>
      </c>
      <c r="BP21" s="115">
        <f t="shared" si="28"/>
        <v>-0.12347900194119599</v>
      </c>
      <c r="BQ21" s="10">
        <f t="shared" si="29"/>
        <v>-0.32694684796044504</v>
      </c>
      <c r="BR21" s="52">
        <f>'2023년 실적'!BS21</f>
        <v>42012</v>
      </c>
      <c r="BS21" s="38">
        <v>56923</v>
      </c>
      <c r="BT21" s="38">
        <v>51276</v>
      </c>
      <c r="BU21" s="115">
        <f t="shared" si="30"/>
        <v>-9.9204188113767744E-2</v>
      </c>
      <c r="BV21" s="10">
        <f t="shared" si="31"/>
        <v>0.22050842616395316</v>
      </c>
    </row>
    <row r="22" spans="2:77" x14ac:dyDescent="0.3">
      <c r="B22" s="301"/>
      <c r="C22" s="301"/>
      <c r="D22" s="312"/>
      <c r="E22" s="67" t="s">
        <v>27</v>
      </c>
      <c r="F22" s="45">
        <f>'2023년 실적'!F22</f>
        <v>7464</v>
      </c>
      <c r="G22" s="39">
        <f>'2023년 실적'!G22</f>
        <v>12804</v>
      </c>
      <c r="H22" s="39">
        <v>14000</v>
      </c>
      <c r="I22" s="33">
        <f t="shared" si="5"/>
        <v>9.3408309903155295E-2</v>
      </c>
      <c r="J22" s="107">
        <f t="shared" si="84"/>
        <v>12804</v>
      </c>
      <c r="K22" s="87">
        <f t="shared" si="85"/>
        <v>13945</v>
      </c>
      <c r="L22" s="87">
        <f t="shared" si="86"/>
        <v>11862</v>
      </c>
      <c r="M22" s="88">
        <f t="shared" si="6"/>
        <v>-0.14937253495876657</v>
      </c>
      <c r="N22" s="15">
        <f t="shared" si="7"/>
        <v>-7.3570759137769448E-2</v>
      </c>
      <c r="O22" s="13">
        <f>'2023년 실적'!P22</f>
        <v>2260</v>
      </c>
      <c r="P22" s="39">
        <v>1120</v>
      </c>
      <c r="Q22" s="39">
        <v>70</v>
      </c>
      <c r="R22" s="88">
        <f t="shared" si="8"/>
        <v>-0.9375</v>
      </c>
      <c r="S22" s="15">
        <f t="shared" si="9"/>
        <v>-0.96902654867256632</v>
      </c>
      <c r="T22" s="45">
        <f>'2023년 실적'!U22</f>
        <v>400</v>
      </c>
      <c r="U22" s="39">
        <v>1120</v>
      </c>
      <c r="V22" s="39">
        <v>30</v>
      </c>
      <c r="W22" s="88">
        <f t="shared" si="10"/>
        <v>-0.9732142857142857</v>
      </c>
      <c r="X22" s="33">
        <f t="shared" si="11"/>
        <v>-0.92500000000000004</v>
      </c>
      <c r="Y22" s="13">
        <f>'2023년 실적'!Z22</f>
        <v>0</v>
      </c>
      <c r="Z22" s="39">
        <v>1120</v>
      </c>
      <c r="AA22" s="39">
        <v>1308</v>
      </c>
      <c r="AB22" s="88">
        <f t="shared" si="12"/>
        <v>0.16785714285714293</v>
      </c>
      <c r="AC22" s="15" t="e">
        <f t="shared" si="13"/>
        <v>#DIV/0!</v>
      </c>
      <c r="AD22" s="45">
        <f>'2023년 실적'!AE22</f>
        <v>1584</v>
      </c>
      <c r="AE22" s="39">
        <v>1120</v>
      </c>
      <c r="AF22" s="39">
        <v>508</v>
      </c>
      <c r="AG22" s="88">
        <f t="shared" si="14"/>
        <v>-0.54642857142857149</v>
      </c>
      <c r="AH22" s="33">
        <f t="shared" si="15"/>
        <v>-0.67929292929292928</v>
      </c>
      <c r="AI22" s="13">
        <f>'2023년 실적'!AJ22</f>
        <v>440</v>
      </c>
      <c r="AJ22" s="39">
        <v>1082</v>
      </c>
      <c r="AK22" s="39">
        <v>892</v>
      </c>
      <c r="AL22" s="88">
        <f t="shared" si="16"/>
        <v>-0.1756007393715342</v>
      </c>
      <c r="AM22" s="15">
        <f t="shared" si="17"/>
        <v>1.0272727272727273</v>
      </c>
      <c r="AN22" s="45">
        <f>'2023년 실적'!AO22</f>
        <v>120</v>
      </c>
      <c r="AO22" s="39">
        <v>1080</v>
      </c>
      <c r="AP22" s="39">
        <v>1254</v>
      </c>
      <c r="AQ22" s="88">
        <f t="shared" si="18"/>
        <v>0.1611111111111112</v>
      </c>
      <c r="AR22" s="33">
        <f t="shared" si="19"/>
        <v>9.4499999999999993</v>
      </c>
      <c r="AS22" s="13">
        <f>'2023년 실적'!AT22</f>
        <v>120</v>
      </c>
      <c r="AT22" s="39">
        <v>1066</v>
      </c>
      <c r="AU22" s="39">
        <v>150</v>
      </c>
      <c r="AV22" s="88">
        <f t="shared" si="20"/>
        <v>-0.85928705440900566</v>
      </c>
      <c r="AW22" s="15">
        <f t="shared" si="21"/>
        <v>0.25</v>
      </c>
      <c r="AX22" s="45">
        <f>'2023년 실적'!AY22</f>
        <v>2340</v>
      </c>
      <c r="AY22" s="39">
        <v>1144</v>
      </c>
      <c r="AZ22" s="39">
        <v>2894</v>
      </c>
      <c r="BA22" s="88">
        <f t="shared" si="22"/>
        <v>1.5297202797202796</v>
      </c>
      <c r="BB22" s="33">
        <f t="shared" si="23"/>
        <v>0.2367521367521368</v>
      </c>
      <c r="BC22" s="13">
        <f>'2023년 실적'!BD22</f>
        <v>1084</v>
      </c>
      <c r="BD22" s="39">
        <v>1086</v>
      </c>
      <c r="BE22" s="39">
        <v>52</v>
      </c>
      <c r="BF22" s="88">
        <f t="shared" si="24"/>
        <v>-0.95211786372007368</v>
      </c>
      <c r="BG22" s="15">
        <f t="shared" si="25"/>
        <v>-0.95202952029520294</v>
      </c>
      <c r="BH22" s="45">
        <f>'2023년 실적'!BI22</f>
        <v>2372</v>
      </c>
      <c r="BI22" s="39">
        <v>1400</v>
      </c>
      <c r="BJ22" s="39">
        <v>1094</v>
      </c>
      <c r="BK22" s="88">
        <f t="shared" si="26"/>
        <v>-0.21857142857142853</v>
      </c>
      <c r="BL22" s="33">
        <f t="shared" si="27"/>
        <v>-0.53878583473861719</v>
      </c>
      <c r="BM22" s="13">
        <f>'2023년 실적'!BN22</f>
        <v>256</v>
      </c>
      <c r="BN22" s="39">
        <v>1373</v>
      </c>
      <c r="BO22" s="39">
        <v>1714</v>
      </c>
      <c r="BP22" s="88">
        <f t="shared" si="28"/>
        <v>0.24836125273124554</v>
      </c>
      <c r="BQ22" s="15">
        <f t="shared" si="29"/>
        <v>5.6953125</v>
      </c>
      <c r="BR22" s="45">
        <f>'2023년 실적'!BS22</f>
        <v>1828</v>
      </c>
      <c r="BS22" s="39">
        <v>1234</v>
      </c>
      <c r="BT22" s="39">
        <v>1896</v>
      </c>
      <c r="BU22" s="88">
        <f t="shared" si="30"/>
        <v>0.53646677471636961</v>
      </c>
      <c r="BV22" s="15">
        <f t="shared" si="31"/>
        <v>3.7199124726477129E-2</v>
      </c>
    </row>
    <row r="23" spans="2:77" ht="17.25" thickBot="1" x14ac:dyDescent="0.35">
      <c r="B23" s="301"/>
      <c r="C23" s="301"/>
      <c r="D23" s="313"/>
      <c r="E23" s="193" t="s">
        <v>53</v>
      </c>
      <c r="F23" s="194">
        <f>SUM(F21:F22)</f>
        <v>500385</v>
      </c>
      <c r="G23" s="195">
        <f>SUM(G21:G22)</f>
        <v>580150</v>
      </c>
      <c r="H23" s="195">
        <f>SUM(H21:H22)</f>
        <v>660000</v>
      </c>
      <c r="I23" s="196">
        <f t="shared" si="5"/>
        <v>0.13763681806429373</v>
      </c>
      <c r="J23" s="197">
        <f t="shared" ref="J23:Q23" si="87">SUM(J21:J22)</f>
        <v>580150</v>
      </c>
      <c r="K23" s="195">
        <f t="shared" si="87"/>
        <v>657412</v>
      </c>
      <c r="L23" s="195">
        <f t="shared" si="87"/>
        <v>659284</v>
      </c>
      <c r="M23" s="198">
        <f t="shared" si="6"/>
        <v>2.8475294031748977E-3</v>
      </c>
      <c r="N23" s="199">
        <f t="shared" si="7"/>
        <v>0.13640265448590871</v>
      </c>
      <c r="O23" s="197">
        <f t="shared" si="87"/>
        <v>37086</v>
      </c>
      <c r="P23" s="195">
        <f t="shared" si="87"/>
        <v>52800</v>
      </c>
      <c r="Q23" s="195">
        <f t="shared" si="87"/>
        <v>44504</v>
      </c>
      <c r="R23" s="198">
        <f t="shared" si="8"/>
        <v>-0.15712121212121211</v>
      </c>
      <c r="S23" s="199">
        <f t="shared" si="9"/>
        <v>0.20002157148250022</v>
      </c>
      <c r="T23" s="194">
        <f>SUM(T21:T22)</f>
        <v>65308</v>
      </c>
      <c r="U23" s="195">
        <f>SUM(U21:U22)</f>
        <v>52800</v>
      </c>
      <c r="V23" s="195">
        <f>SUM(V21:V22)</f>
        <v>38822</v>
      </c>
      <c r="W23" s="198">
        <f t="shared" si="10"/>
        <v>-0.26473484848484852</v>
      </c>
      <c r="X23" s="196">
        <f t="shared" si="11"/>
        <v>-0.40555521528756044</v>
      </c>
      <c r="Y23" s="197">
        <f>SUM(Y21:Y22)</f>
        <v>35386</v>
      </c>
      <c r="Z23" s="195">
        <f>SUM(Z21:Z22)</f>
        <v>52800</v>
      </c>
      <c r="AA23" s="195">
        <f>SUM(AA21:AA22)</f>
        <v>52948</v>
      </c>
      <c r="AB23" s="198">
        <f t="shared" si="12"/>
        <v>2.8030303030301962E-3</v>
      </c>
      <c r="AC23" s="199">
        <f t="shared" si="13"/>
        <v>0.49629797094896277</v>
      </c>
      <c r="AD23" s="194">
        <f>SUM(AD21:AD22)</f>
        <v>38446</v>
      </c>
      <c r="AE23" s="195">
        <f>SUM(AE21:AE22)</f>
        <v>52800</v>
      </c>
      <c r="AF23" s="195">
        <f>SUM(AF21:AF22)</f>
        <v>68242</v>
      </c>
      <c r="AG23" s="198">
        <f t="shared" si="14"/>
        <v>0.29246212121212123</v>
      </c>
      <c r="AH23" s="196">
        <f t="shared" si="15"/>
        <v>0.77500910367788589</v>
      </c>
      <c r="AI23" s="197">
        <f>SUM(AI21:AI22)</f>
        <v>40964</v>
      </c>
      <c r="AJ23" s="195">
        <f>SUM(AJ21:AJ22)</f>
        <v>51028</v>
      </c>
      <c r="AK23" s="195">
        <f>SUM(AK21:AK22)</f>
        <v>48019</v>
      </c>
      <c r="AL23" s="198">
        <f t="shared" si="16"/>
        <v>-5.8967625617308173E-2</v>
      </c>
      <c r="AM23" s="199">
        <f t="shared" si="17"/>
        <v>0.17222439214920415</v>
      </c>
      <c r="AN23" s="194">
        <f>SUM(AN21:AN22)</f>
        <v>43914</v>
      </c>
      <c r="AO23" s="195">
        <f>SUM(AO21:AO22)</f>
        <v>50913</v>
      </c>
      <c r="AP23" s="195">
        <f>SUM(AP21:AP22)</f>
        <v>51692</v>
      </c>
      <c r="AQ23" s="198">
        <f t="shared" si="18"/>
        <v>1.53006108459528E-2</v>
      </c>
      <c r="AR23" s="196">
        <f t="shared" si="19"/>
        <v>0.17711891424147197</v>
      </c>
      <c r="AS23" s="197">
        <f>SUM(AS21:AS22)</f>
        <v>48934</v>
      </c>
      <c r="AT23" s="195">
        <f>SUM(AT21:AT22)</f>
        <v>50246</v>
      </c>
      <c r="AU23" s="195">
        <f>SUM(AU21:AU22)</f>
        <v>48326</v>
      </c>
      <c r="AV23" s="198">
        <f t="shared" si="20"/>
        <v>-3.8211996974883533E-2</v>
      </c>
      <c r="AW23" s="199">
        <f t="shared" si="21"/>
        <v>-1.2424898843339971E-2</v>
      </c>
      <c r="AX23" s="194">
        <f>SUM(AX21:AX22)</f>
        <v>47474</v>
      </c>
      <c r="AY23" s="195">
        <f>SUM(AY21:AY22)</f>
        <v>53916</v>
      </c>
      <c r="AZ23" s="195">
        <f>SUM(AZ21:AZ22)</f>
        <v>56316</v>
      </c>
      <c r="BA23" s="198">
        <f t="shared" si="22"/>
        <v>4.451368795904731E-2</v>
      </c>
      <c r="BB23" s="196">
        <f t="shared" si="23"/>
        <v>0.18624931541475331</v>
      </c>
      <c r="BC23" s="197">
        <f>SUM(BC21:BC22)</f>
        <v>43576</v>
      </c>
      <c r="BD23" s="195">
        <f>SUM(BD21:BD22)</f>
        <v>51216</v>
      </c>
      <c r="BE23" s="195">
        <f>SUM(BE21:BE22)</f>
        <v>55462</v>
      </c>
      <c r="BF23" s="198">
        <f t="shared" si="24"/>
        <v>8.290378006872845E-2</v>
      </c>
      <c r="BG23" s="199">
        <f t="shared" si="25"/>
        <v>0.27276482467413254</v>
      </c>
      <c r="BH23" s="194">
        <f>SUM(BH21:BH22)</f>
        <v>52448</v>
      </c>
      <c r="BI23" s="195">
        <f>SUM(BI21:BI22)</f>
        <v>66000</v>
      </c>
      <c r="BJ23" s="195">
        <f>SUM(BJ21:BJ22)</f>
        <v>84528</v>
      </c>
      <c r="BK23" s="198">
        <f t="shared" si="26"/>
        <v>0.28072727272727271</v>
      </c>
      <c r="BL23" s="196">
        <f t="shared" si="27"/>
        <v>0.61165344722391701</v>
      </c>
      <c r="BM23" s="197">
        <f>SUM(BM21:BM22)</f>
        <v>82774</v>
      </c>
      <c r="BN23" s="195">
        <f>SUM(BN21:BN22)</f>
        <v>64736</v>
      </c>
      <c r="BO23" s="195">
        <f>SUM(BO21:BO22)</f>
        <v>57253</v>
      </c>
      <c r="BP23" s="198">
        <f t="shared" si="28"/>
        <v>-0.11559256055363321</v>
      </c>
      <c r="BQ23" s="199">
        <f t="shared" si="29"/>
        <v>-0.30832145359653995</v>
      </c>
      <c r="BR23" s="194">
        <f>SUM(BR21:BR22)</f>
        <v>43840</v>
      </c>
      <c r="BS23" s="195">
        <f>SUM(BS21:BS22)</f>
        <v>58157</v>
      </c>
      <c r="BT23" s="195">
        <f>SUM(BT21:BT22)</f>
        <v>53172</v>
      </c>
      <c r="BU23" s="198">
        <f t="shared" si="30"/>
        <v>-8.5716250838248187E-2</v>
      </c>
      <c r="BV23" s="199">
        <f t="shared" si="31"/>
        <v>0.2128649635036497</v>
      </c>
    </row>
    <row r="24" spans="2:77" x14ac:dyDescent="0.3">
      <c r="B24" s="301"/>
      <c r="C24" s="301"/>
      <c r="D24" s="207" t="s">
        <v>56</v>
      </c>
      <c r="E24" s="208" t="s">
        <v>26</v>
      </c>
      <c r="F24" s="209">
        <f>'2023년 실적'!F24</f>
        <v>63204</v>
      </c>
      <c r="G24" s="210">
        <f>'2023년 실적'!G24</f>
        <v>79851</v>
      </c>
      <c r="H24" s="210">
        <v>93200</v>
      </c>
      <c r="I24" s="211">
        <f t="shared" si="5"/>
        <v>0.16717386131670242</v>
      </c>
      <c r="J24" s="212">
        <f t="shared" ref="J24:J26" si="88">O24+T24+Y24+AD24+AI24+AN24+AS24+AX24+BC24+BH24+BM24+BR24</f>
        <v>79851</v>
      </c>
      <c r="K24" s="213">
        <f t="shared" ref="K24:K26" si="89">P24+U24+Z24+AE24+AJ24+AO24+AT24+AY24+BD24+BI24+BN24+BS24</f>
        <v>92834</v>
      </c>
      <c r="L24" s="213">
        <f t="shared" ref="L24:L26" si="90">Q24+V24+AA24+AF24+AK24+AP24+AU24+AZ24+BE24+BJ24+BO24+BT24</f>
        <v>84553</v>
      </c>
      <c r="M24" s="214">
        <f t="shared" si="6"/>
        <v>-8.9202231940883725E-2</v>
      </c>
      <c r="N24" s="215">
        <f t="shared" si="7"/>
        <v>5.8884672702909091E-2</v>
      </c>
      <c r="O24" s="216">
        <f>'2023년 실적'!P24</f>
        <v>4644</v>
      </c>
      <c r="P24" s="210">
        <v>7456</v>
      </c>
      <c r="Q24" s="210">
        <v>6046</v>
      </c>
      <c r="R24" s="214">
        <f t="shared" si="8"/>
        <v>-0.18910944206008584</v>
      </c>
      <c r="S24" s="215">
        <f t="shared" si="9"/>
        <v>0.30189491817398784</v>
      </c>
      <c r="T24" s="56">
        <f>'2023년 실적'!U24</f>
        <v>5468</v>
      </c>
      <c r="U24" s="210">
        <v>7456</v>
      </c>
      <c r="V24" s="210">
        <v>6432</v>
      </c>
      <c r="W24" s="214">
        <f t="shared" si="10"/>
        <v>-0.13733905579399142</v>
      </c>
      <c r="X24" s="211">
        <f t="shared" si="11"/>
        <v>0.17629846378931968</v>
      </c>
      <c r="Y24" s="21">
        <f>'2023년 실적'!Z24</f>
        <v>5318</v>
      </c>
      <c r="Z24" s="210">
        <v>7456</v>
      </c>
      <c r="AA24" s="210">
        <v>6184</v>
      </c>
      <c r="AB24" s="214">
        <f t="shared" si="12"/>
        <v>-0.17060085836909866</v>
      </c>
      <c r="AC24" s="215">
        <f t="shared" si="13"/>
        <v>0.16284317412561111</v>
      </c>
      <c r="AD24" s="56">
        <f>'2023년 실적'!AE24</f>
        <v>5171</v>
      </c>
      <c r="AE24" s="210">
        <v>7456</v>
      </c>
      <c r="AF24" s="210">
        <v>6456</v>
      </c>
      <c r="AG24" s="214">
        <f t="shared" si="14"/>
        <v>-0.13412017167381973</v>
      </c>
      <c r="AH24" s="211">
        <f t="shared" si="15"/>
        <v>0.24850125701024939</v>
      </c>
      <c r="AI24" s="21">
        <f>'2023년 실적'!AJ24</f>
        <v>8324</v>
      </c>
      <c r="AJ24" s="210">
        <v>7206</v>
      </c>
      <c r="AK24" s="210">
        <v>6824</v>
      </c>
      <c r="AL24" s="214">
        <f t="shared" si="16"/>
        <v>-5.3011379406050496E-2</v>
      </c>
      <c r="AM24" s="215">
        <f t="shared" si="17"/>
        <v>-0.18020182604517054</v>
      </c>
      <c r="AN24" s="56">
        <f>'2023년 실적'!AO24</f>
        <v>5546</v>
      </c>
      <c r="AO24" s="210">
        <v>7190</v>
      </c>
      <c r="AP24" s="210">
        <v>6668</v>
      </c>
      <c r="AQ24" s="214">
        <f t="shared" si="18"/>
        <v>-7.2600834492350441E-2</v>
      </c>
      <c r="AR24" s="211">
        <f t="shared" si="19"/>
        <v>0.20230796970789755</v>
      </c>
      <c r="AS24" s="21">
        <f>'2023년 실적'!AT24</f>
        <v>7534</v>
      </c>
      <c r="AT24" s="210">
        <v>7095</v>
      </c>
      <c r="AU24" s="210">
        <v>8026</v>
      </c>
      <c r="AV24" s="214">
        <f t="shared" si="20"/>
        <v>0.1312191684284707</v>
      </c>
      <c r="AW24" s="215">
        <f t="shared" si="21"/>
        <v>6.5303955402176816E-2</v>
      </c>
      <c r="AX24" s="56">
        <f>'2023년 실적'!AY24</f>
        <v>6522</v>
      </c>
      <c r="AY24" s="210">
        <v>7614</v>
      </c>
      <c r="AZ24" s="210">
        <v>5699</v>
      </c>
      <c r="BA24" s="214">
        <f t="shared" si="22"/>
        <v>-0.25151037562385081</v>
      </c>
      <c r="BB24" s="211">
        <f t="shared" si="23"/>
        <v>-0.12618828580190122</v>
      </c>
      <c r="BC24" s="21">
        <f>'2023년 실적'!BD24</f>
        <v>7472</v>
      </c>
      <c r="BD24" s="210">
        <v>7232</v>
      </c>
      <c r="BE24" s="210">
        <v>6446</v>
      </c>
      <c r="BF24" s="214">
        <f t="shared" si="24"/>
        <v>-0.10868362831858402</v>
      </c>
      <c r="BG24" s="215">
        <f t="shared" si="25"/>
        <v>-0.13731263383297643</v>
      </c>
      <c r="BH24" s="56">
        <f>'2023년 실적'!BI24</f>
        <v>6844</v>
      </c>
      <c r="BI24" s="210">
        <v>9320</v>
      </c>
      <c r="BJ24" s="210">
        <v>10216</v>
      </c>
      <c r="BK24" s="214">
        <f t="shared" si="26"/>
        <v>9.6137339055794024E-2</v>
      </c>
      <c r="BL24" s="211">
        <f t="shared" si="27"/>
        <v>0.49269433080070124</v>
      </c>
      <c r="BM24" s="21">
        <f>'2023년 실적'!BN24</f>
        <v>10654</v>
      </c>
      <c r="BN24" s="210">
        <v>9141</v>
      </c>
      <c r="BO24" s="210">
        <v>7686</v>
      </c>
      <c r="BP24" s="214">
        <f t="shared" si="28"/>
        <v>-0.15917295700689205</v>
      </c>
      <c r="BQ24" s="215">
        <f t="shared" si="29"/>
        <v>-0.27858081471747698</v>
      </c>
      <c r="BR24" s="56">
        <f>'2023년 실적'!BS24</f>
        <v>6354</v>
      </c>
      <c r="BS24" s="210">
        <v>8212</v>
      </c>
      <c r="BT24" s="210">
        <v>7870</v>
      </c>
      <c r="BU24" s="214">
        <f t="shared" si="30"/>
        <v>-4.1646371164150042E-2</v>
      </c>
      <c r="BV24" s="215">
        <f t="shared" si="31"/>
        <v>0.23858986465218757</v>
      </c>
    </row>
    <row r="25" spans="2:77" ht="17.25" thickBot="1" x14ac:dyDescent="0.35">
      <c r="B25" s="301"/>
      <c r="C25" s="301"/>
      <c r="D25" s="217" t="s">
        <v>28</v>
      </c>
      <c r="E25" s="218" t="s">
        <v>28</v>
      </c>
      <c r="F25" s="219">
        <f>'2023년 실적'!F25</f>
        <v>538774</v>
      </c>
      <c r="G25" s="220">
        <f>'2023년 실적'!G25</f>
        <v>610171</v>
      </c>
      <c r="H25" s="220">
        <v>700000</v>
      </c>
      <c r="I25" s="221">
        <f t="shared" si="5"/>
        <v>0.1472193860409623</v>
      </c>
      <c r="J25" s="222">
        <f t="shared" si="88"/>
        <v>610171</v>
      </c>
      <c r="K25" s="223">
        <f t="shared" si="89"/>
        <v>697258</v>
      </c>
      <c r="L25" s="223">
        <f t="shared" si="90"/>
        <v>557613</v>
      </c>
      <c r="M25" s="224">
        <f t="shared" si="6"/>
        <v>-0.20027737222089959</v>
      </c>
      <c r="N25" s="225">
        <f t="shared" si="7"/>
        <v>-8.6136509273629813E-2</v>
      </c>
      <c r="O25" s="226">
        <f>'2023년 실적'!P25</f>
        <v>81684</v>
      </c>
      <c r="P25" s="220">
        <v>56000</v>
      </c>
      <c r="Q25" s="220">
        <v>21880</v>
      </c>
      <c r="R25" s="224">
        <f t="shared" si="8"/>
        <v>-0.60928571428571421</v>
      </c>
      <c r="S25" s="225">
        <f>Q25/O25-1</f>
        <v>-0.73213848489300237</v>
      </c>
      <c r="T25" s="57">
        <f>'2023년 실적'!U25</f>
        <v>17244</v>
      </c>
      <c r="U25" s="220">
        <v>56000</v>
      </c>
      <c r="V25" s="220">
        <v>44547</v>
      </c>
      <c r="W25" s="224">
        <f t="shared" si="10"/>
        <v>-0.2045178571428572</v>
      </c>
      <c r="X25" s="221">
        <f t="shared" si="11"/>
        <v>1.5833333333333335</v>
      </c>
      <c r="Y25" s="24">
        <f>'2023년 실적'!Z25</f>
        <v>53596</v>
      </c>
      <c r="Z25" s="220">
        <v>56000</v>
      </c>
      <c r="AA25" s="220">
        <v>46817</v>
      </c>
      <c r="AB25" s="224">
        <f t="shared" si="12"/>
        <v>-0.16398214285714285</v>
      </c>
      <c r="AC25" s="225">
        <f t="shared" si="13"/>
        <v>-0.12648331965072024</v>
      </c>
      <c r="AD25" s="57">
        <f>'2023년 실적'!AE25</f>
        <v>41890</v>
      </c>
      <c r="AE25" s="220">
        <v>56000</v>
      </c>
      <c r="AF25" s="220">
        <v>52212</v>
      </c>
      <c r="AG25" s="224">
        <f t="shared" si="14"/>
        <v>-6.7642857142857116E-2</v>
      </c>
      <c r="AH25" s="221">
        <f t="shared" si="15"/>
        <v>0.24640725710193356</v>
      </c>
      <c r="AI25" s="24">
        <f>'2023년 실적'!AJ25</f>
        <v>54348</v>
      </c>
      <c r="AJ25" s="220">
        <v>54122</v>
      </c>
      <c r="AK25" s="220">
        <v>45220</v>
      </c>
      <c r="AL25" s="224">
        <f t="shared" si="16"/>
        <v>-0.16448024832785191</v>
      </c>
      <c r="AM25" s="225">
        <f t="shared" si="17"/>
        <v>-0.16795466254507985</v>
      </c>
      <c r="AN25" s="57">
        <f>'2023년 실적'!AO25</f>
        <v>36664</v>
      </c>
      <c r="AO25" s="220">
        <v>53999</v>
      </c>
      <c r="AP25" s="220">
        <v>40278</v>
      </c>
      <c r="AQ25" s="224">
        <f t="shared" si="18"/>
        <v>-0.25409729809811288</v>
      </c>
      <c r="AR25" s="221">
        <f t="shared" si="19"/>
        <v>9.8570805149465368E-2</v>
      </c>
      <c r="AS25" s="24">
        <f>'2023년 실적'!AT25</f>
        <v>41556</v>
      </c>
      <c r="AT25" s="220">
        <v>53291</v>
      </c>
      <c r="AU25" s="220">
        <v>60084</v>
      </c>
      <c r="AV25" s="224">
        <f t="shared" si="20"/>
        <v>0.12746992925634726</v>
      </c>
      <c r="AW25" s="225">
        <f t="shared" si="21"/>
        <v>0.44585619405140053</v>
      </c>
      <c r="AX25" s="57">
        <f>'2023년 실적'!AY25</f>
        <v>50256</v>
      </c>
      <c r="AY25" s="220">
        <v>57184</v>
      </c>
      <c r="AZ25" s="220">
        <v>34006</v>
      </c>
      <c r="BA25" s="224">
        <f t="shared" si="22"/>
        <v>-0.40532316731952989</v>
      </c>
      <c r="BB25" s="221">
        <f t="shared" si="23"/>
        <v>-0.32334447628143903</v>
      </c>
      <c r="BC25" s="24">
        <f>'2023년 실적'!BD25</f>
        <v>46420</v>
      </c>
      <c r="BD25" s="220">
        <v>54321</v>
      </c>
      <c r="BE25" s="220">
        <v>40544</v>
      </c>
      <c r="BF25" s="224">
        <f t="shared" si="24"/>
        <v>-0.25362198781318457</v>
      </c>
      <c r="BG25" s="225">
        <f t="shared" si="25"/>
        <v>-0.12658336923739766</v>
      </c>
      <c r="BH25" s="57">
        <f>'2023년 실적'!BI25</f>
        <v>110267</v>
      </c>
      <c r="BI25" s="220">
        <v>70000</v>
      </c>
      <c r="BJ25" s="220">
        <v>64533</v>
      </c>
      <c r="BK25" s="224">
        <f t="shared" si="26"/>
        <v>-7.8099999999999947E-2</v>
      </c>
      <c r="BL25" s="221">
        <f t="shared" si="27"/>
        <v>-0.41475690823183731</v>
      </c>
      <c r="BM25" s="24">
        <f>'2023년 실적'!BN25</f>
        <v>7779</v>
      </c>
      <c r="BN25" s="220">
        <v>68659</v>
      </c>
      <c r="BO25" s="220">
        <v>57024</v>
      </c>
      <c r="BP25" s="224">
        <f t="shared" si="28"/>
        <v>-0.16946066793865333</v>
      </c>
      <c r="BQ25" s="225">
        <f t="shared" si="29"/>
        <v>6.3305052063247205</v>
      </c>
      <c r="BR25" s="57">
        <f>'2023년 실적'!BS25</f>
        <v>68467</v>
      </c>
      <c r="BS25" s="220">
        <v>61682</v>
      </c>
      <c r="BT25" s="220">
        <v>50468</v>
      </c>
      <c r="BU25" s="224">
        <f t="shared" si="30"/>
        <v>-0.18180344346811061</v>
      </c>
      <c r="BV25" s="225">
        <f t="shared" si="31"/>
        <v>-0.26288576978690459</v>
      </c>
    </row>
    <row r="26" spans="2:77" ht="17.25" thickBot="1" x14ac:dyDescent="0.35">
      <c r="B26" s="301" t="s">
        <v>29</v>
      </c>
      <c r="C26" s="302"/>
      <c r="D26" s="316" t="s">
        <v>30</v>
      </c>
      <c r="E26" s="317"/>
      <c r="F26" s="227">
        <f>'2023년 실적'!F26</f>
        <v>763556</v>
      </c>
      <c r="G26" s="228">
        <f>'2023년 실적'!G26</f>
        <v>835396</v>
      </c>
      <c r="H26" s="228">
        <v>890000</v>
      </c>
      <c r="I26" s="229">
        <f t="shared" si="5"/>
        <v>6.5363013469061482E-2</v>
      </c>
      <c r="J26" s="230">
        <f t="shared" si="88"/>
        <v>833004</v>
      </c>
      <c r="K26" s="231">
        <f t="shared" si="89"/>
        <v>886511</v>
      </c>
      <c r="L26" s="231">
        <f t="shared" si="90"/>
        <v>904015</v>
      </c>
      <c r="M26" s="232">
        <f t="shared" si="6"/>
        <v>1.9744819861231333E-2</v>
      </c>
      <c r="N26" s="233">
        <f t="shared" si="7"/>
        <v>8.5246889570758322E-2</v>
      </c>
      <c r="O26" s="234">
        <f>'2023년 실적'!P26</f>
        <v>50064</v>
      </c>
      <c r="P26" s="228">
        <v>71200</v>
      </c>
      <c r="Q26" s="228">
        <v>53893</v>
      </c>
      <c r="R26" s="232">
        <f t="shared" si="8"/>
        <v>-0.24307584269662919</v>
      </c>
      <c r="S26" s="233">
        <f>Q26/O26-1</f>
        <v>7.6482102908277394E-2</v>
      </c>
      <c r="T26" s="227">
        <f>'2023년 실적'!U26</f>
        <v>74084</v>
      </c>
      <c r="U26" s="228">
        <v>71200</v>
      </c>
      <c r="V26" s="228">
        <v>78147</v>
      </c>
      <c r="W26" s="232">
        <f t="shared" si="10"/>
        <v>9.757022471910104E-2</v>
      </c>
      <c r="X26" s="229">
        <f t="shared" si="11"/>
        <v>5.4843151017763603E-2</v>
      </c>
      <c r="Y26" s="157">
        <f>'2023년 실적'!Z26</f>
        <v>68072</v>
      </c>
      <c r="Z26" s="228">
        <v>71200</v>
      </c>
      <c r="AA26" s="228">
        <v>71656</v>
      </c>
      <c r="AB26" s="232">
        <f t="shared" si="12"/>
        <v>6.4044943820225075E-3</v>
      </c>
      <c r="AC26" s="233">
        <f t="shared" si="13"/>
        <v>5.2650135151016464E-2</v>
      </c>
      <c r="AD26" s="235">
        <f>'2023년 실적'!AE26</f>
        <v>84535</v>
      </c>
      <c r="AE26" s="228">
        <v>71200</v>
      </c>
      <c r="AF26" s="228">
        <v>82813</v>
      </c>
      <c r="AG26" s="232">
        <f t="shared" si="14"/>
        <v>0.16310393258426958</v>
      </c>
      <c r="AH26" s="229">
        <f t="shared" si="15"/>
        <v>-2.0370260838705856E-2</v>
      </c>
      <c r="AI26" s="157">
        <f>'2023년 실적'!AJ26</f>
        <v>74509</v>
      </c>
      <c r="AJ26" s="228">
        <v>68812</v>
      </c>
      <c r="AK26" s="228">
        <v>78617</v>
      </c>
      <c r="AL26" s="232">
        <f t="shared" si="16"/>
        <v>0.14248968203220369</v>
      </c>
      <c r="AM26" s="233">
        <f t="shared" si="17"/>
        <v>5.5134279080379489E-2</v>
      </c>
      <c r="AN26" s="227">
        <f>'2023년 실적'!AO26</f>
        <v>54213</v>
      </c>
      <c r="AO26" s="228">
        <v>68655</v>
      </c>
      <c r="AP26" s="228">
        <v>67379</v>
      </c>
      <c r="AQ26" s="232">
        <f t="shared" si="18"/>
        <v>-1.85856820333552E-2</v>
      </c>
      <c r="AR26" s="229">
        <f t="shared" si="19"/>
        <v>0.2428568793462822</v>
      </c>
      <c r="AS26" s="157">
        <f>'2023년 실적'!AT26</f>
        <v>72579</v>
      </c>
      <c r="AT26" s="228">
        <v>67755</v>
      </c>
      <c r="AU26" s="228">
        <v>83193</v>
      </c>
      <c r="AV26" s="232">
        <f t="shared" si="20"/>
        <v>0.22785034314810715</v>
      </c>
      <c r="AW26" s="233">
        <f t="shared" si="21"/>
        <v>0.1462406481213574</v>
      </c>
      <c r="AX26" s="235">
        <f>'2023년 실적'!AY26</f>
        <v>66753</v>
      </c>
      <c r="AY26" s="228">
        <v>72705</v>
      </c>
      <c r="AZ26" s="228">
        <v>81329</v>
      </c>
      <c r="BA26" s="232">
        <f t="shared" si="22"/>
        <v>0.11861632624991403</v>
      </c>
      <c r="BB26" s="229">
        <f t="shared" si="23"/>
        <v>0.21835722739052921</v>
      </c>
      <c r="BC26" s="157">
        <f>'2023년 실적'!BD26</f>
        <v>57761</v>
      </c>
      <c r="BD26" s="228">
        <v>69065</v>
      </c>
      <c r="BE26" s="228">
        <v>62469</v>
      </c>
      <c r="BF26" s="232">
        <f t="shared" si="24"/>
        <v>-9.5504235140809413E-2</v>
      </c>
      <c r="BG26" s="233">
        <f t="shared" si="25"/>
        <v>8.1508284136355025E-2</v>
      </c>
      <c r="BH26" s="235">
        <f>'2023년 실적'!BI26</f>
        <v>79856</v>
      </c>
      <c r="BI26" s="228">
        <v>89000</v>
      </c>
      <c r="BJ26" s="228">
        <v>86174</v>
      </c>
      <c r="BK26" s="232">
        <f t="shared" si="26"/>
        <v>-3.1752808988764092E-2</v>
      </c>
      <c r="BL26" s="229">
        <f t="shared" si="27"/>
        <v>7.9117411340412724E-2</v>
      </c>
      <c r="BM26" s="234">
        <f>'2023년 실적'!BN26</f>
        <v>86024</v>
      </c>
      <c r="BN26" s="228">
        <v>87295</v>
      </c>
      <c r="BO26" s="228">
        <v>87868</v>
      </c>
      <c r="BP26" s="232">
        <f t="shared" si="28"/>
        <v>6.5639498253049489E-3</v>
      </c>
      <c r="BQ26" s="233">
        <f t="shared" si="29"/>
        <v>2.1435878359527649E-2</v>
      </c>
      <c r="BR26" s="227">
        <f>'2023년 실적'!BS26</f>
        <v>64554</v>
      </c>
      <c r="BS26" s="228">
        <v>78424</v>
      </c>
      <c r="BT26" s="228">
        <v>70477</v>
      </c>
      <c r="BU26" s="232">
        <f t="shared" si="30"/>
        <v>-0.10133377537488519</v>
      </c>
      <c r="BV26" s="233">
        <f t="shared" si="31"/>
        <v>9.1752641199615903E-2</v>
      </c>
    </row>
    <row r="27" spans="2:77" ht="17.25" thickBot="1" x14ac:dyDescent="0.35">
      <c r="B27" s="312"/>
      <c r="C27" s="318" t="s">
        <v>31</v>
      </c>
      <c r="D27" s="321" t="s">
        <v>32</v>
      </c>
      <c r="E27" s="322"/>
      <c r="F27" s="56">
        <v>358721</v>
      </c>
      <c r="G27" s="41">
        <f>BR27</f>
        <v>410638</v>
      </c>
      <c r="H27" s="41">
        <f>ROUND(H28/24,0)</f>
        <v>270833</v>
      </c>
      <c r="I27" s="81">
        <f t="shared" si="5"/>
        <v>-0.34045801898509154</v>
      </c>
      <c r="J27" s="8">
        <f t="shared" ref="J27:L27" si="91">BR27</f>
        <v>410638</v>
      </c>
      <c r="K27" s="8">
        <f t="shared" si="91"/>
        <v>270832.5</v>
      </c>
      <c r="L27" s="8">
        <f t="shared" si="91"/>
        <v>359989</v>
      </c>
      <c r="M27" s="112">
        <f t="shared" si="6"/>
        <v>0.32919424367459582</v>
      </c>
      <c r="N27" s="23">
        <f t="shared" si="7"/>
        <v>-0.12334221382336752</v>
      </c>
      <c r="O27" s="21">
        <f>'2023년 실적'!P27</f>
        <v>631428</v>
      </c>
      <c r="P27" s="41">
        <f>ROUND(P28/2,2)</f>
        <v>270832.5</v>
      </c>
      <c r="Q27" s="41">
        <v>329768</v>
      </c>
      <c r="R27" s="112"/>
      <c r="S27" s="23">
        <f t="shared" si="9"/>
        <v>-0.47774251379413013</v>
      </c>
      <c r="T27" s="56">
        <f>'2023년 실적'!U27</f>
        <v>356790</v>
      </c>
      <c r="U27" s="41">
        <f>U28/2</f>
        <v>270832.5</v>
      </c>
      <c r="V27" s="41">
        <v>278123</v>
      </c>
      <c r="W27" s="112">
        <f t="shared" si="10"/>
        <v>2.6918852058006371E-2</v>
      </c>
      <c r="X27" s="81">
        <f t="shared" si="11"/>
        <v>-0.22048543961433897</v>
      </c>
      <c r="Y27" s="21">
        <f>'2023년 실적'!Z27</f>
        <v>342979</v>
      </c>
      <c r="Z27" s="41">
        <f>Z28/2</f>
        <v>270832.5</v>
      </c>
      <c r="AA27" s="41">
        <v>341100</v>
      </c>
      <c r="AB27" s="112">
        <f t="shared" si="12"/>
        <v>0.25945002907701253</v>
      </c>
      <c r="AC27" s="23">
        <f t="shared" si="13"/>
        <v>-5.4784695272888095E-3</v>
      </c>
      <c r="AD27" s="56">
        <f>'2023년 실적'!AE27</f>
        <v>309133</v>
      </c>
      <c r="AE27" s="41">
        <f>AE28/2</f>
        <v>270832.5</v>
      </c>
      <c r="AF27" s="41">
        <v>330935</v>
      </c>
      <c r="AG27" s="112">
        <f t="shared" si="14"/>
        <v>0.22191760590032583</v>
      </c>
      <c r="AH27" s="81">
        <f t="shared" si="15"/>
        <v>7.0526278333274073E-2</v>
      </c>
      <c r="AI27" s="21">
        <f>'2023년 실적'!AJ27</f>
        <v>349942</v>
      </c>
      <c r="AJ27" s="38">
        <f>AJ28/2</f>
        <v>270832.5</v>
      </c>
      <c r="AK27" s="41">
        <v>405927</v>
      </c>
      <c r="AL27" s="112">
        <f t="shared" si="16"/>
        <v>0.49881199634460405</v>
      </c>
      <c r="AM27" s="23">
        <f t="shared" si="17"/>
        <v>0.15998365443416329</v>
      </c>
      <c r="AN27" s="56">
        <f>'2023년 실적'!AO27</f>
        <v>631428</v>
      </c>
      <c r="AO27" s="41">
        <f>AO28/2</f>
        <v>270832.5</v>
      </c>
      <c r="AP27" s="41">
        <v>419353</v>
      </c>
      <c r="AQ27" s="112">
        <f t="shared" si="18"/>
        <v>0.54838507195406749</v>
      </c>
      <c r="AR27" s="81">
        <f t="shared" si="19"/>
        <v>-0.335865688566234</v>
      </c>
      <c r="AS27" s="21">
        <f>'2023년 실적'!AT27</f>
        <v>252188</v>
      </c>
      <c r="AT27" s="38">
        <f>AT28/2</f>
        <v>270832.5</v>
      </c>
      <c r="AU27" s="41">
        <v>291707</v>
      </c>
      <c r="AV27" s="112">
        <f t="shared" si="20"/>
        <v>7.7075314077889479E-2</v>
      </c>
      <c r="AW27" s="23">
        <f t="shared" si="21"/>
        <v>0.15670452202325258</v>
      </c>
      <c r="AX27" s="56">
        <f>'2023년 실적'!AY27</f>
        <v>232179</v>
      </c>
      <c r="AY27" s="41">
        <f>AY29/2</f>
        <v>270832.5</v>
      </c>
      <c r="AZ27" s="41">
        <v>277172</v>
      </c>
      <c r="BA27" s="112">
        <f t="shared" si="22"/>
        <v>2.3407456638328217E-2</v>
      </c>
      <c r="BB27" s="81">
        <f t="shared" si="23"/>
        <v>0.19378582903707908</v>
      </c>
      <c r="BC27" s="21">
        <f>'2023년 실적'!BD27</f>
        <v>327994</v>
      </c>
      <c r="BD27" s="41">
        <f>BD29/2</f>
        <v>270832.5</v>
      </c>
      <c r="BE27" s="41">
        <v>314825</v>
      </c>
      <c r="BF27" s="112">
        <f t="shared" si="24"/>
        <v>0.16243434595183359</v>
      </c>
      <c r="BG27" s="23">
        <f t="shared" si="25"/>
        <v>-4.0150124697402978E-2</v>
      </c>
      <c r="BH27" s="56">
        <f>'2023년 실적'!BI27</f>
        <v>529532</v>
      </c>
      <c r="BI27" s="38">
        <f>BI28/2</f>
        <v>270832.5</v>
      </c>
      <c r="BJ27" s="41">
        <v>383612</v>
      </c>
      <c r="BK27" s="112">
        <f t="shared" si="26"/>
        <v>0.41641789667045126</v>
      </c>
      <c r="BL27" s="81">
        <f t="shared" si="27"/>
        <v>-0.27556408300159385</v>
      </c>
      <c r="BM27" s="21">
        <f>'2023년 실적'!BN27</f>
        <v>447516</v>
      </c>
      <c r="BN27" s="38">
        <f>BN28/2</f>
        <v>270832.5</v>
      </c>
      <c r="BO27" s="41">
        <v>374969</v>
      </c>
      <c r="BP27" s="112">
        <f t="shared" si="28"/>
        <v>0.38450518309287096</v>
      </c>
      <c r="BQ27" s="23">
        <f t="shared" si="29"/>
        <v>-0.16211040499110652</v>
      </c>
      <c r="BR27" s="21">
        <f>'2023년 실적'!BS27</f>
        <v>410638</v>
      </c>
      <c r="BS27" s="38">
        <f>BS29/2</f>
        <v>270832.5</v>
      </c>
      <c r="BT27" s="41">
        <f>357776+1586+627</f>
        <v>359989</v>
      </c>
      <c r="BU27" s="112">
        <f t="shared" si="30"/>
        <v>0.32919424367459582</v>
      </c>
      <c r="BV27" s="23">
        <f t="shared" si="31"/>
        <v>-0.12334221382336752</v>
      </c>
      <c r="BY27" s="150">
        <v>359989</v>
      </c>
    </row>
    <row r="28" spans="2:77" ht="17.25" thickBot="1" x14ac:dyDescent="0.35">
      <c r="B28" s="312"/>
      <c r="C28" s="319"/>
      <c r="D28" s="305" t="s">
        <v>33</v>
      </c>
      <c r="E28" s="306"/>
      <c r="F28" s="164">
        <v>5704093</v>
      </c>
      <c r="G28" s="165">
        <v>5704093</v>
      </c>
      <c r="H28" s="165">
        <f>H29</f>
        <v>6500000</v>
      </c>
      <c r="I28" s="169">
        <f t="shared" si="5"/>
        <v>0.13953261280978424</v>
      </c>
      <c r="J28" s="131">
        <f>O28+T28+Y28+AD28+AI28+AN28+AS28+AX28+BC28+BH28+BM28+BR28</f>
        <v>5776183</v>
      </c>
      <c r="K28" s="132">
        <f t="shared" ref="K28" si="92">P28+U28+Z28+AE28+AJ28+AO28+AT28+AY28+BD28+BI28+BN28+BS28</f>
        <v>6499980</v>
      </c>
      <c r="L28" s="132">
        <f t="shared" ref="L28" si="93">Q28+V28+AA28+AF28+AK28+AP28+AU28+AZ28+BE28+BJ28+BO28+BT28</f>
        <v>5381839</v>
      </c>
      <c r="M28" s="166">
        <f t="shared" si="6"/>
        <v>-0.17202222160683567</v>
      </c>
      <c r="N28" s="25">
        <f t="shared" si="7"/>
        <v>-6.8270690177232973E-2</v>
      </c>
      <c r="O28" s="24">
        <f>'2023년 실적'!P28</f>
        <v>606604</v>
      </c>
      <c r="P28" s="165">
        <f>P29</f>
        <v>541665</v>
      </c>
      <c r="Q28" s="165">
        <v>341246</v>
      </c>
      <c r="R28" s="166">
        <f t="shared" si="8"/>
        <v>-0.3700054461706036</v>
      </c>
      <c r="S28" s="25">
        <f t="shared" si="9"/>
        <v>-0.43744848368952394</v>
      </c>
      <c r="T28" s="57">
        <f>'2023년 실적'!U28</f>
        <v>384987</v>
      </c>
      <c r="U28" s="165">
        <f>U29</f>
        <v>541665</v>
      </c>
      <c r="V28" s="165">
        <v>397040</v>
      </c>
      <c r="W28" s="166">
        <f t="shared" si="10"/>
        <v>-0.26700082154098936</v>
      </c>
      <c r="X28" s="82">
        <f t="shared" si="11"/>
        <v>3.130755064456725E-2</v>
      </c>
      <c r="Y28" s="24">
        <f>'2023년 실적'!Z28</f>
        <v>450197</v>
      </c>
      <c r="Z28" s="165">
        <f>Z29</f>
        <v>541665</v>
      </c>
      <c r="AA28" s="165">
        <v>468286</v>
      </c>
      <c r="AB28" s="166">
        <f t="shared" si="12"/>
        <v>-0.13546933990566123</v>
      </c>
      <c r="AC28" s="25">
        <f t="shared" si="13"/>
        <v>4.0180187784458754E-2</v>
      </c>
      <c r="AD28" s="57">
        <f>'2023년 실적'!AE28</f>
        <v>476423</v>
      </c>
      <c r="AE28" s="165">
        <f>AE29</f>
        <v>541665</v>
      </c>
      <c r="AF28" s="165">
        <v>447362</v>
      </c>
      <c r="AG28" s="166">
        <f t="shared" si="14"/>
        <v>-0.17409838184117488</v>
      </c>
      <c r="AH28" s="82">
        <f t="shared" si="15"/>
        <v>-6.0998314523018404E-2</v>
      </c>
      <c r="AI28" s="24">
        <f>'2023년 실적'!AJ28</f>
        <v>570143</v>
      </c>
      <c r="AJ28" s="165">
        <f>AJ29</f>
        <v>541665</v>
      </c>
      <c r="AK28" s="165">
        <v>551104</v>
      </c>
      <c r="AL28" s="166">
        <f t="shared" si="16"/>
        <v>1.7425899771999376E-2</v>
      </c>
      <c r="AM28" s="25">
        <f t="shared" si="17"/>
        <v>-3.3393376749341841E-2</v>
      </c>
      <c r="AN28" s="57">
        <f>'2023년 실적'!AO28</f>
        <v>401556</v>
      </c>
      <c r="AO28" s="165">
        <f>AO29</f>
        <v>541665</v>
      </c>
      <c r="AP28" s="165">
        <v>416686</v>
      </c>
      <c r="AQ28" s="166">
        <f t="shared" si="18"/>
        <v>-0.23073117148052769</v>
      </c>
      <c r="AR28" s="82">
        <f t="shared" si="19"/>
        <v>3.767843090378431E-2</v>
      </c>
      <c r="AS28" s="24">
        <f>'2023년 실적'!AT28</f>
        <v>337619</v>
      </c>
      <c r="AT28" s="165">
        <f>AT29</f>
        <v>541665</v>
      </c>
      <c r="AU28" s="165">
        <v>400169</v>
      </c>
      <c r="AV28" s="166">
        <f t="shared" si="20"/>
        <v>-0.26122418838211814</v>
      </c>
      <c r="AW28" s="25">
        <f t="shared" si="21"/>
        <v>0.18526800920564312</v>
      </c>
      <c r="AX28" s="57">
        <f>'2023년 실적'!AY28</f>
        <v>415213</v>
      </c>
      <c r="AY28" s="165">
        <f>AY29</f>
        <v>541665</v>
      </c>
      <c r="AZ28" s="165">
        <v>440920</v>
      </c>
      <c r="BA28" s="166">
        <f t="shared" si="22"/>
        <v>-0.18599134151182006</v>
      </c>
      <c r="BB28" s="82">
        <f t="shared" si="23"/>
        <v>6.1912801381459603E-2</v>
      </c>
      <c r="BC28" s="24">
        <f>'2023년 실적'!BD28</f>
        <v>475682</v>
      </c>
      <c r="BD28" s="165">
        <f>BD29</f>
        <v>541665</v>
      </c>
      <c r="BE28" s="165">
        <v>343048</v>
      </c>
      <c r="BF28" s="166">
        <f t="shared" si="24"/>
        <v>-0.36667866670358984</v>
      </c>
      <c r="BG28" s="25">
        <f t="shared" si="25"/>
        <v>-0.27882913374901719</v>
      </c>
      <c r="BH28" s="57">
        <f>'2023년 실적'!BI28</f>
        <v>808061</v>
      </c>
      <c r="BI28" s="165">
        <f>BI29</f>
        <v>541665</v>
      </c>
      <c r="BJ28" s="165">
        <v>557700</v>
      </c>
      <c r="BK28" s="166">
        <f t="shared" si="26"/>
        <v>2.9603168009747716E-2</v>
      </c>
      <c r="BL28" s="82">
        <f t="shared" si="27"/>
        <v>-0.30982933219150532</v>
      </c>
      <c r="BM28" s="24">
        <f>'2023년 실적'!BN28</f>
        <v>492353</v>
      </c>
      <c r="BN28" s="165">
        <f>BN29</f>
        <v>541665</v>
      </c>
      <c r="BO28" s="165">
        <v>500870</v>
      </c>
      <c r="BP28" s="166">
        <f t="shared" si="28"/>
        <v>-7.5314077889470421E-2</v>
      </c>
      <c r="BQ28" s="25">
        <f t="shared" si="29"/>
        <v>1.7298564241509551E-2</v>
      </c>
      <c r="BR28" s="57">
        <f>'2023년 실적'!BS28</f>
        <v>357345</v>
      </c>
      <c r="BS28" s="165">
        <f>BS29</f>
        <v>541665</v>
      </c>
      <c r="BT28" s="165">
        <v>517408</v>
      </c>
      <c r="BU28" s="166">
        <f t="shared" si="30"/>
        <v>-4.4782291637820437E-2</v>
      </c>
      <c r="BV28" s="25">
        <f t="shared" si="31"/>
        <v>0.44792287565238076</v>
      </c>
    </row>
    <row r="29" spans="2:77" ht="17.25" thickBot="1" x14ac:dyDescent="0.35">
      <c r="B29" s="312"/>
      <c r="C29" s="319"/>
      <c r="D29" s="307" t="s">
        <v>34</v>
      </c>
      <c r="E29" s="308"/>
      <c r="F29" s="170">
        <f>SUM(F30:F36)</f>
        <v>6066324.9000000004</v>
      </c>
      <c r="G29" s="171">
        <f>SUM(G30:G36)</f>
        <v>5796942</v>
      </c>
      <c r="H29" s="171">
        <f>SUM(H30:H36)</f>
        <v>6500000</v>
      </c>
      <c r="I29" s="172">
        <f t="shared" si="5"/>
        <v>0.12128084082952695</v>
      </c>
      <c r="J29" s="173">
        <f>SUM(J30:J36)</f>
        <v>5791350</v>
      </c>
      <c r="K29" s="171">
        <f>SUM(K30:K36)</f>
        <v>6499980</v>
      </c>
      <c r="L29" s="171">
        <f>SUM(L30:L36)</f>
        <v>5433492</v>
      </c>
      <c r="M29" s="174">
        <f t="shared" si="6"/>
        <v>-0.16407558177102088</v>
      </c>
      <c r="N29" s="175">
        <f t="shared" si="7"/>
        <v>-6.1791810199694375E-2</v>
      </c>
      <c r="O29" s="173">
        <f>SUM(O30:O36)</f>
        <v>409012</v>
      </c>
      <c r="P29" s="171">
        <f>SUM(P30:P36)</f>
        <v>541665</v>
      </c>
      <c r="Q29" s="171">
        <f>SUM(Q30:Q36)</f>
        <v>422415</v>
      </c>
      <c r="R29" s="174">
        <f t="shared" si="8"/>
        <v>-0.22015452355238019</v>
      </c>
      <c r="S29" s="175">
        <f t="shared" si="9"/>
        <v>3.2769209705338698E-2</v>
      </c>
      <c r="T29" s="170">
        <f>SUM(T30:T36)</f>
        <v>633763</v>
      </c>
      <c r="U29" s="171">
        <f>SUM(U30:U36)</f>
        <v>541665</v>
      </c>
      <c r="V29" s="171">
        <f>SUM(V30:V36)</f>
        <v>385426</v>
      </c>
      <c r="W29" s="174">
        <f t="shared" si="10"/>
        <v>-0.28844211828344091</v>
      </c>
      <c r="X29" s="172">
        <f t="shared" si="11"/>
        <v>-0.39184521658727312</v>
      </c>
      <c r="Y29" s="173">
        <f>SUM(Y30:Y36)</f>
        <v>479511</v>
      </c>
      <c r="Z29" s="171">
        <f>SUM(Z30:Z36)</f>
        <v>541665</v>
      </c>
      <c r="AA29" s="171">
        <f>SUM(AA30:AA36)</f>
        <v>475886</v>
      </c>
      <c r="AB29" s="174">
        <f t="shared" si="12"/>
        <v>-0.12143852750316153</v>
      </c>
      <c r="AC29" s="175">
        <f t="shared" si="13"/>
        <v>-7.5597848641637544E-3</v>
      </c>
      <c r="AD29" s="170">
        <f>SUM(AD30:AD36)</f>
        <v>482482</v>
      </c>
      <c r="AE29" s="171">
        <f>SUM(AE30:AE36)</f>
        <v>541665</v>
      </c>
      <c r="AF29" s="171">
        <f>SUM(AF30:AF36)</f>
        <v>444047</v>
      </c>
      <c r="AG29" s="174">
        <f t="shared" si="14"/>
        <v>-0.18021840067200212</v>
      </c>
      <c r="AH29" s="172">
        <f t="shared" si="15"/>
        <v>-7.966100289751743E-2</v>
      </c>
      <c r="AI29" s="173">
        <f>SUM(AI30:AI36)</f>
        <v>532534</v>
      </c>
      <c r="AJ29" s="171">
        <f>SUM(AJ30:AJ36)</f>
        <v>541665</v>
      </c>
      <c r="AK29" s="171">
        <f>SUM(AK30:AK36)</f>
        <v>492593</v>
      </c>
      <c r="AL29" s="174">
        <f t="shared" si="16"/>
        <v>-9.0594740291508602E-2</v>
      </c>
      <c r="AM29" s="175">
        <f t="shared" si="17"/>
        <v>-7.5001783923655529E-2</v>
      </c>
      <c r="AN29" s="170">
        <f>SUM(AN30:AN36)</f>
        <v>475303</v>
      </c>
      <c r="AO29" s="171">
        <f>SUM(AO30:AO36)</f>
        <v>541665</v>
      </c>
      <c r="AP29" s="171">
        <f>SUM(AP30:AP36)</f>
        <v>401955</v>
      </c>
      <c r="AQ29" s="174">
        <f t="shared" si="18"/>
        <v>-0.25792694746753064</v>
      </c>
      <c r="AR29" s="172">
        <f t="shared" si="19"/>
        <v>-0.1543184032080589</v>
      </c>
      <c r="AS29" s="173">
        <f>SUM(AS30:AS36)</f>
        <v>387321</v>
      </c>
      <c r="AT29" s="171">
        <f>SUM(AT30:AT36)</f>
        <v>541665</v>
      </c>
      <c r="AU29" s="171">
        <f>SUM(AU30:AU36)</f>
        <v>484454</v>
      </c>
      <c r="AV29" s="174">
        <f t="shared" si="20"/>
        <v>-0.10562063267886979</v>
      </c>
      <c r="AW29" s="175">
        <f t="shared" si="21"/>
        <v>0.25078165139509601</v>
      </c>
      <c r="AX29" s="170">
        <f>SUM(AX30:AX36)</f>
        <v>429751</v>
      </c>
      <c r="AY29" s="171">
        <f>SUM(AY30:AY36)</f>
        <v>541665</v>
      </c>
      <c r="AZ29" s="171">
        <f>SUM(AZ30:AZ36)</f>
        <v>424912</v>
      </c>
      <c r="BA29" s="174">
        <f t="shared" si="22"/>
        <v>-0.2155446632143484</v>
      </c>
      <c r="BB29" s="172">
        <f t="shared" si="23"/>
        <v>-1.1260008702713931E-2</v>
      </c>
      <c r="BC29" s="173">
        <f>SUM(BC30:BC36)</f>
        <v>380058</v>
      </c>
      <c r="BD29" s="171">
        <f>SUM(BD30:BD36)</f>
        <v>541665</v>
      </c>
      <c r="BE29" s="171">
        <f>SUM(BE30:BE36)</f>
        <v>378745</v>
      </c>
      <c r="BF29" s="174">
        <f t="shared" si="24"/>
        <v>-0.30077631008095407</v>
      </c>
      <c r="BG29" s="175">
        <f t="shared" si="25"/>
        <v>-3.454735856106228E-3</v>
      </c>
      <c r="BH29" s="170">
        <f>SUM(BH30:BH36)</f>
        <v>612770</v>
      </c>
      <c r="BI29" s="171">
        <f>SUM(BI30:BI36)</f>
        <v>541665</v>
      </c>
      <c r="BJ29" s="171">
        <f>SUM(BJ30:BJ36)</f>
        <v>489218</v>
      </c>
      <c r="BK29" s="174">
        <f t="shared" si="26"/>
        <v>-9.6825528693934459E-2</v>
      </c>
      <c r="BL29" s="172">
        <f t="shared" si="27"/>
        <v>-0.20162866981085892</v>
      </c>
      <c r="BM29" s="173">
        <f>SUM(BM30:BM36)</f>
        <v>509279</v>
      </c>
      <c r="BN29" s="171">
        <f>SUM(BN30:BN36)</f>
        <v>541665</v>
      </c>
      <c r="BO29" s="171">
        <f>SUM(BO30:BO36)</f>
        <v>501510</v>
      </c>
      <c r="BP29" s="174">
        <f t="shared" si="28"/>
        <v>-7.4132535792417853E-2</v>
      </c>
      <c r="BQ29" s="175">
        <f t="shared" si="29"/>
        <v>-1.5254899573711067E-2</v>
      </c>
      <c r="BR29" s="170">
        <f>SUM(BR30:BR36)</f>
        <v>459566</v>
      </c>
      <c r="BS29" s="171">
        <f>SUM(BS30:BS36)</f>
        <v>541665</v>
      </c>
      <c r="BT29" s="171">
        <f>SUM(BT30:BT36)</f>
        <v>532331</v>
      </c>
      <c r="BU29" s="174">
        <f t="shared" si="30"/>
        <v>-1.723205302170161E-2</v>
      </c>
      <c r="BV29" s="175">
        <f t="shared" si="31"/>
        <v>0.15833416745364115</v>
      </c>
    </row>
    <row r="30" spans="2:77" x14ac:dyDescent="0.3">
      <c r="B30" s="312"/>
      <c r="C30" s="319"/>
      <c r="D30" s="321" t="s">
        <v>35</v>
      </c>
      <c r="E30" s="322"/>
      <c r="F30" s="56">
        <f>'2023년 실적'!F30</f>
        <v>955059</v>
      </c>
      <c r="G30" s="41">
        <f>'2023년 실적'!G30</f>
        <v>901787</v>
      </c>
      <c r="H30" s="41">
        <v>1012000</v>
      </c>
      <c r="I30" s="81">
        <f t="shared" si="5"/>
        <v>0.12221622179073321</v>
      </c>
      <c r="J30" s="129">
        <f t="shared" ref="J30:J36" si="94">O30+T30+Y30+AD30+AI30+AN30+AS30+AX30+BC30+BH30+BM30+BR30</f>
        <v>888619</v>
      </c>
      <c r="K30" s="130">
        <f t="shared" ref="K30:K36" si="95">P30+U30+Z30+AE30+AJ30+AO30+AT30+AY30+BD30+BI30+BN30+BS30</f>
        <v>1011996</v>
      </c>
      <c r="L30" s="130">
        <f t="shared" ref="L30:L36" si="96">Q30+V30+AA30+AF30+AK30+AP30+AU30+AZ30+BE30+BJ30+BO30+BT30</f>
        <v>611096</v>
      </c>
      <c r="M30" s="112">
        <f t="shared" si="6"/>
        <v>-0.39614781086091244</v>
      </c>
      <c r="N30" s="23">
        <f t="shared" si="7"/>
        <v>-0.31230819957709655</v>
      </c>
      <c r="O30" s="21">
        <f>'2023년 실적'!P30</f>
        <v>46149</v>
      </c>
      <c r="P30" s="41">
        <f>ROUND($H$30/12,0)</f>
        <v>84333</v>
      </c>
      <c r="Q30" s="41">
        <v>68175</v>
      </c>
      <c r="R30" s="112">
        <f t="shared" si="8"/>
        <v>-0.19159759524741204</v>
      </c>
      <c r="S30" s="23">
        <f t="shared" si="9"/>
        <v>0.47728011441201335</v>
      </c>
      <c r="T30" s="56">
        <f>'2023년 실적'!U30</f>
        <v>317961</v>
      </c>
      <c r="U30" s="41">
        <f>ROUND($H$30/12,0)</f>
        <v>84333</v>
      </c>
      <c r="V30" s="41">
        <v>42265</v>
      </c>
      <c r="W30" s="112">
        <f t="shared" si="10"/>
        <v>-0.49883201119372012</v>
      </c>
      <c r="X30" s="81">
        <f t="shared" si="11"/>
        <v>-0.86707489283276884</v>
      </c>
      <c r="Y30" s="21">
        <f>'2023년 실적'!Z30</f>
        <v>68741</v>
      </c>
      <c r="Z30" s="41">
        <f>ROUND($H$30/12,0)</f>
        <v>84333</v>
      </c>
      <c r="AA30" s="41">
        <v>45367</v>
      </c>
      <c r="AB30" s="112">
        <f t="shared" si="12"/>
        <v>-0.46204925711168821</v>
      </c>
      <c r="AC30" s="23">
        <f t="shared" si="13"/>
        <v>-0.34002996755938963</v>
      </c>
      <c r="AD30" s="56">
        <f>'2023년 실적'!AE30</f>
        <v>45825</v>
      </c>
      <c r="AE30" s="41">
        <f>ROUND($H$30/12,0)</f>
        <v>84333</v>
      </c>
      <c r="AF30" s="41">
        <v>32159</v>
      </c>
      <c r="AG30" s="112">
        <f t="shared" si="14"/>
        <v>-0.61866647694259669</v>
      </c>
      <c r="AH30" s="81">
        <f t="shared" si="15"/>
        <v>-0.29822149481723947</v>
      </c>
      <c r="AI30" s="21">
        <f>'2023년 실적'!AJ30</f>
        <v>31539</v>
      </c>
      <c r="AJ30" s="41">
        <f>ROUND($H$30/12,0)</f>
        <v>84333</v>
      </c>
      <c r="AK30" s="41">
        <v>60432</v>
      </c>
      <c r="AL30" s="112">
        <f t="shared" si="16"/>
        <v>-0.28341218739995022</v>
      </c>
      <c r="AM30" s="23">
        <f t="shared" si="17"/>
        <v>0.91610387139731753</v>
      </c>
      <c r="AN30" s="56">
        <f>'2023년 실적'!AO30</f>
        <v>52682</v>
      </c>
      <c r="AO30" s="41">
        <f>ROUND($H$30/12,0)</f>
        <v>84333</v>
      </c>
      <c r="AP30" s="41">
        <v>38891</v>
      </c>
      <c r="AQ30" s="112">
        <f t="shared" si="18"/>
        <v>-0.53884007446669746</v>
      </c>
      <c r="AR30" s="81">
        <f t="shared" si="19"/>
        <v>-0.26177821646862309</v>
      </c>
      <c r="AS30" s="21">
        <f>'2023년 실적'!AT30</f>
        <v>28952</v>
      </c>
      <c r="AT30" s="41">
        <f>ROUND($H$30/12,0)</f>
        <v>84333</v>
      </c>
      <c r="AU30" s="41">
        <v>87598</v>
      </c>
      <c r="AV30" s="112">
        <f t="shared" si="20"/>
        <v>3.8715568045723403E-2</v>
      </c>
      <c r="AW30" s="23">
        <f t="shared" si="21"/>
        <v>2.0256286266924564</v>
      </c>
      <c r="AX30" s="56">
        <f>'2023년 실적'!AY30</f>
        <v>25424</v>
      </c>
      <c r="AY30" s="41">
        <f>ROUND($H$30/12,0)</f>
        <v>84333</v>
      </c>
      <c r="AZ30" s="41">
        <v>33546</v>
      </c>
      <c r="BA30" s="112">
        <f t="shared" si="22"/>
        <v>-0.60221977161965068</v>
      </c>
      <c r="BB30" s="81">
        <f t="shared" si="23"/>
        <v>0.31946192573945886</v>
      </c>
      <c r="BC30" s="21">
        <f>'2023년 실적'!BD30</f>
        <v>18592</v>
      </c>
      <c r="BD30" s="41">
        <f>ROUND($H$30/12,0)</f>
        <v>84333</v>
      </c>
      <c r="BE30" s="41">
        <v>53620</v>
      </c>
      <c r="BF30" s="112">
        <f t="shared" si="24"/>
        <v>-0.36418721022612732</v>
      </c>
      <c r="BG30" s="23">
        <f t="shared" si="25"/>
        <v>1.8840361445783134</v>
      </c>
      <c r="BH30" s="56">
        <f>'2023년 실적'!BI30</f>
        <v>93124</v>
      </c>
      <c r="BI30" s="41">
        <f>ROUND($H$30/12,0)</f>
        <v>84333</v>
      </c>
      <c r="BJ30" s="41">
        <v>38224</v>
      </c>
      <c r="BK30" s="112">
        <f t="shared" si="26"/>
        <v>-0.54674919663714083</v>
      </c>
      <c r="BL30" s="81">
        <f t="shared" si="27"/>
        <v>-0.58953653193591338</v>
      </c>
      <c r="BM30" s="21">
        <f>'2023년 실적'!BN30</f>
        <v>112080</v>
      </c>
      <c r="BN30" s="41">
        <f>ROUND($H$30/12,0)</f>
        <v>84333</v>
      </c>
      <c r="BO30" s="41">
        <v>35128</v>
      </c>
      <c r="BP30" s="112">
        <f t="shared" si="28"/>
        <v>-0.58346080419290192</v>
      </c>
      <c r="BQ30" s="23">
        <f t="shared" si="29"/>
        <v>-0.68658101356174162</v>
      </c>
      <c r="BR30" s="56">
        <f>'2023년 실적'!BS30</f>
        <v>47550</v>
      </c>
      <c r="BS30" s="41">
        <f>ROUND($H$30/12,0)</f>
        <v>84333</v>
      </c>
      <c r="BT30" s="41">
        <v>75691</v>
      </c>
      <c r="BU30" s="112">
        <f t="shared" si="30"/>
        <v>-0.10247471333878788</v>
      </c>
      <c r="BV30" s="23">
        <f t="shared" si="31"/>
        <v>0.59181913774973705</v>
      </c>
      <c r="BX30" s="37"/>
    </row>
    <row r="31" spans="2:77" x14ac:dyDescent="0.3">
      <c r="B31" s="312"/>
      <c r="C31" s="319"/>
      <c r="D31" s="284" t="s">
        <v>36</v>
      </c>
      <c r="E31" s="285"/>
      <c r="F31" s="45">
        <f>'2023년 실적'!F31</f>
        <v>2100970</v>
      </c>
      <c r="G31" s="39">
        <f>'2023년 실적'!G31</f>
        <v>1808203</v>
      </c>
      <c r="H31" s="39">
        <v>1986000</v>
      </c>
      <c r="I31" s="33">
        <f t="shared" si="5"/>
        <v>9.8328008525591537E-2</v>
      </c>
      <c r="J31" s="107">
        <f t="shared" si="94"/>
        <v>1780464</v>
      </c>
      <c r="K31" s="87">
        <f t="shared" si="95"/>
        <v>1986000</v>
      </c>
      <c r="L31" s="87">
        <f t="shared" si="96"/>
        <v>1755221</v>
      </c>
      <c r="M31" s="88">
        <f t="shared" si="6"/>
        <v>-0.11620292044310176</v>
      </c>
      <c r="N31" s="15">
        <f t="shared" si="7"/>
        <v>-1.4177764897240319E-2</v>
      </c>
      <c r="O31" s="13">
        <f>'2023년 실적'!P31</f>
        <v>128252</v>
      </c>
      <c r="P31" s="39">
        <f>ROUND($H$31/12,0)</f>
        <v>165500</v>
      </c>
      <c r="Q31" s="39">
        <v>111538</v>
      </c>
      <c r="R31" s="88">
        <f t="shared" si="8"/>
        <v>-0.32605438066465253</v>
      </c>
      <c r="S31" s="15">
        <f t="shared" si="9"/>
        <v>-0.13032155443969684</v>
      </c>
      <c r="T31" s="45">
        <f>'2023년 실적'!U31</f>
        <v>124947</v>
      </c>
      <c r="U31" s="39">
        <f>ROUND($H$31/12,0)</f>
        <v>165500</v>
      </c>
      <c r="V31" s="39">
        <v>124449</v>
      </c>
      <c r="W31" s="88">
        <f t="shared" si="10"/>
        <v>-0.24804229607250761</v>
      </c>
      <c r="X31" s="33">
        <f t="shared" si="11"/>
        <v>-3.9856899325313444E-3</v>
      </c>
      <c r="Y31" s="13">
        <f>'2023년 실적'!Z31</f>
        <v>143749</v>
      </c>
      <c r="Z31" s="39">
        <f>ROUND($H$31/12,0)</f>
        <v>165500</v>
      </c>
      <c r="AA31" s="39">
        <v>124151</v>
      </c>
      <c r="AB31" s="88">
        <f t="shared" si="12"/>
        <v>-0.24984290030211476</v>
      </c>
      <c r="AC31" s="15">
        <f t="shared" si="13"/>
        <v>-0.13633486145990581</v>
      </c>
      <c r="AD31" s="45">
        <f>'2023년 실적'!AE31</f>
        <v>158688</v>
      </c>
      <c r="AE31" s="39">
        <f>ROUND($H$31/12,0)</f>
        <v>165500</v>
      </c>
      <c r="AF31" s="39">
        <v>143766</v>
      </c>
      <c r="AG31" s="88">
        <f t="shared" si="14"/>
        <v>-0.13132326283987916</v>
      </c>
      <c r="AH31" s="33">
        <f t="shared" si="15"/>
        <v>-9.4033575317604368E-2</v>
      </c>
      <c r="AI31" s="13">
        <f>'2023년 실적'!AJ31</f>
        <v>195666</v>
      </c>
      <c r="AJ31" s="39">
        <f>ROUND($H$31/12,0)</f>
        <v>165500</v>
      </c>
      <c r="AK31" s="39">
        <v>152604</v>
      </c>
      <c r="AL31" s="88">
        <f t="shared" si="16"/>
        <v>-7.7921450151057448E-2</v>
      </c>
      <c r="AM31" s="15">
        <f t="shared" si="17"/>
        <v>-0.22007911440924843</v>
      </c>
      <c r="AN31" s="45">
        <f>'2023년 실적'!AO31</f>
        <v>184559</v>
      </c>
      <c r="AO31" s="39">
        <f>ROUND($H$31/12,0)</f>
        <v>165500</v>
      </c>
      <c r="AP31" s="39">
        <v>149480</v>
      </c>
      <c r="AQ31" s="88">
        <f t="shared" si="18"/>
        <v>-9.6797583081571048E-2</v>
      </c>
      <c r="AR31" s="33">
        <f t="shared" si="19"/>
        <v>-0.19006930033214309</v>
      </c>
      <c r="AS31" s="13">
        <f>'2023년 실적'!AT31</f>
        <v>118865</v>
      </c>
      <c r="AT31" s="39">
        <f>ROUND($H$31/12,0)</f>
        <v>165500</v>
      </c>
      <c r="AU31" s="39">
        <v>162718</v>
      </c>
      <c r="AV31" s="88">
        <f t="shared" si="20"/>
        <v>-1.6809667673716056E-2</v>
      </c>
      <c r="AW31" s="15">
        <f t="shared" si="21"/>
        <v>0.3689311403693265</v>
      </c>
      <c r="AX31" s="45">
        <f>'2023년 실적'!AY31</f>
        <v>120213</v>
      </c>
      <c r="AY31" s="39">
        <f>ROUND($H$31/12,0)</f>
        <v>165500</v>
      </c>
      <c r="AZ31" s="39">
        <v>158523</v>
      </c>
      <c r="BA31" s="88">
        <f t="shared" si="22"/>
        <v>-4.215709969788517E-2</v>
      </c>
      <c r="BB31" s="33">
        <f t="shared" si="23"/>
        <v>0.31868433530483387</v>
      </c>
      <c r="BC31" s="13">
        <f>'2023년 실적'!BD31</f>
        <v>114506</v>
      </c>
      <c r="BD31" s="39">
        <f>ROUND($H$31/12,0)</f>
        <v>165500</v>
      </c>
      <c r="BE31" s="39">
        <v>107225</v>
      </c>
      <c r="BF31" s="88">
        <f t="shared" si="24"/>
        <v>-0.35211480362537761</v>
      </c>
      <c r="BG31" s="15">
        <f t="shared" si="25"/>
        <v>-6.3586187623355994E-2</v>
      </c>
      <c r="BH31" s="45">
        <f>'2023년 실적'!BI31</f>
        <v>224812</v>
      </c>
      <c r="BI31" s="39">
        <f>ROUND($H$31/12,0)</f>
        <v>165500</v>
      </c>
      <c r="BJ31" s="39">
        <v>181058</v>
      </c>
      <c r="BK31" s="88">
        <f t="shared" si="26"/>
        <v>9.4006042296072456E-2</v>
      </c>
      <c r="BL31" s="33">
        <f t="shared" si="27"/>
        <v>-0.19462484209027986</v>
      </c>
      <c r="BM31" s="13">
        <f>'2023년 실적'!BN31</f>
        <v>139811</v>
      </c>
      <c r="BN31" s="39">
        <f>ROUND($H$31/12,0)</f>
        <v>165500</v>
      </c>
      <c r="BO31" s="39">
        <v>158741</v>
      </c>
      <c r="BP31" s="88">
        <f t="shared" si="28"/>
        <v>-4.0839879154078496E-2</v>
      </c>
      <c r="BQ31" s="15">
        <f t="shared" si="29"/>
        <v>0.13539707176116322</v>
      </c>
      <c r="BR31" s="45">
        <f>'2023년 실적'!BS31</f>
        <v>126396</v>
      </c>
      <c r="BS31" s="39">
        <f>ROUND($H$31/12,0)</f>
        <v>165500</v>
      </c>
      <c r="BT31" s="39">
        <v>180968</v>
      </c>
      <c r="BU31" s="88">
        <f t="shared" si="30"/>
        <v>9.3462235649546921E-2</v>
      </c>
      <c r="BV31" s="15">
        <f t="shared" si="31"/>
        <v>0.43175416943574163</v>
      </c>
      <c r="BX31" s="37"/>
    </row>
    <row r="32" spans="2:77" x14ac:dyDescent="0.3">
      <c r="B32" s="312"/>
      <c r="C32" s="319"/>
      <c r="D32" s="284" t="s">
        <v>37</v>
      </c>
      <c r="E32" s="285"/>
      <c r="F32" s="45">
        <f>'2023년 실적'!F32</f>
        <v>573626</v>
      </c>
      <c r="G32" s="39">
        <f>'2023년 실적'!G32</f>
        <v>597017</v>
      </c>
      <c r="H32" s="39">
        <v>775000</v>
      </c>
      <c r="I32" s="33">
        <f t="shared" si="5"/>
        <v>0.29812048903130051</v>
      </c>
      <c r="J32" s="107">
        <f t="shared" si="94"/>
        <v>578686</v>
      </c>
      <c r="K32" s="87">
        <f t="shared" si="95"/>
        <v>774996</v>
      </c>
      <c r="L32" s="87">
        <f t="shared" si="96"/>
        <v>598520</v>
      </c>
      <c r="M32" s="88">
        <f t="shared" si="6"/>
        <v>-0.22771214303041565</v>
      </c>
      <c r="N32" s="15">
        <f t="shared" si="7"/>
        <v>3.4274200516342113E-2</v>
      </c>
      <c r="O32" s="13">
        <f>'2023년 실적'!P32</f>
        <v>72917</v>
      </c>
      <c r="P32" s="39">
        <f>ROUND($H$32/12,0)</f>
        <v>64583</v>
      </c>
      <c r="Q32" s="39">
        <v>40781</v>
      </c>
      <c r="R32" s="88">
        <f t="shared" si="8"/>
        <v>-0.36854899896257531</v>
      </c>
      <c r="S32" s="15">
        <f t="shared" si="9"/>
        <v>-0.44072027099304689</v>
      </c>
      <c r="T32" s="45">
        <f>'2023년 실적'!U32</f>
        <v>30930</v>
      </c>
      <c r="U32" s="39">
        <f>ROUND($H$32/12,0)</f>
        <v>64583</v>
      </c>
      <c r="V32" s="39">
        <v>19931</v>
      </c>
      <c r="W32" s="88">
        <f t="shared" si="10"/>
        <v>-0.69138937491290275</v>
      </c>
      <c r="X32" s="33">
        <f t="shared" si="11"/>
        <v>-0.35560944067248623</v>
      </c>
      <c r="Y32" s="13">
        <f>'2023년 실적'!Z32</f>
        <v>84655</v>
      </c>
      <c r="Z32" s="39">
        <f>ROUND($H$32/12,0)</f>
        <v>64583</v>
      </c>
      <c r="AA32" s="39">
        <v>133341</v>
      </c>
      <c r="AB32" s="88">
        <f t="shared" si="12"/>
        <v>1.0646454949444899</v>
      </c>
      <c r="AC32" s="15">
        <f t="shared" si="13"/>
        <v>0.57511074360640246</v>
      </c>
      <c r="AD32" s="45">
        <f>'2023년 실적'!AE32</f>
        <v>65058</v>
      </c>
      <c r="AE32" s="39">
        <f>ROUND($H$32/12,0)</f>
        <v>64583</v>
      </c>
      <c r="AF32" s="39">
        <v>86715</v>
      </c>
      <c r="AG32" s="88">
        <f t="shared" si="14"/>
        <v>0.34269080098477933</v>
      </c>
      <c r="AH32" s="33">
        <f t="shared" si="15"/>
        <v>0.3328875772387716</v>
      </c>
      <c r="AI32" s="13">
        <f>'2023년 실적'!AJ32</f>
        <v>47667</v>
      </c>
      <c r="AJ32" s="39">
        <f>ROUND($H$32/12,0)</f>
        <v>64583</v>
      </c>
      <c r="AK32" s="39">
        <v>72795</v>
      </c>
      <c r="AL32" s="88">
        <f t="shared" si="16"/>
        <v>0.12715420466686278</v>
      </c>
      <c r="AM32" s="15">
        <f t="shared" si="17"/>
        <v>0.52715715274718367</v>
      </c>
      <c r="AN32" s="45">
        <f>'2023년 실적'!AO32</f>
        <v>23000</v>
      </c>
      <c r="AO32" s="39">
        <f>ROUND($H$32/12,0)</f>
        <v>64583</v>
      </c>
      <c r="AP32" s="39">
        <v>35381</v>
      </c>
      <c r="AQ32" s="88">
        <f t="shared" si="18"/>
        <v>-0.45216233374107739</v>
      </c>
      <c r="AR32" s="33">
        <f t="shared" si="19"/>
        <v>0.53830434782608694</v>
      </c>
      <c r="AS32" s="13">
        <f>'2023년 실적'!AT32</f>
        <v>29936</v>
      </c>
      <c r="AT32" s="39">
        <f>ROUND($H$32/12,0)</f>
        <v>64583</v>
      </c>
      <c r="AU32" s="39">
        <v>27724</v>
      </c>
      <c r="AV32" s="88">
        <f t="shared" si="20"/>
        <v>-0.57072294566681636</v>
      </c>
      <c r="AW32" s="15">
        <f t="shared" si="21"/>
        <v>-7.3890967397113871E-2</v>
      </c>
      <c r="AX32" s="45">
        <f>'2023년 실적'!AY32</f>
        <v>31415</v>
      </c>
      <c r="AY32" s="39">
        <f>ROUND($H$32/12,0)</f>
        <v>64583</v>
      </c>
      <c r="AZ32" s="39">
        <v>25308</v>
      </c>
      <c r="BA32" s="88">
        <f t="shared" si="22"/>
        <v>-0.60813217100475359</v>
      </c>
      <c r="BB32" s="33">
        <f t="shared" si="23"/>
        <v>-0.19439758077351588</v>
      </c>
      <c r="BC32" s="13">
        <f>'2023년 실적'!BD32</f>
        <v>35467</v>
      </c>
      <c r="BD32" s="39">
        <f>ROUND($H$32/12,0)</f>
        <v>64583</v>
      </c>
      <c r="BE32" s="39">
        <v>20387</v>
      </c>
      <c r="BF32" s="88">
        <f t="shared" si="24"/>
        <v>-0.68432869330938484</v>
      </c>
      <c r="BG32" s="15">
        <f t="shared" si="25"/>
        <v>-0.42518397383483242</v>
      </c>
      <c r="BH32" s="45">
        <f>'2023년 실적'!BI32</f>
        <v>33718</v>
      </c>
      <c r="BI32" s="39">
        <f>ROUND($H$32/12,0)</f>
        <v>64583</v>
      </c>
      <c r="BJ32" s="39">
        <v>49107</v>
      </c>
      <c r="BK32" s="88">
        <f t="shared" si="26"/>
        <v>-0.239629623894833</v>
      </c>
      <c r="BL32" s="33">
        <f t="shared" si="27"/>
        <v>0.4564031081321549</v>
      </c>
      <c r="BM32" s="13">
        <f>'2023년 실적'!BN32</f>
        <v>56396</v>
      </c>
      <c r="BN32" s="39">
        <f>ROUND($H$32/12,0)</f>
        <v>64583</v>
      </c>
      <c r="BO32" s="39">
        <v>26189</v>
      </c>
      <c r="BP32" s="88">
        <f t="shared" si="28"/>
        <v>-0.59449081027514983</v>
      </c>
      <c r="BQ32" s="15">
        <f t="shared" si="29"/>
        <v>-0.53562309383644235</v>
      </c>
      <c r="BR32" s="45">
        <f>'2023년 실적'!BS32</f>
        <v>67527</v>
      </c>
      <c r="BS32" s="39">
        <f>ROUND($H$32/12,0)</f>
        <v>64583</v>
      </c>
      <c r="BT32" s="39">
        <v>60861</v>
      </c>
      <c r="BU32" s="88">
        <f t="shared" si="30"/>
        <v>-5.7631265193626824E-2</v>
      </c>
      <c r="BV32" s="15">
        <f t="shared" si="31"/>
        <v>-9.8716069127904427E-2</v>
      </c>
      <c r="BX32" s="37"/>
    </row>
    <row r="33" spans="2:76" x14ac:dyDescent="0.3">
      <c r="B33" s="312"/>
      <c r="C33" s="319"/>
      <c r="D33" s="284" t="s">
        <v>38</v>
      </c>
      <c r="E33" s="285"/>
      <c r="F33" s="45">
        <f>'2023년 실적'!F33</f>
        <v>287191</v>
      </c>
      <c r="G33" s="39">
        <f>'2023년 실적'!G33</f>
        <v>359470</v>
      </c>
      <c r="H33" s="39">
        <v>403000</v>
      </c>
      <c r="I33" s="33">
        <f t="shared" si="5"/>
        <v>0.12109494533618936</v>
      </c>
      <c r="J33" s="107">
        <f t="shared" si="94"/>
        <v>369392</v>
      </c>
      <c r="K33" s="87">
        <f t="shared" si="95"/>
        <v>402996</v>
      </c>
      <c r="L33" s="87">
        <f t="shared" si="96"/>
        <v>306873</v>
      </c>
      <c r="M33" s="88">
        <f t="shared" si="6"/>
        <v>-0.23852097787571092</v>
      </c>
      <c r="N33" s="15">
        <f t="shared" si="7"/>
        <v>-0.16924838653787844</v>
      </c>
      <c r="O33" s="13">
        <f>'2023년 실적'!P33</f>
        <v>23777</v>
      </c>
      <c r="P33" s="39">
        <f>ROUND($H$33/12,0)</f>
        <v>33583</v>
      </c>
      <c r="Q33" s="39">
        <v>27120</v>
      </c>
      <c r="R33" s="88">
        <f t="shared" si="8"/>
        <v>-0.19244856028347679</v>
      </c>
      <c r="S33" s="15">
        <f t="shared" si="9"/>
        <v>0.14059805694578786</v>
      </c>
      <c r="T33" s="45">
        <f>'2023년 실적'!U33</f>
        <v>25726</v>
      </c>
      <c r="U33" s="39">
        <f>ROUND($H$33/12,0)</f>
        <v>33583</v>
      </c>
      <c r="V33" s="39">
        <v>32688</v>
      </c>
      <c r="W33" s="88">
        <f t="shared" si="10"/>
        <v>-2.6650388589464891E-2</v>
      </c>
      <c r="X33" s="33">
        <f t="shared" si="11"/>
        <v>0.27062116147088555</v>
      </c>
      <c r="Y33" s="13">
        <f>'2023년 실적'!Z33</f>
        <v>34152</v>
      </c>
      <c r="Z33" s="39">
        <f>ROUND($H$33/12,0)</f>
        <v>33583</v>
      </c>
      <c r="AA33" s="39">
        <v>24024</v>
      </c>
      <c r="AB33" s="88">
        <f t="shared" si="12"/>
        <v>-0.2846380609236816</v>
      </c>
      <c r="AC33" s="15">
        <f t="shared" si="13"/>
        <v>-0.29655657062543916</v>
      </c>
      <c r="AD33" s="45">
        <f>'2023년 실적'!AE33</f>
        <v>22816</v>
      </c>
      <c r="AE33" s="39">
        <f>ROUND($H$33/12,0)</f>
        <v>33583</v>
      </c>
      <c r="AF33" s="39">
        <v>25093</v>
      </c>
      <c r="AG33" s="88">
        <f t="shared" si="14"/>
        <v>-0.25280647946877888</v>
      </c>
      <c r="AH33" s="33">
        <f t="shared" si="15"/>
        <v>9.9798387096774244E-2</v>
      </c>
      <c r="AI33" s="13">
        <f>'2023년 실적'!AJ33</f>
        <v>66314</v>
      </c>
      <c r="AJ33" s="39">
        <f>ROUND($H$33/12,0)</f>
        <v>33583</v>
      </c>
      <c r="AK33" s="39">
        <v>27703</v>
      </c>
      <c r="AL33" s="88">
        <f t="shared" si="16"/>
        <v>-0.17508858648721082</v>
      </c>
      <c r="AM33" s="15">
        <f t="shared" si="17"/>
        <v>-0.58224507645444401</v>
      </c>
      <c r="AN33" s="45">
        <f>'2023년 실적'!AO33</f>
        <v>21143</v>
      </c>
      <c r="AO33" s="39">
        <f>ROUND($H$33/12,0)</f>
        <v>33583</v>
      </c>
      <c r="AP33" s="39">
        <v>23855</v>
      </c>
      <c r="AQ33" s="88">
        <f t="shared" si="18"/>
        <v>-0.28967036893666442</v>
      </c>
      <c r="AR33" s="33">
        <f t="shared" si="19"/>
        <v>0.12826940358511085</v>
      </c>
      <c r="AS33" s="13">
        <f>'2023년 실적'!AT33</f>
        <v>23490</v>
      </c>
      <c r="AT33" s="39">
        <f>ROUND($H$33/12,0)</f>
        <v>33583</v>
      </c>
      <c r="AU33" s="39">
        <v>25298</v>
      </c>
      <c r="AV33" s="88">
        <f t="shared" si="20"/>
        <v>-0.24670220051811931</v>
      </c>
      <c r="AW33" s="15">
        <f t="shared" si="21"/>
        <v>7.6968922945934493E-2</v>
      </c>
      <c r="AX33" s="45">
        <f>'2023년 실적'!AY33</f>
        <v>24940</v>
      </c>
      <c r="AY33" s="39">
        <f>ROUND($H$33/12,0)</f>
        <v>33583</v>
      </c>
      <c r="AZ33" s="39">
        <v>19069</v>
      </c>
      <c r="BA33" s="88">
        <f t="shared" si="22"/>
        <v>-0.4321829497066968</v>
      </c>
      <c r="BB33" s="33">
        <f t="shared" si="23"/>
        <v>-0.23540497193263832</v>
      </c>
      <c r="BC33" s="13">
        <f>'2023년 실적'!BD33</f>
        <v>30043</v>
      </c>
      <c r="BD33" s="39">
        <f>ROUND($H$33/12,0)</f>
        <v>33583</v>
      </c>
      <c r="BE33" s="39">
        <v>20740</v>
      </c>
      <c r="BF33" s="88">
        <f t="shared" si="24"/>
        <v>-0.38242563201619872</v>
      </c>
      <c r="BG33" s="15">
        <f t="shared" si="25"/>
        <v>-0.30965615950470993</v>
      </c>
      <c r="BH33" s="45">
        <f>'2023년 실적'!BI33</f>
        <v>20412</v>
      </c>
      <c r="BI33" s="39">
        <f>ROUND($H$33/12,0)</f>
        <v>33583</v>
      </c>
      <c r="BJ33" s="39">
        <v>25651</v>
      </c>
      <c r="BK33" s="88">
        <f t="shared" si="26"/>
        <v>-0.23619092993478841</v>
      </c>
      <c r="BL33" s="33">
        <f t="shared" si="27"/>
        <v>0.25666274740348816</v>
      </c>
      <c r="BM33" s="13">
        <f>'2023년 실적'!BN33</f>
        <v>30387</v>
      </c>
      <c r="BN33" s="39">
        <f>ROUND($H$33/12,0)</f>
        <v>33583</v>
      </c>
      <c r="BO33" s="39">
        <v>32713</v>
      </c>
      <c r="BP33" s="88">
        <f t="shared" si="28"/>
        <v>-2.590596432718939E-2</v>
      </c>
      <c r="BQ33" s="15">
        <f t="shared" si="29"/>
        <v>7.6545891335110472E-2</v>
      </c>
      <c r="BR33" s="45">
        <f>'2023년 실적'!BS33</f>
        <v>46192</v>
      </c>
      <c r="BS33" s="39">
        <f>ROUND($H$33/12,0)</f>
        <v>33583</v>
      </c>
      <c r="BT33" s="39">
        <v>22919</v>
      </c>
      <c r="BU33" s="88">
        <f t="shared" si="30"/>
        <v>-0.31754161331626118</v>
      </c>
      <c r="BV33" s="15">
        <f t="shared" si="31"/>
        <v>-0.50383183235192242</v>
      </c>
      <c r="BX33" s="37"/>
    </row>
    <row r="34" spans="2:76" x14ac:dyDescent="0.3">
      <c r="B34" s="312"/>
      <c r="C34" s="319"/>
      <c r="D34" s="284" t="s">
        <v>39</v>
      </c>
      <c r="E34" s="285"/>
      <c r="F34" s="45">
        <f>'2023년 실적'!F34</f>
        <v>1601635.7</v>
      </c>
      <c r="G34" s="39">
        <f>'2023년 실적'!G34</f>
        <v>1439800</v>
      </c>
      <c r="H34" s="39">
        <v>1573000</v>
      </c>
      <c r="I34" s="33">
        <f t="shared" si="5"/>
        <v>9.2512849006806563E-2</v>
      </c>
      <c r="J34" s="107">
        <f t="shared" si="94"/>
        <v>1451652</v>
      </c>
      <c r="K34" s="87">
        <f t="shared" si="95"/>
        <v>1572996</v>
      </c>
      <c r="L34" s="87">
        <f>Q34+V34+AA34+AF34+AK34+AP34+AU34+AZ34+BE34+BJ34+BO34+BT34</f>
        <v>1551933</v>
      </c>
      <c r="M34" s="88">
        <f t="shared" si="6"/>
        <v>-1.3390370986321676E-2</v>
      </c>
      <c r="N34" s="15">
        <f t="shared" si="7"/>
        <v>6.90806060956759E-2</v>
      </c>
      <c r="O34" s="13">
        <f>'2023년 실적'!P34</f>
        <v>92739</v>
      </c>
      <c r="P34" s="39">
        <f>ROUND($H$34/12,0)</f>
        <v>131083</v>
      </c>
      <c r="Q34" s="39">
        <v>143404</v>
      </c>
      <c r="R34" s="88">
        <f t="shared" si="8"/>
        <v>9.3993881739050877E-2</v>
      </c>
      <c r="S34" s="15">
        <f t="shared" si="9"/>
        <v>0.54631816172268399</v>
      </c>
      <c r="T34" s="45">
        <f>'2023년 실적'!U34</f>
        <v>99256</v>
      </c>
      <c r="U34" s="39">
        <f>ROUND($H$34/12,0)</f>
        <v>131083</v>
      </c>
      <c r="V34" s="39">
        <v>124979</v>
      </c>
      <c r="W34" s="88">
        <f t="shared" si="10"/>
        <v>-4.6565916251535278E-2</v>
      </c>
      <c r="X34" s="33">
        <f t="shared" si="11"/>
        <v>0.25915813653582664</v>
      </c>
      <c r="Y34" s="13">
        <f>'2023년 실적'!Z34</f>
        <v>98802</v>
      </c>
      <c r="Z34" s="39">
        <f>ROUND($H$34/12,0)</f>
        <v>131083</v>
      </c>
      <c r="AA34" s="39">
        <v>107491</v>
      </c>
      <c r="AB34" s="88">
        <f t="shared" si="12"/>
        <v>-0.17997757146235593</v>
      </c>
      <c r="AC34" s="15">
        <f t="shared" si="13"/>
        <v>8.7943563895467758E-2</v>
      </c>
      <c r="AD34" s="45">
        <f>'2023년 실적'!AE34</f>
        <v>142848</v>
      </c>
      <c r="AE34" s="39">
        <f>ROUND($H$34/12,0)</f>
        <v>131083</v>
      </c>
      <c r="AF34" s="39">
        <v>114851</v>
      </c>
      <c r="AG34" s="88">
        <f t="shared" si="14"/>
        <v>-0.1238299398091286</v>
      </c>
      <c r="AH34" s="33">
        <f t="shared" si="15"/>
        <v>-0.19599154345878134</v>
      </c>
      <c r="AI34" s="13">
        <f>'2023년 실적'!AJ34</f>
        <v>120517</v>
      </c>
      <c r="AJ34" s="39">
        <f>ROUND($H$34/12,0)</f>
        <v>131083</v>
      </c>
      <c r="AK34" s="39">
        <v>129609</v>
      </c>
      <c r="AL34" s="88">
        <f t="shared" si="16"/>
        <v>-1.1244783839246875E-2</v>
      </c>
      <c r="AM34" s="15">
        <f t="shared" si="17"/>
        <v>7.5441638938904987E-2</v>
      </c>
      <c r="AN34" s="45">
        <f>'2023년 실적'!AO34</f>
        <v>124598</v>
      </c>
      <c r="AO34" s="39">
        <f>ROUND($H$34/12,0)</f>
        <v>131083</v>
      </c>
      <c r="AP34" s="39">
        <v>112106</v>
      </c>
      <c r="AQ34" s="88">
        <f t="shared" si="18"/>
        <v>-0.14477087036457814</v>
      </c>
      <c r="AR34" s="33">
        <f t="shared" si="19"/>
        <v>-0.10025843111446409</v>
      </c>
      <c r="AS34" s="13">
        <f>'2023년 실적'!AT34</f>
        <v>140711</v>
      </c>
      <c r="AT34" s="39">
        <f>ROUND($H$34/12,0)</f>
        <v>131083</v>
      </c>
      <c r="AU34" s="39">
        <v>120390</v>
      </c>
      <c r="AV34" s="88">
        <f t="shared" si="20"/>
        <v>-8.1574269737494598E-2</v>
      </c>
      <c r="AW34" s="15">
        <f t="shared" si="21"/>
        <v>-0.14441657013310971</v>
      </c>
      <c r="AX34" s="45">
        <f>'2023년 실적'!AY34</f>
        <v>136456</v>
      </c>
      <c r="AY34" s="39">
        <f>ROUND($H$34/12,0)</f>
        <v>131083</v>
      </c>
      <c r="AZ34" s="39">
        <v>124847</v>
      </c>
      <c r="BA34" s="88">
        <f t="shared" si="22"/>
        <v>-4.7572911819229069E-2</v>
      </c>
      <c r="BB34" s="33">
        <f t="shared" si="23"/>
        <v>-8.5075042504543563E-2</v>
      </c>
      <c r="BC34" s="13">
        <f>'2023년 실적'!BD34</f>
        <v>114009</v>
      </c>
      <c r="BD34" s="39">
        <f>ROUND($H$34/12,0)</f>
        <v>131083</v>
      </c>
      <c r="BE34" s="39">
        <v>127983</v>
      </c>
      <c r="BF34" s="88">
        <f t="shared" si="24"/>
        <v>-2.3649138332201725E-2</v>
      </c>
      <c r="BG34" s="15">
        <f t="shared" si="25"/>
        <v>0.12256927084703828</v>
      </c>
      <c r="BH34" s="45">
        <f>'2023년 실적'!BI34</f>
        <v>145367</v>
      </c>
      <c r="BI34" s="39">
        <f>ROUND($H$34/12,0)</f>
        <v>131083</v>
      </c>
      <c r="BJ34" s="39">
        <v>155977</v>
      </c>
      <c r="BK34" s="88">
        <f t="shared" si="26"/>
        <v>0.18991020956188054</v>
      </c>
      <c r="BL34" s="33">
        <f t="shared" si="27"/>
        <v>7.2987679459574739E-2</v>
      </c>
      <c r="BM34" s="13">
        <f>'2023년 실적'!BN34</f>
        <v>116398</v>
      </c>
      <c r="BN34" s="39">
        <f>ROUND($H$34/12,0)</f>
        <v>131083</v>
      </c>
      <c r="BO34" s="39">
        <v>164629</v>
      </c>
      <c r="BP34" s="88">
        <f t="shared" si="28"/>
        <v>0.25591419177162567</v>
      </c>
      <c r="BQ34" s="15">
        <f t="shared" si="29"/>
        <v>0.41436278973865526</v>
      </c>
      <c r="BR34" s="45">
        <f>'2023년 실적'!BS34</f>
        <v>119951</v>
      </c>
      <c r="BS34" s="39">
        <f>ROUND($H$34/12,0)</f>
        <v>131083</v>
      </c>
      <c r="BT34" s="39">
        <v>125667</v>
      </c>
      <c r="BU34" s="88">
        <f t="shared" si="30"/>
        <v>-4.1317333292646641E-2</v>
      </c>
      <c r="BV34" s="15">
        <f t="shared" si="31"/>
        <v>4.7652791556552332E-2</v>
      </c>
      <c r="BX34" s="37"/>
    </row>
    <row r="35" spans="2:76" x14ac:dyDescent="0.3">
      <c r="B35" s="312"/>
      <c r="C35" s="319"/>
      <c r="D35" s="284" t="s">
        <v>40</v>
      </c>
      <c r="E35" s="285"/>
      <c r="F35" s="45">
        <f>'2023년 실적'!F35</f>
        <v>399081.2</v>
      </c>
      <c r="G35" s="39">
        <f>'2023년 실적'!G35</f>
        <v>638927</v>
      </c>
      <c r="H35" s="39">
        <v>700000</v>
      </c>
      <c r="I35" s="33">
        <f t="shared" si="5"/>
        <v>9.5586819777533361E-2</v>
      </c>
      <c r="J35" s="107">
        <f t="shared" si="94"/>
        <v>637667</v>
      </c>
      <c r="K35" s="87">
        <f t="shared" si="95"/>
        <v>699996</v>
      </c>
      <c r="L35" s="87">
        <f t="shared" si="96"/>
        <v>536831</v>
      </c>
      <c r="M35" s="88">
        <f t="shared" si="6"/>
        <v>-0.23309418910965207</v>
      </c>
      <c r="N35" s="15">
        <f t="shared" si="7"/>
        <v>-0.15813269308275324</v>
      </c>
      <c r="O35" s="13">
        <f>'2023년 실적'!P35</f>
        <v>34313</v>
      </c>
      <c r="P35" s="39">
        <f>ROUND($H$35/12,0)</f>
        <v>58333</v>
      </c>
      <c r="Q35" s="39">
        <v>26813</v>
      </c>
      <c r="R35" s="88">
        <f t="shared" si="8"/>
        <v>-0.54034594483397047</v>
      </c>
      <c r="S35" s="15">
        <f t="shared" si="9"/>
        <v>-0.21857604989362633</v>
      </c>
      <c r="T35" s="45">
        <f>'2023년 실적'!U35</f>
        <v>30604</v>
      </c>
      <c r="U35" s="39">
        <f>ROUND($H$35/12,0)</f>
        <v>58333</v>
      </c>
      <c r="V35" s="39">
        <v>35038</v>
      </c>
      <c r="W35" s="88">
        <f t="shared" si="10"/>
        <v>-0.39934513911508063</v>
      </c>
      <c r="X35" s="33">
        <f t="shared" si="11"/>
        <v>0.14488302182721213</v>
      </c>
      <c r="Y35" s="13">
        <f>'2023년 실적'!Z35</f>
        <v>31452</v>
      </c>
      <c r="Z35" s="39">
        <f>ROUND($H$35/12,0)</f>
        <v>58333</v>
      </c>
      <c r="AA35" s="39">
        <v>37846</v>
      </c>
      <c r="AB35" s="88">
        <f t="shared" si="12"/>
        <v>-0.35120772118697818</v>
      </c>
      <c r="AC35" s="15">
        <f t="shared" si="13"/>
        <v>0.20329390817754045</v>
      </c>
      <c r="AD35" s="45">
        <f>'2023년 실적'!AE35</f>
        <v>43895</v>
      </c>
      <c r="AE35" s="39">
        <f>ROUND($H$35/12,0)</f>
        <v>58333</v>
      </c>
      <c r="AF35" s="39">
        <v>38655</v>
      </c>
      <c r="AG35" s="88">
        <f t="shared" si="14"/>
        <v>-0.33733907050897438</v>
      </c>
      <c r="AH35" s="33">
        <f t="shared" si="15"/>
        <v>-0.11937578311880626</v>
      </c>
      <c r="AI35" s="13">
        <f>'2023년 실적'!AJ35</f>
        <v>67610</v>
      </c>
      <c r="AJ35" s="39">
        <f>ROUND($H$35/12,0)</f>
        <v>58333</v>
      </c>
      <c r="AK35" s="39">
        <v>41586</v>
      </c>
      <c r="AL35" s="88">
        <f t="shared" si="16"/>
        <v>-0.28709306910325205</v>
      </c>
      <c r="AM35" s="15">
        <f t="shared" si="17"/>
        <v>-0.38491347433811562</v>
      </c>
      <c r="AN35" s="45">
        <f>'2023년 실적'!AO35</f>
        <v>56131</v>
      </c>
      <c r="AO35" s="39">
        <f>ROUND($H$35/12,0)</f>
        <v>58333</v>
      </c>
      <c r="AP35" s="39">
        <v>38775</v>
      </c>
      <c r="AQ35" s="88">
        <f t="shared" si="18"/>
        <v>-0.33528191589666223</v>
      </c>
      <c r="AR35" s="33">
        <f t="shared" si="19"/>
        <v>-0.30920525199978621</v>
      </c>
      <c r="AS35" s="13">
        <f>'2023년 실적'!AT35</f>
        <v>37815</v>
      </c>
      <c r="AT35" s="39">
        <f>ROUND($H$35/12,0)</f>
        <v>58333</v>
      </c>
      <c r="AU35" s="39">
        <v>50177</v>
      </c>
      <c r="AV35" s="88">
        <f t="shared" si="20"/>
        <v>-0.1398179418168104</v>
      </c>
      <c r="AW35" s="15">
        <f t="shared" si="21"/>
        <v>0.32690731191326194</v>
      </c>
      <c r="AX35" s="45">
        <f>'2023년 실적'!AY35</f>
        <v>86466</v>
      </c>
      <c r="AY35" s="39">
        <f>ROUND($H$35/12,0)</f>
        <v>58333</v>
      </c>
      <c r="AZ35" s="39">
        <v>58963</v>
      </c>
      <c r="BA35" s="88">
        <f t="shared" si="22"/>
        <v>1.0800061714638431E-2</v>
      </c>
      <c r="BB35" s="33">
        <f t="shared" si="23"/>
        <v>-0.31807878241158372</v>
      </c>
      <c r="BC35" s="13">
        <f>'2023년 실적'!BD35</f>
        <v>64363</v>
      </c>
      <c r="BD35" s="39">
        <f>ROUND($H$35/12,0)</f>
        <v>58333</v>
      </c>
      <c r="BE35" s="39">
        <v>39991</v>
      </c>
      <c r="BF35" s="88">
        <f t="shared" si="24"/>
        <v>-0.31443608249189992</v>
      </c>
      <c r="BG35" s="15">
        <f t="shared" si="25"/>
        <v>-0.37866476080978206</v>
      </c>
      <c r="BH35" s="45">
        <f>'2023년 실적'!BI35</f>
        <v>91873</v>
      </c>
      <c r="BI35" s="39">
        <f>ROUND($H$35/12,0)</f>
        <v>58333</v>
      </c>
      <c r="BJ35" s="39">
        <v>33790</v>
      </c>
      <c r="BK35" s="88">
        <f t="shared" si="26"/>
        <v>-0.42073954708312622</v>
      </c>
      <c r="BL35" s="33">
        <f t="shared" si="27"/>
        <v>-0.63220968075495521</v>
      </c>
      <c r="BM35" s="13">
        <f>'2023년 실적'!BN35</f>
        <v>51371</v>
      </c>
      <c r="BN35" s="39">
        <f>ROUND($H$35/12,0)</f>
        <v>58333</v>
      </c>
      <c r="BO35" s="39">
        <v>74100</v>
      </c>
      <c r="BP35" s="88">
        <f t="shared" si="28"/>
        <v>0.2702929731027035</v>
      </c>
      <c r="BQ35" s="15">
        <f t="shared" si="29"/>
        <v>0.44244807381596618</v>
      </c>
      <c r="BR35" s="45">
        <f>'2023년 실적'!BS35</f>
        <v>41774</v>
      </c>
      <c r="BS35" s="39">
        <f>ROUND($H$35/12,0)</f>
        <v>58333</v>
      </c>
      <c r="BT35" s="39">
        <v>61097</v>
      </c>
      <c r="BU35" s="88">
        <f t="shared" si="30"/>
        <v>4.7383127903588118E-2</v>
      </c>
      <c r="BV35" s="15">
        <f t="shared" si="31"/>
        <v>0.4625604442954947</v>
      </c>
      <c r="BX35" s="37"/>
    </row>
    <row r="36" spans="2:76" ht="17.25" thickBot="1" x14ac:dyDescent="0.35">
      <c r="B36" s="312"/>
      <c r="C36" s="320"/>
      <c r="D36" s="286" t="s">
        <v>41</v>
      </c>
      <c r="E36" s="287"/>
      <c r="F36" s="57">
        <f>'2023년 실적'!F36</f>
        <v>148762</v>
      </c>
      <c r="G36" s="42">
        <f>'2023년 실적'!G36</f>
        <v>51738</v>
      </c>
      <c r="H36" s="42">
        <v>51000</v>
      </c>
      <c r="I36" s="82">
        <f t="shared" si="5"/>
        <v>-1.4264177200510209E-2</v>
      </c>
      <c r="J36" s="176">
        <f t="shared" si="94"/>
        <v>84870</v>
      </c>
      <c r="K36" s="177">
        <f t="shared" si="95"/>
        <v>51000</v>
      </c>
      <c r="L36" s="177">
        <f t="shared" si="96"/>
        <v>73018</v>
      </c>
      <c r="M36" s="146">
        <f t="shared" si="6"/>
        <v>0.43172549019607853</v>
      </c>
      <c r="N36" s="25">
        <f t="shared" si="7"/>
        <v>-0.13964887474961707</v>
      </c>
      <c r="O36" s="24">
        <f>'2023년 실적'!P36</f>
        <v>10865</v>
      </c>
      <c r="P36" s="42">
        <f>ROUND($H$36/12,0)</f>
        <v>4250</v>
      </c>
      <c r="Q36" s="42">
        <v>4584</v>
      </c>
      <c r="R36" s="146">
        <f t="shared" si="8"/>
        <v>7.8588235294117625E-2</v>
      </c>
      <c r="S36" s="25">
        <f t="shared" si="9"/>
        <v>-0.57809479981592271</v>
      </c>
      <c r="T36" s="57">
        <f>'2023년 실적'!U36</f>
        <v>4339</v>
      </c>
      <c r="U36" s="42">
        <f>ROUND($H$36/12,0)</f>
        <v>4250</v>
      </c>
      <c r="V36" s="42">
        <v>6076</v>
      </c>
      <c r="W36" s="146">
        <f t="shared" si="10"/>
        <v>0.42964705882352949</v>
      </c>
      <c r="X36" s="82">
        <f t="shared" si="11"/>
        <v>0.40032265498962905</v>
      </c>
      <c r="Y36" s="24">
        <f>'2023년 실적'!Z36</f>
        <v>17960</v>
      </c>
      <c r="Z36" s="42">
        <f>ROUND($H$36/12,0)</f>
        <v>4250</v>
      </c>
      <c r="AA36" s="42">
        <v>3666</v>
      </c>
      <c r="AB36" s="146">
        <f t="shared" si="12"/>
        <v>-0.13741176470588234</v>
      </c>
      <c r="AC36" s="25">
        <f t="shared" si="13"/>
        <v>-0.79587973273942092</v>
      </c>
      <c r="AD36" s="57">
        <f>'2023년 실적'!AE36</f>
        <v>3352</v>
      </c>
      <c r="AE36" s="42">
        <f>ROUND($H$36/12,0)</f>
        <v>4250</v>
      </c>
      <c r="AF36" s="42">
        <v>2808</v>
      </c>
      <c r="AG36" s="146">
        <f t="shared" si="14"/>
        <v>-0.33929411764705886</v>
      </c>
      <c r="AH36" s="82">
        <f t="shared" si="15"/>
        <v>-0.16229116945107402</v>
      </c>
      <c r="AI36" s="24">
        <f>'2023년 실적'!AJ36</f>
        <v>3221</v>
      </c>
      <c r="AJ36" s="42">
        <f>ROUND($H$36/12,0)</f>
        <v>4250</v>
      </c>
      <c r="AK36" s="42">
        <v>7864</v>
      </c>
      <c r="AL36" s="146">
        <f t="shared" si="16"/>
        <v>0.85035294117647053</v>
      </c>
      <c r="AM36" s="25">
        <f t="shared" si="17"/>
        <v>1.4414778019248682</v>
      </c>
      <c r="AN36" s="57">
        <f>'2023년 실적'!AO36</f>
        <v>13190</v>
      </c>
      <c r="AO36" s="42">
        <f>ROUND($H$36/12,0)</f>
        <v>4250</v>
      </c>
      <c r="AP36" s="42">
        <v>3467</v>
      </c>
      <c r="AQ36" s="146">
        <f t="shared" si="18"/>
        <v>-0.18423529411764705</v>
      </c>
      <c r="AR36" s="82">
        <f t="shared" si="19"/>
        <v>-0.73714935557240335</v>
      </c>
      <c r="AS36" s="24">
        <f>'2023년 실적'!AT36</f>
        <v>7552</v>
      </c>
      <c r="AT36" s="42">
        <f>ROUND($H$36/12,0)</f>
        <v>4250</v>
      </c>
      <c r="AU36" s="42">
        <v>10549</v>
      </c>
      <c r="AV36" s="146">
        <f t="shared" si="20"/>
        <v>1.4821176470588235</v>
      </c>
      <c r="AW36" s="25">
        <f t="shared" si="21"/>
        <v>0.39684851694915246</v>
      </c>
      <c r="AX36" s="57">
        <f>'2023년 실적'!AY36</f>
        <v>4837</v>
      </c>
      <c r="AY36" s="42">
        <f>ROUND($H$36/12,0)</f>
        <v>4250</v>
      </c>
      <c r="AZ36" s="42">
        <v>4656</v>
      </c>
      <c r="BA36" s="146">
        <f t="shared" si="22"/>
        <v>9.5529411764705863E-2</v>
      </c>
      <c r="BB36" s="82">
        <f t="shared" si="23"/>
        <v>-3.7419888360554099E-2</v>
      </c>
      <c r="BC36" s="24">
        <f>'2023년 실적'!BD36</f>
        <v>3078</v>
      </c>
      <c r="BD36" s="42">
        <f>ROUND($H$36/12,0)</f>
        <v>4250</v>
      </c>
      <c r="BE36" s="42">
        <v>8799</v>
      </c>
      <c r="BF36" s="146">
        <f t="shared" si="24"/>
        <v>1.0703529411764707</v>
      </c>
      <c r="BG36" s="25">
        <f t="shared" si="25"/>
        <v>1.8586744639376218</v>
      </c>
      <c r="BH36" s="57">
        <f>'2023년 실적'!BI36</f>
        <v>3464</v>
      </c>
      <c r="BI36" s="42">
        <f>ROUND($H$36/12,0)</f>
        <v>4250</v>
      </c>
      <c r="BJ36" s="42">
        <v>5411</v>
      </c>
      <c r="BK36" s="146">
        <f t="shared" si="26"/>
        <v>0.27317647058823535</v>
      </c>
      <c r="BL36" s="82">
        <f t="shared" si="27"/>
        <v>0.56206697459584287</v>
      </c>
      <c r="BM36" s="24">
        <f>'2023년 실적'!BN36</f>
        <v>2836</v>
      </c>
      <c r="BN36" s="42">
        <f>ROUND($H$36/12,0)</f>
        <v>4250</v>
      </c>
      <c r="BO36" s="42">
        <v>10010</v>
      </c>
      <c r="BP36" s="146">
        <f t="shared" si="28"/>
        <v>1.355294117647059</v>
      </c>
      <c r="BQ36" s="25">
        <f t="shared" si="29"/>
        <v>2.5296191819464036</v>
      </c>
      <c r="BR36" s="57">
        <f>'2023년 실적'!BS36</f>
        <v>10176</v>
      </c>
      <c r="BS36" s="42">
        <f>ROUND($H$36/12,0)</f>
        <v>4250</v>
      </c>
      <c r="BT36" s="42">
        <v>5128</v>
      </c>
      <c r="BU36" s="146">
        <f t="shared" si="30"/>
        <v>0.20658823529411774</v>
      </c>
      <c r="BV36" s="25">
        <f t="shared" si="31"/>
        <v>-0.49606918238993714</v>
      </c>
      <c r="BX36" s="37"/>
    </row>
    <row r="37" spans="2:76" ht="17.25" thickBot="1" x14ac:dyDescent="0.35">
      <c r="B37" s="302"/>
      <c r="C37" s="323" t="s">
        <v>42</v>
      </c>
      <c r="D37" s="324"/>
      <c r="E37" s="325"/>
      <c r="F37" s="178">
        <f>F29+F26</f>
        <v>6829880.9000000004</v>
      </c>
      <c r="G37" s="179">
        <f>G29+G26</f>
        <v>6632338</v>
      </c>
      <c r="H37" s="179">
        <f>H29+H26</f>
        <v>7390000</v>
      </c>
      <c r="I37" s="180">
        <f t="shared" si="5"/>
        <v>0.11423754338213765</v>
      </c>
      <c r="J37" s="181">
        <f>J29+J26</f>
        <v>6624354</v>
      </c>
      <c r="K37" s="179">
        <f>K29+K26</f>
        <v>7386491</v>
      </c>
      <c r="L37" s="179">
        <f>L29+L26</f>
        <v>6337507</v>
      </c>
      <c r="M37" s="182">
        <f t="shared" si="6"/>
        <v>-0.14201384662893379</v>
      </c>
      <c r="N37" s="183">
        <f t="shared" si="7"/>
        <v>-4.3301882719431917E-2</v>
      </c>
      <c r="O37" s="181">
        <f>O29+O26</f>
        <v>459076</v>
      </c>
      <c r="P37" s="179">
        <f>P29+P26</f>
        <v>612865</v>
      </c>
      <c r="Q37" s="179">
        <f>Q29+Q26</f>
        <v>476308</v>
      </c>
      <c r="R37" s="182">
        <f t="shared" si="8"/>
        <v>-0.22281742308665042</v>
      </c>
      <c r="S37" s="183">
        <f t="shared" si="9"/>
        <v>3.7536268504561265E-2</v>
      </c>
      <c r="T37" s="178">
        <f>T29+T26</f>
        <v>707847</v>
      </c>
      <c r="U37" s="179">
        <f>U29+U26</f>
        <v>612865</v>
      </c>
      <c r="V37" s="179">
        <f>V29+V26</f>
        <v>463573</v>
      </c>
      <c r="W37" s="182">
        <f t="shared" si="10"/>
        <v>-0.24359687696311583</v>
      </c>
      <c r="X37" s="184">
        <f t="shared" si="11"/>
        <v>-0.34509434948512885</v>
      </c>
      <c r="Y37" s="181">
        <f>Y29+Y26</f>
        <v>547583</v>
      </c>
      <c r="Z37" s="179">
        <f>Z29+Z26</f>
        <v>612865</v>
      </c>
      <c r="AA37" s="179">
        <f>AA29+AA26</f>
        <v>547542</v>
      </c>
      <c r="AB37" s="182">
        <f t="shared" si="12"/>
        <v>-0.10658627919688679</v>
      </c>
      <c r="AC37" s="183">
        <f t="shared" si="13"/>
        <v>-7.4874493912302498E-5</v>
      </c>
      <c r="AD37" s="178">
        <f>AD29+AD26</f>
        <v>567017</v>
      </c>
      <c r="AE37" s="179">
        <f>AE29+AE26</f>
        <v>612865</v>
      </c>
      <c r="AF37" s="179">
        <f>AF29+AF26</f>
        <v>526860</v>
      </c>
      <c r="AG37" s="182">
        <f t="shared" si="14"/>
        <v>-0.1403326996973232</v>
      </c>
      <c r="AH37" s="184">
        <f t="shared" si="15"/>
        <v>-7.0821509760730317E-2</v>
      </c>
      <c r="AI37" s="181">
        <f>AI29+AI26</f>
        <v>607043</v>
      </c>
      <c r="AJ37" s="179">
        <f>AJ29+AJ26</f>
        <v>610477</v>
      </c>
      <c r="AK37" s="179">
        <f>AK29+AK26</f>
        <v>571210</v>
      </c>
      <c r="AL37" s="182">
        <f t="shared" si="16"/>
        <v>-6.4321833582592025E-2</v>
      </c>
      <c r="AM37" s="183">
        <f t="shared" si="17"/>
        <v>-5.9028767319613262E-2</v>
      </c>
      <c r="AN37" s="178">
        <f>AN29+AN26</f>
        <v>529516</v>
      </c>
      <c r="AO37" s="179">
        <f>AO29+AO26</f>
        <v>610320</v>
      </c>
      <c r="AP37" s="179">
        <f>AP29+AP26</f>
        <v>469334</v>
      </c>
      <c r="AQ37" s="182">
        <f t="shared" si="18"/>
        <v>-0.23100340804823694</v>
      </c>
      <c r="AR37" s="184">
        <f t="shared" si="19"/>
        <v>-0.11365473375686475</v>
      </c>
      <c r="AS37" s="181">
        <f>AS29+AS26</f>
        <v>459900</v>
      </c>
      <c r="AT37" s="179">
        <f>AT29+AT26</f>
        <v>609420</v>
      </c>
      <c r="AU37" s="179">
        <f>AU29+AU26</f>
        <v>567647</v>
      </c>
      <c r="AV37" s="182">
        <f t="shared" si="20"/>
        <v>-6.8545502280857207E-2</v>
      </c>
      <c r="AW37" s="183">
        <f t="shared" si="21"/>
        <v>0.2342835398999783</v>
      </c>
      <c r="AX37" s="178">
        <f>AX29+AX26</f>
        <v>496504</v>
      </c>
      <c r="AY37" s="179">
        <f>AY29+AY26</f>
        <v>614370</v>
      </c>
      <c r="AZ37" s="179">
        <f>AZ29+AZ26</f>
        <v>506241</v>
      </c>
      <c r="BA37" s="182">
        <f t="shared" si="22"/>
        <v>-0.17599980467796283</v>
      </c>
      <c r="BB37" s="184">
        <f t="shared" si="23"/>
        <v>1.9611120957736539E-2</v>
      </c>
      <c r="BC37" s="181">
        <f>BC29+BC26</f>
        <v>437819</v>
      </c>
      <c r="BD37" s="179">
        <f>BD29+BD26</f>
        <v>610730</v>
      </c>
      <c r="BE37" s="179">
        <f>BE29+BE26</f>
        <v>441214</v>
      </c>
      <c r="BF37" s="182">
        <f t="shared" si="24"/>
        <v>-0.27756291650975062</v>
      </c>
      <c r="BG37" s="183">
        <f t="shared" si="25"/>
        <v>7.7543459740212484E-3</v>
      </c>
      <c r="BH37" s="178">
        <f>BH29+BH26</f>
        <v>692626</v>
      </c>
      <c r="BI37" s="179">
        <f>BI29+BI26</f>
        <v>630665</v>
      </c>
      <c r="BJ37" s="179">
        <f>BJ29+BJ26</f>
        <v>575392</v>
      </c>
      <c r="BK37" s="182">
        <f t="shared" si="26"/>
        <v>-8.7642409202984162E-2</v>
      </c>
      <c r="BL37" s="184">
        <f t="shared" si="27"/>
        <v>-0.16926017793152437</v>
      </c>
      <c r="BM37" s="181">
        <f>BM29+BM26</f>
        <v>595303</v>
      </c>
      <c r="BN37" s="179">
        <f>BN29+BN26</f>
        <v>628960</v>
      </c>
      <c r="BO37" s="179">
        <f>BO29+BO26</f>
        <v>589378</v>
      </c>
      <c r="BP37" s="182">
        <f t="shared" si="28"/>
        <v>-6.2932459933859097E-2</v>
      </c>
      <c r="BQ37" s="183">
        <f t="shared" si="29"/>
        <v>-9.9529147341773649E-3</v>
      </c>
      <c r="BR37" s="178">
        <f>BR29+BR26</f>
        <v>524120</v>
      </c>
      <c r="BS37" s="179">
        <f>BS29+BS26</f>
        <v>620089</v>
      </c>
      <c r="BT37" s="179">
        <f>BT29+BT26</f>
        <v>602808</v>
      </c>
      <c r="BU37" s="182">
        <f t="shared" si="30"/>
        <v>-2.7868580155429257E-2</v>
      </c>
      <c r="BV37" s="183">
        <f t="shared" si="31"/>
        <v>0.15013355720064103</v>
      </c>
      <c r="BX37" s="37"/>
    </row>
    <row r="38" spans="2:76" ht="17.25" thickBot="1" x14ac:dyDescent="0.35">
      <c r="B38" s="311" t="s">
        <v>43</v>
      </c>
      <c r="C38" s="368" t="s">
        <v>13</v>
      </c>
      <c r="D38" s="368"/>
      <c r="E38" s="369"/>
      <c r="F38" s="52">
        <f>'2023년 실적'!F38</f>
        <v>59089</v>
      </c>
      <c r="G38" s="38">
        <f>'2023년 실적'!G38</f>
        <v>75342</v>
      </c>
      <c r="H38" s="38">
        <v>84000</v>
      </c>
      <c r="I38" s="77">
        <f t="shared" si="5"/>
        <v>0.11491598311698659</v>
      </c>
      <c r="J38" s="131">
        <f t="shared" ref="J38" si="97">O38+T38+Y38+AD38+AI38+AN38+AS38+AX38+BC38+BH38+BM38+BR38</f>
        <v>75342</v>
      </c>
      <c r="K38" s="132">
        <f t="shared" ref="K38:K39" si="98">P38+U38+Z38+AE38+AJ38+AO38+AT38+AY38+BD38+BI38+BN38+BS38</f>
        <v>84000</v>
      </c>
      <c r="L38" s="132">
        <f t="shared" ref="L38:L39" si="99">Q38+V38+AA38+AF38+AK38+AP38+AU38+AZ38+BE38+BJ38+BO38+BT38</f>
        <v>92962</v>
      </c>
      <c r="M38" s="115">
        <f t="shared" si="6"/>
        <v>0.10669047619047611</v>
      </c>
      <c r="N38" s="10">
        <f t="shared" si="7"/>
        <v>0.23386690026811086</v>
      </c>
      <c r="O38" s="8">
        <f>'2023년 실적'!P38</f>
        <v>6107</v>
      </c>
      <c r="P38" s="9">
        <v>7000</v>
      </c>
      <c r="Q38" s="9">
        <v>6906</v>
      </c>
      <c r="R38" s="115">
        <f t="shared" si="8"/>
        <v>-1.3428571428571456E-2</v>
      </c>
      <c r="S38" s="10">
        <f t="shared" si="9"/>
        <v>0.13083346978876698</v>
      </c>
      <c r="T38" s="52">
        <f>'2023년 실적'!U38</f>
        <v>3002</v>
      </c>
      <c r="U38" s="9">
        <v>7000</v>
      </c>
      <c r="V38" s="9">
        <v>6821</v>
      </c>
      <c r="W38" s="115">
        <f t="shared" si="10"/>
        <v>-2.5571428571428578E-2</v>
      </c>
      <c r="X38" s="77">
        <f t="shared" si="11"/>
        <v>1.2721518987341773</v>
      </c>
      <c r="Y38" s="8">
        <f>'2023년 실적'!Z38</f>
        <v>4364</v>
      </c>
      <c r="Z38" s="9">
        <v>7000</v>
      </c>
      <c r="AA38" s="9">
        <v>5904</v>
      </c>
      <c r="AB38" s="115">
        <f t="shared" si="12"/>
        <v>-0.15657142857142858</v>
      </c>
      <c r="AC38" s="10">
        <f t="shared" si="13"/>
        <v>0.3528872593950505</v>
      </c>
      <c r="AD38" s="52">
        <f>'2023년 실적'!AE38</f>
        <v>5456</v>
      </c>
      <c r="AE38" s="9">
        <v>7000</v>
      </c>
      <c r="AF38" s="9">
        <v>10023</v>
      </c>
      <c r="AG38" s="115">
        <f t="shared" si="14"/>
        <v>0.43185714285714294</v>
      </c>
      <c r="AH38" s="77">
        <f t="shared" si="15"/>
        <v>0.83706011730205288</v>
      </c>
      <c r="AI38" s="8">
        <f>'2023년 실적'!AJ38</f>
        <v>4620</v>
      </c>
      <c r="AJ38" s="9">
        <v>7000</v>
      </c>
      <c r="AK38" s="9">
        <v>9644</v>
      </c>
      <c r="AL38" s="115">
        <f t="shared" si="16"/>
        <v>0.37771428571428567</v>
      </c>
      <c r="AM38" s="10">
        <f t="shared" si="17"/>
        <v>1.0874458874458877</v>
      </c>
      <c r="AN38" s="52">
        <f>'2023년 실적'!AO38</f>
        <v>7529</v>
      </c>
      <c r="AO38" s="9">
        <v>7000</v>
      </c>
      <c r="AP38" s="9">
        <v>6815</v>
      </c>
      <c r="AQ38" s="115">
        <f t="shared" si="18"/>
        <v>-2.6428571428571468E-2</v>
      </c>
      <c r="AR38" s="77">
        <f t="shared" si="19"/>
        <v>-9.4833311196706016E-2</v>
      </c>
      <c r="AS38" s="8">
        <f>'2023년 실적'!AT38</f>
        <v>5785</v>
      </c>
      <c r="AT38" s="9">
        <v>7000</v>
      </c>
      <c r="AU38" s="9">
        <v>5618</v>
      </c>
      <c r="AV38" s="115">
        <f t="shared" si="20"/>
        <v>-0.1974285714285714</v>
      </c>
      <c r="AW38" s="10">
        <f t="shared" si="21"/>
        <v>-2.8867761452031071E-2</v>
      </c>
      <c r="AX38" s="52">
        <f>'2023년 실적'!AY38</f>
        <v>9572</v>
      </c>
      <c r="AY38" s="9">
        <v>7000</v>
      </c>
      <c r="AZ38" s="9">
        <v>6755</v>
      </c>
      <c r="BA38" s="115">
        <f t="shared" si="22"/>
        <v>-3.5000000000000031E-2</v>
      </c>
      <c r="BB38" s="77">
        <f t="shared" si="23"/>
        <v>-0.29429586293355625</v>
      </c>
      <c r="BC38" s="8">
        <f>'2023년 실적'!BD38</f>
        <v>5844</v>
      </c>
      <c r="BD38" s="9">
        <v>7000</v>
      </c>
      <c r="BE38" s="9">
        <v>12109</v>
      </c>
      <c r="BF38" s="115">
        <f t="shared" si="24"/>
        <v>0.72985714285714276</v>
      </c>
      <c r="BG38" s="10">
        <f t="shared" si="25"/>
        <v>1.0720396988364134</v>
      </c>
      <c r="BH38" s="52">
        <f>'2023년 실적'!BI38</f>
        <v>6880</v>
      </c>
      <c r="BI38" s="9">
        <v>7000</v>
      </c>
      <c r="BJ38" s="9">
        <v>9654</v>
      </c>
      <c r="BK38" s="115">
        <f t="shared" si="26"/>
        <v>0.37914285714285723</v>
      </c>
      <c r="BL38" s="77">
        <f t="shared" si="27"/>
        <v>0.40319767441860455</v>
      </c>
      <c r="BM38" s="8">
        <f>'2023년 실적'!BN38</f>
        <v>11334</v>
      </c>
      <c r="BN38" s="9">
        <v>7000</v>
      </c>
      <c r="BO38" s="9">
        <v>6197</v>
      </c>
      <c r="BP38" s="115">
        <f t="shared" si="28"/>
        <v>-0.11471428571428577</v>
      </c>
      <c r="BQ38" s="10">
        <f t="shared" si="29"/>
        <v>-0.45323804482089292</v>
      </c>
      <c r="BR38" s="52">
        <f>'2023년 실적'!BS38</f>
        <v>4849</v>
      </c>
      <c r="BS38" s="9">
        <v>7000</v>
      </c>
      <c r="BT38" s="9">
        <v>6516</v>
      </c>
      <c r="BU38" s="115">
        <f t="shared" si="30"/>
        <v>-6.9142857142857173E-2</v>
      </c>
      <c r="BV38" s="10">
        <f t="shared" si="31"/>
        <v>0.34378222313879148</v>
      </c>
    </row>
    <row r="39" spans="2:76" ht="17.25" thickBot="1" x14ac:dyDescent="0.35">
      <c r="B39" s="312"/>
      <c r="C39" s="356" t="s">
        <v>14</v>
      </c>
      <c r="D39" s="356"/>
      <c r="E39" s="357"/>
      <c r="F39" s="45">
        <f>'2023년 실적'!F39</f>
        <v>56642</v>
      </c>
      <c r="G39" s="39">
        <f>'2023년 실적'!G39</f>
        <v>77688</v>
      </c>
      <c r="H39" s="39">
        <f>H38</f>
        <v>84000</v>
      </c>
      <c r="I39" s="33">
        <f t="shared" si="5"/>
        <v>8.1248069199876483E-2</v>
      </c>
      <c r="J39" s="131">
        <f>O39+T39+Y39+AD39+AI39+AN39+AS39+AX39+BC39+BH39+BM39+BR39</f>
        <v>77688</v>
      </c>
      <c r="K39" s="132">
        <f t="shared" si="98"/>
        <v>84000</v>
      </c>
      <c r="L39" s="132">
        <f t="shared" si="99"/>
        <v>92713</v>
      </c>
      <c r="M39" s="88">
        <f t="shared" si="6"/>
        <v>0.10372619047619058</v>
      </c>
      <c r="N39" s="15">
        <f t="shared" si="7"/>
        <v>0.19340181237771592</v>
      </c>
      <c r="O39" s="13">
        <f>'2023년 실적'!P39</f>
        <v>8650</v>
      </c>
      <c r="P39" s="28">
        <f>P38</f>
        <v>7000</v>
      </c>
      <c r="Q39" s="14">
        <v>6978</v>
      </c>
      <c r="R39" s="88">
        <f t="shared" si="8"/>
        <v>-3.1428571428571139E-3</v>
      </c>
      <c r="S39" s="15">
        <f t="shared" si="9"/>
        <v>-0.19329479768786129</v>
      </c>
      <c r="T39" s="45">
        <f>'2023년 실적'!U39</f>
        <v>2850</v>
      </c>
      <c r="U39" s="28">
        <f>U38</f>
        <v>7000</v>
      </c>
      <c r="V39" s="14">
        <v>5680</v>
      </c>
      <c r="W39" s="88">
        <f t="shared" si="10"/>
        <v>-0.18857142857142861</v>
      </c>
      <c r="X39" s="33">
        <f t="shared" si="11"/>
        <v>0.99298245614035086</v>
      </c>
      <c r="Y39" s="13">
        <f>'2023년 실적'!Z39</f>
        <v>6557</v>
      </c>
      <c r="Z39" s="28">
        <f>Z38</f>
        <v>7000</v>
      </c>
      <c r="AA39" s="14">
        <v>4948</v>
      </c>
      <c r="AB39" s="88">
        <f t="shared" si="12"/>
        <v>-0.29314285714285715</v>
      </c>
      <c r="AC39" s="15">
        <f t="shared" si="13"/>
        <v>-0.24538660973005944</v>
      </c>
      <c r="AD39" s="45">
        <f>'2023년 실적'!AE39</f>
        <v>3260</v>
      </c>
      <c r="AE39" s="28">
        <f>AE38</f>
        <v>7000</v>
      </c>
      <c r="AF39" s="14">
        <v>10425</v>
      </c>
      <c r="AG39" s="88">
        <f t="shared" si="14"/>
        <v>0.48928571428571432</v>
      </c>
      <c r="AH39" s="33">
        <f t="shared" si="15"/>
        <v>2.1978527607361964</v>
      </c>
      <c r="AI39" s="13">
        <f>'2023년 실적'!AJ39</f>
        <v>5412</v>
      </c>
      <c r="AJ39" s="28">
        <f>AJ38</f>
        <v>7000</v>
      </c>
      <c r="AK39" s="14">
        <v>9916</v>
      </c>
      <c r="AL39" s="88">
        <f t="shared" si="16"/>
        <v>0.41657142857142859</v>
      </c>
      <c r="AM39" s="15">
        <f t="shared" si="17"/>
        <v>0.83222468588322251</v>
      </c>
      <c r="AN39" s="45">
        <f>'2023년 실적'!AO39</f>
        <v>5339</v>
      </c>
      <c r="AO39" s="28">
        <f>AO38</f>
        <v>7000</v>
      </c>
      <c r="AP39" s="14">
        <v>8955</v>
      </c>
      <c r="AQ39" s="88">
        <f t="shared" si="18"/>
        <v>0.27928571428571436</v>
      </c>
      <c r="AR39" s="33">
        <f t="shared" si="19"/>
        <v>0.67728038958606485</v>
      </c>
      <c r="AS39" s="13">
        <f>'2023년 실적'!AT39</f>
        <v>7065</v>
      </c>
      <c r="AT39" s="28">
        <f>AT38</f>
        <v>7000</v>
      </c>
      <c r="AU39" s="14">
        <v>5834</v>
      </c>
      <c r="AV39" s="88">
        <f t="shared" si="20"/>
        <v>-0.16657142857142859</v>
      </c>
      <c r="AW39" s="15">
        <f t="shared" si="21"/>
        <v>-0.17423920736022647</v>
      </c>
      <c r="AX39" s="45">
        <f>'2023년 실적'!AY39</f>
        <v>7581</v>
      </c>
      <c r="AY39" s="28">
        <f>AY38</f>
        <v>7000</v>
      </c>
      <c r="AZ39" s="14">
        <v>12401</v>
      </c>
      <c r="BA39" s="88">
        <f t="shared" si="22"/>
        <v>0.77157142857142857</v>
      </c>
      <c r="BB39" s="33">
        <f t="shared" si="23"/>
        <v>0.63580002638174382</v>
      </c>
      <c r="BC39" s="13">
        <f>'2023년 실적'!BD39</f>
        <v>7313</v>
      </c>
      <c r="BD39" s="28">
        <f>BD38</f>
        <v>7000</v>
      </c>
      <c r="BE39" s="14">
        <v>5706</v>
      </c>
      <c r="BF39" s="88">
        <f t="shared" si="24"/>
        <v>-0.18485714285714283</v>
      </c>
      <c r="BG39" s="15">
        <f t="shared" si="25"/>
        <v>-0.2197456584165185</v>
      </c>
      <c r="BH39" s="45">
        <f>'2023년 실적'!BI39</f>
        <v>7840</v>
      </c>
      <c r="BI39" s="28">
        <f>BI38</f>
        <v>7000</v>
      </c>
      <c r="BJ39" s="14">
        <v>9731</v>
      </c>
      <c r="BK39" s="88">
        <f t="shared" si="26"/>
        <v>0.39014285714285712</v>
      </c>
      <c r="BL39" s="33">
        <f t="shared" si="27"/>
        <v>0.24119897959183678</v>
      </c>
      <c r="BM39" s="13">
        <f>'2023년 실적'!BN39</f>
        <v>12420</v>
      </c>
      <c r="BN39" s="28">
        <f>BN38</f>
        <v>7000</v>
      </c>
      <c r="BO39" s="14">
        <v>5759</v>
      </c>
      <c r="BP39" s="88">
        <f t="shared" si="28"/>
        <v>-0.17728571428571427</v>
      </c>
      <c r="BQ39" s="15">
        <f t="shared" si="29"/>
        <v>-0.5363123993558776</v>
      </c>
      <c r="BR39" s="45">
        <f>'2023년 실적'!BS39</f>
        <v>3401</v>
      </c>
      <c r="BS39" s="28">
        <f>BS38</f>
        <v>7000</v>
      </c>
      <c r="BT39" s="14">
        <v>6380</v>
      </c>
      <c r="BU39" s="88">
        <f t="shared" si="30"/>
        <v>-8.8571428571428523E-2</v>
      </c>
      <c r="BV39" s="15">
        <f t="shared" si="31"/>
        <v>0.87591884739782411</v>
      </c>
    </row>
    <row r="40" spans="2:76" ht="17.25" thickBot="1" x14ac:dyDescent="0.35">
      <c r="B40" s="313"/>
      <c r="C40" s="358" t="s">
        <v>15</v>
      </c>
      <c r="D40" s="358"/>
      <c r="E40" s="359"/>
      <c r="F40" s="47">
        <f>'2023년 실적'!F40</f>
        <v>1159</v>
      </c>
      <c r="G40" s="43">
        <f>'2023년 실적'!G40</f>
        <v>3913</v>
      </c>
      <c r="H40" s="43">
        <f>ROUND(H39/24,0)</f>
        <v>3500</v>
      </c>
      <c r="I40" s="76">
        <f t="shared" si="5"/>
        <v>-0.10554561717352418</v>
      </c>
      <c r="J40" s="8">
        <f t="shared" ref="J40:L40" si="100">BR40</f>
        <v>3913</v>
      </c>
      <c r="K40" s="8">
        <f t="shared" si="100"/>
        <v>3500</v>
      </c>
      <c r="L40" s="8">
        <f t="shared" si="100"/>
        <v>3665</v>
      </c>
      <c r="M40" s="72">
        <f t="shared" si="6"/>
        <v>4.7142857142857153E-2</v>
      </c>
      <c r="N40" s="6">
        <f t="shared" si="7"/>
        <v>-6.3378481983133117E-2</v>
      </c>
      <c r="O40" s="5">
        <f>'2023년 실적'!P40</f>
        <v>4110</v>
      </c>
      <c r="P40" s="7">
        <f>ROUND(P39/2,)</f>
        <v>3500</v>
      </c>
      <c r="Q40" s="7">
        <v>3985</v>
      </c>
      <c r="R40" s="72">
        <f t="shared" si="8"/>
        <v>0.13857142857142857</v>
      </c>
      <c r="S40" s="6">
        <f t="shared" si="9"/>
        <v>-3.0413625304136271E-2</v>
      </c>
      <c r="T40" s="47">
        <f>'2023년 실적'!U40</f>
        <v>3958</v>
      </c>
      <c r="U40" s="7"/>
      <c r="V40" s="7">
        <v>2844</v>
      </c>
      <c r="W40" s="72" t="e">
        <f t="shared" si="10"/>
        <v>#DIV/0!</v>
      </c>
      <c r="X40" s="76">
        <f t="shared" si="11"/>
        <v>-0.28145528044466905</v>
      </c>
      <c r="Y40" s="5">
        <f>'2023년 실적'!Z40</f>
        <v>6151</v>
      </c>
      <c r="Z40" s="7">
        <f>Z39/2</f>
        <v>3500</v>
      </c>
      <c r="AA40" s="7">
        <v>1888</v>
      </c>
      <c r="AB40" s="72">
        <f t="shared" si="12"/>
        <v>-0.46057142857142852</v>
      </c>
      <c r="AC40" s="6">
        <f t="shared" si="13"/>
        <v>-0.69305803934319621</v>
      </c>
      <c r="AD40" s="47">
        <f>'2023년 실적'!AE40</f>
        <v>3955</v>
      </c>
      <c r="AE40" s="7">
        <f>AE38/2</f>
        <v>3500</v>
      </c>
      <c r="AF40" s="7">
        <v>2290</v>
      </c>
      <c r="AG40" s="72">
        <f t="shared" si="14"/>
        <v>-0.34571428571428575</v>
      </c>
      <c r="AH40" s="76">
        <f t="shared" si="15"/>
        <v>-0.42098609355246519</v>
      </c>
      <c r="AI40" s="5">
        <f>'2023년 실적'!AJ40</f>
        <v>4725</v>
      </c>
      <c r="AJ40" s="7">
        <v>3500</v>
      </c>
      <c r="AK40" s="7">
        <v>2562</v>
      </c>
      <c r="AL40" s="72">
        <f t="shared" si="16"/>
        <v>-0.26800000000000002</v>
      </c>
      <c r="AM40" s="6">
        <f t="shared" si="17"/>
        <v>-0.45777777777777773</v>
      </c>
      <c r="AN40" s="47">
        <f>'2023년 실적'!AM40</f>
        <v>2352</v>
      </c>
      <c r="AO40" s="7">
        <v>4000</v>
      </c>
      <c r="AP40" s="7">
        <v>4702</v>
      </c>
      <c r="AQ40" s="72">
        <f t="shared" si="18"/>
        <v>0.17549999999999999</v>
      </c>
      <c r="AR40" s="76">
        <f t="shared" si="19"/>
        <v>0.99914965986394555</v>
      </c>
      <c r="AS40" s="5">
        <f>'2023년 실적'!AT40</f>
        <v>3837</v>
      </c>
      <c r="AT40" s="7">
        <f>AT38/2</f>
        <v>3500</v>
      </c>
      <c r="AU40" s="7">
        <v>4918</v>
      </c>
      <c r="AV40" s="72">
        <f t="shared" si="20"/>
        <v>0.40514285714285725</v>
      </c>
      <c r="AW40" s="6">
        <f t="shared" si="21"/>
        <v>0.28173051863434972</v>
      </c>
      <c r="AX40" s="47">
        <f>'2023년 실적'!AY40</f>
        <v>1846</v>
      </c>
      <c r="AY40" s="7">
        <f>AY38/2</f>
        <v>3500</v>
      </c>
      <c r="AZ40" s="7">
        <v>6164</v>
      </c>
      <c r="BA40" s="72">
        <f t="shared" si="22"/>
        <v>0.76114285714285712</v>
      </c>
      <c r="BB40" s="76">
        <f t="shared" si="23"/>
        <v>2.3391115926327193</v>
      </c>
      <c r="BC40" s="5">
        <f>'2023년 실적'!BD40</f>
        <v>3315</v>
      </c>
      <c r="BD40" s="7">
        <f>BD38/2</f>
        <v>3500</v>
      </c>
      <c r="BE40" s="7">
        <v>4161</v>
      </c>
      <c r="BF40" s="72">
        <f t="shared" si="24"/>
        <v>0.18885714285714283</v>
      </c>
      <c r="BG40" s="6">
        <f t="shared" si="25"/>
        <v>0.25520361990950224</v>
      </c>
      <c r="BH40" s="47">
        <f>'2023년 실적'!BI40</f>
        <v>4275</v>
      </c>
      <c r="BI40" s="7">
        <f>BI39/2</f>
        <v>3500</v>
      </c>
      <c r="BJ40" s="7">
        <v>4239</v>
      </c>
      <c r="BK40" s="72">
        <f t="shared" si="26"/>
        <v>0.21114285714285708</v>
      </c>
      <c r="BL40" s="76">
        <f t="shared" si="27"/>
        <v>-8.4210526315789958E-3</v>
      </c>
      <c r="BM40" s="5">
        <f>'2023년 실적'!BN40</f>
        <v>5361</v>
      </c>
      <c r="BN40" s="7">
        <f>BN39/2</f>
        <v>3500</v>
      </c>
      <c r="BO40" s="7">
        <v>3801</v>
      </c>
      <c r="BP40" s="72">
        <f t="shared" si="28"/>
        <v>8.6000000000000076E-2</v>
      </c>
      <c r="BQ40" s="6">
        <f t="shared" si="29"/>
        <v>-0.29099048684946838</v>
      </c>
      <c r="BR40" s="47">
        <f>'2023년 실적'!BS40</f>
        <v>3913</v>
      </c>
      <c r="BS40" s="7">
        <f>BS39/2</f>
        <v>3500</v>
      </c>
      <c r="BT40" s="7">
        <v>3665</v>
      </c>
      <c r="BU40" s="72">
        <f t="shared" si="30"/>
        <v>4.7142857142857153E-2</v>
      </c>
      <c r="BV40" s="6">
        <f t="shared" si="31"/>
        <v>-6.3378481983133117E-2</v>
      </c>
    </row>
    <row r="41" spans="2:76" ht="17.25" thickBot="1" x14ac:dyDescent="0.35">
      <c r="B41" s="314" t="s">
        <v>44</v>
      </c>
      <c r="C41" s="354" t="s">
        <v>13</v>
      </c>
      <c r="D41" s="354"/>
      <c r="E41" s="355"/>
      <c r="F41" s="56">
        <f>'2023년 실적'!F41</f>
        <v>3002564</v>
      </c>
      <c r="G41" s="41">
        <f>'2023년 실적'!G41</f>
        <v>3088164</v>
      </c>
      <c r="H41" s="41">
        <v>3160000</v>
      </c>
      <c r="I41" s="81">
        <f t="shared" si="5"/>
        <v>2.3261717965755713E-2</v>
      </c>
      <c r="J41" s="129">
        <f t="shared" ref="J41" si="101">O41+T41+Y41+AD41+AI41+AN41+AS41+AX41+BC41+BH41+BM41+BR41</f>
        <v>3088164</v>
      </c>
      <c r="K41" s="130">
        <f t="shared" ref="K41:K42" si="102">P41+U41+Z41+AE41+AJ41+AO41+AT41+AY41+BD41+BI41+BN41+BS41</f>
        <v>3160000</v>
      </c>
      <c r="L41" s="130">
        <f t="shared" ref="L41:L42" si="103">Q41+V41+AA41+AF41+AK41+AP41+AU41+AZ41+BE41+BJ41+BO41+BT41</f>
        <v>3044212</v>
      </c>
      <c r="M41" s="112">
        <f t="shared" si="6"/>
        <v>-3.6641772151898788E-2</v>
      </c>
      <c r="N41" s="23">
        <f t="shared" si="7"/>
        <v>-1.4232404755705974E-2</v>
      </c>
      <c r="O41" s="21">
        <f>'2023년 실적'!P41</f>
        <v>215260</v>
      </c>
      <c r="P41" s="22">
        <v>221200</v>
      </c>
      <c r="Q41" s="22">
        <v>225540</v>
      </c>
      <c r="R41" s="112">
        <f t="shared" si="8"/>
        <v>1.9620253164557067E-2</v>
      </c>
      <c r="S41" s="23">
        <f t="shared" si="9"/>
        <v>4.7756201802471532E-2</v>
      </c>
      <c r="T41" s="56">
        <f>'2023년 실적'!U41</f>
        <v>254736</v>
      </c>
      <c r="U41" s="22">
        <v>284400</v>
      </c>
      <c r="V41" s="22">
        <v>252504</v>
      </c>
      <c r="W41" s="112">
        <f t="shared" si="10"/>
        <v>-0.11215189873417719</v>
      </c>
      <c r="X41" s="81">
        <f t="shared" si="11"/>
        <v>-8.7620124364047314E-3</v>
      </c>
      <c r="Y41" s="21">
        <f>'2023년 실적'!Z41</f>
        <v>239960</v>
      </c>
      <c r="Z41" s="22">
        <v>252800</v>
      </c>
      <c r="AA41" s="22">
        <v>234804</v>
      </c>
      <c r="AB41" s="112">
        <f t="shared" si="12"/>
        <v>-7.1186708860759507E-2</v>
      </c>
      <c r="AC41" s="23">
        <f t="shared" si="13"/>
        <v>-2.1486914485747577E-2</v>
      </c>
      <c r="AD41" s="56">
        <f>'2023년 실적'!AE41</f>
        <v>261964</v>
      </c>
      <c r="AE41" s="22">
        <v>252800</v>
      </c>
      <c r="AF41" s="22">
        <v>311832</v>
      </c>
      <c r="AG41" s="112">
        <f t="shared" si="14"/>
        <v>0.23351265822784817</v>
      </c>
      <c r="AH41" s="81">
        <f t="shared" si="15"/>
        <v>0.19036203447801991</v>
      </c>
      <c r="AI41" s="21">
        <f>'2023년 실적'!AJ41</f>
        <v>311292</v>
      </c>
      <c r="AJ41" s="22">
        <v>284400</v>
      </c>
      <c r="AK41" s="22">
        <v>227596</v>
      </c>
      <c r="AL41" s="112">
        <f t="shared" si="16"/>
        <v>-0.19973277074542894</v>
      </c>
      <c r="AM41" s="23">
        <f t="shared" si="17"/>
        <v>-0.26886653046014675</v>
      </c>
      <c r="AN41" s="56">
        <f>'2023년 실적'!AO41</f>
        <v>250172</v>
      </c>
      <c r="AO41" s="22">
        <v>252800</v>
      </c>
      <c r="AP41" s="22">
        <v>246524</v>
      </c>
      <c r="AQ41" s="112">
        <f t="shared" si="18"/>
        <v>-2.4825949367088596E-2</v>
      </c>
      <c r="AR41" s="81">
        <f t="shared" si="19"/>
        <v>-1.4581967606286828E-2</v>
      </c>
      <c r="AS41" s="21">
        <f>'2023년 실적'!AT41</f>
        <v>289496</v>
      </c>
      <c r="AT41" s="22">
        <v>252800</v>
      </c>
      <c r="AU41" s="22">
        <v>327500</v>
      </c>
      <c r="AV41" s="112">
        <f t="shared" si="20"/>
        <v>0.295490506329114</v>
      </c>
      <c r="AW41" s="23">
        <f t="shared" si="21"/>
        <v>0.13127642523558181</v>
      </c>
      <c r="AX41" s="56">
        <f>'2023년 실적'!AY41</f>
        <v>237912</v>
      </c>
      <c r="AY41" s="22">
        <v>284400</v>
      </c>
      <c r="AZ41" s="22">
        <v>246312</v>
      </c>
      <c r="BA41" s="112">
        <f t="shared" si="22"/>
        <v>-0.13392405063291135</v>
      </c>
      <c r="BB41" s="81">
        <f t="shared" si="23"/>
        <v>3.5307172399879017E-2</v>
      </c>
      <c r="BC41" s="21">
        <f>'2023년 실적'!BD41</f>
        <v>237272</v>
      </c>
      <c r="BD41" s="22">
        <v>221200</v>
      </c>
      <c r="BE41" s="22">
        <v>183544</v>
      </c>
      <c r="BF41" s="112">
        <f t="shared" si="24"/>
        <v>-0.17023508137432186</v>
      </c>
      <c r="BG41" s="23">
        <f t="shared" si="25"/>
        <v>-0.22644054081391818</v>
      </c>
      <c r="BH41" s="56">
        <f>'2023년 실적'!BI41</f>
        <v>310220</v>
      </c>
      <c r="BI41" s="22">
        <v>252800</v>
      </c>
      <c r="BJ41" s="22">
        <v>282652</v>
      </c>
      <c r="BK41" s="112">
        <f t="shared" si="26"/>
        <v>0.11808544303797475</v>
      </c>
      <c r="BL41" s="81">
        <f t="shared" si="27"/>
        <v>-8.8865966088582327E-2</v>
      </c>
      <c r="BM41" s="21">
        <f>'2023년 실적'!BN41</f>
        <v>187992</v>
      </c>
      <c r="BN41" s="22">
        <v>316000</v>
      </c>
      <c r="BO41" s="22">
        <v>247308</v>
      </c>
      <c r="BP41" s="112">
        <f t="shared" si="28"/>
        <v>-0.21737974683544303</v>
      </c>
      <c r="BQ41" s="23">
        <f t="shared" si="29"/>
        <v>0.31552406485382356</v>
      </c>
      <c r="BR41" s="56">
        <f>'2023년 실적'!BS41</f>
        <v>291888</v>
      </c>
      <c r="BS41" s="22">
        <v>284400</v>
      </c>
      <c r="BT41" s="22">
        <v>258096</v>
      </c>
      <c r="BU41" s="112">
        <f t="shared" si="30"/>
        <v>-9.2489451476793216E-2</v>
      </c>
      <c r="BV41" s="23">
        <f t="shared" si="31"/>
        <v>-0.11577043249465546</v>
      </c>
    </row>
    <row r="42" spans="2:76" ht="17.25" thickBot="1" x14ac:dyDescent="0.35">
      <c r="B42" s="312"/>
      <c r="C42" s="356" t="s">
        <v>14</v>
      </c>
      <c r="D42" s="356"/>
      <c r="E42" s="357"/>
      <c r="F42" s="45">
        <f>'2023년 실적'!F42</f>
        <v>3008984</v>
      </c>
      <c r="G42" s="39">
        <f>'2023년 실적'!G42</f>
        <v>3030956</v>
      </c>
      <c r="H42" s="39">
        <f>H41</f>
        <v>3160000</v>
      </c>
      <c r="I42" s="33">
        <f t="shared" si="5"/>
        <v>4.2575345864473091E-2</v>
      </c>
      <c r="J42" s="131">
        <f>O42+T42+Y42+AD42+AI42+AN42+AS42+AX42+BC42+BH42+BM42+BR42</f>
        <v>3030956</v>
      </c>
      <c r="K42" s="132">
        <f t="shared" si="102"/>
        <v>3160000</v>
      </c>
      <c r="L42" s="132">
        <f t="shared" si="103"/>
        <v>3144752</v>
      </c>
      <c r="M42" s="88">
        <f t="shared" si="6"/>
        <v>-4.8253164556961714E-3</v>
      </c>
      <c r="N42" s="15">
        <f t="shared" si="7"/>
        <v>3.7544589891770119E-2</v>
      </c>
      <c r="O42" s="13">
        <f>'2023년 실적'!P42</f>
        <v>241420</v>
      </c>
      <c r="P42" s="28">
        <f>P41</f>
        <v>221200</v>
      </c>
      <c r="Q42" s="14">
        <v>308652</v>
      </c>
      <c r="R42" s="88">
        <f t="shared" si="8"/>
        <v>0.39535262206148292</v>
      </c>
      <c r="S42" s="15">
        <f t="shared" si="9"/>
        <v>0.27848562670864063</v>
      </c>
      <c r="T42" s="45">
        <f>'2023년 실적'!U42</f>
        <v>218496</v>
      </c>
      <c r="U42" s="28">
        <f>U41</f>
        <v>284400</v>
      </c>
      <c r="V42" s="14">
        <v>251088</v>
      </c>
      <c r="W42" s="88">
        <f t="shared" si="10"/>
        <v>-0.11713080168776369</v>
      </c>
      <c r="X42" s="33">
        <f t="shared" si="11"/>
        <v>0.14916520210896311</v>
      </c>
      <c r="Y42" s="13">
        <f>'2023년 실적'!Z42</f>
        <v>278780</v>
      </c>
      <c r="Z42" s="28">
        <f>Z41</f>
        <v>252800</v>
      </c>
      <c r="AA42" s="14">
        <v>206792</v>
      </c>
      <c r="AB42" s="88">
        <f t="shared" si="12"/>
        <v>-0.18199367088607599</v>
      </c>
      <c r="AC42" s="15">
        <f t="shared" si="13"/>
        <v>-0.25822512375349738</v>
      </c>
      <c r="AD42" s="45">
        <f>'2023년 실적'!AE42</f>
        <v>266908</v>
      </c>
      <c r="AE42" s="28">
        <f>AE41</f>
        <v>252800</v>
      </c>
      <c r="AF42" s="14">
        <v>305820</v>
      </c>
      <c r="AG42" s="88">
        <f t="shared" si="14"/>
        <v>0.20973101265822791</v>
      </c>
      <c r="AH42" s="33">
        <f t="shared" si="15"/>
        <v>0.14578806180406723</v>
      </c>
      <c r="AI42" s="13">
        <f>'2023년 실적'!AJ42</f>
        <v>274736</v>
      </c>
      <c r="AJ42" s="28">
        <f>AJ41</f>
        <v>284400</v>
      </c>
      <c r="AK42" s="14">
        <v>268064</v>
      </c>
      <c r="AL42" s="88">
        <f t="shared" si="16"/>
        <v>-5.7440225035161774E-2</v>
      </c>
      <c r="AM42" s="15">
        <f t="shared" si="17"/>
        <v>-2.4285131908450275E-2</v>
      </c>
      <c r="AN42" s="45">
        <f>'2023년 실적'!AO42</f>
        <v>235448</v>
      </c>
      <c r="AO42" s="28">
        <f>AO41</f>
        <v>252800</v>
      </c>
      <c r="AP42" s="14">
        <v>264536</v>
      </c>
      <c r="AQ42" s="88">
        <f t="shared" si="18"/>
        <v>4.642405063291144E-2</v>
      </c>
      <c r="AR42" s="33">
        <f t="shared" si="19"/>
        <v>0.12354320274540442</v>
      </c>
      <c r="AS42" s="13">
        <f>'2023년 실적'!AT42</f>
        <v>259380</v>
      </c>
      <c r="AT42" s="28">
        <f>AT41</f>
        <v>252800</v>
      </c>
      <c r="AU42" s="14">
        <v>396104</v>
      </c>
      <c r="AV42" s="88">
        <f t="shared" si="20"/>
        <v>0.56686708860759483</v>
      </c>
      <c r="AW42" s="15">
        <f t="shared" si="21"/>
        <v>0.52711851337805538</v>
      </c>
      <c r="AX42" s="45">
        <f>'2023년 실적'!AY42</f>
        <v>299272</v>
      </c>
      <c r="AY42" s="28">
        <f>AY41</f>
        <v>284400</v>
      </c>
      <c r="AZ42" s="14">
        <v>250992</v>
      </c>
      <c r="BA42" s="88">
        <f t="shared" si="22"/>
        <v>-0.11746835443037973</v>
      </c>
      <c r="BB42" s="33">
        <f t="shared" si="23"/>
        <v>-0.16132481488411876</v>
      </c>
      <c r="BC42" s="13">
        <f>'2023년 실적'!BD42</f>
        <v>212528</v>
      </c>
      <c r="BD42" s="28">
        <f>BD41</f>
        <v>221200</v>
      </c>
      <c r="BE42" s="14">
        <v>211504</v>
      </c>
      <c r="BF42" s="88">
        <f t="shared" si="24"/>
        <v>-4.383363471971069E-2</v>
      </c>
      <c r="BG42" s="15">
        <f t="shared" si="25"/>
        <v>-4.8181886621998515E-3</v>
      </c>
      <c r="BH42" s="45">
        <f>'2023년 실적'!BI42</f>
        <v>256012</v>
      </c>
      <c r="BI42" s="28">
        <f>BI41</f>
        <v>252800</v>
      </c>
      <c r="BJ42" s="14">
        <v>187880</v>
      </c>
      <c r="BK42" s="88">
        <f t="shared" si="26"/>
        <v>-0.25680379746835447</v>
      </c>
      <c r="BL42" s="33">
        <f t="shared" si="27"/>
        <v>-0.26612815024295733</v>
      </c>
      <c r="BM42" s="13">
        <f>'2023년 실적'!BN42</f>
        <v>290652</v>
      </c>
      <c r="BN42" s="28">
        <f>BN41</f>
        <v>316000</v>
      </c>
      <c r="BO42" s="14">
        <v>252064</v>
      </c>
      <c r="BP42" s="88">
        <f t="shared" si="28"/>
        <v>-0.20232911392405062</v>
      </c>
      <c r="BQ42" s="15">
        <f t="shared" si="29"/>
        <v>-0.13276357981366027</v>
      </c>
      <c r="BR42" s="45">
        <f>'2023년 실적'!BS42</f>
        <v>197324</v>
      </c>
      <c r="BS42" s="28">
        <f>BS41</f>
        <v>284400</v>
      </c>
      <c r="BT42" s="14">
        <v>241256</v>
      </c>
      <c r="BU42" s="88">
        <f t="shared" si="30"/>
        <v>-0.15170182841068913</v>
      </c>
      <c r="BV42" s="15">
        <f t="shared" si="31"/>
        <v>0.22263890859702817</v>
      </c>
    </row>
    <row r="43" spans="2:76" ht="17.25" thickBot="1" x14ac:dyDescent="0.35">
      <c r="B43" s="313"/>
      <c r="C43" s="358" t="s">
        <v>15</v>
      </c>
      <c r="D43" s="358"/>
      <c r="E43" s="359"/>
      <c r="F43" s="47">
        <f>'2023년 실적'!F43</f>
        <v>178808</v>
      </c>
      <c r="G43" s="43">
        <f>'2023년 실적'!G43</f>
        <v>69780</v>
      </c>
      <c r="H43" s="43">
        <f>ROUND(H42/24,0)</f>
        <v>131667</v>
      </c>
      <c r="I43" s="76">
        <f t="shared" si="5"/>
        <v>0.88688736027515058</v>
      </c>
      <c r="J43" s="8">
        <f t="shared" ref="J43:L43" si="104">BR43</f>
        <v>69780</v>
      </c>
      <c r="K43" s="8">
        <f t="shared" si="104"/>
        <v>142200</v>
      </c>
      <c r="L43" s="8">
        <f t="shared" si="104"/>
        <v>170096</v>
      </c>
      <c r="M43" s="72">
        <f t="shared" si="6"/>
        <v>0.19617440225035154</v>
      </c>
      <c r="N43" s="6">
        <f t="shared" si="7"/>
        <v>1.4376038979650327</v>
      </c>
      <c r="O43" s="5">
        <f>'2023년 실적'!P43</f>
        <v>149584</v>
      </c>
      <c r="P43" s="7">
        <f>ROUND(P42/2,)</f>
        <v>110600</v>
      </c>
      <c r="Q43" s="7">
        <v>152844</v>
      </c>
      <c r="R43" s="72">
        <f t="shared" si="8"/>
        <v>0.38195298372513564</v>
      </c>
      <c r="S43" s="6">
        <f t="shared" si="9"/>
        <v>2.1793774735265892E-2</v>
      </c>
      <c r="T43" s="47">
        <f>'2023년 실적'!U43</f>
        <v>113344</v>
      </c>
      <c r="U43" s="7"/>
      <c r="V43" s="7">
        <v>151416</v>
      </c>
      <c r="W43" s="72" t="e">
        <f t="shared" si="10"/>
        <v>#DIV/0!</v>
      </c>
      <c r="X43" s="76">
        <f t="shared" si="11"/>
        <v>0.33589779785431961</v>
      </c>
      <c r="Y43" s="5">
        <f>'2023년 실적'!Z43</f>
        <v>152164</v>
      </c>
      <c r="Z43" s="7">
        <f>Z42/2</f>
        <v>126400</v>
      </c>
      <c r="AA43" s="7">
        <v>123512</v>
      </c>
      <c r="AB43" s="72">
        <f t="shared" si="12"/>
        <v>-2.2848101265822818E-2</v>
      </c>
      <c r="AC43" s="6">
        <f t="shared" si="13"/>
        <v>-0.18829683762256511</v>
      </c>
      <c r="AD43" s="47">
        <f>'2023년 실적'!AE43</f>
        <v>157180</v>
      </c>
      <c r="AE43" s="7">
        <f>AE41/2</f>
        <v>126400</v>
      </c>
      <c r="AF43" s="7">
        <v>117500</v>
      </c>
      <c r="AG43" s="72">
        <f t="shared" si="14"/>
        <v>-7.0411392405063333E-2</v>
      </c>
      <c r="AH43" s="76">
        <f t="shared" si="15"/>
        <v>-0.2524494210459346</v>
      </c>
      <c r="AI43" s="5">
        <f>'2023년 실적'!AJ43</f>
        <v>120624</v>
      </c>
      <c r="AJ43" s="7">
        <f>AJ41/2</f>
        <v>142200</v>
      </c>
      <c r="AK43" s="7">
        <v>157968</v>
      </c>
      <c r="AL43" s="72">
        <f t="shared" si="16"/>
        <v>0.11088607594936706</v>
      </c>
      <c r="AM43" s="6">
        <f t="shared" si="17"/>
        <v>0.30959013131715074</v>
      </c>
      <c r="AN43" s="47">
        <f>'2023년 실적'!AO43</f>
        <v>105900</v>
      </c>
      <c r="AO43" s="7">
        <f>AO41/2</f>
        <v>126400</v>
      </c>
      <c r="AP43" s="7">
        <v>175980</v>
      </c>
      <c r="AQ43" s="72">
        <f t="shared" si="18"/>
        <v>0.39224683544303796</v>
      </c>
      <c r="AR43" s="76">
        <f t="shared" si="19"/>
        <v>0.66175637393767706</v>
      </c>
      <c r="AS43" s="5">
        <f>'2023년 실적'!AT43</f>
        <v>77448</v>
      </c>
      <c r="AT43" s="7">
        <f>AT41/2</f>
        <v>126400</v>
      </c>
      <c r="AU43" s="7">
        <v>244572</v>
      </c>
      <c r="AV43" s="72">
        <f t="shared" si="20"/>
        <v>0.93490506329113932</v>
      </c>
      <c r="AW43" s="6">
        <f t="shared" si="21"/>
        <v>2.1578865819646729</v>
      </c>
      <c r="AX43" s="47">
        <f>'2023년 실적'!AY43</f>
        <v>138808</v>
      </c>
      <c r="AY43" s="7">
        <f>AY41/2</f>
        <v>142200</v>
      </c>
      <c r="AZ43" s="7">
        <v>249212</v>
      </c>
      <c r="BA43" s="72">
        <f t="shared" si="22"/>
        <v>0.75254571026722927</v>
      </c>
      <c r="BB43" s="76">
        <f t="shared" si="23"/>
        <v>0.79537202466716606</v>
      </c>
      <c r="BC43" s="5">
        <f>'2023년 실적'!BD43</f>
        <v>115832</v>
      </c>
      <c r="BD43" s="7">
        <f>BD41/2</f>
        <v>110600</v>
      </c>
      <c r="BE43" s="7">
        <v>277172</v>
      </c>
      <c r="BF43" s="72">
        <f t="shared" si="24"/>
        <v>1.5060759493670886</v>
      </c>
      <c r="BG43" s="6">
        <f t="shared" si="25"/>
        <v>1.3928793424960286</v>
      </c>
      <c r="BH43" s="47">
        <f>'2023년 실적'!BI43</f>
        <v>61624</v>
      </c>
      <c r="BI43" s="7">
        <f>BI42/2</f>
        <v>126400</v>
      </c>
      <c r="BJ43" s="7">
        <v>182352</v>
      </c>
      <c r="BK43" s="72">
        <f t="shared" si="26"/>
        <v>0.44265822784810127</v>
      </c>
      <c r="BL43" s="76">
        <f t="shared" si="27"/>
        <v>1.9591068414903283</v>
      </c>
      <c r="BM43" s="5">
        <f>'2023년 실적'!BN43</f>
        <v>164284</v>
      </c>
      <c r="BN43" s="7">
        <f>BN42/2</f>
        <v>158000</v>
      </c>
      <c r="BO43" s="7">
        <v>187156</v>
      </c>
      <c r="BP43" s="72">
        <f t="shared" si="28"/>
        <v>0.18453164556962021</v>
      </c>
      <c r="BQ43" s="6">
        <f t="shared" si="29"/>
        <v>0.13922232231988518</v>
      </c>
      <c r="BR43" s="47">
        <f>'2023년 실적'!BS43</f>
        <v>69780</v>
      </c>
      <c r="BS43" s="7">
        <f>BS42/2</f>
        <v>142200</v>
      </c>
      <c r="BT43" s="7">
        <v>170096</v>
      </c>
      <c r="BU43" s="72">
        <f t="shared" si="30"/>
        <v>0.19617440225035154</v>
      </c>
      <c r="BV43" s="6">
        <f t="shared" si="31"/>
        <v>1.4376038979650327</v>
      </c>
    </row>
    <row r="44" spans="2:76" x14ac:dyDescent="0.3">
      <c r="B44" s="58" t="s">
        <v>45</v>
      </c>
      <c r="C44" s="59"/>
      <c r="D44" s="59"/>
      <c r="E44" s="59"/>
      <c r="F44" s="26"/>
      <c r="G44" s="26"/>
      <c r="H44" s="26"/>
      <c r="I44" s="27"/>
      <c r="J44" s="60"/>
      <c r="K44" s="26"/>
      <c r="L44" s="26"/>
      <c r="M44" s="27"/>
      <c r="N44" s="27"/>
      <c r="O44" s="26"/>
      <c r="P44" s="26"/>
      <c r="Q44" s="26"/>
      <c r="R44" s="27"/>
      <c r="S44" s="27"/>
      <c r="T44" s="26"/>
      <c r="U44" s="26"/>
      <c r="V44" s="26"/>
      <c r="W44" s="27"/>
      <c r="X44" s="27"/>
      <c r="Y44" s="26"/>
      <c r="Z44" s="26"/>
      <c r="AA44" s="26"/>
      <c r="AB44" s="27"/>
      <c r="AC44" s="27"/>
      <c r="AD44" s="26"/>
      <c r="AE44" s="26"/>
      <c r="AF44" s="26"/>
      <c r="AG44" s="27"/>
      <c r="AH44" s="27"/>
      <c r="AI44" s="26"/>
      <c r="AJ44" s="26"/>
      <c r="AK44" s="26"/>
      <c r="AL44" s="27"/>
      <c r="AM44" s="27"/>
      <c r="AN44" s="26"/>
      <c r="AO44" s="26"/>
      <c r="AP44" s="26"/>
      <c r="AQ44" s="27"/>
      <c r="AR44" s="27"/>
      <c r="AS44" s="26"/>
      <c r="AT44" s="26"/>
      <c r="AU44" s="26"/>
      <c r="AV44" s="27"/>
      <c r="AW44" s="27"/>
      <c r="AX44" s="26"/>
      <c r="AY44" s="26"/>
      <c r="AZ44" s="26"/>
      <c r="BA44" s="27"/>
      <c r="BB44" s="27"/>
      <c r="BC44" s="26"/>
      <c r="BD44" s="26"/>
      <c r="BE44" s="26"/>
      <c r="BF44" s="27"/>
      <c r="BG44" s="27"/>
      <c r="BH44" s="26"/>
      <c r="BI44" s="26"/>
      <c r="BJ44" s="26"/>
      <c r="BK44" s="27"/>
      <c r="BL44" s="27"/>
      <c r="BM44" s="26"/>
      <c r="BN44" s="26"/>
      <c r="BO44" s="26"/>
      <c r="BP44" s="27"/>
      <c r="BQ44" s="27"/>
      <c r="BR44" s="26"/>
      <c r="BS44" s="26"/>
      <c r="BT44" s="26"/>
      <c r="BU44" s="27"/>
      <c r="BV44" s="27"/>
    </row>
    <row r="45" spans="2:76" x14ac:dyDescent="0.3">
      <c r="B45" s="58" t="s">
        <v>46</v>
      </c>
      <c r="C45" s="59"/>
      <c r="D45" s="59"/>
      <c r="E45" s="59"/>
      <c r="F45" s="26"/>
      <c r="G45" s="26"/>
      <c r="H45" s="26"/>
      <c r="I45" s="27"/>
      <c r="J45" s="60"/>
      <c r="K45" s="26"/>
      <c r="L45" s="26"/>
      <c r="M45" s="27"/>
      <c r="N45" s="27"/>
      <c r="O45" s="26"/>
      <c r="P45" s="26"/>
      <c r="Q45" s="26">
        <f>Q26</f>
        <v>53893</v>
      </c>
      <c r="R45" s="27"/>
      <c r="S45" s="27"/>
      <c r="T45" s="26"/>
      <c r="U45" s="26"/>
      <c r="V45" s="26">
        <f>V26</f>
        <v>78147</v>
      </c>
      <c r="W45" s="27"/>
      <c r="X45" s="27"/>
      <c r="Y45" s="26"/>
      <c r="Z45" s="26"/>
      <c r="AA45" s="26">
        <f>AA26</f>
        <v>71656</v>
      </c>
      <c r="AB45" s="27"/>
      <c r="AC45" s="27"/>
      <c r="AD45" s="26"/>
      <c r="AE45" s="26"/>
      <c r="AF45" s="26">
        <f>AF26</f>
        <v>82813</v>
      </c>
      <c r="AG45" s="27"/>
      <c r="AH45" s="27"/>
      <c r="AI45" s="26"/>
      <c r="AJ45" s="26"/>
      <c r="AK45" s="26">
        <f>AK26</f>
        <v>78617</v>
      </c>
      <c r="AL45" s="27"/>
      <c r="AM45" s="27"/>
      <c r="AN45" s="26"/>
      <c r="AO45" s="26"/>
      <c r="AP45" s="26">
        <f>AP26</f>
        <v>67379</v>
      </c>
      <c r="AQ45" s="27"/>
      <c r="AR45" s="27"/>
      <c r="AS45" s="26"/>
      <c r="AT45" s="26"/>
      <c r="AU45" s="26"/>
      <c r="AV45" s="27"/>
      <c r="AW45" s="27"/>
      <c r="AX45" s="26"/>
      <c r="AY45" s="26"/>
      <c r="AZ45" s="26">
        <f>AZ26</f>
        <v>81329</v>
      </c>
      <c r="BA45" s="27"/>
      <c r="BB45" s="27"/>
      <c r="BC45" s="26"/>
      <c r="BD45" s="26"/>
      <c r="BE45" s="26">
        <f>BE26</f>
        <v>62469</v>
      </c>
      <c r="BF45" s="27"/>
      <c r="BG45" s="27"/>
      <c r="BH45" s="26"/>
      <c r="BI45" s="26"/>
      <c r="BJ45" s="26">
        <f>BJ26</f>
        <v>86174</v>
      </c>
      <c r="BK45" s="27"/>
      <c r="BL45" s="27"/>
      <c r="BM45" s="26"/>
      <c r="BN45" s="26"/>
      <c r="BO45" s="26">
        <f>BO26</f>
        <v>87868</v>
      </c>
      <c r="BP45" s="27"/>
      <c r="BQ45" s="27"/>
      <c r="BR45" s="26"/>
      <c r="BS45" s="26"/>
      <c r="BT45" s="26">
        <f>BT26</f>
        <v>70477</v>
      </c>
      <c r="BU45" s="27"/>
      <c r="BV45" s="27"/>
    </row>
    <row r="46" spans="2:76" x14ac:dyDescent="0.3">
      <c r="B46" s="59"/>
      <c r="C46" s="59"/>
      <c r="D46" s="59"/>
      <c r="E46" s="61">
        <f>J46/1000</f>
        <v>0</v>
      </c>
      <c r="F46" s="26"/>
      <c r="G46" s="26"/>
      <c r="H46" s="26"/>
      <c r="I46" s="27"/>
      <c r="J46" s="60"/>
      <c r="K46" s="26"/>
      <c r="L46" s="62"/>
      <c r="M46" s="27"/>
      <c r="N46" s="27"/>
      <c r="O46" s="26"/>
      <c r="P46" s="26"/>
      <c r="Q46" s="26">
        <v>61769</v>
      </c>
      <c r="R46" s="27"/>
      <c r="S46" s="27"/>
      <c r="T46" s="26"/>
      <c r="U46" s="26"/>
      <c r="V46" s="26">
        <v>61769</v>
      </c>
      <c r="W46" s="27"/>
      <c r="X46" s="27"/>
      <c r="Y46" s="26"/>
      <c r="Z46" s="26"/>
      <c r="AA46" s="26">
        <v>61769</v>
      </c>
      <c r="AB46" s="27"/>
      <c r="AC46" s="27"/>
      <c r="AD46" s="26"/>
      <c r="AE46" s="26"/>
      <c r="AF46" s="26">
        <v>61769</v>
      </c>
      <c r="AG46" s="27"/>
      <c r="AH46" s="27"/>
      <c r="AI46" s="26"/>
      <c r="AJ46" s="26"/>
      <c r="AK46" s="26">
        <v>61769</v>
      </c>
      <c r="AL46" s="27"/>
      <c r="AM46" s="27"/>
      <c r="AN46" s="26"/>
      <c r="AO46" s="26"/>
      <c r="AP46" s="26">
        <v>61769</v>
      </c>
      <c r="AQ46" s="27"/>
      <c r="AR46" s="27"/>
      <c r="AS46" s="26"/>
      <c r="AT46" s="26"/>
      <c r="AU46" s="26"/>
      <c r="AV46" s="27"/>
      <c r="AW46" s="27"/>
      <c r="AX46" s="26"/>
      <c r="AY46" s="26"/>
      <c r="AZ46" s="26">
        <v>61769</v>
      </c>
      <c r="BA46" s="27"/>
      <c r="BB46" s="27"/>
      <c r="BC46" s="26"/>
      <c r="BD46" s="26"/>
      <c r="BE46" s="26">
        <v>61769</v>
      </c>
      <c r="BF46" s="27"/>
      <c r="BG46" s="27"/>
      <c r="BH46" s="26"/>
      <c r="BI46" s="26"/>
      <c r="BJ46" s="26">
        <v>61769</v>
      </c>
      <c r="BK46" s="27"/>
      <c r="BL46" s="27"/>
      <c r="BM46" s="26"/>
      <c r="BN46" s="26"/>
      <c r="BO46" s="26">
        <v>61769</v>
      </c>
      <c r="BP46" s="27"/>
      <c r="BQ46" s="27"/>
      <c r="BR46" s="26"/>
      <c r="BS46" s="26"/>
      <c r="BT46" s="26">
        <v>61769</v>
      </c>
      <c r="BU46" s="27"/>
      <c r="BV46" s="27"/>
    </row>
    <row r="47" spans="2:76" ht="17.25" thickBot="1" x14ac:dyDescent="0.35">
      <c r="B47" s="37" t="s">
        <v>47</v>
      </c>
      <c r="C47" s="37"/>
      <c r="D47" s="37"/>
      <c r="E47" s="29"/>
      <c r="F47" s="29"/>
      <c r="G47" s="29"/>
      <c r="H47" s="29"/>
      <c r="J47" s="63"/>
      <c r="K47" s="29"/>
      <c r="L47" s="29"/>
      <c r="M47" s="30"/>
      <c r="N47" s="30"/>
      <c r="O47" s="29"/>
      <c r="P47" s="29"/>
      <c r="Q47" s="29"/>
      <c r="R47" s="30"/>
      <c r="S47" s="30"/>
      <c r="T47" s="29"/>
      <c r="U47" s="29"/>
      <c r="V47" s="29"/>
      <c r="W47" s="30"/>
      <c r="X47" s="30"/>
      <c r="Y47" s="29"/>
      <c r="Z47" s="29"/>
      <c r="AA47" s="29"/>
      <c r="AB47" s="30"/>
      <c r="AC47" s="30"/>
      <c r="AD47" s="29"/>
      <c r="AE47" s="29"/>
      <c r="AF47" s="29"/>
      <c r="AG47" s="30"/>
      <c r="AH47" s="30"/>
      <c r="AI47" s="29"/>
      <c r="AJ47" s="29"/>
      <c r="AK47" s="29"/>
      <c r="AL47" s="30"/>
      <c r="AM47" s="30"/>
      <c r="AN47" s="29"/>
      <c r="AO47" s="29"/>
      <c r="AP47" s="29"/>
      <c r="AQ47" s="30"/>
      <c r="AR47" s="30"/>
      <c r="AS47" s="29"/>
      <c r="AT47" s="29"/>
      <c r="AU47" s="29"/>
      <c r="AV47" s="30"/>
      <c r="AW47" s="30"/>
      <c r="AX47" s="29"/>
      <c r="AY47" s="29"/>
      <c r="AZ47" s="29"/>
      <c r="BA47" s="30"/>
      <c r="BB47" s="30"/>
      <c r="BC47" s="29"/>
      <c r="BD47" s="29"/>
      <c r="BE47" s="29"/>
      <c r="BF47" s="30"/>
      <c r="BG47" s="30"/>
      <c r="BH47" s="29"/>
      <c r="BI47" s="29"/>
      <c r="BJ47" s="29"/>
      <c r="BK47" s="30"/>
      <c r="BL47" s="30"/>
      <c r="BM47" s="29"/>
      <c r="BN47" s="29"/>
      <c r="BO47" s="29"/>
      <c r="BP47" s="30"/>
      <c r="BQ47" s="30"/>
      <c r="BR47" s="29"/>
      <c r="BS47" s="29"/>
      <c r="BT47" s="29"/>
      <c r="BU47" s="30"/>
      <c r="BV47" s="30"/>
    </row>
    <row r="48" spans="2:76" x14ac:dyDescent="0.3">
      <c r="B48" s="360" t="s">
        <v>2</v>
      </c>
      <c r="C48" s="361"/>
      <c r="D48" s="361"/>
      <c r="E48" s="362"/>
      <c r="F48" s="366" t="str">
        <f>F2</f>
        <v>2022년 실적</v>
      </c>
      <c r="G48" s="329" t="str">
        <f>G2</f>
        <v>2023년 실적</v>
      </c>
      <c r="H48" s="327" t="str">
        <f>H2</f>
        <v>2024년 계획</v>
      </c>
      <c r="I48" s="352" t="s">
        <v>5</v>
      </c>
      <c r="J48" s="329" t="str">
        <f>J2</f>
        <v>누적</v>
      </c>
      <c r="K48" s="327"/>
      <c r="L48" s="327"/>
      <c r="M48" s="327"/>
      <c r="N48" s="330"/>
      <c r="O48" s="326" t="str">
        <f>O2</f>
        <v>1월</v>
      </c>
      <c r="P48" s="327"/>
      <c r="Q48" s="327"/>
      <c r="R48" s="327"/>
      <c r="S48" s="328"/>
      <c r="T48" s="326" t="str">
        <f>T2</f>
        <v>2월</v>
      </c>
      <c r="U48" s="327"/>
      <c r="V48" s="327"/>
      <c r="W48" s="327"/>
      <c r="X48" s="328"/>
      <c r="Y48" s="326" t="str">
        <f>Y2</f>
        <v>3월</v>
      </c>
      <c r="Z48" s="327"/>
      <c r="AA48" s="327"/>
      <c r="AB48" s="327"/>
      <c r="AC48" s="328"/>
      <c r="AD48" s="326" t="str">
        <f>AD2</f>
        <v>4월</v>
      </c>
      <c r="AE48" s="327"/>
      <c r="AF48" s="327"/>
      <c r="AG48" s="327"/>
      <c r="AH48" s="328"/>
      <c r="AI48" s="326" t="str">
        <f>AI2</f>
        <v>5월</v>
      </c>
      <c r="AJ48" s="327"/>
      <c r="AK48" s="327"/>
      <c r="AL48" s="327"/>
      <c r="AM48" s="328"/>
      <c r="AN48" s="326" t="str">
        <f>AN2</f>
        <v>6월</v>
      </c>
      <c r="AO48" s="327"/>
      <c r="AP48" s="327"/>
      <c r="AQ48" s="327"/>
      <c r="AR48" s="328"/>
      <c r="AS48" s="326" t="str">
        <f>AS2</f>
        <v>7월</v>
      </c>
      <c r="AT48" s="327"/>
      <c r="AU48" s="327"/>
      <c r="AV48" s="327"/>
      <c r="AW48" s="328"/>
      <c r="AX48" s="326" t="str">
        <f>AX2</f>
        <v>8월</v>
      </c>
      <c r="AY48" s="327"/>
      <c r="AZ48" s="327"/>
      <c r="BA48" s="327"/>
      <c r="BB48" s="328"/>
      <c r="BC48" s="326" t="str">
        <f>BC2</f>
        <v>9월</v>
      </c>
      <c r="BD48" s="327"/>
      <c r="BE48" s="327"/>
      <c r="BF48" s="327"/>
      <c r="BG48" s="328"/>
      <c r="BH48" s="326" t="str">
        <f>BH2</f>
        <v>10월</v>
      </c>
      <c r="BI48" s="327"/>
      <c r="BJ48" s="327"/>
      <c r="BK48" s="327"/>
      <c r="BL48" s="328"/>
      <c r="BM48" s="326" t="str">
        <f>BM2</f>
        <v>11월</v>
      </c>
      <c r="BN48" s="327"/>
      <c r="BO48" s="327"/>
      <c r="BP48" s="327"/>
      <c r="BQ48" s="328"/>
      <c r="BR48" s="326" t="str">
        <f>BR2</f>
        <v>12월</v>
      </c>
      <c r="BS48" s="327"/>
      <c r="BT48" s="327"/>
      <c r="BU48" s="327"/>
      <c r="BV48" s="328"/>
    </row>
    <row r="49" spans="2:74" ht="17.25" thickBot="1" x14ac:dyDescent="0.35">
      <c r="B49" s="363"/>
      <c r="C49" s="364"/>
      <c r="D49" s="364"/>
      <c r="E49" s="365"/>
      <c r="F49" s="367"/>
      <c r="G49" s="337"/>
      <c r="H49" s="338"/>
      <c r="I49" s="353"/>
      <c r="J49" s="141" t="str">
        <f>J3</f>
        <v>2023년</v>
      </c>
      <c r="K49" s="96" t="str">
        <f>K3</f>
        <v>목표</v>
      </c>
      <c r="L49" s="96" t="str">
        <f>L3</f>
        <v>2024년</v>
      </c>
      <c r="M49" s="142" t="str">
        <f>M3</f>
        <v>달성율</v>
      </c>
      <c r="N49" s="143" t="str">
        <f>N3</f>
        <v>전년대비</v>
      </c>
      <c r="O49" s="104" t="str">
        <f>O3</f>
        <v>2023년</v>
      </c>
      <c r="P49" s="96" t="str">
        <f>P3</f>
        <v>목표</v>
      </c>
      <c r="Q49" s="96" t="str">
        <f>Q3</f>
        <v>2024년</v>
      </c>
      <c r="R49" s="142" t="str">
        <f>R3</f>
        <v>달성율</v>
      </c>
      <c r="S49" s="31" t="str">
        <f>S3</f>
        <v>전년대비</v>
      </c>
      <c r="T49" s="104" t="str">
        <f>T3</f>
        <v>2023년</v>
      </c>
      <c r="U49" s="96" t="str">
        <f>U3</f>
        <v>목표</v>
      </c>
      <c r="V49" s="96" t="str">
        <f>V3</f>
        <v>2024년</v>
      </c>
      <c r="W49" s="142" t="str">
        <f>W3</f>
        <v>달성율</v>
      </c>
      <c r="X49" s="31" t="str">
        <f>X3</f>
        <v>전년대비</v>
      </c>
      <c r="Y49" s="104" t="str">
        <f>Y3</f>
        <v>2023년</v>
      </c>
      <c r="Z49" s="96" t="str">
        <f>Z3</f>
        <v>목표</v>
      </c>
      <c r="AA49" s="96" t="str">
        <f>AA3</f>
        <v>2024년</v>
      </c>
      <c r="AB49" s="142" t="str">
        <f>AB3</f>
        <v>달성율</v>
      </c>
      <c r="AC49" s="31" t="str">
        <f>AC3</f>
        <v>전년대비</v>
      </c>
      <c r="AD49" s="104" t="str">
        <f>AD3</f>
        <v>2023년</v>
      </c>
      <c r="AE49" s="96" t="str">
        <f>AE3</f>
        <v>목표</v>
      </c>
      <c r="AF49" s="96" t="str">
        <f>AF3</f>
        <v>2024년</v>
      </c>
      <c r="AG49" s="142" t="str">
        <f>AG3</f>
        <v>달성율</v>
      </c>
      <c r="AH49" s="31" t="str">
        <f>AH3</f>
        <v>전년대비</v>
      </c>
      <c r="AI49" s="104" t="str">
        <f>AI3</f>
        <v>2023년</v>
      </c>
      <c r="AJ49" s="96" t="str">
        <f>AJ3</f>
        <v>목표</v>
      </c>
      <c r="AK49" s="96" t="str">
        <f>AK3</f>
        <v>2024년</v>
      </c>
      <c r="AL49" s="142" t="str">
        <f>AL3</f>
        <v>달성율</v>
      </c>
      <c r="AM49" s="31" t="str">
        <f>AM3</f>
        <v>전년대비</v>
      </c>
      <c r="AN49" s="104" t="str">
        <f>AN3</f>
        <v>2023년</v>
      </c>
      <c r="AO49" s="96" t="str">
        <f>AO3</f>
        <v>목표</v>
      </c>
      <c r="AP49" s="96" t="str">
        <f>AP3</f>
        <v>2024년</v>
      </c>
      <c r="AQ49" s="142" t="str">
        <f>AQ3</f>
        <v>달성율</v>
      </c>
      <c r="AR49" s="31" t="str">
        <f>AR3</f>
        <v>전년대비</v>
      </c>
      <c r="AS49" s="104" t="str">
        <f>AS3</f>
        <v>2023년</v>
      </c>
      <c r="AT49" s="96" t="str">
        <f>AT3</f>
        <v>목표</v>
      </c>
      <c r="AU49" s="96" t="str">
        <f>AU3</f>
        <v>2024년</v>
      </c>
      <c r="AV49" s="142" t="str">
        <f>AV3</f>
        <v>달성율</v>
      </c>
      <c r="AW49" s="31" t="str">
        <f>AW3</f>
        <v>전년대비</v>
      </c>
      <c r="AX49" s="104" t="str">
        <f>AX3</f>
        <v>2023년</v>
      </c>
      <c r="AY49" s="96" t="str">
        <f>AY3</f>
        <v>목표</v>
      </c>
      <c r="AZ49" s="96" t="str">
        <f>AZ3</f>
        <v>2024년</v>
      </c>
      <c r="BA49" s="142" t="str">
        <f>BA3</f>
        <v>달성율</v>
      </c>
      <c r="BB49" s="31" t="str">
        <f>BB3</f>
        <v>전년대비</v>
      </c>
      <c r="BC49" s="104" t="str">
        <f>BC3</f>
        <v>2023년</v>
      </c>
      <c r="BD49" s="96" t="str">
        <f>BD3</f>
        <v>목표</v>
      </c>
      <c r="BE49" s="96" t="str">
        <f>BE3</f>
        <v>2024년</v>
      </c>
      <c r="BF49" s="142" t="str">
        <f>BF3</f>
        <v>달성율</v>
      </c>
      <c r="BG49" s="31" t="str">
        <f>BG3</f>
        <v>전년대비</v>
      </c>
      <c r="BH49" s="104" t="str">
        <f>BH3</f>
        <v>2023년</v>
      </c>
      <c r="BI49" s="96" t="str">
        <f>BI3</f>
        <v>목표</v>
      </c>
      <c r="BJ49" s="96" t="str">
        <f>BJ3</f>
        <v>2024년</v>
      </c>
      <c r="BK49" s="142" t="str">
        <f>BK3</f>
        <v>달성율</v>
      </c>
      <c r="BL49" s="31" t="str">
        <f>BL3</f>
        <v>전년대비</v>
      </c>
      <c r="BM49" s="104" t="str">
        <f>BM3</f>
        <v>2023년</v>
      </c>
      <c r="BN49" s="96" t="str">
        <f>BN3</f>
        <v>목표</v>
      </c>
      <c r="BO49" s="96" t="str">
        <f>BO3</f>
        <v>2024년</v>
      </c>
      <c r="BP49" s="142" t="str">
        <f>BP3</f>
        <v>달성율</v>
      </c>
      <c r="BQ49" s="31" t="str">
        <f>BQ3</f>
        <v>전년대비</v>
      </c>
      <c r="BR49" s="104" t="str">
        <f>BR3</f>
        <v>2023년</v>
      </c>
      <c r="BS49" s="96" t="str">
        <f>BS3</f>
        <v>목표</v>
      </c>
      <c r="BT49" s="96" t="str">
        <f>BT3</f>
        <v>2024년</v>
      </c>
      <c r="BU49" s="142" t="str">
        <f>BU3</f>
        <v>달성율</v>
      </c>
      <c r="BV49" s="31" t="str">
        <f>BV3</f>
        <v>전년대비</v>
      </c>
    </row>
    <row r="50" spans="2:74" x14ac:dyDescent="0.3">
      <c r="B50" s="341" t="s">
        <v>48</v>
      </c>
      <c r="C50" s="342"/>
      <c r="D50" s="347" t="s">
        <v>49</v>
      </c>
      <c r="E50" s="348"/>
      <c r="F50" s="153">
        <v>13762120.5</v>
      </c>
      <c r="G50" s="139">
        <v>13762120.5</v>
      </c>
      <c r="H50" s="71">
        <f>SUM(H51:H54)</f>
        <v>15281500</v>
      </c>
      <c r="I50" s="35">
        <f>H50/G50-1</f>
        <v>0.11040300802481706</v>
      </c>
      <c r="J50" s="139">
        <f>SUM(J51:J54)</f>
        <v>13814354</v>
      </c>
      <c r="K50" s="71">
        <f>SUM(K51:K54)</f>
        <v>15259780</v>
      </c>
      <c r="L50" s="71">
        <f>SUM(L51:L54)</f>
        <v>13654468</v>
      </c>
      <c r="M50" s="140">
        <f t="shared" ref="M50:M55" si="105">L50/K50</f>
        <v>0.89480110460308082</v>
      </c>
      <c r="N50" s="36">
        <f t="shared" ref="N50:N59" si="106">L50/J50-1</f>
        <v>-1.1573903491976512E-2</v>
      </c>
      <c r="O50" s="70">
        <f>SUM(O51:O54)</f>
        <v>1035043</v>
      </c>
      <c r="P50" s="71">
        <f>SUM(P51:P54)</f>
        <v>1212865</v>
      </c>
      <c r="Q50" s="71">
        <f>SUM(Q51:Q54)</f>
        <v>983441</v>
      </c>
      <c r="R50" s="140">
        <f t="shared" ref="R50:R55" si="107">Q50/P50</f>
        <v>0.81084127252414739</v>
      </c>
      <c r="S50" s="35">
        <f t="shared" ref="S50:S59" si="108">Q50/O50-1</f>
        <v>-4.9854933563146631E-2</v>
      </c>
      <c r="T50" s="70">
        <f>SUM(T51:T54)</f>
        <v>1285371</v>
      </c>
      <c r="U50" s="70">
        <f>SUM(U51:U54)</f>
        <v>1276065</v>
      </c>
      <c r="V50" s="70">
        <f>SUM(V51:V54)</f>
        <v>991140</v>
      </c>
      <c r="W50" s="140">
        <f t="shared" ref="W50:W55" si="109">V50/U50</f>
        <v>0.77671591964359177</v>
      </c>
      <c r="X50" s="35">
        <f t="shared" ref="X50:X59" si="110">V50/T50-1</f>
        <v>-0.2289074516229167</v>
      </c>
      <c r="Y50" s="70">
        <f>SUM(Y51:Y54)</f>
        <v>1130584</v>
      </c>
      <c r="Z50" s="70">
        <f>SUM(Z51:Z54)</f>
        <v>1244465</v>
      </c>
      <c r="AA50" s="70">
        <f>SUM(AA51:AA54)</f>
        <v>1181434</v>
      </c>
      <c r="AB50" s="140">
        <f t="shared" ref="AB50:AB55" si="111">AA50/Z50</f>
        <v>0.94935092589988468</v>
      </c>
      <c r="AC50" s="35">
        <f t="shared" ref="AC50:AC59" si="112">AA50/Y50-1</f>
        <v>4.497675537598278E-2</v>
      </c>
      <c r="AD50" s="70">
        <f>SUM(AD51:AD54)</f>
        <v>1101665</v>
      </c>
      <c r="AE50" s="70">
        <f>SUM(AE51:AE54)</f>
        <v>1244465</v>
      </c>
      <c r="AF50" s="70">
        <f>SUM(AF51:AF54)</f>
        <v>1221373</v>
      </c>
      <c r="AG50" s="140">
        <f t="shared" ref="AG50:AG55" si="113">AF50/AE50</f>
        <v>0.98144423507290279</v>
      </c>
      <c r="AH50" s="35">
        <f t="shared" ref="AH50:AH59" si="114">AF50/AD50-1</f>
        <v>0.10866098133280078</v>
      </c>
      <c r="AI50" s="70">
        <f>SUM(AI51:AI54)</f>
        <v>1235509</v>
      </c>
      <c r="AJ50" s="70">
        <f>SUM(AJ51:AJ54)</f>
        <v>1261204</v>
      </c>
      <c r="AK50" s="70">
        <f>SUM(AK51:AK54)</f>
        <v>1126239</v>
      </c>
      <c r="AL50" s="140">
        <f t="shared" ref="AL50:AL55" si="115">AK50/AJ50</f>
        <v>0.89298717733213662</v>
      </c>
      <c r="AM50" s="35">
        <f t="shared" ref="AM50:AM59" si="116">AK50/AI50-1</f>
        <v>-8.8441282095071738E-2</v>
      </c>
      <c r="AN50" s="70">
        <f>SUM(AN51:AN54)</f>
        <v>1098735</v>
      </c>
      <c r="AO50" s="70">
        <f>SUM(AO51:AO54)</f>
        <v>1228643</v>
      </c>
      <c r="AP50" s="70">
        <f>SUM(AP51:AP54)</f>
        <v>1063807</v>
      </c>
      <c r="AQ50" s="140">
        <f t="shared" ref="AQ50:AQ55" si="117">AP50/AO50</f>
        <v>0.86583897845020885</v>
      </c>
      <c r="AR50" s="35">
        <f t="shared" ref="AR50:AR59" si="118">AP50/AN50-1</f>
        <v>-3.1789284950420216E-2</v>
      </c>
      <c r="AS50" s="70">
        <f>SUM(AS51:AS54)</f>
        <v>1066915</v>
      </c>
      <c r="AT50" s="70">
        <f>SUM(AT51:AT54)</f>
        <v>1223033</v>
      </c>
      <c r="AU50" s="70">
        <f>SUM(AU51:AU54)</f>
        <v>1250558</v>
      </c>
      <c r="AV50" s="140">
        <f t="shared" ref="AV50:AV55" si="119">AU50/AT50</f>
        <v>1.0225055251984208</v>
      </c>
      <c r="AW50" s="35">
        <f t="shared" ref="AW50:AW59" si="120">AU50/AS50-1</f>
        <v>0.17212523959265735</v>
      </c>
      <c r="AX50" s="70">
        <f>SUM(AX51:AX54)</f>
        <v>1063112</v>
      </c>
      <c r="AY50" s="70">
        <f>SUM(AY51:AY54)</f>
        <v>1285429</v>
      </c>
      <c r="AZ50" s="70">
        <f>SUM(AZ51:AZ54)</f>
        <v>1093065</v>
      </c>
      <c r="BA50" s="140">
        <f t="shared" ref="BA50:BA55" si="121">AZ50/AY50</f>
        <v>0.8503503499609858</v>
      </c>
      <c r="BB50" s="35">
        <f t="shared" ref="BB50:BB59" si="122">AZ50/AX50-1</f>
        <v>2.8174830121379557E-2</v>
      </c>
      <c r="BC50" s="70">
        <f>SUM(BC51:BC54)</f>
        <v>990677</v>
      </c>
      <c r="BD50" s="70">
        <f>SUM(BD51:BD54)</f>
        <v>1199579</v>
      </c>
      <c r="BE50" s="70">
        <f>SUM(BE51:BE54)</f>
        <v>958408</v>
      </c>
      <c r="BF50" s="140">
        <f t="shared" ref="BF50:BF55" si="123">BE50/BD50</f>
        <v>0.79895363289954224</v>
      </c>
      <c r="BG50" s="35">
        <f t="shared" ref="BG50:BG59" si="124">BE50/BC50-1</f>
        <v>-3.2572675049486355E-2</v>
      </c>
      <c r="BH50" s="70">
        <f>SUM(BH51:BH54)</f>
        <v>1448194</v>
      </c>
      <c r="BI50" s="70">
        <f>SUM(BI51:BI54)</f>
        <v>1355215</v>
      </c>
      <c r="BJ50" s="70">
        <f>SUM(BJ51:BJ54)</f>
        <v>1325227</v>
      </c>
      <c r="BK50" s="140">
        <f t="shared" ref="BK50:BK55" si="125">BJ50/BI50</f>
        <v>0.97787214574809167</v>
      </c>
      <c r="BL50" s="35">
        <f t="shared" ref="BL50:BL59" si="126">BJ50/BH50-1</f>
        <v>-8.4910585184029164E-2</v>
      </c>
      <c r="BM50" s="70">
        <f>SUM(BM51:BM54)</f>
        <v>1187066</v>
      </c>
      <c r="BN50" s="70">
        <f>SUM(BN51:BN54)</f>
        <v>1407808</v>
      </c>
      <c r="BO50" s="70">
        <f>SUM(BO51:BO54)</f>
        <v>1224286</v>
      </c>
      <c r="BP50" s="140">
        <f t="shared" ref="BP50:BP55" si="127">BO50/BN50</f>
        <v>0.86963989407646503</v>
      </c>
      <c r="BQ50" s="35">
        <f t="shared" ref="BQ50:BQ59" si="128">BO50/BM50-1</f>
        <v>3.1354617182195454E-2</v>
      </c>
      <c r="BR50" s="70">
        <f>SUM(BR51:BR54)</f>
        <v>1171483</v>
      </c>
      <c r="BS50" s="70">
        <f>SUM(BS51:BS54)</f>
        <v>1321009</v>
      </c>
      <c r="BT50" s="70">
        <f>SUM(BT51:BT54)</f>
        <v>1235490</v>
      </c>
      <c r="BU50" s="140">
        <f t="shared" ref="BU50:BU55" si="129">BT50/BS50</f>
        <v>0.9352623638446067</v>
      </c>
      <c r="BV50" s="35">
        <f t="shared" ref="BV50:BV59" si="130">BT50/BR50-1</f>
        <v>5.4637583302531878E-2</v>
      </c>
    </row>
    <row r="51" spans="2:74" x14ac:dyDescent="0.3">
      <c r="B51" s="343"/>
      <c r="C51" s="344"/>
      <c r="D51" s="301" t="s">
        <v>44</v>
      </c>
      <c r="E51" s="349"/>
      <c r="F51" s="151">
        <v>3002564</v>
      </c>
      <c r="G51" s="45">
        <v>3002564</v>
      </c>
      <c r="H51" s="39">
        <f>H41</f>
        <v>3160000</v>
      </c>
      <c r="I51" s="15">
        <f>I41</f>
        <v>2.3261717965755713E-2</v>
      </c>
      <c r="J51" s="136">
        <f>J41</f>
        <v>3088164</v>
      </c>
      <c r="K51" s="136">
        <f t="shared" ref="K51:L51" si="131">K41</f>
        <v>3160000</v>
      </c>
      <c r="L51" s="136">
        <f t="shared" si="131"/>
        <v>3044212</v>
      </c>
      <c r="M51" s="88">
        <f t="shared" ref="M51:M54" si="132">L51/K51-1</f>
        <v>-3.6641772151898788E-2</v>
      </c>
      <c r="N51" s="33">
        <f t="shared" si="106"/>
        <v>-1.4232404755705974E-2</v>
      </c>
      <c r="O51" s="13">
        <f>O41</f>
        <v>215260</v>
      </c>
      <c r="P51" s="39">
        <f>P41</f>
        <v>221200</v>
      </c>
      <c r="Q51" s="39">
        <f>Q41</f>
        <v>225540</v>
      </c>
      <c r="R51" s="88">
        <f t="shared" si="107"/>
        <v>1.0196202531645571</v>
      </c>
      <c r="S51" s="15">
        <f t="shared" si="108"/>
        <v>4.7756201802471532E-2</v>
      </c>
      <c r="T51" s="13">
        <f>T41</f>
        <v>254736</v>
      </c>
      <c r="U51" s="13">
        <f>U41</f>
        <v>284400</v>
      </c>
      <c r="V51" s="13">
        <f>V41</f>
        <v>252504</v>
      </c>
      <c r="W51" s="88">
        <f t="shared" si="109"/>
        <v>0.88784810126582281</v>
      </c>
      <c r="X51" s="15">
        <f t="shared" si="110"/>
        <v>-8.7620124364047314E-3</v>
      </c>
      <c r="Y51" s="13">
        <f>Y41</f>
        <v>239960</v>
      </c>
      <c r="Z51" s="13">
        <f>Z41</f>
        <v>252800</v>
      </c>
      <c r="AA51" s="13">
        <f>AA41</f>
        <v>234804</v>
      </c>
      <c r="AB51" s="88">
        <f t="shared" si="111"/>
        <v>0.92881329113924049</v>
      </c>
      <c r="AC51" s="15">
        <f t="shared" si="112"/>
        <v>-2.1486914485747577E-2</v>
      </c>
      <c r="AD51" s="13">
        <f>AD41</f>
        <v>261964</v>
      </c>
      <c r="AE51" s="13">
        <f>AE41</f>
        <v>252800</v>
      </c>
      <c r="AF51" s="13">
        <f>AF41</f>
        <v>311832</v>
      </c>
      <c r="AG51" s="88">
        <f t="shared" si="113"/>
        <v>1.2335126582278482</v>
      </c>
      <c r="AH51" s="15">
        <f t="shared" si="114"/>
        <v>0.19036203447801991</v>
      </c>
      <c r="AI51" s="13">
        <f>AI41</f>
        <v>311292</v>
      </c>
      <c r="AJ51" s="13">
        <f>AJ41</f>
        <v>284400</v>
      </c>
      <c r="AK51" s="13">
        <f>AK41</f>
        <v>227596</v>
      </c>
      <c r="AL51" s="88">
        <f t="shared" si="115"/>
        <v>0.80026722925457106</v>
      </c>
      <c r="AM51" s="15">
        <f t="shared" si="116"/>
        <v>-0.26886653046014675</v>
      </c>
      <c r="AN51" s="13">
        <f>AN41</f>
        <v>250172</v>
      </c>
      <c r="AO51" s="13">
        <f>AO41</f>
        <v>252800</v>
      </c>
      <c r="AP51" s="13">
        <f>AP41</f>
        <v>246524</v>
      </c>
      <c r="AQ51" s="88">
        <f t="shared" si="117"/>
        <v>0.9751740506329114</v>
      </c>
      <c r="AR51" s="15">
        <f t="shared" si="118"/>
        <v>-1.4581967606286828E-2</v>
      </c>
      <c r="AS51" s="13">
        <f>AS41</f>
        <v>289496</v>
      </c>
      <c r="AT51" s="13">
        <f>AT41</f>
        <v>252800</v>
      </c>
      <c r="AU51" s="13">
        <f>AU41</f>
        <v>327500</v>
      </c>
      <c r="AV51" s="88">
        <f t="shared" si="119"/>
        <v>1.295490506329114</v>
      </c>
      <c r="AW51" s="15">
        <f t="shared" si="120"/>
        <v>0.13127642523558181</v>
      </c>
      <c r="AX51" s="13">
        <f>AX41</f>
        <v>237912</v>
      </c>
      <c r="AY51" s="13">
        <f>AY41</f>
        <v>284400</v>
      </c>
      <c r="AZ51" s="13">
        <f>AZ41</f>
        <v>246312</v>
      </c>
      <c r="BA51" s="88">
        <f t="shared" si="121"/>
        <v>0.86607594936708865</v>
      </c>
      <c r="BB51" s="15">
        <f t="shared" si="122"/>
        <v>3.5307172399879017E-2</v>
      </c>
      <c r="BC51" s="13">
        <f>BC41</f>
        <v>237272</v>
      </c>
      <c r="BD51" s="13">
        <f>BD41</f>
        <v>221200</v>
      </c>
      <c r="BE51" s="13">
        <f>BE41</f>
        <v>183544</v>
      </c>
      <c r="BF51" s="88">
        <f t="shared" si="123"/>
        <v>0.82976491862567814</v>
      </c>
      <c r="BG51" s="15">
        <f t="shared" si="124"/>
        <v>-0.22644054081391818</v>
      </c>
      <c r="BH51" s="13">
        <f>BH41</f>
        <v>310220</v>
      </c>
      <c r="BI51" s="13">
        <f>BI41</f>
        <v>252800</v>
      </c>
      <c r="BJ51" s="13">
        <f>BJ41</f>
        <v>282652</v>
      </c>
      <c r="BK51" s="88">
        <f t="shared" si="125"/>
        <v>1.1180854430379747</v>
      </c>
      <c r="BL51" s="15">
        <f t="shared" si="126"/>
        <v>-8.8865966088582327E-2</v>
      </c>
      <c r="BM51" s="13">
        <f>BM41</f>
        <v>187992</v>
      </c>
      <c r="BN51" s="13">
        <f>BN41</f>
        <v>316000</v>
      </c>
      <c r="BO51" s="13">
        <f>BO41</f>
        <v>247308</v>
      </c>
      <c r="BP51" s="88">
        <f t="shared" si="127"/>
        <v>0.78262025316455697</v>
      </c>
      <c r="BQ51" s="15">
        <f t="shared" si="128"/>
        <v>0.31552406485382356</v>
      </c>
      <c r="BR51" s="13">
        <f>BR41</f>
        <v>291888</v>
      </c>
      <c r="BS51" s="13">
        <f>BS41</f>
        <v>284400</v>
      </c>
      <c r="BT51" s="13">
        <f>BT41</f>
        <v>258096</v>
      </c>
      <c r="BU51" s="88">
        <f t="shared" si="129"/>
        <v>0.90751054852320678</v>
      </c>
      <c r="BV51" s="15">
        <f t="shared" si="130"/>
        <v>-0.11577043249465546</v>
      </c>
    </row>
    <row r="52" spans="2:74" x14ac:dyDescent="0.3">
      <c r="B52" s="343"/>
      <c r="C52" s="344"/>
      <c r="D52" s="350" t="s">
        <v>43</v>
      </c>
      <c r="E52" s="351"/>
      <c r="F52" s="152">
        <v>55801</v>
      </c>
      <c r="G52" s="46">
        <v>55801</v>
      </c>
      <c r="H52" s="40">
        <f>H38</f>
        <v>84000</v>
      </c>
      <c r="I52" s="17">
        <f>I38</f>
        <v>0.11491598311698659</v>
      </c>
      <c r="J52" s="137">
        <f>J38</f>
        <v>75342</v>
      </c>
      <c r="K52" s="137">
        <f t="shared" ref="K52:L52" si="133">K38</f>
        <v>84000</v>
      </c>
      <c r="L52" s="137">
        <f t="shared" si="133"/>
        <v>92962</v>
      </c>
      <c r="M52" s="88">
        <f t="shared" si="132"/>
        <v>0.10669047619047611</v>
      </c>
      <c r="N52" s="33">
        <f t="shared" si="106"/>
        <v>0.23386690026811086</v>
      </c>
      <c r="O52" s="16">
        <f>O38</f>
        <v>6107</v>
      </c>
      <c r="P52" s="40">
        <f>P38</f>
        <v>7000</v>
      </c>
      <c r="Q52" s="40">
        <f>Q38</f>
        <v>6906</v>
      </c>
      <c r="R52" s="88">
        <f t="shared" si="107"/>
        <v>0.98657142857142854</v>
      </c>
      <c r="S52" s="15">
        <f t="shared" si="108"/>
        <v>0.13083346978876698</v>
      </c>
      <c r="T52" s="16">
        <f>T38</f>
        <v>3002</v>
      </c>
      <c r="U52" s="16">
        <f>U38</f>
        <v>7000</v>
      </c>
      <c r="V52" s="16">
        <f>V38</f>
        <v>6821</v>
      </c>
      <c r="W52" s="88">
        <f t="shared" si="109"/>
        <v>0.97442857142857142</v>
      </c>
      <c r="X52" s="15">
        <f t="shared" si="110"/>
        <v>1.2721518987341773</v>
      </c>
      <c r="Y52" s="16">
        <f>Y38</f>
        <v>4364</v>
      </c>
      <c r="Z52" s="16">
        <f>Z38</f>
        <v>7000</v>
      </c>
      <c r="AA52" s="16">
        <f>AA38</f>
        <v>5904</v>
      </c>
      <c r="AB52" s="88">
        <f t="shared" si="111"/>
        <v>0.84342857142857142</v>
      </c>
      <c r="AC52" s="15">
        <f t="shared" si="112"/>
        <v>0.3528872593950505</v>
      </c>
      <c r="AD52" s="16">
        <f>AD38</f>
        <v>5456</v>
      </c>
      <c r="AE52" s="16">
        <f>AE38</f>
        <v>7000</v>
      </c>
      <c r="AF52" s="16">
        <f>AF38</f>
        <v>10023</v>
      </c>
      <c r="AG52" s="88">
        <f t="shared" si="113"/>
        <v>1.4318571428571429</v>
      </c>
      <c r="AH52" s="15">
        <f t="shared" si="114"/>
        <v>0.83706011730205288</v>
      </c>
      <c r="AI52" s="16">
        <f>AI38</f>
        <v>4620</v>
      </c>
      <c r="AJ52" s="16">
        <f>AJ38</f>
        <v>7000</v>
      </c>
      <c r="AK52" s="16">
        <f>AK38</f>
        <v>9644</v>
      </c>
      <c r="AL52" s="88">
        <f t="shared" si="115"/>
        <v>1.3777142857142857</v>
      </c>
      <c r="AM52" s="15">
        <f t="shared" si="116"/>
        <v>1.0874458874458877</v>
      </c>
      <c r="AN52" s="16">
        <f>AN38</f>
        <v>7529</v>
      </c>
      <c r="AO52" s="16">
        <f>AO38</f>
        <v>7000</v>
      </c>
      <c r="AP52" s="16">
        <f>AP38</f>
        <v>6815</v>
      </c>
      <c r="AQ52" s="88">
        <f t="shared" si="117"/>
        <v>0.97357142857142853</v>
      </c>
      <c r="AR52" s="15">
        <f t="shared" si="118"/>
        <v>-9.4833311196706016E-2</v>
      </c>
      <c r="AS52" s="16">
        <f>AS38</f>
        <v>5785</v>
      </c>
      <c r="AT52" s="16">
        <f>AT38</f>
        <v>7000</v>
      </c>
      <c r="AU52" s="16">
        <f>AU38</f>
        <v>5618</v>
      </c>
      <c r="AV52" s="88">
        <f t="shared" si="119"/>
        <v>0.8025714285714286</v>
      </c>
      <c r="AW52" s="15">
        <f t="shared" si="120"/>
        <v>-2.8867761452031071E-2</v>
      </c>
      <c r="AX52" s="16">
        <f>AX38</f>
        <v>9572</v>
      </c>
      <c r="AY52" s="16">
        <f>AY38</f>
        <v>7000</v>
      </c>
      <c r="AZ52" s="16">
        <f>AZ38</f>
        <v>6755</v>
      </c>
      <c r="BA52" s="88">
        <f t="shared" si="121"/>
        <v>0.96499999999999997</v>
      </c>
      <c r="BB52" s="15">
        <f t="shared" si="122"/>
        <v>-0.29429586293355625</v>
      </c>
      <c r="BC52" s="16">
        <f>BC38</f>
        <v>5844</v>
      </c>
      <c r="BD52" s="16">
        <f>BD38</f>
        <v>7000</v>
      </c>
      <c r="BE52" s="16">
        <f>BE38</f>
        <v>12109</v>
      </c>
      <c r="BF52" s="88">
        <f t="shared" si="123"/>
        <v>1.7298571428571428</v>
      </c>
      <c r="BG52" s="15">
        <f t="shared" si="124"/>
        <v>1.0720396988364134</v>
      </c>
      <c r="BH52" s="16">
        <f>BH38</f>
        <v>6880</v>
      </c>
      <c r="BI52" s="16">
        <f>BI38</f>
        <v>7000</v>
      </c>
      <c r="BJ52" s="16">
        <f>BJ38</f>
        <v>9654</v>
      </c>
      <c r="BK52" s="88">
        <f t="shared" si="125"/>
        <v>1.3791428571428572</v>
      </c>
      <c r="BL52" s="15">
        <f t="shared" si="126"/>
        <v>0.40319767441860455</v>
      </c>
      <c r="BM52" s="16">
        <f>BM38</f>
        <v>11334</v>
      </c>
      <c r="BN52" s="16">
        <f>BN38</f>
        <v>7000</v>
      </c>
      <c r="BO52" s="16">
        <f>BO38</f>
        <v>6197</v>
      </c>
      <c r="BP52" s="88">
        <f t="shared" si="127"/>
        <v>0.88528571428571423</v>
      </c>
      <c r="BQ52" s="15">
        <f t="shared" si="128"/>
        <v>-0.45323804482089292</v>
      </c>
      <c r="BR52" s="16">
        <f>BR38</f>
        <v>4849</v>
      </c>
      <c r="BS52" s="16">
        <f>BS38</f>
        <v>7000</v>
      </c>
      <c r="BT52" s="16">
        <f>BT38</f>
        <v>6516</v>
      </c>
      <c r="BU52" s="88">
        <f t="shared" si="129"/>
        <v>0.93085714285714283</v>
      </c>
      <c r="BV52" s="15">
        <f t="shared" si="130"/>
        <v>0.34378222313879148</v>
      </c>
    </row>
    <row r="53" spans="2:74" x14ac:dyDescent="0.3">
      <c r="B53" s="343"/>
      <c r="C53" s="344"/>
      <c r="D53" s="301" t="s">
        <v>50</v>
      </c>
      <c r="E53" s="349"/>
      <c r="F53" s="151">
        <v>4650407</v>
      </c>
      <c r="G53" s="45">
        <v>4650407</v>
      </c>
      <c r="H53" s="39">
        <f>H9</f>
        <v>5537500</v>
      </c>
      <c r="I53" s="15">
        <f>I9</f>
        <v>0.13950411250378125</v>
      </c>
      <c r="J53" s="136">
        <f>J9</f>
        <v>4859498</v>
      </c>
      <c r="K53" s="136">
        <f t="shared" ref="K53:L53" si="134">K9</f>
        <v>5515800</v>
      </c>
      <c r="L53" s="136">
        <f t="shared" si="134"/>
        <v>5083802</v>
      </c>
      <c r="M53" s="88">
        <f t="shared" si="132"/>
        <v>-7.8320098625765944E-2</v>
      </c>
      <c r="N53" s="33">
        <f t="shared" si="106"/>
        <v>4.6157854165183254E-2</v>
      </c>
      <c r="O53" s="13">
        <f>O9</f>
        <v>404664</v>
      </c>
      <c r="P53" s="39">
        <f>P9</f>
        <v>443000</v>
      </c>
      <c r="Q53" s="39">
        <f>Q9</f>
        <v>328580</v>
      </c>
      <c r="R53" s="88">
        <f t="shared" si="107"/>
        <v>0.74171557562076751</v>
      </c>
      <c r="S53" s="15">
        <f t="shared" si="108"/>
        <v>-0.18801771346104423</v>
      </c>
      <c r="T53" s="13">
        <f>T9</f>
        <v>393870</v>
      </c>
      <c r="U53" s="13">
        <f>U9</f>
        <v>443000</v>
      </c>
      <c r="V53" s="13">
        <f>V9</f>
        <v>346389</v>
      </c>
      <c r="W53" s="88">
        <f t="shared" si="109"/>
        <v>0.78191647855530477</v>
      </c>
      <c r="X53" s="15">
        <f t="shared" si="110"/>
        <v>-0.12054992764109984</v>
      </c>
      <c r="Y53" s="13">
        <f>Y9</f>
        <v>406749</v>
      </c>
      <c r="Z53" s="13">
        <f>Z9</f>
        <v>443000</v>
      </c>
      <c r="AA53" s="13">
        <f>AA9</f>
        <v>464840</v>
      </c>
      <c r="AB53" s="88">
        <f t="shared" si="111"/>
        <v>1.0493002257336344</v>
      </c>
      <c r="AC53" s="15">
        <f t="shared" si="112"/>
        <v>0.14281780655883614</v>
      </c>
      <c r="AD53" s="13">
        <f>AD9</f>
        <v>351763</v>
      </c>
      <c r="AE53" s="13">
        <f>AE9</f>
        <v>443000</v>
      </c>
      <c r="AF53" s="13">
        <f>AF9</f>
        <v>455471</v>
      </c>
      <c r="AG53" s="88">
        <f t="shared" si="113"/>
        <v>1.0281512415349887</v>
      </c>
      <c r="AH53" s="15">
        <f t="shared" si="114"/>
        <v>0.29482350332468177</v>
      </c>
      <c r="AI53" s="13">
        <f>AI9</f>
        <v>387063</v>
      </c>
      <c r="AJ53" s="13">
        <f>AJ9</f>
        <v>428139</v>
      </c>
      <c r="AK53" s="13">
        <f>AK9</f>
        <v>396406</v>
      </c>
      <c r="AL53" s="88">
        <f t="shared" si="115"/>
        <v>0.9258815478150787</v>
      </c>
      <c r="AM53" s="15">
        <f t="shared" si="116"/>
        <v>2.4138189390357612E-2</v>
      </c>
      <c r="AN53" s="13">
        <f>AN9</f>
        <v>365731</v>
      </c>
      <c r="AO53" s="13">
        <f>AO9</f>
        <v>427178</v>
      </c>
      <c r="AP53" s="13">
        <f>AP9</f>
        <v>408513</v>
      </c>
      <c r="AQ53" s="88">
        <f t="shared" si="117"/>
        <v>0.95630627045400274</v>
      </c>
      <c r="AR53" s="15">
        <f t="shared" si="118"/>
        <v>0.11697668504994119</v>
      </c>
      <c r="AS53" s="13">
        <f>AS9</f>
        <v>384313</v>
      </c>
      <c r="AT53" s="13">
        <f>AT9</f>
        <v>421568</v>
      </c>
      <c r="AU53" s="13">
        <f>AU9</f>
        <v>432986</v>
      </c>
      <c r="AV53" s="88">
        <f t="shared" si="119"/>
        <v>1.0270845984514954</v>
      </c>
      <c r="AW53" s="15">
        <f t="shared" si="120"/>
        <v>0.12664937173605884</v>
      </c>
      <c r="AX53" s="13">
        <f>AX9</f>
        <v>385877</v>
      </c>
      <c r="AY53" s="13">
        <f>AY9</f>
        <v>452364</v>
      </c>
      <c r="AZ53" s="13">
        <f>AZ9</f>
        <v>415086</v>
      </c>
      <c r="BA53" s="88">
        <f t="shared" si="121"/>
        <v>0.9175929119028039</v>
      </c>
      <c r="BB53" s="15">
        <f t="shared" si="122"/>
        <v>7.5695104916851719E-2</v>
      </c>
      <c r="BC53" s="13">
        <f>BC9</f>
        <v>367503</v>
      </c>
      <c r="BD53" s="13">
        <f>BD9</f>
        <v>429714</v>
      </c>
      <c r="BE53" s="13">
        <f>BE9</f>
        <v>384010</v>
      </c>
      <c r="BF53" s="88">
        <f t="shared" si="123"/>
        <v>0.89364088672931297</v>
      </c>
      <c r="BG53" s="15">
        <f t="shared" si="124"/>
        <v>4.4916640136271058E-2</v>
      </c>
      <c r="BH53" s="13">
        <f>BH9</f>
        <v>518324</v>
      </c>
      <c r="BI53" s="13">
        <f>BI9</f>
        <v>553750</v>
      </c>
      <c r="BJ53" s="13">
        <f>BJ9</f>
        <v>543703</v>
      </c>
      <c r="BK53" s="88">
        <f t="shared" si="125"/>
        <v>0.98185643340857787</v>
      </c>
      <c r="BL53" s="15">
        <f t="shared" si="126"/>
        <v>4.8963582623995805E-2</v>
      </c>
      <c r="BM53" s="13">
        <f>BM9</f>
        <v>478461</v>
      </c>
      <c r="BN53" s="13">
        <f>BN9</f>
        <v>543143</v>
      </c>
      <c r="BO53" s="13">
        <f>BO9</f>
        <v>469271</v>
      </c>
      <c r="BP53" s="88">
        <f t="shared" si="127"/>
        <v>0.86399161915002132</v>
      </c>
      <c r="BQ53" s="15">
        <f t="shared" si="128"/>
        <v>-1.9207417114456504E-2</v>
      </c>
      <c r="BR53" s="13">
        <f>BR9</f>
        <v>415180</v>
      </c>
      <c r="BS53" s="13">
        <f>BS9</f>
        <v>487944</v>
      </c>
      <c r="BT53" s="13">
        <f>BT9</f>
        <v>438547</v>
      </c>
      <c r="BU53" s="88">
        <f t="shared" si="129"/>
        <v>0.89876502221566412</v>
      </c>
      <c r="BV53" s="15">
        <f t="shared" si="130"/>
        <v>5.6281612794450542E-2</v>
      </c>
    </row>
    <row r="54" spans="2:74" ht="17.25" thickBot="1" x14ac:dyDescent="0.35">
      <c r="B54" s="345"/>
      <c r="C54" s="346"/>
      <c r="D54" s="302" t="s">
        <v>31</v>
      </c>
      <c r="E54" s="299"/>
      <c r="F54" s="154">
        <v>6053348.5</v>
      </c>
      <c r="G54" s="57">
        <v>6053348.5</v>
      </c>
      <c r="H54" s="42">
        <f>H29</f>
        <v>6500000</v>
      </c>
      <c r="I54" s="25">
        <f>I29</f>
        <v>0.12128084082952695</v>
      </c>
      <c r="J54" s="145">
        <f>J29</f>
        <v>5791350</v>
      </c>
      <c r="K54" s="145">
        <f t="shared" ref="K54:L54" si="135">K29</f>
        <v>6499980</v>
      </c>
      <c r="L54" s="145">
        <f t="shared" si="135"/>
        <v>5433492</v>
      </c>
      <c r="M54" s="146">
        <f t="shared" si="132"/>
        <v>-0.16407558177102088</v>
      </c>
      <c r="N54" s="82">
        <f t="shared" si="106"/>
        <v>-6.1791810199694375E-2</v>
      </c>
      <c r="O54" s="24">
        <f>O29</f>
        <v>409012</v>
      </c>
      <c r="P54" s="42">
        <f>P29</f>
        <v>541665</v>
      </c>
      <c r="Q54" s="42">
        <f>Q29</f>
        <v>422415</v>
      </c>
      <c r="R54" s="146">
        <f t="shared" si="107"/>
        <v>0.77984547644761981</v>
      </c>
      <c r="S54" s="25">
        <f t="shared" si="108"/>
        <v>3.2769209705338698E-2</v>
      </c>
      <c r="T54" s="24">
        <f>T29</f>
        <v>633763</v>
      </c>
      <c r="U54" s="24">
        <f>U29</f>
        <v>541665</v>
      </c>
      <c r="V54" s="24">
        <f>V29</f>
        <v>385426</v>
      </c>
      <c r="W54" s="146">
        <f t="shared" si="109"/>
        <v>0.71155788171655909</v>
      </c>
      <c r="X54" s="25">
        <f t="shared" si="110"/>
        <v>-0.39184521658727312</v>
      </c>
      <c r="Y54" s="24">
        <f>Y29</f>
        <v>479511</v>
      </c>
      <c r="Z54" s="24">
        <f>Z29</f>
        <v>541665</v>
      </c>
      <c r="AA54" s="24">
        <f>AA29</f>
        <v>475886</v>
      </c>
      <c r="AB54" s="146">
        <f t="shared" si="111"/>
        <v>0.87856147249683847</v>
      </c>
      <c r="AC54" s="25">
        <f t="shared" si="112"/>
        <v>-7.5597848641637544E-3</v>
      </c>
      <c r="AD54" s="24">
        <f>AD29</f>
        <v>482482</v>
      </c>
      <c r="AE54" s="24">
        <f>AE29</f>
        <v>541665</v>
      </c>
      <c r="AF54" s="24">
        <f>AF29</f>
        <v>444047</v>
      </c>
      <c r="AG54" s="146">
        <f t="shared" si="113"/>
        <v>0.81978159932799788</v>
      </c>
      <c r="AH54" s="25">
        <f t="shared" si="114"/>
        <v>-7.966100289751743E-2</v>
      </c>
      <c r="AI54" s="24">
        <f>AI29</f>
        <v>532534</v>
      </c>
      <c r="AJ54" s="24">
        <f>AJ29</f>
        <v>541665</v>
      </c>
      <c r="AK54" s="24">
        <f>AK29</f>
        <v>492593</v>
      </c>
      <c r="AL54" s="146">
        <f t="shared" si="115"/>
        <v>0.9094052597084914</v>
      </c>
      <c r="AM54" s="25">
        <f t="shared" si="116"/>
        <v>-7.5001783923655529E-2</v>
      </c>
      <c r="AN54" s="24">
        <f>AN29</f>
        <v>475303</v>
      </c>
      <c r="AO54" s="24">
        <f>AO29</f>
        <v>541665</v>
      </c>
      <c r="AP54" s="24">
        <f>AP29</f>
        <v>401955</v>
      </c>
      <c r="AQ54" s="146">
        <f t="shared" si="117"/>
        <v>0.74207305253246936</v>
      </c>
      <c r="AR54" s="25">
        <f t="shared" si="118"/>
        <v>-0.1543184032080589</v>
      </c>
      <c r="AS54" s="24">
        <f>AS29</f>
        <v>387321</v>
      </c>
      <c r="AT54" s="24">
        <f>AT29</f>
        <v>541665</v>
      </c>
      <c r="AU54" s="24">
        <f>AU29</f>
        <v>484454</v>
      </c>
      <c r="AV54" s="146">
        <f t="shared" si="119"/>
        <v>0.89437936732113021</v>
      </c>
      <c r="AW54" s="25">
        <f t="shared" si="120"/>
        <v>0.25078165139509601</v>
      </c>
      <c r="AX54" s="24">
        <f>AX29</f>
        <v>429751</v>
      </c>
      <c r="AY54" s="24">
        <f>AY29</f>
        <v>541665</v>
      </c>
      <c r="AZ54" s="24">
        <f>AZ29</f>
        <v>424912</v>
      </c>
      <c r="BA54" s="146">
        <f t="shared" si="121"/>
        <v>0.7844553367856516</v>
      </c>
      <c r="BB54" s="25">
        <f t="shared" si="122"/>
        <v>-1.1260008702713931E-2</v>
      </c>
      <c r="BC54" s="24">
        <f>BC29</f>
        <v>380058</v>
      </c>
      <c r="BD54" s="24">
        <f>BD29</f>
        <v>541665</v>
      </c>
      <c r="BE54" s="24">
        <f>BE29</f>
        <v>378745</v>
      </c>
      <c r="BF54" s="146">
        <f t="shared" si="123"/>
        <v>0.69922368991904593</v>
      </c>
      <c r="BG54" s="25">
        <f t="shared" si="124"/>
        <v>-3.454735856106228E-3</v>
      </c>
      <c r="BH54" s="24">
        <f>BH29</f>
        <v>612770</v>
      </c>
      <c r="BI54" s="24">
        <f>BI29</f>
        <v>541665</v>
      </c>
      <c r="BJ54" s="24">
        <f>BJ29</f>
        <v>489218</v>
      </c>
      <c r="BK54" s="146">
        <f t="shared" si="125"/>
        <v>0.90317447130606554</v>
      </c>
      <c r="BL54" s="25">
        <f t="shared" si="126"/>
        <v>-0.20162866981085892</v>
      </c>
      <c r="BM54" s="24">
        <f>BM29</f>
        <v>509279</v>
      </c>
      <c r="BN54" s="24">
        <f>BN29</f>
        <v>541665</v>
      </c>
      <c r="BO54" s="24">
        <f>BO29</f>
        <v>501510</v>
      </c>
      <c r="BP54" s="146">
        <f t="shared" si="127"/>
        <v>0.92586746420758215</v>
      </c>
      <c r="BQ54" s="25">
        <f t="shared" si="128"/>
        <v>-1.5254899573711067E-2</v>
      </c>
      <c r="BR54" s="24">
        <f>BR29</f>
        <v>459566</v>
      </c>
      <c r="BS54" s="24">
        <f>BS29</f>
        <v>541665</v>
      </c>
      <c r="BT54" s="24">
        <f>BT29</f>
        <v>532331</v>
      </c>
      <c r="BU54" s="146">
        <f t="shared" si="129"/>
        <v>0.98276794697829839</v>
      </c>
      <c r="BV54" s="25">
        <f t="shared" si="130"/>
        <v>0.15833416745364115</v>
      </c>
    </row>
    <row r="55" spans="2:74" x14ac:dyDescent="0.3">
      <c r="B55" s="341" t="s">
        <v>51</v>
      </c>
      <c r="C55" s="342"/>
      <c r="D55" s="347" t="s">
        <v>49</v>
      </c>
      <c r="E55" s="348"/>
      <c r="F55" s="155">
        <v>13387033</v>
      </c>
      <c r="G55" s="147">
        <v>13387033</v>
      </c>
      <c r="H55" s="44">
        <f>SUM(H56:H59)</f>
        <v>15281500</v>
      </c>
      <c r="I55" s="19">
        <f>H55/G55-1</f>
        <v>0.14151507656700324</v>
      </c>
      <c r="J55" s="147">
        <f>SUM(J56:J59)</f>
        <v>13835379</v>
      </c>
      <c r="K55" s="44">
        <f>SUM(K56:K59)</f>
        <v>15274641</v>
      </c>
      <c r="L55" s="44">
        <f>SUM(L56:L59)</f>
        <v>13669960</v>
      </c>
      <c r="M55" s="148">
        <f t="shared" si="105"/>
        <v>0.89494476498662068</v>
      </c>
      <c r="N55" s="32">
        <f t="shared" si="106"/>
        <v>-1.1956231918185956E-2</v>
      </c>
      <c r="O55" s="18">
        <f>SUM(O56:O59)</f>
        <v>1326352</v>
      </c>
      <c r="P55" s="44">
        <f>SUM(P56:P59)</f>
        <v>1212865</v>
      </c>
      <c r="Q55" s="44">
        <f>SUM(Q56:Q59)</f>
        <v>954163</v>
      </c>
      <c r="R55" s="148">
        <f t="shared" si="107"/>
        <v>0.78670173514776998</v>
      </c>
      <c r="S55" s="19">
        <f t="shared" si="108"/>
        <v>-0.28061102934967486</v>
      </c>
      <c r="T55" s="18">
        <f>SUM(T56:T59)</f>
        <v>926691</v>
      </c>
      <c r="U55" s="18">
        <f>SUM(U56:U59)</f>
        <v>1276065</v>
      </c>
      <c r="V55" s="18">
        <f>SUM(V56:V59)</f>
        <v>976195</v>
      </c>
      <c r="W55" s="148">
        <f t="shared" si="109"/>
        <v>0.76500413380196153</v>
      </c>
      <c r="X55" s="19">
        <f t="shared" si="110"/>
        <v>5.3420179973691306E-2</v>
      </c>
      <c r="Y55" s="18">
        <f>SUM(Y56:Y59)</f>
        <v>1168464</v>
      </c>
      <c r="Z55" s="18">
        <f>SUM(Z56:Z59)</f>
        <v>1244465</v>
      </c>
      <c r="AA55" s="18">
        <f>SUM(AA56:AA59)</f>
        <v>1136359</v>
      </c>
      <c r="AB55" s="148">
        <f t="shared" si="111"/>
        <v>0.91313054204015376</v>
      </c>
      <c r="AC55" s="19">
        <f t="shared" si="112"/>
        <v>-2.7476242314696919E-2</v>
      </c>
      <c r="AD55" s="18">
        <f>SUM(AD56:AD59)</f>
        <v>1218914</v>
      </c>
      <c r="AE55" s="18">
        <f>SUM(AE56:AE59)</f>
        <v>1244465</v>
      </c>
      <c r="AF55" s="18">
        <f>SUM(AF56:AF59)</f>
        <v>1254909</v>
      </c>
      <c r="AG55" s="148">
        <f t="shared" si="113"/>
        <v>1.0083923613761736</v>
      </c>
      <c r="AH55" s="19">
        <f t="shared" si="114"/>
        <v>2.9530385244570079E-2</v>
      </c>
      <c r="AI55" s="18">
        <f>SUM(AI56:AI59)</f>
        <v>1231598</v>
      </c>
      <c r="AJ55" s="18">
        <f>SUM(AJ56:AJ59)</f>
        <v>1276065</v>
      </c>
      <c r="AK55" s="18">
        <f>SUM(AK56:AK59)</f>
        <v>1256636</v>
      </c>
      <c r="AL55" s="148">
        <f t="shared" si="115"/>
        <v>0.98477428657631072</v>
      </c>
      <c r="AM55" s="19">
        <f t="shared" si="116"/>
        <v>2.0329685498027716E-2</v>
      </c>
      <c r="AN55" s="18">
        <f>SUM(AN56:AN59)</f>
        <v>922623</v>
      </c>
      <c r="AO55" s="18">
        <f>SUM(AO56:AO59)</f>
        <v>1228643</v>
      </c>
      <c r="AP55" s="18">
        <f>SUM(AP56:AP59)</f>
        <v>1107408</v>
      </c>
      <c r="AQ55" s="148">
        <f t="shared" si="117"/>
        <v>0.90132609716573486</v>
      </c>
      <c r="AR55" s="19">
        <f t="shared" si="118"/>
        <v>0.20028223879092533</v>
      </c>
      <c r="AS55" s="18">
        <f>SUM(AS56:AS59)</f>
        <v>999306</v>
      </c>
      <c r="AT55" s="18">
        <f>SUM(AT56:AT59)</f>
        <v>1223033</v>
      </c>
      <c r="AU55" s="18">
        <f>SUM(AU56:AU59)</f>
        <v>1227414</v>
      </c>
      <c r="AV55" s="148">
        <f t="shared" si="119"/>
        <v>1.0035820783249512</v>
      </c>
      <c r="AW55" s="19">
        <f t="shared" si="120"/>
        <v>0.22826641689332394</v>
      </c>
      <c r="AX55" s="18">
        <f>SUM(AX56:AX59)</f>
        <v>1082068</v>
      </c>
      <c r="AY55" s="18">
        <f>SUM(AY56:AY59)</f>
        <v>1285429</v>
      </c>
      <c r="AZ55" s="18">
        <f>SUM(AZ56:AZ59)</f>
        <v>1115030</v>
      </c>
      <c r="BA55" s="148">
        <f t="shared" si="121"/>
        <v>0.86743803041630463</v>
      </c>
      <c r="BB55" s="19">
        <f t="shared" si="122"/>
        <v>3.0462041202586221E-2</v>
      </c>
      <c r="BC55" s="18">
        <f>SUM(BC56:BC59)</f>
        <v>1066379</v>
      </c>
      <c r="BD55" s="18">
        <f>SUM(BD56:BD59)</f>
        <v>1199579</v>
      </c>
      <c r="BE55" s="18">
        <f>SUM(BE56:BE59)</f>
        <v>937288</v>
      </c>
      <c r="BF55" s="148">
        <f t="shared" si="123"/>
        <v>0.78134745606583644</v>
      </c>
      <c r="BG55" s="19">
        <f t="shared" si="124"/>
        <v>-0.12105545964427278</v>
      </c>
      <c r="BH55" s="18">
        <f>SUM(BH56:BH59)</f>
        <v>1683219</v>
      </c>
      <c r="BI55" s="18">
        <f>SUM(BI56:BI59)</f>
        <v>1355215</v>
      </c>
      <c r="BJ55" s="18">
        <f>SUM(BJ56:BJ59)</f>
        <v>1318541</v>
      </c>
      <c r="BK55" s="148">
        <f t="shared" si="125"/>
        <v>0.97293861121667047</v>
      </c>
      <c r="BL55" s="19">
        <f t="shared" si="126"/>
        <v>-0.21665511142638005</v>
      </c>
      <c r="BM55" s="18">
        <f>SUM(BM56:BM59)</f>
        <v>1219171</v>
      </c>
      <c r="BN55" s="18">
        <f>SUM(BN56:BN59)</f>
        <v>1407808</v>
      </c>
      <c r="BO55" s="18">
        <f>SUM(BO56:BO59)</f>
        <v>1203204</v>
      </c>
      <c r="BP55" s="148">
        <f t="shared" si="127"/>
        <v>0.85466484066008996</v>
      </c>
      <c r="BQ55" s="19">
        <f t="shared" si="128"/>
        <v>-1.3096604167914139E-2</v>
      </c>
      <c r="BR55" s="18">
        <f>SUM(BR56:BR59)</f>
        <v>990594</v>
      </c>
      <c r="BS55" s="18">
        <f>SUM(BS56:BS59)</f>
        <v>1321009</v>
      </c>
      <c r="BT55" s="18">
        <f>SUM(BT56:BT59)</f>
        <v>1182813</v>
      </c>
      <c r="BU55" s="148">
        <f t="shared" si="129"/>
        <v>0.89538602689307945</v>
      </c>
      <c r="BV55" s="19">
        <f t="shared" si="130"/>
        <v>0.19404417955287423</v>
      </c>
    </row>
    <row r="56" spans="2:74" x14ac:dyDescent="0.3">
      <c r="B56" s="343"/>
      <c r="C56" s="344"/>
      <c r="D56" s="301" t="s">
        <v>44</v>
      </c>
      <c r="E56" s="349"/>
      <c r="F56" s="151">
        <v>3008984</v>
      </c>
      <c r="G56" s="45">
        <v>3008984</v>
      </c>
      <c r="H56" s="39">
        <f>H51</f>
        <v>3160000</v>
      </c>
      <c r="I56" s="15">
        <f>I42</f>
        <v>4.2575345864473091E-2</v>
      </c>
      <c r="J56" s="136">
        <f>J42</f>
        <v>3030956</v>
      </c>
      <c r="K56" s="136">
        <f t="shared" ref="K56:L56" si="136">K42</f>
        <v>3160000</v>
      </c>
      <c r="L56" s="136">
        <f t="shared" si="136"/>
        <v>3144752</v>
      </c>
      <c r="M56" s="88">
        <f t="shared" ref="M56:M59" si="137">L56/K56-1</f>
        <v>-4.8253164556961714E-3</v>
      </c>
      <c r="N56" s="33">
        <f t="shared" si="106"/>
        <v>3.7544589891770119E-2</v>
      </c>
      <c r="O56" s="13">
        <f>O42</f>
        <v>241420</v>
      </c>
      <c r="P56" s="39">
        <f>P42</f>
        <v>221200</v>
      </c>
      <c r="Q56" s="39">
        <f>Q42</f>
        <v>308652</v>
      </c>
      <c r="R56" s="88">
        <f>R42</f>
        <v>0.39535262206148292</v>
      </c>
      <c r="S56" s="15">
        <f t="shared" si="108"/>
        <v>0.27848562670864063</v>
      </c>
      <c r="T56" s="13">
        <f>T42</f>
        <v>218496</v>
      </c>
      <c r="U56" s="13">
        <f>U42</f>
        <v>284400</v>
      </c>
      <c r="V56" s="13">
        <f>V42</f>
        <v>251088</v>
      </c>
      <c r="W56" s="88">
        <f>W42</f>
        <v>-0.11713080168776369</v>
      </c>
      <c r="X56" s="15">
        <f t="shared" si="110"/>
        <v>0.14916520210896311</v>
      </c>
      <c r="Y56" s="13">
        <f>Y42</f>
        <v>278780</v>
      </c>
      <c r="Z56" s="13">
        <f>Z42</f>
        <v>252800</v>
      </c>
      <c r="AA56" s="13">
        <f>AA42</f>
        <v>206792</v>
      </c>
      <c r="AB56" s="88">
        <f>AB42</f>
        <v>-0.18199367088607599</v>
      </c>
      <c r="AC56" s="15">
        <f t="shared" si="112"/>
        <v>-0.25822512375349738</v>
      </c>
      <c r="AD56" s="13">
        <f>AD42</f>
        <v>266908</v>
      </c>
      <c r="AE56" s="13">
        <f>AE42</f>
        <v>252800</v>
      </c>
      <c r="AF56" s="13">
        <f>AF42</f>
        <v>305820</v>
      </c>
      <c r="AG56" s="88">
        <f>AG42</f>
        <v>0.20973101265822791</v>
      </c>
      <c r="AH56" s="15">
        <f t="shared" si="114"/>
        <v>0.14578806180406723</v>
      </c>
      <c r="AI56" s="13">
        <f>AI42</f>
        <v>274736</v>
      </c>
      <c r="AJ56" s="13">
        <f>AJ42</f>
        <v>284400</v>
      </c>
      <c r="AK56" s="13">
        <f>AK42</f>
        <v>268064</v>
      </c>
      <c r="AL56" s="88">
        <f>AL42</f>
        <v>-5.7440225035161774E-2</v>
      </c>
      <c r="AM56" s="15">
        <f t="shared" si="116"/>
        <v>-2.4285131908450275E-2</v>
      </c>
      <c r="AN56" s="13">
        <f>AN42</f>
        <v>235448</v>
      </c>
      <c r="AO56" s="13">
        <f>AO42</f>
        <v>252800</v>
      </c>
      <c r="AP56" s="13">
        <f>AP42</f>
        <v>264536</v>
      </c>
      <c r="AQ56" s="88">
        <f>AQ42</f>
        <v>4.642405063291144E-2</v>
      </c>
      <c r="AR56" s="15">
        <f t="shared" si="118"/>
        <v>0.12354320274540442</v>
      </c>
      <c r="AS56" s="13">
        <f>AS42</f>
        <v>259380</v>
      </c>
      <c r="AT56" s="13">
        <f>AT42</f>
        <v>252800</v>
      </c>
      <c r="AU56" s="13">
        <f>AU42</f>
        <v>396104</v>
      </c>
      <c r="AV56" s="88">
        <f>AV42</f>
        <v>0.56686708860759483</v>
      </c>
      <c r="AW56" s="15">
        <f t="shared" si="120"/>
        <v>0.52711851337805538</v>
      </c>
      <c r="AX56" s="13">
        <f>AX42</f>
        <v>299272</v>
      </c>
      <c r="AY56" s="13">
        <f>AY42</f>
        <v>284400</v>
      </c>
      <c r="AZ56" s="13">
        <f>AZ42</f>
        <v>250992</v>
      </c>
      <c r="BA56" s="88">
        <f>BA42</f>
        <v>-0.11746835443037973</v>
      </c>
      <c r="BB56" s="15">
        <f t="shared" si="122"/>
        <v>-0.16132481488411876</v>
      </c>
      <c r="BC56" s="13">
        <f>BC42</f>
        <v>212528</v>
      </c>
      <c r="BD56" s="13">
        <f>BD42</f>
        <v>221200</v>
      </c>
      <c r="BE56" s="13">
        <f>BE42</f>
        <v>211504</v>
      </c>
      <c r="BF56" s="88">
        <f>BF42</f>
        <v>-4.383363471971069E-2</v>
      </c>
      <c r="BG56" s="15">
        <f t="shared" si="124"/>
        <v>-4.8181886621998515E-3</v>
      </c>
      <c r="BH56" s="13">
        <f>BH42</f>
        <v>256012</v>
      </c>
      <c r="BI56" s="13">
        <f>BI42</f>
        <v>252800</v>
      </c>
      <c r="BJ56" s="13">
        <f>BJ42</f>
        <v>187880</v>
      </c>
      <c r="BK56" s="88">
        <f>BK42</f>
        <v>-0.25680379746835447</v>
      </c>
      <c r="BL56" s="15">
        <f t="shared" si="126"/>
        <v>-0.26612815024295733</v>
      </c>
      <c r="BM56" s="13">
        <f>BM42</f>
        <v>290652</v>
      </c>
      <c r="BN56" s="13">
        <f>BN42</f>
        <v>316000</v>
      </c>
      <c r="BO56" s="13">
        <f>BO42</f>
        <v>252064</v>
      </c>
      <c r="BP56" s="88">
        <f>BP42</f>
        <v>-0.20232911392405062</v>
      </c>
      <c r="BQ56" s="15">
        <f t="shared" si="128"/>
        <v>-0.13276357981366027</v>
      </c>
      <c r="BR56" s="13">
        <f>BR42</f>
        <v>197324</v>
      </c>
      <c r="BS56" s="13">
        <f>BS42</f>
        <v>284400</v>
      </c>
      <c r="BT56" s="13">
        <f>BT42</f>
        <v>241256</v>
      </c>
      <c r="BU56" s="88">
        <f>BU42</f>
        <v>-0.15170182841068913</v>
      </c>
      <c r="BV56" s="15">
        <f t="shared" si="130"/>
        <v>0.22263890859702817</v>
      </c>
    </row>
    <row r="57" spans="2:74" x14ac:dyDescent="0.3">
      <c r="B57" s="343"/>
      <c r="C57" s="344"/>
      <c r="D57" s="350" t="s">
        <v>43</v>
      </c>
      <c r="E57" s="351"/>
      <c r="F57" s="152">
        <v>56642</v>
      </c>
      <c r="G57" s="46">
        <v>56642</v>
      </c>
      <c r="H57" s="39">
        <f>H52</f>
        <v>84000</v>
      </c>
      <c r="I57" s="17">
        <f>I39</f>
        <v>8.1248069199876483E-2</v>
      </c>
      <c r="J57" s="137">
        <f>J39</f>
        <v>77688</v>
      </c>
      <c r="K57" s="137">
        <f t="shared" ref="K57:L57" si="138">K39</f>
        <v>84000</v>
      </c>
      <c r="L57" s="137">
        <f t="shared" si="138"/>
        <v>92713</v>
      </c>
      <c r="M57" s="93">
        <f t="shared" si="137"/>
        <v>0.10372619047619058</v>
      </c>
      <c r="N57" s="33">
        <f t="shared" si="106"/>
        <v>0.19340181237771592</v>
      </c>
      <c r="O57" s="16">
        <f>O39</f>
        <v>8650</v>
      </c>
      <c r="P57" s="40">
        <f>P39</f>
        <v>7000</v>
      </c>
      <c r="Q57" s="40">
        <f>Q39</f>
        <v>6978</v>
      </c>
      <c r="R57" s="93">
        <f>R39</f>
        <v>-3.1428571428571139E-3</v>
      </c>
      <c r="S57" s="15">
        <f t="shared" si="108"/>
        <v>-0.19329479768786129</v>
      </c>
      <c r="T57" s="16">
        <f>T39</f>
        <v>2850</v>
      </c>
      <c r="U57" s="16">
        <f>U39</f>
        <v>7000</v>
      </c>
      <c r="V57" s="16">
        <f>V39</f>
        <v>5680</v>
      </c>
      <c r="W57" s="93">
        <f>W39</f>
        <v>-0.18857142857142861</v>
      </c>
      <c r="X57" s="15">
        <f t="shared" si="110"/>
        <v>0.99298245614035086</v>
      </c>
      <c r="Y57" s="16">
        <f>Y39</f>
        <v>6557</v>
      </c>
      <c r="Z57" s="16">
        <f>Z39</f>
        <v>7000</v>
      </c>
      <c r="AA57" s="16">
        <f>AA39</f>
        <v>4948</v>
      </c>
      <c r="AB57" s="93">
        <f>AB39</f>
        <v>-0.29314285714285715</v>
      </c>
      <c r="AC57" s="15">
        <f t="shared" si="112"/>
        <v>-0.24538660973005944</v>
      </c>
      <c r="AD57" s="16">
        <f>AD39</f>
        <v>3260</v>
      </c>
      <c r="AE57" s="16">
        <f>AE39</f>
        <v>7000</v>
      </c>
      <c r="AF57" s="16">
        <f>AF39</f>
        <v>10425</v>
      </c>
      <c r="AG57" s="93">
        <f>AG39</f>
        <v>0.48928571428571432</v>
      </c>
      <c r="AH57" s="15">
        <f t="shared" si="114"/>
        <v>2.1978527607361964</v>
      </c>
      <c r="AI57" s="16">
        <f>AI39</f>
        <v>5412</v>
      </c>
      <c r="AJ57" s="16">
        <f>AJ39</f>
        <v>7000</v>
      </c>
      <c r="AK57" s="16">
        <f>AK39</f>
        <v>9916</v>
      </c>
      <c r="AL57" s="93">
        <f>AL39</f>
        <v>0.41657142857142859</v>
      </c>
      <c r="AM57" s="15">
        <f t="shared" si="116"/>
        <v>0.83222468588322251</v>
      </c>
      <c r="AN57" s="16">
        <f>AN39</f>
        <v>5339</v>
      </c>
      <c r="AO57" s="16">
        <f>AO39</f>
        <v>7000</v>
      </c>
      <c r="AP57" s="16">
        <f>AP39</f>
        <v>8955</v>
      </c>
      <c r="AQ57" s="93">
        <f>AQ39</f>
        <v>0.27928571428571436</v>
      </c>
      <c r="AR57" s="15">
        <f t="shared" si="118"/>
        <v>0.67728038958606485</v>
      </c>
      <c r="AS57" s="16">
        <f>AS39</f>
        <v>7065</v>
      </c>
      <c r="AT57" s="16">
        <f>AT39</f>
        <v>7000</v>
      </c>
      <c r="AU57" s="16">
        <f>AU39</f>
        <v>5834</v>
      </c>
      <c r="AV57" s="93">
        <f>AV39</f>
        <v>-0.16657142857142859</v>
      </c>
      <c r="AW57" s="15">
        <f t="shared" si="120"/>
        <v>-0.17423920736022647</v>
      </c>
      <c r="AX57" s="16">
        <f>AX39</f>
        <v>7581</v>
      </c>
      <c r="AY57" s="16">
        <f>AY39</f>
        <v>7000</v>
      </c>
      <c r="AZ57" s="16">
        <f>AZ39</f>
        <v>12401</v>
      </c>
      <c r="BA57" s="93">
        <f>BA39</f>
        <v>0.77157142857142857</v>
      </c>
      <c r="BB57" s="15">
        <f t="shared" si="122"/>
        <v>0.63580002638174382</v>
      </c>
      <c r="BC57" s="16">
        <f>BC39</f>
        <v>7313</v>
      </c>
      <c r="BD57" s="16">
        <f>BD39</f>
        <v>7000</v>
      </c>
      <c r="BE57" s="16">
        <f>BE39</f>
        <v>5706</v>
      </c>
      <c r="BF57" s="93">
        <f>BF39</f>
        <v>-0.18485714285714283</v>
      </c>
      <c r="BG57" s="15">
        <f t="shared" si="124"/>
        <v>-0.2197456584165185</v>
      </c>
      <c r="BH57" s="16">
        <f>BH39</f>
        <v>7840</v>
      </c>
      <c r="BI57" s="16">
        <f>BI39</f>
        <v>7000</v>
      </c>
      <c r="BJ57" s="16">
        <f>BJ39</f>
        <v>9731</v>
      </c>
      <c r="BK57" s="93">
        <f>BK39</f>
        <v>0.39014285714285712</v>
      </c>
      <c r="BL57" s="15">
        <f t="shared" si="126"/>
        <v>0.24119897959183678</v>
      </c>
      <c r="BM57" s="16">
        <f>BM39</f>
        <v>12420</v>
      </c>
      <c r="BN57" s="16">
        <f>BN39</f>
        <v>7000</v>
      </c>
      <c r="BO57" s="16">
        <f>BO39</f>
        <v>5759</v>
      </c>
      <c r="BP57" s="93">
        <f>BP39</f>
        <v>-0.17728571428571427</v>
      </c>
      <c r="BQ57" s="15">
        <f t="shared" si="128"/>
        <v>-0.5363123993558776</v>
      </c>
      <c r="BR57" s="16">
        <f>BR39</f>
        <v>3401</v>
      </c>
      <c r="BS57" s="16">
        <f>BS39</f>
        <v>7000</v>
      </c>
      <c r="BT57" s="16">
        <f>BT39</f>
        <v>6380</v>
      </c>
      <c r="BU57" s="93">
        <f>BU39</f>
        <v>-8.8571428571428523E-2</v>
      </c>
      <c r="BV57" s="15">
        <f t="shared" si="130"/>
        <v>0.87591884739782411</v>
      </c>
    </row>
    <row r="58" spans="2:74" x14ac:dyDescent="0.3">
      <c r="B58" s="343"/>
      <c r="C58" s="344"/>
      <c r="D58" s="301" t="s">
        <v>50</v>
      </c>
      <c r="E58" s="349"/>
      <c r="F58" s="151">
        <v>4617314</v>
      </c>
      <c r="G58" s="45">
        <v>4617314</v>
      </c>
      <c r="H58" s="39">
        <f>H53</f>
        <v>5537500</v>
      </c>
      <c r="I58" s="15">
        <f>I8</f>
        <v>0.11856213206123267</v>
      </c>
      <c r="J58" s="136">
        <f>J8</f>
        <v>4950552</v>
      </c>
      <c r="K58" s="136">
        <f t="shared" ref="K58:L58" si="139">K8</f>
        <v>5530661</v>
      </c>
      <c r="L58" s="136">
        <f t="shared" si="139"/>
        <v>5050656</v>
      </c>
      <c r="M58" s="88">
        <f t="shared" si="137"/>
        <v>-8.6789806860337326E-2</v>
      </c>
      <c r="N58" s="33">
        <f t="shared" si="106"/>
        <v>2.0220775380199951E-2</v>
      </c>
      <c r="O58" s="13">
        <f>O8</f>
        <v>469678</v>
      </c>
      <c r="P58" s="39">
        <f>P8</f>
        <v>443000</v>
      </c>
      <c r="Q58" s="39">
        <f>Q8</f>
        <v>297287</v>
      </c>
      <c r="R58" s="88">
        <f>R8</f>
        <v>-0.32892325056433414</v>
      </c>
      <c r="S58" s="15">
        <f t="shared" si="108"/>
        <v>-0.36704082371326741</v>
      </c>
      <c r="T58" s="13">
        <f>T8</f>
        <v>320358</v>
      </c>
      <c r="U58" s="13">
        <f>U8</f>
        <v>443000</v>
      </c>
      <c r="V58" s="13">
        <f>V8</f>
        <v>322387</v>
      </c>
      <c r="W58" s="88">
        <f>W8</f>
        <v>-0.27226410835214443</v>
      </c>
      <c r="X58" s="15">
        <f t="shared" si="110"/>
        <v>6.3335393528489714E-3</v>
      </c>
      <c r="Y58" s="13">
        <f>Y8</f>
        <v>432930</v>
      </c>
      <c r="Z58" s="13">
        <f>Z8</f>
        <v>443000</v>
      </c>
      <c r="AA58" s="13">
        <f>AA8</f>
        <v>456333</v>
      </c>
      <c r="AB58" s="88">
        <f>AB8</f>
        <v>3.0097065462753925E-2</v>
      </c>
      <c r="AC58" s="15">
        <f t="shared" si="112"/>
        <v>5.4057237890652088E-2</v>
      </c>
      <c r="AD58" s="13">
        <f>AD8</f>
        <v>472323</v>
      </c>
      <c r="AE58" s="13">
        <f>AE8</f>
        <v>443000</v>
      </c>
      <c r="AF58" s="13">
        <f>AF8</f>
        <v>491302</v>
      </c>
      <c r="AG58" s="88">
        <f>AG8</f>
        <v>0.10903386004514681</v>
      </c>
      <c r="AH58" s="15">
        <f t="shared" si="114"/>
        <v>4.0182248164920997E-2</v>
      </c>
      <c r="AI58" s="13">
        <f>AI8</f>
        <v>381307</v>
      </c>
      <c r="AJ58" s="13">
        <f>AJ8</f>
        <v>443000</v>
      </c>
      <c r="AK58" s="13">
        <f>AK8</f>
        <v>427552</v>
      </c>
      <c r="AL58" s="88">
        <f>AL8</f>
        <v>-3.4871331828442487E-2</v>
      </c>
      <c r="AM58" s="15">
        <f t="shared" si="116"/>
        <v>0.12128022826751139</v>
      </c>
      <c r="AN58" s="13">
        <f>AN8</f>
        <v>280280</v>
      </c>
      <c r="AO58" s="13">
        <f>AO8</f>
        <v>427178</v>
      </c>
      <c r="AP58" s="13">
        <f>AP8</f>
        <v>417231</v>
      </c>
      <c r="AQ58" s="88">
        <f>AQ8</f>
        <v>-2.3285375183178858E-2</v>
      </c>
      <c r="AR58" s="15">
        <f t="shared" si="118"/>
        <v>0.48862209219352071</v>
      </c>
      <c r="AS58" s="13">
        <f>AS8</f>
        <v>395242</v>
      </c>
      <c r="AT58" s="13">
        <f>AT8</f>
        <v>421568</v>
      </c>
      <c r="AU58" s="13">
        <f>AU8</f>
        <v>425307</v>
      </c>
      <c r="AV58" s="88">
        <f>AV8</f>
        <v>8.8692690147260667E-3</v>
      </c>
      <c r="AW58" s="15">
        <f t="shared" si="120"/>
        <v>7.6067320780686343E-2</v>
      </c>
      <c r="AX58" s="13">
        <f>AX8</f>
        <v>360002</v>
      </c>
      <c r="AY58" s="13">
        <f>AY8</f>
        <v>452364</v>
      </c>
      <c r="AZ58" s="13">
        <f>AZ8</f>
        <v>410717</v>
      </c>
      <c r="BA58" s="88">
        <f>BA8</f>
        <v>-9.2065239497395868E-2</v>
      </c>
      <c r="BB58" s="15">
        <f t="shared" si="122"/>
        <v>0.14087421736545913</v>
      </c>
      <c r="BC58" s="13">
        <f>BC8</f>
        <v>370856</v>
      </c>
      <c r="BD58" s="13">
        <f>BD8</f>
        <v>429714</v>
      </c>
      <c r="BE58" s="13">
        <f>BE8</f>
        <v>377030</v>
      </c>
      <c r="BF58" s="88">
        <f>BF8</f>
        <v>-0.12260247513462441</v>
      </c>
      <c r="BG58" s="15">
        <f t="shared" si="124"/>
        <v>1.664797118018857E-2</v>
      </c>
      <c r="BH58" s="13">
        <f>BH8</f>
        <v>611306</v>
      </c>
      <c r="BI58" s="13">
        <f>BI8</f>
        <v>553750</v>
      </c>
      <c r="BJ58" s="13">
        <f>BJ8</f>
        <v>563230</v>
      </c>
      <c r="BK58" s="88">
        <f>BK8</f>
        <v>1.7119638826185168E-2</v>
      </c>
      <c r="BL58" s="15">
        <f t="shared" si="126"/>
        <v>-7.864473766002622E-2</v>
      </c>
      <c r="BM58" s="13">
        <f>BM8</f>
        <v>423746</v>
      </c>
      <c r="BN58" s="13">
        <f>BN8</f>
        <v>543143</v>
      </c>
      <c r="BO58" s="13">
        <f>BO8</f>
        <v>444511</v>
      </c>
      <c r="BP58" s="88">
        <f>BP8</f>
        <v>-0.18159490226330821</v>
      </c>
      <c r="BQ58" s="15">
        <f t="shared" si="128"/>
        <v>4.9003412421592119E-2</v>
      </c>
      <c r="BR58" s="13">
        <f>BR8</f>
        <v>432524</v>
      </c>
      <c r="BS58" s="13">
        <f>BS8</f>
        <v>487944</v>
      </c>
      <c r="BT58" s="13">
        <f>BT8</f>
        <v>417769</v>
      </c>
      <c r="BU58" s="88">
        <f>BU8</f>
        <v>-0.14381773318249635</v>
      </c>
      <c r="BV58" s="15">
        <f t="shared" si="130"/>
        <v>-3.4113713921077204E-2</v>
      </c>
    </row>
    <row r="59" spans="2:74" ht="17.25" thickBot="1" x14ac:dyDescent="0.35">
      <c r="B59" s="345"/>
      <c r="C59" s="346"/>
      <c r="D59" s="302" t="s">
        <v>31</v>
      </c>
      <c r="E59" s="299"/>
      <c r="F59" s="156">
        <v>5704093</v>
      </c>
      <c r="G59" s="47">
        <v>5704093</v>
      </c>
      <c r="H59" s="43">
        <f>H54</f>
        <v>6500000</v>
      </c>
      <c r="I59" s="6">
        <f>I28</f>
        <v>0.13953261280978424</v>
      </c>
      <c r="J59" s="138">
        <f>J28</f>
        <v>5776183</v>
      </c>
      <c r="K59" s="138">
        <f t="shared" ref="K59:L59" si="140">K28</f>
        <v>6499980</v>
      </c>
      <c r="L59" s="138">
        <f t="shared" si="140"/>
        <v>5381839</v>
      </c>
      <c r="M59" s="72">
        <f t="shared" si="137"/>
        <v>-0.17202222160683567</v>
      </c>
      <c r="N59" s="76">
        <f t="shared" si="106"/>
        <v>-6.8270690177232973E-2</v>
      </c>
      <c r="O59" s="5">
        <f>O28</f>
        <v>606604</v>
      </c>
      <c r="P59" s="43">
        <f>P28</f>
        <v>541665</v>
      </c>
      <c r="Q59" s="43">
        <f>Q28</f>
        <v>341246</v>
      </c>
      <c r="R59" s="72">
        <f>R28</f>
        <v>-0.3700054461706036</v>
      </c>
      <c r="S59" s="6">
        <f t="shared" si="108"/>
        <v>-0.43744848368952394</v>
      </c>
      <c r="T59" s="5">
        <f>T28</f>
        <v>384987</v>
      </c>
      <c r="U59" s="5">
        <f>U28</f>
        <v>541665</v>
      </c>
      <c r="V59" s="5">
        <f>V28</f>
        <v>397040</v>
      </c>
      <c r="W59" s="72">
        <f>W28</f>
        <v>-0.26700082154098936</v>
      </c>
      <c r="X59" s="6">
        <f t="shared" si="110"/>
        <v>3.130755064456725E-2</v>
      </c>
      <c r="Y59" s="5">
        <f>Y28</f>
        <v>450197</v>
      </c>
      <c r="Z59" s="5">
        <f>Z28</f>
        <v>541665</v>
      </c>
      <c r="AA59" s="5">
        <f>AA28</f>
        <v>468286</v>
      </c>
      <c r="AB59" s="72">
        <f>AB28</f>
        <v>-0.13546933990566123</v>
      </c>
      <c r="AC59" s="6">
        <f t="shared" si="112"/>
        <v>4.0180187784458754E-2</v>
      </c>
      <c r="AD59" s="5">
        <f>AD28</f>
        <v>476423</v>
      </c>
      <c r="AE59" s="5">
        <f>AE28</f>
        <v>541665</v>
      </c>
      <c r="AF59" s="5">
        <f>AF28</f>
        <v>447362</v>
      </c>
      <c r="AG59" s="72">
        <f>AG28</f>
        <v>-0.17409838184117488</v>
      </c>
      <c r="AH59" s="6">
        <f t="shared" si="114"/>
        <v>-6.0998314523018404E-2</v>
      </c>
      <c r="AI59" s="5">
        <f>AI28</f>
        <v>570143</v>
      </c>
      <c r="AJ59" s="5">
        <f>AJ28</f>
        <v>541665</v>
      </c>
      <c r="AK59" s="5">
        <f>AK28</f>
        <v>551104</v>
      </c>
      <c r="AL59" s="72">
        <f>AL28</f>
        <v>1.7425899771999376E-2</v>
      </c>
      <c r="AM59" s="6">
        <f t="shared" si="116"/>
        <v>-3.3393376749341841E-2</v>
      </c>
      <c r="AN59" s="5">
        <f>AN28</f>
        <v>401556</v>
      </c>
      <c r="AO59" s="5">
        <f>AO28</f>
        <v>541665</v>
      </c>
      <c r="AP59" s="5">
        <f>AP28</f>
        <v>416686</v>
      </c>
      <c r="AQ59" s="72">
        <f>AQ28</f>
        <v>-0.23073117148052769</v>
      </c>
      <c r="AR59" s="6">
        <f t="shared" si="118"/>
        <v>3.767843090378431E-2</v>
      </c>
      <c r="AS59" s="5">
        <f>AS28</f>
        <v>337619</v>
      </c>
      <c r="AT59" s="5">
        <f>AT28</f>
        <v>541665</v>
      </c>
      <c r="AU59" s="5">
        <f>AU28</f>
        <v>400169</v>
      </c>
      <c r="AV59" s="72">
        <f>AV28</f>
        <v>-0.26122418838211814</v>
      </c>
      <c r="AW59" s="6">
        <f t="shared" si="120"/>
        <v>0.18526800920564312</v>
      </c>
      <c r="AX59" s="5">
        <f>AX28</f>
        <v>415213</v>
      </c>
      <c r="AY59" s="5">
        <f>AY28</f>
        <v>541665</v>
      </c>
      <c r="AZ59" s="5">
        <f>AZ28</f>
        <v>440920</v>
      </c>
      <c r="BA59" s="72">
        <f>BA28</f>
        <v>-0.18599134151182006</v>
      </c>
      <c r="BB59" s="6">
        <f t="shared" si="122"/>
        <v>6.1912801381459603E-2</v>
      </c>
      <c r="BC59" s="5">
        <f>BC28</f>
        <v>475682</v>
      </c>
      <c r="BD59" s="5">
        <f>BD28</f>
        <v>541665</v>
      </c>
      <c r="BE59" s="5">
        <f>BE28</f>
        <v>343048</v>
      </c>
      <c r="BF59" s="72">
        <f>BF28</f>
        <v>-0.36667866670358984</v>
      </c>
      <c r="BG59" s="6">
        <f t="shared" si="124"/>
        <v>-0.27882913374901719</v>
      </c>
      <c r="BH59" s="5">
        <f>BH28</f>
        <v>808061</v>
      </c>
      <c r="BI59" s="5">
        <f>BI28</f>
        <v>541665</v>
      </c>
      <c r="BJ59" s="5">
        <f>BJ28</f>
        <v>557700</v>
      </c>
      <c r="BK59" s="72">
        <f>BK28</f>
        <v>2.9603168009747716E-2</v>
      </c>
      <c r="BL59" s="6">
        <f t="shared" si="126"/>
        <v>-0.30982933219150532</v>
      </c>
      <c r="BM59" s="5">
        <f>BM28</f>
        <v>492353</v>
      </c>
      <c r="BN59" s="5">
        <f>BN28</f>
        <v>541665</v>
      </c>
      <c r="BO59" s="5">
        <f>BO28</f>
        <v>500870</v>
      </c>
      <c r="BP59" s="72">
        <f>BP28</f>
        <v>-7.5314077889470421E-2</v>
      </c>
      <c r="BQ59" s="6">
        <f t="shared" si="128"/>
        <v>1.7298564241509551E-2</v>
      </c>
      <c r="BR59" s="5">
        <f>BR28</f>
        <v>357345</v>
      </c>
      <c r="BS59" s="5">
        <f>BS28</f>
        <v>541665</v>
      </c>
      <c r="BT59" s="5">
        <f>BT28</f>
        <v>517408</v>
      </c>
      <c r="BU59" s="72">
        <f>BU28</f>
        <v>-4.4782291637820437E-2</v>
      </c>
      <c r="BV59" s="6">
        <f t="shared" si="130"/>
        <v>0.44792287565238076</v>
      </c>
    </row>
    <row r="61" spans="2:74" x14ac:dyDescent="0.3"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</row>
    <row r="62" spans="2:74" x14ac:dyDescent="0.3"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</row>
    <row r="70" spans="2:74" ht="17.25" thickBot="1" x14ac:dyDescent="0.35"/>
    <row r="71" spans="2:74" x14ac:dyDescent="0.3">
      <c r="B71" s="331" t="s">
        <v>2</v>
      </c>
      <c r="C71" s="332"/>
      <c r="D71" s="332"/>
      <c r="E71" s="333"/>
      <c r="F71" s="329" t="s">
        <v>71</v>
      </c>
      <c r="G71" s="327" t="s">
        <v>3</v>
      </c>
      <c r="H71" s="327" t="s">
        <v>4</v>
      </c>
      <c r="I71" s="339" t="s">
        <v>5</v>
      </c>
      <c r="J71" s="326" t="s">
        <v>6</v>
      </c>
      <c r="K71" s="327"/>
      <c r="L71" s="327"/>
      <c r="M71" s="327"/>
      <c r="N71" s="328"/>
      <c r="O71" s="326" t="s">
        <v>7</v>
      </c>
      <c r="P71" s="327"/>
      <c r="Q71" s="327"/>
      <c r="R71" s="327"/>
      <c r="S71" s="328"/>
      <c r="T71" s="329" t="s">
        <v>58</v>
      </c>
      <c r="U71" s="327"/>
      <c r="V71" s="327"/>
      <c r="W71" s="327"/>
      <c r="X71" s="330"/>
      <c r="Y71" s="326" t="s">
        <v>59</v>
      </c>
      <c r="Z71" s="327"/>
      <c r="AA71" s="327"/>
      <c r="AB71" s="327"/>
      <c r="AC71" s="328"/>
      <c r="AD71" s="329" t="s">
        <v>60</v>
      </c>
      <c r="AE71" s="327"/>
      <c r="AF71" s="327"/>
      <c r="AG71" s="327"/>
      <c r="AH71" s="330"/>
      <c r="AI71" s="326" t="s">
        <v>61</v>
      </c>
      <c r="AJ71" s="327"/>
      <c r="AK71" s="327"/>
      <c r="AL71" s="327"/>
      <c r="AM71" s="328"/>
      <c r="AN71" s="329" t="s">
        <v>62</v>
      </c>
      <c r="AO71" s="327"/>
      <c r="AP71" s="327"/>
      <c r="AQ71" s="327"/>
      <c r="AR71" s="330"/>
      <c r="AS71" s="326" t="s">
        <v>63</v>
      </c>
      <c r="AT71" s="327"/>
      <c r="AU71" s="327"/>
      <c r="AV71" s="327"/>
      <c r="AW71" s="328"/>
      <c r="AX71" s="329" t="s">
        <v>64</v>
      </c>
      <c r="AY71" s="327"/>
      <c r="AZ71" s="327"/>
      <c r="BA71" s="327"/>
      <c r="BB71" s="330"/>
      <c r="BC71" s="326" t="s">
        <v>65</v>
      </c>
      <c r="BD71" s="327"/>
      <c r="BE71" s="327"/>
      <c r="BF71" s="327"/>
      <c r="BG71" s="328"/>
      <c r="BH71" s="329" t="s">
        <v>66</v>
      </c>
      <c r="BI71" s="327"/>
      <c r="BJ71" s="327"/>
      <c r="BK71" s="327"/>
      <c r="BL71" s="330"/>
      <c r="BM71" s="326" t="s">
        <v>67</v>
      </c>
      <c r="BN71" s="327"/>
      <c r="BO71" s="327"/>
      <c r="BP71" s="327"/>
      <c r="BQ71" s="328"/>
      <c r="BR71" s="329" t="s">
        <v>68</v>
      </c>
      <c r="BS71" s="327"/>
      <c r="BT71" s="327"/>
      <c r="BU71" s="327"/>
      <c r="BV71" s="328"/>
    </row>
    <row r="72" spans="2:74" ht="17.25" thickBot="1" x14ac:dyDescent="0.35">
      <c r="B72" s="334"/>
      <c r="C72" s="335"/>
      <c r="D72" s="335"/>
      <c r="E72" s="336"/>
      <c r="F72" s="337"/>
      <c r="G72" s="338"/>
      <c r="H72" s="338"/>
      <c r="I72" s="340"/>
      <c r="J72" s="104" t="s">
        <v>8</v>
      </c>
      <c r="K72" s="97" t="s">
        <v>9</v>
      </c>
      <c r="L72" s="97" t="s">
        <v>10</v>
      </c>
      <c r="M72" s="98" t="s">
        <v>11</v>
      </c>
      <c r="N72" s="99" t="s">
        <v>12</v>
      </c>
      <c r="O72" s="111" t="str">
        <f t="shared" ref="O72" si="141">J72</f>
        <v>2023년</v>
      </c>
      <c r="P72" s="97" t="str">
        <f t="shared" ref="P72" si="142">K72</f>
        <v>목표</v>
      </c>
      <c r="Q72" s="97" t="str">
        <f t="shared" ref="Q72" si="143">L72</f>
        <v>2024년</v>
      </c>
      <c r="R72" s="98" t="str">
        <f t="shared" ref="R72" si="144">M72</f>
        <v>달성율</v>
      </c>
      <c r="S72" s="99" t="str">
        <f t="shared" ref="S72" si="145">N72</f>
        <v>전년대비</v>
      </c>
      <c r="T72" s="103" t="str">
        <f t="shared" ref="T72" si="146">O72</f>
        <v>2023년</v>
      </c>
      <c r="U72" s="97" t="str">
        <f t="shared" ref="U72" si="147">P72</f>
        <v>목표</v>
      </c>
      <c r="V72" s="97" t="str">
        <f t="shared" ref="V72" si="148">Q72</f>
        <v>2024년</v>
      </c>
      <c r="W72" s="98" t="str">
        <f t="shared" ref="W72" si="149">R72</f>
        <v>달성율</v>
      </c>
      <c r="X72" s="109" t="str">
        <f t="shared" ref="X72" si="150">S72</f>
        <v>전년대비</v>
      </c>
      <c r="Y72" s="111" t="str">
        <f t="shared" ref="Y72" si="151">T72</f>
        <v>2023년</v>
      </c>
      <c r="Z72" s="97" t="str">
        <f t="shared" ref="Z72" si="152">U72</f>
        <v>목표</v>
      </c>
      <c r="AA72" s="97" t="str">
        <f t="shared" ref="AA72" si="153">V72</f>
        <v>2024년</v>
      </c>
      <c r="AB72" s="98" t="str">
        <f t="shared" ref="AB72" si="154">W72</f>
        <v>달성율</v>
      </c>
      <c r="AC72" s="99" t="str">
        <f t="shared" ref="AC72" si="155">X72</f>
        <v>전년대비</v>
      </c>
      <c r="AD72" s="103" t="str">
        <f t="shared" ref="AD72" si="156">Y72</f>
        <v>2023년</v>
      </c>
      <c r="AE72" s="97" t="str">
        <f t="shared" ref="AE72" si="157">Z72</f>
        <v>목표</v>
      </c>
      <c r="AF72" s="97" t="str">
        <f t="shared" ref="AF72" si="158">AA72</f>
        <v>2024년</v>
      </c>
      <c r="AG72" s="98" t="str">
        <f t="shared" ref="AG72" si="159">AB72</f>
        <v>달성율</v>
      </c>
      <c r="AH72" s="109" t="str">
        <f t="shared" ref="AH72" si="160">AC72</f>
        <v>전년대비</v>
      </c>
      <c r="AI72" s="111" t="str">
        <f t="shared" ref="AI72" si="161">AD72</f>
        <v>2023년</v>
      </c>
      <c r="AJ72" s="97" t="str">
        <f t="shared" ref="AJ72" si="162">AE72</f>
        <v>목표</v>
      </c>
      <c r="AK72" s="97" t="str">
        <f t="shared" ref="AK72" si="163">AF72</f>
        <v>2024년</v>
      </c>
      <c r="AL72" s="98" t="str">
        <f t="shared" ref="AL72" si="164">AG72</f>
        <v>달성율</v>
      </c>
      <c r="AM72" s="99" t="str">
        <f t="shared" ref="AM72" si="165">AH72</f>
        <v>전년대비</v>
      </c>
      <c r="AN72" s="103" t="str">
        <f t="shared" ref="AN72" si="166">AI72</f>
        <v>2023년</v>
      </c>
      <c r="AO72" s="97" t="str">
        <f t="shared" ref="AO72" si="167">AJ72</f>
        <v>목표</v>
      </c>
      <c r="AP72" s="97" t="str">
        <f t="shared" ref="AP72" si="168">AK72</f>
        <v>2024년</v>
      </c>
      <c r="AQ72" s="98" t="str">
        <f t="shared" ref="AQ72" si="169">AL72</f>
        <v>달성율</v>
      </c>
      <c r="AR72" s="109" t="str">
        <f t="shared" ref="AR72" si="170">AM72</f>
        <v>전년대비</v>
      </c>
      <c r="AS72" s="111" t="str">
        <f t="shared" ref="AS72" si="171">AN72</f>
        <v>2023년</v>
      </c>
      <c r="AT72" s="97" t="str">
        <f t="shared" ref="AT72" si="172">AO72</f>
        <v>목표</v>
      </c>
      <c r="AU72" s="97" t="str">
        <f t="shared" ref="AU72" si="173">AP72</f>
        <v>2024년</v>
      </c>
      <c r="AV72" s="98" t="str">
        <f t="shared" ref="AV72" si="174">AQ72</f>
        <v>달성율</v>
      </c>
      <c r="AW72" s="99" t="str">
        <f t="shared" ref="AW72" si="175">AR72</f>
        <v>전년대비</v>
      </c>
      <c r="AX72" s="103" t="str">
        <f t="shared" ref="AX72" si="176">AS72</f>
        <v>2023년</v>
      </c>
      <c r="AY72" s="97" t="str">
        <f t="shared" ref="AY72" si="177">AT72</f>
        <v>목표</v>
      </c>
      <c r="AZ72" s="97" t="str">
        <f t="shared" ref="AZ72" si="178">AU72</f>
        <v>2024년</v>
      </c>
      <c r="BA72" s="98" t="str">
        <f t="shared" ref="BA72" si="179">AV72</f>
        <v>달성율</v>
      </c>
      <c r="BB72" s="109" t="str">
        <f t="shared" ref="BB72" si="180">AW72</f>
        <v>전년대비</v>
      </c>
      <c r="BC72" s="111" t="str">
        <f t="shared" ref="BC72" si="181">AX72</f>
        <v>2023년</v>
      </c>
      <c r="BD72" s="97" t="str">
        <f t="shared" ref="BD72" si="182">AY72</f>
        <v>목표</v>
      </c>
      <c r="BE72" s="97" t="str">
        <f t="shared" ref="BE72" si="183">AZ72</f>
        <v>2024년</v>
      </c>
      <c r="BF72" s="98" t="str">
        <f t="shared" ref="BF72" si="184">BA72</f>
        <v>달성율</v>
      </c>
      <c r="BG72" s="99" t="str">
        <f t="shared" ref="BG72" si="185">BB72</f>
        <v>전년대비</v>
      </c>
      <c r="BH72" s="103" t="str">
        <f t="shared" ref="BH72" si="186">BC72</f>
        <v>2023년</v>
      </c>
      <c r="BI72" s="97" t="str">
        <f t="shared" ref="BI72" si="187">BD72</f>
        <v>목표</v>
      </c>
      <c r="BJ72" s="97" t="str">
        <f t="shared" ref="BJ72" si="188">BE72</f>
        <v>2024년</v>
      </c>
      <c r="BK72" s="98" t="str">
        <f t="shared" ref="BK72" si="189">BF72</f>
        <v>달성율</v>
      </c>
      <c r="BL72" s="109" t="str">
        <f t="shared" ref="BL72" si="190">BG72</f>
        <v>전년대비</v>
      </c>
      <c r="BM72" s="111" t="str">
        <f t="shared" ref="BM72" si="191">BH72</f>
        <v>2023년</v>
      </c>
      <c r="BN72" s="97" t="str">
        <f t="shared" ref="BN72" si="192">BI72</f>
        <v>목표</v>
      </c>
      <c r="BO72" s="97" t="str">
        <f t="shared" ref="BO72" si="193">BJ72</f>
        <v>2024년</v>
      </c>
      <c r="BP72" s="98" t="str">
        <f t="shared" ref="BP72" si="194">BK72</f>
        <v>달성율</v>
      </c>
      <c r="BQ72" s="99" t="str">
        <f t="shared" ref="BQ72" si="195">BL72</f>
        <v>전년대비</v>
      </c>
      <c r="BR72" s="103" t="str">
        <f t="shared" ref="BR72" si="196">BM72</f>
        <v>2023년</v>
      </c>
      <c r="BS72" s="97" t="str">
        <f t="shared" ref="BS72" si="197">BN72</f>
        <v>목표</v>
      </c>
      <c r="BT72" s="97" t="str">
        <f t="shared" ref="BT72" si="198">BO72</f>
        <v>2024년</v>
      </c>
      <c r="BU72" s="98" t="str">
        <f t="shared" ref="BU72" si="199">BP72</f>
        <v>달성율</v>
      </c>
      <c r="BV72" s="99" t="str">
        <f t="shared" ref="BV72" si="200">BQ72</f>
        <v>전년대비</v>
      </c>
    </row>
    <row r="73" spans="2:74" x14ac:dyDescent="0.3">
      <c r="B73" s="288" t="s">
        <v>57</v>
      </c>
      <c r="C73" s="289"/>
      <c r="D73" s="294" t="s">
        <v>13</v>
      </c>
      <c r="E73" s="295"/>
      <c r="F73" s="161">
        <f>F78+F97</f>
        <v>11895992.9</v>
      </c>
      <c r="G73" s="158">
        <f>G78+G97</f>
        <v>12003856</v>
      </c>
      <c r="H73" s="158">
        <f>H78+H97</f>
        <v>13542824.880000001</v>
      </c>
      <c r="I73" s="162">
        <f>H73/G73-1</f>
        <v>0.1282062097379375</v>
      </c>
      <c r="J73" s="163">
        <f t="shared" ref="J73:J74" si="201">O73+T73+Y73+AD73+AI73+AN73+AS73+AX73+BC73+BH73+BM73+BR73</f>
        <v>12003784</v>
      </c>
      <c r="K73" s="158">
        <f t="shared" ref="K73:K74" si="202">P73+U73+Z73+AE73+AJ73+AO73+AT73+AY73+BD73+BI73+BN73+BS73</f>
        <v>13088487.033333333</v>
      </c>
      <c r="L73" s="158">
        <f t="shared" ref="L73:L74" si="203">Q73+V73+AA73+AF73+AK73+AP73+AU73+AZ73+BE73+BJ73+BO73+BT73</f>
        <v>7386253</v>
      </c>
      <c r="M73" s="159">
        <f>L73/K73-1</f>
        <v>-0.43566792852459335</v>
      </c>
      <c r="N73" s="160">
        <f>L73/J73-1</f>
        <v>-0.38467294979649747</v>
      </c>
      <c r="O73" s="163">
        <f>O78+O97</f>
        <v>892391</v>
      </c>
      <c r="P73" s="158">
        <f>P78+P97</f>
        <v>1044905</v>
      </c>
      <c r="Q73" s="158">
        <f>Q78+Q97</f>
        <v>795943</v>
      </c>
      <c r="R73" s="159">
        <f>Q73/P73-1</f>
        <v>-0.23826280858068438</v>
      </c>
      <c r="S73" s="160">
        <f>Q73/O73-1</f>
        <v>-0.10807818545906445</v>
      </c>
      <c r="T73" s="161">
        <f>T78+T97</f>
        <v>1137930</v>
      </c>
      <c r="U73" s="158">
        <f>U78+U97</f>
        <v>1110110.4066666667</v>
      </c>
      <c r="V73" s="158">
        <f>V78+V97</f>
        <v>775023</v>
      </c>
      <c r="W73" s="159">
        <f>V73/U73-1</f>
        <v>-0.30185052284379099</v>
      </c>
      <c r="X73" s="162">
        <f>V73/T73-1</f>
        <v>-0.31891856265323881</v>
      </c>
      <c r="Y73" s="163">
        <f>Y78+Y97</f>
        <v>983736</v>
      </c>
      <c r="Z73" s="158">
        <f>Z78+Z97</f>
        <v>1110110.4066666667</v>
      </c>
      <c r="AA73" s="158">
        <f>AA78+AA97</f>
        <v>595429</v>
      </c>
      <c r="AB73" s="159">
        <f>AA73/Z73-1</f>
        <v>-0.46363082768686292</v>
      </c>
      <c r="AC73" s="160">
        <f>AA73/Y73-1</f>
        <v>-0.39472683728154712</v>
      </c>
      <c r="AD73" s="161">
        <f>AD78+AD97</f>
        <v>955870</v>
      </c>
      <c r="AE73" s="158">
        <f>AE78+AE97</f>
        <v>1110110.4066666667</v>
      </c>
      <c r="AF73" s="158">
        <f>AF78+AF97</f>
        <v>574755</v>
      </c>
      <c r="AG73" s="159">
        <f>AF73/AE73-1</f>
        <v>-0.48225420052963985</v>
      </c>
      <c r="AH73" s="162">
        <f>AF73/AD73-1</f>
        <v>-0.39871007563790051</v>
      </c>
      <c r="AI73" s="163">
        <f>AI78+AI97</f>
        <v>1034777</v>
      </c>
      <c r="AJ73" s="158">
        <f>AJ78+AJ97</f>
        <v>1095249.4066666667</v>
      </c>
      <c r="AK73" s="158">
        <f>AK78+AK97</f>
        <v>642827</v>
      </c>
      <c r="AL73" s="159">
        <f>AK73/AJ73-1</f>
        <v>-0.41307706163803393</v>
      </c>
      <c r="AM73" s="160">
        <f>AK73/AI73-1</f>
        <v>-0.37877726312045978</v>
      </c>
      <c r="AN73" s="161">
        <f>AN78+AN97</f>
        <v>945385</v>
      </c>
      <c r="AO73" s="158">
        <f>AO78+AO97</f>
        <v>1094288.4066666667</v>
      </c>
      <c r="AP73" s="158">
        <f>AP78+AP97</f>
        <v>506078</v>
      </c>
      <c r="AQ73" s="159">
        <f>AP73/AO73-1</f>
        <v>-0.53752776972062233</v>
      </c>
      <c r="AR73" s="162">
        <f>AP73/AN73-1</f>
        <v>-0.46468581583164525</v>
      </c>
      <c r="AS73" s="163">
        <f>AS78+AS97</f>
        <v>903311</v>
      </c>
      <c r="AT73" s="158">
        <f>AT78+AT97</f>
        <v>1023473</v>
      </c>
      <c r="AU73" s="158">
        <f>AU78+AU97</f>
        <v>602774</v>
      </c>
      <c r="AV73" s="159">
        <f>AU73/AT73-1</f>
        <v>-0.4110504136406139</v>
      </c>
      <c r="AW73" s="160">
        <f>AU73/AS73-1</f>
        <v>-0.33270601155083912</v>
      </c>
      <c r="AX73" s="161">
        <f>AX78+AX97</f>
        <v>928433</v>
      </c>
      <c r="AY73" s="158">
        <f>AY78+AY97</f>
        <v>1059029</v>
      </c>
      <c r="AZ73" s="158">
        <f>AZ78+AZ97</f>
        <v>554339</v>
      </c>
      <c r="BA73" s="159">
        <f>AZ73/AY73-1</f>
        <v>-0.47655918770874073</v>
      </c>
      <c r="BB73" s="162">
        <f>AZ73/AX73-1</f>
        <v>-0.4029305291819657</v>
      </c>
      <c r="BC73" s="163">
        <f>BC78+BC97</f>
        <v>850293</v>
      </c>
      <c r="BD73" s="158">
        <f>BD78+BD97</f>
        <v>1036379</v>
      </c>
      <c r="BE73" s="158">
        <f>BE78+BE97</f>
        <v>484768</v>
      </c>
      <c r="BF73" s="159">
        <f>BE73/BD73-1</f>
        <v>-0.53224833772201097</v>
      </c>
      <c r="BG73" s="160">
        <f>BE73/BC73-1</f>
        <v>-0.42988122917629568</v>
      </c>
      <c r="BH73" s="161">
        <f>BH78+BH97</f>
        <v>1251882</v>
      </c>
      <c r="BI73" s="158">
        <f>BI78+BI97</f>
        <v>1160415</v>
      </c>
      <c r="BJ73" s="158">
        <f>BJ78+BJ97</f>
        <v>603717</v>
      </c>
      <c r="BK73" s="159">
        <f>BJ73/BI73-1</f>
        <v>-0.47974043768824082</v>
      </c>
      <c r="BL73" s="162">
        <f>BJ73/BH73-1</f>
        <v>-0.51775247187833995</v>
      </c>
      <c r="BM73" s="163">
        <f>BM78+BM97</f>
        <v>1131283</v>
      </c>
      <c r="BN73" s="158">
        <f>BN78+BN97</f>
        <v>1149808</v>
      </c>
      <c r="BO73" s="158">
        <f>BO78+BO97</f>
        <v>617592</v>
      </c>
      <c r="BP73" s="159">
        <f>BO73/BN73-1</f>
        <v>-0.46287380153903956</v>
      </c>
      <c r="BQ73" s="160">
        <f>BO73/BM73-1</f>
        <v>-0.45407824567327537</v>
      </c>
      <c r="BR73" s="161">
        <f>BR78+BR97</f>
        <v>988493</v>
      </c>
      <c r="BS73" s="158">
        <f>BS78+BS97</f>
        <v>1094609</v>
      </c>
      <c r="BT73" s="158">
        <f>BT78+BT97</f>
        <v>633008</v>
      </c>
      <c r="BU73" s="159">
        <f>BT73/BS73-1</f>
        <v>-0.42170400572259137</v>
      </c>
      <c r="BV73" s="160">
        <f>BT73/BR73-1</f>
        <v>-0.35962318397803528</v>
      </c>
    </row>
    <row r="74" spans="2:74" x14ac:dyDescent="0.3">
      <c r="B74" s="290"/>
      <c r="C74" s="291"/>
      <c r="D74" s="296" t="s">
        <v>14</v>
      </c>
      <c r="E74" s="297"/>
      <c r="F74" s="84">
        <f>F77+F96</f>
        <v>10804093</v>
      </c>
      <c r="G74" s="62">
        <f>G77+G96</f>
        <v>10505446</v>
      </c>
      <c r="H74" s="62">
        <f>H77+H96</f>
        <v>13542824.880000001</v>
      </c>
      <c r="I74" s="75">
        <f t="shared" ref="I74:I105" si="204">H74/G74-1</f>
        <v>0.28912421995220394</v>
      </c>
      <c r="J74" s="3">
        <f t="shared" si="201"/>
        <v>10628708</v>
      </c>
      <c r="K74" s="62">
        <f t="shared" si="202"/>
        <v>3265125.8133333335</v>
      </c>
      <c r="L74" s="62">
        <f t="shared" si="203"/>
        <v>1357960</v>
      </c>
      <c r="M74" s="86">
        <f t="shared" ref="M74:M105" si="205">L74/K74-1</f>
        <v>-0.58410178423915848</v>
      </c>
      <c r="N74" s="4">
        <f t="shared" ref="N74:N105" si="206">L74/J74-1</f>
        <v>-0.8722365879277143</v>
      </c>
      <c r="O74" s="3">
        <f>O77+O96</f>
        <v>984675</v>
      </c>
      <c r="P74" s="62">
        <f>P77+P96</f>
        <v>1044905</v>
      </c>
      <c r="Q74" s="62">
        <f>Q77+Q96</f>
        <v>638533</v>
      </c>
      <c r="R74" s="86">
        <f t="shared" ref="R74:R94" si="207">Q74/P74-1</f>
        <v>-0.38890808255295939</v>
      </c>
      <c r="S74" s="4">
        <f t="shared" ref="S74:S92" si="208">Q74/O74-1</f>
        <v>-0.35152918475639172</v>
      </c>
      <c r="T74" s="84">
        <f>T77+T96</f>
        <v>705345</v>
      </c>
      <c r="U74" s="62">
        <f>U77+U96</f>
        <v>1110110.4066666667</v>
      </c>
      <c r="V74" s="62">
        <f>V77+V96</f>
        <v>719427</v>
      </c>
      <c r="W74" s="86">
        <f t="shared" ref="W74:W105" si="209">V74/U74-1</f>
        <v>-0.35193202795006084</v>
      </c>
      <c r="X74" s="75">
        <f t="shared" ref="X74:X105" si="210">V74/T74-1</f>
        <v>1.9964698126448743E-2</v>
      </c>
      <c r="Y74" s="3">
        <f>Y77+Y96</f>
        <v>883127</v>
      </c>
      <c r="Z74" s="62">
        <f>Z77+Z96</f>
        <v>1110110.4066666667</v>
      </c>
      <c r="AA74" s="62">
        <f>AA77+AA96</f>
        <v>0</v>
      </c>
      <c r="AB74" s="86">
        <f t="shared" ref="AB74:AB105" si="211">AA74/Z74-1</f>
        <v>-1</v>
      </c>
      <c r="AC74" s="4">
        <f t="shared" ref="AC74:AC105" si="212">AA74/Y74-1</f>
        <v>-1</v>
      </c>
      <c r="AD74" s="84">
        <f>AD77+AD96</f>
        <v>948745</v>
      </c>
      <c r="AE74" s="62">
        <f>AE77+AE96</f>
        <v>0</v>
      </c>
      <c r="AF74" s="62">
        <f>AF77+AF96</f>
        <v>0</v>
      </c>
      <c r="AG74" s="86" t="e">
        <f t="shared" ref="AG74:AG105" si="213">AF74/AE74-1</f>
        <v>#DIV/0!</v>
      </c>
      <c r="AH74" s="75">
        <f t="shared" ref="AH74:AH105" si="214">AF74/AD74-1</f>
        <v>-1</v>
      </c>
      <c r="AI74" s="3">
        <f>AI77+AI96</f>
        <v>951450</v>
      </c>
      <c r="AJ74" s="62">
        <f>AJ77+AJ96</f>
        <v>0</v>
      </c>
      <c r="AK74" s="62">
        <f>AK77+AK96</f>
        <v>0</v>
      </c>
      <c r="AL74" s="86" t="e">
        <f t="shared" ref="AL74:AL105" si="215">AK74/AJ74-1</f>
        <v>#DIV/0!</v>
      </c>
      <c r="AM74" s="4">
        <f t="shared" ref="AM74:AM105" si="216">AK74/AI74-1</f>
        <v>-1</v>
      </c>
      <c r="AN74" s="84">
        <f>AN77+AN96</f>
        <v>681836</v>
      </c>
      <c r="AO74" s="62">
        <f>AO77+AO96</f>
        <v>0</v>
      </c>
      <c r="AP74" s="62">
        <f>AP77+AP96</f>
        <v>0</v>
      </c>
      <c r="AQ74" s="86" t="e">
        <f t="shared" ref="AQ74:AQ105" si="217">AP74/AO74-1</f>
        <v>#DIV/0!</v>
      </c>
      <c r="AR74" s="75">
        <f t="shared" ref="AR74:AR105" si="218">AP74/AN74-1</f>
        <v>-1</v>
      </c>
      <c r="AS74" s="3">
        <f>AS77+AS96</f>
        <v>729901</v>
      </c>
      <c r="AT74" s="62">
        <f>AT77+AT96</f>
        <v>0</v>
      </c>
      <c r="AU74" s="62">
        <f>AU77+AU96</f>
        <v>0</v>
      </c>
      <c r="AV74" s="86" t="e">
        <f t="shared" ref="AV74:AV105" si="219">AU74/AT74-1</f>
        <v>#DIV/0!</v>
      </c>
      <c r="AW74" s="4">
        <f t="shared" ref="AW74:AW105" si="220">AU74/AS74-1</f>
        <v>-1</v>
      </c>
      <c r="AX74" s="84">
        <f>AX77+AX96</f>
        <v>770531</v>
      </c>
      <c r="AY74" s="62">
        <f>AY77+AY96</f>
        <v>0</v>
      </c>
      <c r="AZ74" s="62">
        <f>AZ77+AZ96</f>
        <v>0</v>
      </c>
      <c r="BA74" s="86" t="e">
        <f t="shared" ref="BA74:BA105" si="221">AZ74/AY74-1</f>
        <v>#DIV/0!</v>
      </c>
      <c r="BB74" s="75">
        <f t="shared" ref="BB74:BB105" si="222">AZ74/AX74-1</f>
        <v>-1</v>
      </c>
      <c r="BC74" s="3">
        <f>BC77+BC96</f>
        <v>846538</v>
      </c>
      <c r="BD74" s="62">
        <f>BD77+BD96</f>
        <v>0</v>
      </c>
      <c r="BE74" s="62">
        <f>BE77+BE96</f>
        <v>0</v>
      </c>
      <c r="BF74" s="86" t="e">
        <f t="shared" ref="BF74:BF105" si="223">BE74/BD74-1</f>
        <v>#DIV/0!</v>
      </c>
      <c r="BG74" s="4">
        <f t="shared" ref="BG74:BG105" si="224">BE74/BC74-1</f>
        <v>-1</v>
      </c>
      <c r="BH74" s="84">
        <f>BH77+BH96</f>
        <v>1419367</v>
      </c>
      <c r="BI74" s="62">
        <f>BI77+BI96</f>
        <v>0</v>
      </c>
      <c r="BJ74" s="62">
        <f>BJ77+BJ96</f>
        <v>0</v>
      </c>
      <c r="BK74" s="86" t="e">
        <f t="shared" ref="BK74:BK105" si="225">BJ74/BI74-1</f>
        <v>#DIV/0!</v>
      </c>
      <c r="BL74" s="75">
        <f t="shared" ref="BL74:BL105" si="226">BJ74/BH74-1</f>
        <v>-1</v>
      </c>
      <c r="BM74" s="3">
        <f>BM77+BM96</f>
        <v>916099</v>
      </c>
      <c r="BN74" s="62">
        <f>BN77+BN96</f>
        <v>0</v>
      </c>
      <c r="BO74" s="62">
        <f>BO77+BO96</f>
        <v>0</v>
      </c>
      <c r="BP74" s="86" t="e">
        <f t="shared" ref="BP74:BP105" si="227">BO74/BN74-1</f>
        <v>#DIV/0!</v>
      </c>
      <c r="BQ74" s="4">
        <f t="shared" ref="BQ74:BQ105" si="228">BO74/BM74-1</f>
        <v>-1</v>
      </c>
      <c r="BR74" s="84">
        <f>BR77+BR96</f>
        <v>791094</v>
      </c>
      <c r="BS74" s="62">
        <f>BS77+BS96</f>
        <v>0</v>
      </c>
      <c r="BT74" s="62">
        <f>BT77+BT96</f>
        <v>0</v>
      </c>
      <c r="BU74" s="86" t="e">
        <f t="shared" ref="BU74:BU105" si="229">BT74/BS74-1</f>
        <v>#DIV/0!</v>
      </c>
      <c r="BV74" s="4">
        <f t="shared" ref="BV74:BV105" si="230">BT74/BR74-1</f>
        <v>-1</v>
      </c>
    </row>
    <row r="75" spans="2:74" ht="17.25" thickBot="1" x14ac:dyDescent="0.35">
      <c r="B75" s="292"/>
      <c r="C75" s="293"/>
      <c r="D75" s="298" t="s">
        <v>15</v>
      </c>
      <c r="E75" s="299"/>
      <c r="F75" s="57">
        <f>F76+F95</f>
        <v>664657</v>
      </c>
      <c r="G75" s="42">
        <f>G76+G95</f>
        <v>664658</v>
      </c>
      <c r="H75" s="42">
        <f>H76+H95</f>
        <v>564284</v>
      </c>
      <c r="I75" s="82">
        <f t="shared" si="204"/>
        <v>-0.15101601124187181</v>
      </c>
      <c r="J75" s="24">
        <f>J76+J96</f>
        <v>6202264</v>
      </c>
      <c r="K75" s="42">
        <f>K76+K96</f>
        <v>1936125.8133333335</v>
      </c>
      <c r="L75" s="42">
        <f>L76+L96</f>
        <v>738286</v>
      </c>
      <c r="M75" s="146">
        <f t="shared" si="205"/>
        <v>-0.61867870625156896</v>
      </c>
      <c r="N75" s="25">
        <f t="shared" si="206"/>
        <v>-0.88096507984826189</v>
      </c>
      <c r="O75" s="24">
        <f>O76+O95</f>
        <v>900864</v>
      </c>
      <c r="P75" s="42">
        <f>P76+P95</f>
        <v>522452.5</v>
      </c>
      <c r="Q75" s="42">
        <f>Q76+Q95</f>
        <v>639609</v>
      </c>
      <c r="R75" s="146">
        <f t="shared" si="207"/>
        <v>0.22424335226647396</v>
      </c>
      <c r="S75" s="25">
        <f t="shared" si="208"/>
        <v>-0.29000492860187554</v>
      </c>
      <c r="T75" s="57">
        <f>T76+T95</f>
        <v>608969</v>
      </c>
      <c r="U75" s="42">
        <f>U76+U95</f>
        <v>555055.20333333337</v>
      </c>
      <c r="V75" s="42">
        <f>V76+V95</f>
        <v>563024</v>
      </c>
      <c r="W75" s="146">
        <f t="shared" si="209"/>
        <v>1.4356764189959348E-2</v>
      </c>
      <c r="X75" s="82">
        <f t="shared" si="210"/>
        <v>-7.5447190251063723E-2</v>
      </c>
      <c r="Y75" s="24">
        <f>Y76+Y95</f>
        <v>618968</v>
      </c>
      <c r="Z75" s="42">
        <f>Z76+Z95</f>
        <v>555055.20333333337</v>
      </c>
      <c r="AA75" s="42">
        <f>AA76+AA95</f>
        <v>0</v>
      </c>
      <c r="AB75" s="146">
        <f t="shared" si="211"/>
        <v>-1</v>
      </c>
      <c r="AC75" s="25">
        <f t="shared" si="212"/>
        <v>-1</v>
      </c>
      <c r="AD75" s="57">
        <f>AD76+AD95</f>
        <v>703696</v>
      </c>
      <c r="AE75" s="42">
        <f>AE76+AE95</f>
        <v>0</v>
      </c>
      <c r="AF75" s="42">
        <f>AF76+AF95</f>
        <v>0</v>
      </c>
      <c r="AG75" s="146" t="e">
        <f t="shared" si="213"/>
        <v>#DIV/0!</v>
      </c>
      <c r="AH75" s="82">
        <f t="shared" si="214"/>
        <v>-1</v>
      </c>
      <c r="AI75" s="24">
        <f>AI76+AI95</f>
        <v>739260</v>
      </c>
      <c r="AJ75" s="42">
        <f>AJ76+AJ95</f>
        <v>0</v>
      </c>
      <c r="AK75" s="42">
        <f>AK76+AK95</f>
        <v>0</v>
      </c>
      <c r="AL75" s="146" t="e">
        <f t="shared" si="215"/>
        <v>#DIV/0!</v>
      </c>
      <c r="AM75" s="25">
        <f t="shared" si="216"/>
        <v>-1</v>
      </c>
      <c r="AN75" s="57">
        <f>AN76+AN95</f>
        <v>900864</v>
      </c>
      <c r="AO75" s="42">
        <f>AO76+AO95</f>
        <v>0</v>
      </c>
      <c r="AP75" s="42">
        <f>AP76+AP95</f>
        <v>0</v>
      </c>
      <c r="AQ75" s="146" t="e">
        <f t="shared" si="217"/>
        <v>#DIV/0!</v>
      </c>
      <c r="AR75" s="82">
        <f t="shared" si="218"/>
        <v>-1</v>
      </c>
      <c r="AS75" s="24">
        <f>AS76+AS95</f>
        <v>564752</v>
      </c>
      <c r="AT75" s="42">
        <f>AT76+AT95</f>
        <v>0</v>
      </c>
      <c r="AU75" s="42">
        <f>AU76+AU95</f>
        <v>0</v>
      </c>
      <c r="AV75" s="146" t="e">
        <f t="shared" si="219"/>
        <v>#DIV/0!</v>
      </c>
      <c r="AW75" s="25">
        <f t="shared" si="220"/>
        <v>-1</v>
      </c>
      <c r="AX75" s="57">
        <f>AX76+AX95</f>
        <v>513105</v>
      </c>
      <c r="AY75" s="42">
        <f>AY76+AY95</f>
        <v>0</v>
      </c>
      <c r="AZ75" s="42">
        <f>AZ76+AZ95</f>
        <v>0</v>
      </c>
      <c r="BA75" s="146" t="e">
        <f t="shared" si="221"/>
        <v>#DIV/0!</v>
      </c>
      <c r="BB75" s="82">
        <f t="shared" si="222"/>
        <v>-1</v>
      </c>
      <c r="BC75" s="24">
        <f>BC76+BC95</f>
        <v>616909</v>
      </c>
      <c r="BD75" s="42">
        <f>BD76+BD95</f>
        <v>0</v>
      </c>
      <c r="BE75" s="42">
        <f>BE76+BE95</f>
        <v>0</v>
      </c>
      <c r="BF75" s="146" t="e">
        <f t="shared" si="223"/>
        <v>#DIV/0!</v>
      </c>
      <c r="BG75" s="25">
        <f t="shared" si="224"/>
        <v>-1</v>
      </c>
      <c r="BH75" s="57">
        <f>BH76+BH95</f>
        <v>911497</v>
      </c>
      <c r="BI75" s="42">
        <f>BI76+BI95</f>
        <v>0</v>
      </c>
      <c r="BJ75" s="42">
        <f>BJ76+BJ95</f>
        <v>0</v>
      </c>
      <c r="BK75" s="146" t="e">
        <f t="shared" si="225"/>
        <v>#DIV/0!</v>
      </c>
      <c r="BL75" s="82">
        <f t="shared" si="226"/>
        <v>-1</v>
      </c>
      <c r="BM75" s="24">
        <f>BM76+BM95</f>
        <v>775102</v>
      </c>
      <c r="BN75" s="42">
        <f>BN76+BN95</f>
        <v>0</v>
      </c>
      <c r="BO75" s="42">
        <f>BO76+BO95</f>
        <v>0</v>
      </c>
      <c r="BP75" s="146" t="e">
        <f t="shared" si="227"/>
        <v>#DIV/0!</v>
      </c>
      <c r="BQ75" s="25">
        <f t="shared" si="228"/>
        <v>-1</v>
      </c>
      <c r="BR75" s="57">
        <f>BR76+BR95</f>
        <v>715478</v>
      </c>
      <c r="BS75" s="42">
        <f>BS76+BS95</f>
        <v>0</v>
      </c>
      <c r="BT75" s="42">
        <f>BT76+BT95</f>
        <v>0</v>
      </c>
      <c r="BU75" s="146" t="e">
        <f t="shared" si="229"/>
        <v>#DIV/0!</v>
      </c>
      <c r="BV75" s="25">
        <f t="shared" si="230"/>
        <v>-1</v>
      </c>
    </row>
    <row r="76" spans="2:74" ht="17.25" thickBot="1" x14ac:dyDescent="0.35">
      <c r="B76" s="300" t="s">
        <v>16</v>
      </c>
      <c r="C76" s="300" t="s">
        <v>17</v>
      </c>
      <c r="D76" s="303" t="s">
        <v>15</v>
      </c>
      <c r="E76" s="304"/>
      <c r="F76" s="52">
        <v>305936</v>
      </c>
      <c r="G76" s="38">
        <v>305937</v>
      </c>
      <c r="H76" s="38">
        <f>ROUND(H77/24,0)</f>
        <v>230729</v>
      </c>
      <c r="I76" s="77">
        <f t="shared" si="204"/>
        <v>-0.24582838950502883</v>
      </c>
      <c r="J76" s="8">
        <f>BR76</f>
        <v>374909</v>
      </c>
      <c r="K76" s="8">
        <f t="shared" ref="K76" si="231">BS76</f>
        <v>0</v>
      </c>
      <c r="L76" s="8">
        <f t="shared" ref="L76" si="232">BT76</f>
        <v>0</v>
      </c>
      <c r="M76" s="115" t="e">
        <f t="shared" si="205"/>
        <v>#DIV/0!</v>
      </c>
      <c r="N76" s="10">
        <f t="shared" si="206"/>
        <v>-1</v>
      </c>
      <c r="O76" s="8">
        <f>'2023년 실적'!P76</f>
        <v>269436</v>
      </c>
      <c r="P76" s="38">
        <f>ROUND(P78/2,2)</f>
        <v>221500</v>
      </c>
      <c r="Q76" s="38">
        <v>309841</v>
      </c>
      <c r="R76" s="115">
        <f t="shared" si="207"/>
        <v>0.39883069977426633</v>
      </c>
      <c r="S76" s="10">
        <f t="shared" si="208"/>
        <v>0.14996140085215037</v>
      </c>
      <c r="T76" s="52">
        <f>'2023년 실적'!U76</f>
        <v>252179</v>
      </c>
      <c r="U76" s="38">
        <v>221500</v>
      </c>
      <c r="V76" s="38">
        <v>284901</v>
      </c>
      <c r="W76" s="115">
        <f t="shared" si="209"/>
        <v>0.28623476297968398</v>
      </c>
      <c r="X76" s="77">
        <f t="shared" si="210"/>
        <v>0.12975703765975766</v>
      </c>
      <c r="Y76" s="8">
        <f>'2023년 실적'!Z76</f>
        <v>275989</v>
      </c>
      <c r="Z76" s="38">
        <f>Z77/2</f>
        <v>221500</v>
      </c>
      <c r="AA76" s="38"/>
      <c r="AB76" s="115">
        <f t="shared" si="211"/>
        <v>-1</v>
      </c>
      <c r="AC76" s="10">
        <f t="shared" si="212"/>
        <v>-1</v>
      </c>
      <c r="AD76" s="52">
        <f>'2023년 실적'!AE76</f>
        <v>394563</v>
      </c>
      <c r="AE76" s="38"/>
      <c r="AF76" s="38"/>
      <c r="AG76" s="115" t="e">
        <f t="shared" si="213"/>
        <v>#DIV/0!</v>
      </c>
      <c r="AH76" s="77">
        <f t="shared" si="214"/>
        <v>-1</v>
      </c>
      <c r="AI76" s="8">
        <f>'2023년 실적'!AJ76</f>
        <v>389318</v>
      </c>
      <c r="AJ76" s="38"/>
      <c r="AK76" s="38"/>
      <c r="AL76" s="115" t="e">
        <f t="shared" si="215"/>
        <v>#DIV/0!</v>
      </c>
      <c r="AM76" s="10">
        <f t="shared" si="216"/>
        <v>-1</v>
      </c>
      <c r="AN76" s="52">
        <f>'2023년 실적'!AO76</f>
        <v>269436</v>
      </c>
      <c r="AO76" s="38"/>
      <c r="AP76" s="38"/>
      <c r="AQ76" s="115" t="e">
        <f t="shared" si="217"/>
        <v>#DIV/0!</v>
      </c>
      <c r="AR76" s="77">
        <f t="shared" si="218"/>
        <v>-1</v>
      </c>
      <c r="AS76" s="8">
        <f>'2023년 실적'!AT76</f>
        <v>312564</v>
      </c>
      <c r="AT76" s="38"/>
      <c r="AU76" s="38"/>
      <c r="AV76" s="115" t="e">
        <f t="shared" si="219"/>
        <v>#DIV/0!</v>
      </c>
      <c r="AW76" s="10">
        <f t="shared" si="220"/>
        <v>-1</v>
      </c>
      <c r="AX76" s="52">
        <f>'2023년 실적'!AY76</f>
        <v>280926</v>
      </c>
      <c r="AY76" s="38"/>
      <c r="AZ76" s="38"/>
      <c r="BA76" s="115" t="e">
        <f t="shared" si="221"/>
        <v>#DIV/0!</v>
      </c>
      <c r="BB76" s="77">
        <f t="shared" si="222"/>
        <v>-1</v>
      </c>
      <c r="BC76" s="8">
        <f>'2023년 실적'!BD76</f>
        <v>288915</v>
      </c>
      <c r="BD76" s="38"/>
      <c r="BE76" s="38"/>
      <c r="BF76" s="115" t="e">
        <f t="shared" si="223"/>
        <v>#DIV/0!</v>
      </c>
      <c r="BG76" s="10">
        <f t="shared" si="224"/>
        <v>-1</v>
      </c>
      <c r="BH76" s="52">
        <f>'2023년 실적'!BI76</f>
        <v>381965</v>
      </c>
      <c r="BI76" s="38"/>
      <c r="BJ76" s="38"/>
      <c r="BK76" s="115" t="e">
        <f t="shared" si="225"/>
        <v>#DIV/0!</v>
      </c>
      <c r="BL76" s="77">
        <f t="shared" si="226"/>
        <v>-1</v>
      </c>
      <c r="BM76" s="8">
        <f>'2023년 실적'!BN76</f>
        <v>327586</v>
      </c>
      <c r="BN76" s="38"/>
      <c r="BO76" s="38"/>
      <c r="BP76" s="115" t="e">
        <f t="shared" si="227"/>
        <v>#DIV/0!</v>
      </c>
      <c r="BQ76" s="10">
        <f t="shared" si="228"/>
        <v>-1</v>
      </c>
      <c r="BR76" s="52">
        <f>'2023년 실적'!BS76</f>
        <v>374909</v>
      </c>
      <c r="BS76" s="38"/>
      <c r="BT76" s="38"/>
      <c r="BU76" s="115" t="e">
        <f t="shared" si="229"/>
        <v>#DIV/0!</v>
      </c>
      <c r="BV76" s="10">
        <f t="shared" si="230"/>
        <v>-1</v>
      </c>
    </row>
    <row r="77" spans="2:74" ht="17.25" thickBot="1" x14ac:dyDescent="0.35">
      <c r="B77" s="301"/>
      <c r="C77" s="301"/>
      <c r="D77" s="305" t="s">
        <v>14</v>
      </c>
      <c r="E77" s="306"/>
      <c r="F77" s="164">
        <f>'2023년 실적'!J77</f>
        <v>5100000</v>
      </c>
      <c r="G77" s="165">
        <f>'2023년 실적'!K77</f>
        <v>4801353</v>
      </c>
      <c r="H77" s="165">
        <f>H78</f>
        <v>5537500</v>
      </c>
      <c r="I77" s="82">
        <f t="shared" si="204"/>
        <v>0.15332074104944993</v>
      </c>
      <c r="J77" s="131">
        <f>O77+T77+Y77+AD77+AI77+AN77+AS77+AX77+BC77+BH77+BM77+BR77</f>
        <v>4801353</v>
      </c>
      <c r="K77" s="132">
        <f t="shared" ref="K77" si="233">P77+U77+Z77+AE77+AJ77+AO77+AT77+AY77+BD77+BI77+BN77</f>
        <v>1329000</v>
      </c>
      <c r="L77" s="132">
        <f>Q77+V77+AA77+AF77+AK77+AP77+AU77+AZ77+BE77+BJ77+BO77</f>
        <v>619674</v>
      </c>
      <c r="M77" s="166">
        <f t="shared" si="205"/>
        <v>-0.53372911963882619</v>
      </c>
      <c r="N77" s="167">
        <f t="shared" si="206"/>
        <v>-0.87093762945569719</v>
      </c>
      <c r="O77" s="168">
        <f>'2023년 실적'!P77</f>
        <v>324323</v>
      </c>
      <c r="P77" s="165">
        <f>P78</f>
        <v>443000</v>
      </c>
      <c r="Q77" s="165">
        <v>297287</v>
      </c>
      <c r="R77" s="166">
        <f t="shared" si="207"/>
        <v>-0.32892325056433414</v>
      </c>
      <c r="S77" s="167">
        <f t="shared" si="208"/>
        <v>-8.3361340392139938E-2</v>
      </c>
      <c r="T77" s="57">
        <f>'2023년 실적'!U77</f>
        <v>320358</v>
      </c>
      <c r="U77" s="165">
        <f>U78</f>
        <v>443000</v>
      </c>
      <c r="V77" s="165">
        <v>322387</v>
      </c>
      <c r="W77" s="166">
        <f t="shared" si="209"/>
        <v>-0.27226410835214443</v>
      </c>
      <c r="X77" s="169">
        <f t="shared" si="210"/>
        <v>6.3335393528489714E-3</v>
      </c>
      <c r="Y77" s="24">
        <f>'2023년 실적'!Z77</f>
        <v>432930</v>
      </c>
      <c r="Z77" s="165">
        <f>Z78</f>
        <v>443000</v>
      </c>
      <c r="AA77" s="165"/>
      <c r="AB77" s="166">
        <f t="shared" si="211"/>
        <v>-1</v>
      </c>
      <c r="AC77" s="167">
        <f t="shared" si="212"/>
        <v>-1</v>
      </c>
      <c r="AD77" s="57">
        <f>'2023년 실적'!AE77</f>
        <v>472323</v>
      </c>
      <c r="AE77" s="165"/>
      <c r="AF77" s="165"/>
      <c r="AG77" s="166" t="e">
        <f t="shared" si="213"/>
        <v>#DIV/0!</v>
      </c>
      <c r="AH77" s="169">
        <f t="shared" si="214"/>
        <v>-1</v>
      </c>
      <c r="AI77" s="24">
        <f>'2023년 실적'!AJ77</f>
        <v>381307</v>
      </c>
      <c r="AJ77" s="165"/>
      <c r="AK77" s="165"/>
      <c r="AL77" s="166" t="e">
        <f t="shared" si="215"/>
        <v>#DIV/0!</v>
      </c>
      <c r="AM77" s="167">
        <f t="shared" si="216"/>
        <v>-1</v>
      </c>
      <c r="AN77" s="57">
        <f>'2023년 실적'!AO77</f>
        <v>280280</v>
      </c>
      <c r="AO77" s="165"/>
      <c r="AP77" s="165"/>
      <c r="AQ77" s="166" t="e">
        <f t="shared" si="217"/>
        <v>#DIV/0!</v>
      </c>
      <c r="AR77" s="169">
        <f t="shared" si="218"/>
        <v>-1</v>
      </c>
      <c r="AS77" s="24">
        <f>'2023년 실적'!AT77</f>
        <v>395242</v>
      </c>
      <c r="AT77" s="165"/>
      <c r="AU77" s="165"/>
      <c r="AV77" s="166" t="e">
        <f t="shared" si="219"/>
        <v>#DIV/0!</v>
      </c>
      <c r="AW77" s="167">
        <f t="shared" si="220"/>
        <v>-1</v>
      </c>
      <c r="AX77" s="57">
        <f>'2023년 실적'!AY77</f>
        <v>355318</v>
      </c>
      <c r="AY77" s="165"/>
      <c r="AZ77" s="165"/>
      <c r="BA77" s="166" t="e">
        <f t="shared" si="221"/>
        <v>#DIV/0!</v>
      </c>
      <c r="BB77" s="169">
        <f t="shared" si="222"/>
        <v>-1</v>
      </c>
      <c r="BC77" s="24">
        <f>'2023년 실적'!BD77</f>
        <v>370856</v>
      </c>
      <c r="BD77" s="165"/>
      <c r="BE77" s="165"/>
      <c r="BF77" s="166" t="e">
        <f t="shared" si="223"/>
        <v>#DIV/0!</v>
      </c>
      <c r="BG77" s="167">
        <f t="shared" si="224"/>
        <v>-1</v>
      </c>
      <c r="BH77" s="57">
        <f>'2023년 실적'!BI77</f>
        <v>611306</v>
      </c>
      <c r="BI77" s="165"/>
      <c r="BJ77" s="165"/>
      <c r="BK77" s="166" t="e">
        <f t="shared" si="225"/>
        <v>#DIV/0!</v>
      </c>
      <c r="BL77" s="169">
        <f t="shared" si="226"/>
        <v>-1</v>
      </c>
      <c r="BM77" s="24">
        <f>'2023년 실적'!BN77</f>
        <v>423746</v>
      </c>
      <c r="BN77" s="165"/>
      <c r="BO77" s="165"/>
      <c r="BP77" s="166" t="e">
        <f t="shared" si="227"/>
        <v>#DIV/0!</v>
      </c>
      <c r="BQ77" s="167">
        <f t="shared" si="228"/>
        <v>-1</v>
      </c>
      <c r="BR77" s="57">
        <f>'2023년 실적'!BS77</f>
        <v>433364</v>
      </c>
      <c r="BS77" s="165"/>
      <c r="BT77" s="165"/>
      <c r="BU77" s="166" t="e">
        <f t="shared" si="229"/>
        <v>#DIV/0!</v>
      </c>
      <c r="BV77" s="167">
        <f t="shared" si="230"/>
        <v>-1</v>
      </c>
    </row>
    <row r="78" spans="2:74" ht="17.25" thickBot="1" x14ac:dyDescent="0.35">
      <c r="B78" s="301"/>
      <c r="C78" s="301"/>
      <c r="D78" s="307" t="s">
        <v>18</v>
      </c>
      <c r="E78" s="308"/>
      <c r="F78" s="170">
        <f>F79+F94</f>
        <v>4648868</v>
      </c>
      <c r="G78" s="171">
        <f>G79+G94</f>
        <v>4859570</v>
      </c>
      <c r="H78" s="171">
        <f>H79+H94</f>
        <v>5537500</v>
      </c>
      <c r="I78" s="172">
        <f t="shared" si="204"/>
        <v>0.13950411250378125</v>
      </c>
      <c r="J78" s="173">
        <f>J79+J95</f>
        <v>2725918</v>
      </c>
      <c r="K78" s="173">
        <f t="shared" ref="K78:L78" si="234">K79+K95</f>
        <v>2618893</v>
      </c>
      <c r="L78" s="173">
        <f t="shared" si="234"/>
        <v>209741</v>
      </c>
      <c r="M78" s="174">
        <f t="shared" si="205"/>
        <v>-0.91991234464332827</v>
      </c>
      <c r="N78" s="175">
        <f t="shared" si="206"/>
        <v>-0.92305674638782242</v>
      </c>
      <c r="O78" s="173">
        <f>O79+O94</f>
        <v>404664</v>
      </c>
      <c r="P78" s="171">
        <f>P79+P94</f>
        <v>443000</v>
      </c>
      <c r="Q78" s="171">
        <f>Q79+Q94</f>
        <v>274687</v>
      </c>
      <c r="R78" s="174">
        <f t="shared" si="207"/>
        <v>-0.37993905191873589</v>
      </c>
      <c r="S78" s="175">
        <f t="shared" si="208"/>
        <v>-0.32119733902694581</v>
      </c>
      <c r="T78" s="170">
        <f>T79+T94</f>
        <v>393870</v>
      </c>
      <c r="U78" s="171">
        <f>U79+U94</f>
        <v>443000</v>
      </c>
      <c r="V78" s="171">
        <f>V79+V94</f>
        <v>268242</v>
      </c>
      <c r="W78" s="174">
        <f t="shared" si="209"/>
        <v>-0.39448758465011291</v>
      </c>
      <c r="X78" s="172">
        <f t="shared" si="210"/>
        <v>-0.31895803183791605</v>
      </c>
      <c r="Y78" s="173">
        <f>Y79+Y94</f>
        <v>406749</v>
      </c>
      <c r="Z78" s="171">
        <f>Z79+Z94</f>
        <v>443000</v>
      </c>
      <c r="AA78" s="171">
        <f>AA79+AA94</f>
        <v>0</v>
      </c>
      <c r="AB78" s="174">
        <f t="shared" si="211"/>
        <v>-1</v>
      </c>
      <c r="AC78" s="175">
        <f t="shared" si="212"/>
        <v>-1</v>
      </c>
      <c r="AD78" s="170">
        <f>AD79+AD94</f>
        <v>351763</v>
      </c>
      <c r="AE78" s="171">
        <f>AE79+AE94</f>
        <v>443000</v>
      </c>
      <c r="AF78" s="171">
        <f>AF79+AF94</f>
        <v>0</v>
      </c>
      <c r="AG78" s="174">
        <f t="shared" si="213"/>
        <v>-1</v>
      </c>
      <c r="AH78" s="172">
        <f t="shared" si="214"/>
        <v>-1</v>
      </c>
      <c r="AI78" s="173">
        <f>AI79+AI94</f>
        <v>387063</v>
      </c>
      <c r="AJ78" s="171">
        <f>AJ79+AJ94</f>
        <v>428139</v>
      </c>
      <c r="AK78" s="171">
        <f>AK79+AK94</f>
        <v>0</v>
      </c>
      <c r="AL78" s="174">
        <f t="shared" si="215"/>
        <v>-1</v>
      </c>
      <c r="AM78" s="175">
        <f t="shared" si="216"/>
        <v>-1</v>
      </c>
      <c r="AN78" s="170">
        <f>AN79+AN94</f>
        <v>365731</v>
      </c>
      <c r="AO78" s="171">
        <f>AO79+AO94</f>
        <v>427178</v>
      </c>
      <c r="AP78" s="171">
        <f>AP79+AP94</f>
        <v>0</v>
      </c>
      <c r="AQ78" s="174">
        <f t="shared" si="217"/>
        <v>-1</v>
      </c>
      <c r="AR78" s="172">
        <f t="shared" si="218"/>
        <v>-1</v>
      </c>
      <c r="AS78" s="173">
        <f>AS79+AS94</f>
        <v>384313</v>
      </c>
      <c r="AT78" s="171">
        <f>AT79+AT94</f>
        <v>421568</v>
      </c>
      <c r="AU78" s="171">
        <f>AU79+AU94</f>
        <v>0</v>
      </c>
      <c r="AV78" s="174">
        <f t="shared" si="219"/>
        <v>-1</v>
      </c>
      <c r="AW78" s="175">
        <f t="shared" si="220"/>
        <v>-1</v>
      </c>
      <c r="AX78" s="170">
        <f>AX79+AX94</f>
        <v>385877</v>
      </c>
      <c r="AY78" s="171">
        <f>AY79+AY94</f>
        <v>452364</v>
      </c>
      <c r="AZ78" s="171">
        <f>AZ79+AZ94</f>
        <v>0</v>
      </c>
      <c r="BA78" s="174">
        <f t="shared" si="221"/>
        <v>-1</v>
      </c>
      <c r="BB78" s="172">
        <f t="shared" si="222"/>
        <v>-1</v>
      </c>
      <c r="BC78" s="173">
        <f>BC79+BC94</f>
        <v>367503</v>
      </c>
      <c r="BD78" s="171">
        <f>BD79+BD94</f>
        <v>429714</v>
      </c>
      <c r="BE78" s="171">
        <f>BE79+BE94</f>
        <v>0</v>
      </c>
      <c r="BF78" s="174">
        <f t="shared" si="223"/>
        <v>-1</v>
      </c>
      <c r="BG78" s="175">
        <f t="shared" si="224"/>
        <v>-1</v>
      </c>
      <c r="BH78" s="170">
        <f>BH79+BH94</f>
        <v>518324</v>
      </c>
      <c r="BI78" s="171">
        <f>BI79+BI94</f>
        <v>553750</v>
      </c>
      <c r="BJ78" s="171">
        <f>BJ79+BJ94</f>
        <v>0</v>
      </c>
      <c r="BK78" s="174">
        <f t="shared" si="225"/>
        <v>-1</v>
      </c>
      <c r="BL78" s="172">
        <f t="shared" si="226"/>
        <v>-1</v>
      </c>
      <c r="BM78" s="173">
        <f>BM79+BM94</f>
        <v>478461</v>
      </c>
      <c r="BN78" s="171">
        <f>BN79+BN94</f>
        <v>543143</v>
      </c>
      <c r="BO78" s="171">
        <f>BO79+BO94</f>
        <v>0</v>
      </c>
      <c r="BP78" s="174">
        <f t="shared" si="227"/>
        <v>-1</v>
      </c>
      <c r="BQ78" s="175">
        <f t="shared" si="228"/>
        <v>-1</v>
      </c>
      <c r="BR78" s="170">
        <f>BR79+BR94</f>
        <v>415180</v>
      </c>
      <c r="BS78" s="171">
        <f>BS79+BS94</f>
        <v>487944</v>
      </c>
      <c r="BT78" s="171">
        <f>BT79+BT94</f>
        <v>0</v>
      </c>
      <c r="BU78" s="174">
        <f t="shared" si="229"/>
        <v>-1</v>
      </c>
      <c r="BV78" s="175">
        <f t="shared" si="230"/>
        <v>-1</v>
      </c>
    </row>
    <row r="79" spans="2:74" ht="17.25" thickBot="1" x14ac:dyDescent="0.35">
      <c r="B79" s="301"/>
      <c r="C79" s="301"/>
      <c r="D79" s="309" t="s">
        <v>19</v>
      </c>
      <c r="E79" s="310"/>
      <c r="F79" s="185">
        <f>F83+F88+F91+F92+F93</f>
        <v>3885312</v>
      </c>
      <c r="G79" s="186">
        <f>G83+G88+G91+G92+G93</f>
        <v>4024174</v>
      </c>
      <c r="H79" s="186">
        <f>H83+H88+H91+H92+H93</f>
        <v>4647500</v>
      </c>
      <c r="I79" s="187">
        <f t="shared" si="204"/>
        <v>0.15489538971227379</v>
      </c>
      <c r="J79" s="188">
        <f>J84+J89+J92+J93+J94</f>
        <v>2385349</v>
      </c>
      <c r="K79" s="188">
        <f t="shared" ref="K79:L79" si="235">K84+K89+K92+K93+K94</f>
        <v>2618893</v>
      </c>
      <c r="L79" s="188">
        <f t="shared" si="235"/>
        <v>209741</v>
      </c>
      <c r="M79" s="189">
        <f t="shared" si="205"/>
        <v>-0.91991234464332827</v>
      </c>
      <c r="N79" s="190">
        <f t="shared" si="206"/>
        <v>-0.91207114766015374</v>
      </c>
      <c r="O79" s="188">
        <f>O83+O88+O91+O92+O93</f>
        <v>354600</v>
      </c>
      <c r="P79" s="186">
        <f>P83+P88+P91+P92+P93</f>
        <v>371800</v>
      </c>
      <c r="Q79" s="186">
        <f>Q83+Q88+Q91+Q92+Q93</f>
        <v>274687</v>
      </c>
      <c r="R79" s="189">
        <f t="shared" si="207"/>
        <v>-0.26119688004303387</v>
      </c>
      <c r="S79" s="190">
        <f t="shared" si="208"/>
        <v>-0.22536097010716305</v>
      </c>
      <c r="T79" s="185">
        <f>T83+T88+T91+T92+T93</f>
        <v>319786</v>
      </c>
      <c r="U79" s="186">
        <f>U83+U88+U91+U92+U93</f>
        <v>371800</v>
      </c>
      <c r="V79" s="186">
        <f>V83+V88+V91+V92+V93</f>
        <v>268242</v>
      </c>
      <c r="W79" s="189">
        <f t="shared" si="209"/>
        <v>-0.27853146853146848</v>
      </c>
      <c r="X79" s="187">
        <f t="shared" si="210"/>
        <v>-0.16118279099147559</v>
      </c>
      <c r="Y79" s="188">
        <f>Y83+Y88+Y91+Y92+Y93</f>
        <v>338677</v>
      </c>
      <c r="Z79" s="186">
        <f>Z83+Z88+Z91+Z92+Z93</f>
        <v>371800</v>
      </c>
      <c r="AA79" s="186">
        <f>AA83+AA88+AA91+AA92+AA93</f>
        <v>0</v>
      </c>
      <c r="AB79" s="189">
        <f t="shared" si="211"/>
        <v>-1</v>
      </c>
      <c r="AC79" s="190">
        <f t="shared" si="212"/>
        <v>-1</v>
      </c>
      <c r="AD79" s="185">
        <f>AD83+AD88+AD91+AD92+AD93</f>
        <v>267228</v>
      </c>
      <c r="AE79" s="186">
        <f>AE83+AE88+AE91+AE92+AE93</f>
        <v>371800</v>
      </c>
      <c r="AF79" s="186">
        <f>AF83+AF88+AF91+AF92+AF93</f>
        <v>0</v>
      </c>
      <c r="AG79" s="189">
        <f t="shared" si="213"/>
        <v>-1</v>
      </c>
      <c r="AH79" s="187">
        <f t="shared" si="214"/>
        <v>-1</v>
      </c>
      <c r="AI79" s="188">
        <f>AI83+AI88+AI91+AI92+AI93</f>
        <v>312554</v>
      </c>
      <c r="AJ79" s="186">
        <f>AJ83+AJ88+AJ91+AJ92+AJ93</f>
        <v>359327</v>
      </c>
      <c r="AK79" s="186">
        <f>AK83+AK88+AK91+AK92+AK93</f>
        <v>0</v>
      </c>
      <c r="AL79" s="189">
        <f t="shared" si="215"/>
        <v>-1</v>
      </c>
      <c r="AM79" s="190">
        <f t="shared" si="216"/>
        <v>-1</v>
      </c>
      <c r="AN79" s="185">
        <f>AN83+AN88+AN91+AN92+AN93</f>
        <v>311518</v>
      </c>
      <c r="AO79" s="186">
        <f>AO83+AO88+AO91+AO92+AO93</f>
        <v>358523</v>
      </c>
      <c r="AP79" s="186">
        <f>AP83+AP88+AP91+AP92+AP93</f>
        <v>0</v>
      </c>
      <c r="AQ79" s="189">
        <f t="shared" si="217"/>
        <v>-1</v>
      </c>
      <c r="AR79" s="187">
        <f t="shared" si="218"/>
        <v>-1</v>
      </c>
      <c r="AS79" s="188">
        <f>AS83+AS88+AS91+AS92+AS93</f>
        <v>311734</v>
      </c>
      <c r="AT79" s="186">
        <f>AT83+AT88+AT91+AT92+AT93</f>
        <v>353813</v>
      </c>
      <c r="AU79" s="186">
        <f>AU83+AU88+AU91+AU92+AU93</f>
        <v>0</v>
      </c>
      <c r="AV79" s="189">
        <f t="shared" si="219"/>
        <v>-1</v>
      </c>
      <c r="AW79" s="190">
        <f t="shared" si="220"/>
        <v>-1</v>
      </c>
      <c r="AX79" s="185">
        <f>AX83+AX88+AX91+AX92+AX93</f>
        <v>319124</v>
      </c>
      <c r="AY79" s="186">
        <f>AY83+AY88+AY91+AY92+AY93</f>
        <v>379659</v>
      </c>
      <c r="AZ79" s="186">
        <f>AZ83+AZ88+AZ91+AZ92+AZ93</f>
        <v>0</v>
      </c>
      <c r="BA79" s="189">
        <f t="shared" si="221"/>
        <v>-1</v>
      </c>
      <c r="BB79" s="187">
        <f t="shared" si="222"/>
        <v>-1</v>
      </c>
      <c r="BC79" s="188">
        <f>BC83+BC88+BC91+BC92+BC93</f>
        <v>309742</v>
      </c>
      <c r="BD79" s="186">
        <f>BD83+BD88+BD91+BD92+BD93</f>
        <v>360649</v>
      </c>
      <c r="BE79" s="186">
        <f>BE83+BE88+BE91+BE92+BE93</f>
        <v>0</v>
      </c>
      <c r="BF79" s="189">
        <f t="shared" si="223"/>
        <v>-1</v>
      </c>
      <c r="BG79" s="190">
        <f t="shared" si="224"/>
        <v>-1</v>
      </c>
      <c r="BH79" s="185">
        <f>BH83+BH88+BH91+BH92+BH93</f>
        <v>438468</v>
      </c>
      <c r="BI79" s="186">
        <f>BI83+BI88+BI91+BI92+BI93</f>
        <v>464750</v>
      </c>
      <c r="BJ79" s="186">
        <f>BJ83+BJ88+BJ91+BJ92+BJ93</f>
        <v>0</v>
      </c>
      <c r="BK79" s="189">
        <f t="shared" si="225"/>
        <v>-1</v>
      </c>
      <c r="BL79" s="187">
        <f t="shared" si="226"/>
        <v>-1</v>
      </c>
      <c r="BM79" s="188">
        <f>BM83+BM88+BM91+BM92+BM93</f>
        <v>392437</v>
      </c>
      <c r="BN79" s="186">
        <f>BN83+BN88+BN91+BN92+BN93</f>
        <v>455848</v>
      </c>
      <c r="BO79" s="186">
        <f>BO83+BO88+BO91+BO92+BO93</f>
        <v>0</v>
      </c>
      <c r="BP79" s="189">
        <f t="shared" si="227"/>
        <v>-1</v>
      </c>
      <c r="BQ79" s="190">
        <f t="shared" si="228"/>
        <v>-1</v>
      </c>
      <c r="BR79" s="185">
        <f>BR83+BR88+BR91+BR92+BR93</f>
        <v>350626</v>
      </c>
      <c r="BS79" s="186">
        <f>BS83+BS88+BS91+BS92+BS93</f>
        <v>409520</v>
      </c>
      <c r="BT79" s="186">
        <f>BT83+BT88+BT91+BT92+BT93</f>
        <v>0</v>
      </c>
      <c r="BU79" s="189">
        <f t="shared" si="229"/>
        <v>-1</v>
      </c>
      <c r="BV79" s="190">
        <f t="shared" si="230"/>
        <v>-1</v>
      </c>
    </row>
    <row r="80" spans="2:74" x14ac:dyDescent="0.3">
      <c r="B80" s="301"/>
      <c r="C80" s="301"/>
      <c r="D80" s="311" t="s">
        <v>52</v>
      </c>
      <c r="E80" s="192" t="s">
        <v>20</v>
      </c>
      <c r="F80" s="52">
        <f>'2023년 실적'!F80</f>
        <v>274504</v>
      </c>
      <c r="G80" s="38">
        <f>'2023년 실적'!G80</f>
        <v>321951</v>
      </c>
      <c r="H80" s="38">
        <v>355000</v>
      </c>
      <c r="I80" s="77">
        <f t="shared" si="204"/>
        <v>0.10265226695987906</v>
      </c>
      <c r="J80" s="131">
        <f t="shared" ref="J80:J82" si="236">O80+T80+Y80+AD80+AI80+AN80+AS80+AX80+BC80+BH80+BM80+BR80</f>
        <v>321951</v>
      </c>
      <c r="K80" s="132">
        <f t="shared" ref="K80:K82" si="237">P80+U80+Z80+AE80+AJ80+AO80+AT80+AY80+BD80+BI80+BN80+BS80</f>
        <v>353607</v>
      </c>
      <c r="L80" s="132">
        <f t="shared" ref="L80:L82" si="238">Q80+V80+AA80+AF80+AK80+AP80+AU80+AZ80+BE80+BJ80+BO80+BT80</f>
        <v>48932</v>
      </c>
      <c r="M80" s="115">
        <f t="shared" si="205"/>
        <v>-0.86162038647424966</v>
      </c>
      <c r="N80" s="10">
        <f t="shared" si="206"/>
        <v>-0.84801413879751886</v>
      </c>
      <c r="O80" s="8">
        <f>'2023년 실적'!P80</f>
        <v>22882</v>
      </c>
      <c r="P80" s="38">
        <v>28400</v>
      </c>
      <c r="Q80" s="38">
        <v>25459</v>
      </c>
      <c r="R80" s="115">
        <f t="shared" si="207"/>
        <v>-0.10355633802816899</v>
      </c>
      <c r="S80" s="10">
        <f t="shared" si="208"/>
        <v>0.11262127436412905</v>
      </c>
      <c r="T80" s="52">
        <f>'2023년 실적'!U80</f>
        <v>25581</v>
      </c>
      <c r="U80" s="38">
        <v>28400</v>
      </c>
      <c r="V80" s="38">
        <v>23473</v>
      </c>
      <c r="W80" s="115">
        <f t="shared" si="209"/>
        <v>-0.17348591549295778</v>
      </c>
      <c r="X80" s="77">
        <f t="shared" si="210"/>
        <v>-8.2404909894062017E-2</v>
      </c>
      <c r="Y80" s="8">
        <f>'2023년 실적'!Z80</f>
        <v>21966</v>
      </c>
      <c r="Z80" s="38">
        <v>28400</v>
      </c>
      <c r="AA80" s="38"/>
      <c r="AB80" s="115">
        <f t="shared" si="211"/>
        <v>-1</v>
      </c>
      <c r="AC80" s="10">
        <f t="shared" si="212"/>
        <v>-1</v>
      </c>
      <c r="AD80" s="52">
        <f>'2023년 실적'!AE80</f>
        <v>23867</v>
      </c>
      <c r="AE80" s="38">
        <v>28400</v>
      </c>
      <c r="AF80" s="38"/>
      <c r="AG80" s="115">
        <f t="shared" si="213"/>
        <v>-1</v>
      </c>
      <c r="AH80" s="77">
        <f t="shared" si="214"/>
        <v>-1</v>
      </c>
      <c r="AI80" s="8">
        <f>'2023년 실적'!AJ80</f>
        <v>26277</v>
      </c>
      <c r="AJ80" s="38">
        <v>27447</v>
      </c>
      <c r="AK80" s="38"/>
      <c r="AL80" s="115">
        <f t="shared" si="215"/>
        <v>-1</v>
      </c>
      <c r="AM80" s="10">
        <f t="shared" si="216"/>
        <v>-1</v>
      </c>
      <c r="AN80" s="52">
        <f>'2023년 실적'!AO80</f>
        <v>28344</v>
      </c>
      <c r="AO80" s="38">
        <v>27385</v>
      </c>
      <c r="AP80" s="38"/>
      <c r="AQ80" s="115">
        <f t="shared" si="217"/>
        <v>-1</v>
      </c>
      <c r="AR80" s="77">
        <f t="shared" si="218"/>
        <v>-1</v>
      </c>
      <c r="AS80" s="8">
        <f>'2023년 실적'!AT80</f>
        <v>24918</v>
      </c>
      <c r="AT80" s="38">
        <v>27026</v>
      </c>
      <c r="AU80" s="38"/>
      <c r="AV80" s="115">
        <f t="shared" si="219"/>
        <v>-1</v>
      </c>
      <c r="AW80" s="10">
        <f t="shared" si="220"/>
        <v>-1</v>
      </c>
      <c r="AX80" s="52">
        <f>'2023년 실적'!AY80</f>
        <v>24874</v>
      </c>
      <c r="AY80" s="38">
        <v>29000</v>
      </c>
      <c r="AZ80" s="38"/>
      <c r="BA80" s="115">
        <f t="shared" si="221"/>
        <v>-1</v>
      </c>
      <c r="BB80" s="77">
        <f t="shared" si="222"/>
        <v>-1</v>
      </c>
      <c r="BC80" s="8">
        <f>'2023년 실적'!BD80</f>
        <v>27144</v>
      </c>
      <c r="BD80" s="38">
        <v>27548</v>
      </c>
      <c r="BE80" s="38"/>
      <c r="BF80" s="115">
        <f t="shared" si="223"/>
        <v>-1</v>
      </c>
      <c r="BG80" s="10">
        <f t="shared" si="224"/>
        <v>-1</v>
      </c>
      <c r="BH80" s="52">
        <f>'2023년 실적'!BI80</f>
        <v>30214</v>
      </c>
      <c r="BI80" s="38">
        <v>35500</v>
      </c>
      <c r="BJ80" s="38"/>
      <c r="BK80" s="115">
        <f t="shared" si="225"/>
        <v>-1</v>
      </c>
      <c r="BL80" s="77">
        <f t="shared" si="226"/>
        <v>-1</v>
      </c>
      <c r="BM80" s="8">
        <f>'2023년 실적'!BN80</f>
        <v>34230</v>
      </c>
      <c r="BN80" s="38">
        <v>34820</v>
      </c>
      <c r="BO80" s="38"/>
      <c r="BP80" s="115">
        <f t="shared" si="227"/>
        <v>-1</v>
      </c>
      <c r="BQ80" s="10">
        <f t="shared" si="228"/>
        <v>-1</v>
      </c>
      <c r="BR80" s="52">
        <f>'2023년 실적'!BS80</f>
        <v>31654</v>
      </c>
      <c r="BS80" s="38">
        <v>31281</v>
      </c>
      <c r="BT80" s="38"/>
      <c r="BU80" s="115">
        <f t="shared" si="229"/>
        <v>-1</v>
      </c>
      <c r="BV80" s="10">
        <f t="shared" si="230"/>
        <v>-1</v>
      </c>
    </row>
    <row r="81" spans="2:74" x14ac:dyDescent="0.3">
      <c r="B81" s="301"/>
      <c r="C81" s="301"/>
      <c r="D81" s="312"/>
      <c r="E81" s="67" t="s">
        <v>21</v>
      </c>
      <c r="F81" s="45">
        <f>'2023년 실적'!F81</f>
        <v>394629</v>
      </c>
      <c r="G81" s="39">
        <f>'2023년 실적'!G81</f>
        <v>419768</v>
      </c>
      <c r="H81" s="39">
        <v>574000</v>
      </c>
      <c r="I81" s="33">
        <f t="shared" si="204"/>
        <v>0.36742200453583895</v>
      </c>
      <c r="J81" s="107">
        <f t="shared" si="236"/>
        <v>419768</v>
      </c>
      <c r="K81" s="87">
        <f t="shared" si="237"/>
        <v>571751</v>
      </c>
      <c r="L81" s="87">
        <f t="shared" si="238"/>
        <v>46154</v>
      </c>
      <c r="M81" s="88">
        <f t="shared" si="205"/>
        <v>-0.91927604848963973</v>
      </c>
      <c r="N81" s="15">
        <f t="shared" si="206"/>
        <v>-0.89004878885479599</v>
      </c>
      <c r="O81" s="13">
        <f>'2023년 실적'!P81</f>
        <v>24520</v>
      </c>
      <c r="P81" s="39">
        <v>45920</v>
      </c>
      <c r="Q81" s="39">
        <v>23114</v>
      </c>
      <c r="R81" s="88">
        <f t="shared" si="207"/>
        <v>-0.49664634146341469</v>
      </c>
      <c r="S81" s="15">
        <f t="shared" si="208"/>
        <v>-5.7340946166394735E-2</v>
      </c>
      <c r="T81" s="45">
        <f>'2023년 실적'!U81</f>
        <v>42820</v>
      </c>
      <c r="U81" s="39">
        <v>45920</v>
      </c>
      <c r="V81" s="39">
        <v>23040</v>
      </c>
      <c r="W81" s="88">
        <f t="shared" si="209"/>
        <v>-0.49825783972125437</v>
      </c>
      <c r="X81" s="33">
        <f t="shared" si="210"/>
        <v>-0.46193367585240541</v>
      </c>
      <c r="Y81" s="13">
        <f>'2023년 실적'!Z81</f>
        <v>27988</v>
      </c>
      <c r="Z81" s="39">
        <v>45920</v>
      </c>
      <c r="AA81" s="39"/>
      <c r="AB81" s="88">
        <f t="shared" si="211"/>
        <v>-1</v>
      </c>
      <c r="AC81" s="15">
        <f t="shared" si="212"/>
        <v>-1</v>
      </c>
      <c r="AD81" s="45">
        <f>'2023년 실적'!AE81</f>
        <v>27340</v>
      </c>
      <c r="AE81" s="39">
        <v>45920</v>
      </c>
      <c r="AF81" s="39"/>
      <c r="AG81" s="88">
        <f t="shared" si="213"/>
        <v>-1</v>
      </c>
      <c r="AH81" s="33">
        <f t="shared" si="214"/>
        <v>-1</v>
      </c>
      <c r="AI81" s="13">
        <f>'2023년 실적'!AJ81</f>
        <v>29937</v>
      </c>
      <c r="AJ81" s="39">
        <v>44380</v>
      </c>
      <c r="AK81" s="39"/>
      <c r="AL81" s="88">
        <f t="shared" si="215"/>
        <v>-1</v>
      </c>
      <c r="AM81" s="15">
        <f t="shared" si="216"/>
        <v>-1</v>
      </c>
      <c r="AN81" s="45">
        <f>'2023년 실적'!AO81</f>
        <v>31700</v>
      </c>
      <c r="AO81" s="39">
        <v>44279</v>
      </c>
      <c r="AP81" s="39"/>
      <c r="AQ81" s="88">
        <f t="shared" si="217"/>
        <v>-1</v>
      </c>
      <c r="AR81" s="33">
        <f t="shared" si="218"/>
        <v>-1</v>
      </c>
      <c r="AS81" s="13">
        <f>'2023년 실적'!AT81</f>
        <v>33415</v>
      </c>
      <c r="AT81" s="39">
        <v>43698</v>
      </c>
      <c r="AU81" s="39"/>
      <c r="AV81" s="88">
        <f t="shared" si="219"/>
        <v>-1</v>
      </c>
      <c r="AW81" s="15">
        <f t="shared" si="220"/>
        <v>-1</v>
      </c>
      <c r="AX81" s="45">
        <f>'2023년 실적'!AY81</f>
        <v>33368</v>
      </c>
      <c r="AY81" s="39">
        <v>46891</v>
      </c>
      <c r="AZ81" s="39"/>
      <c r="BA81" s="88">
        <f t="shared" si="221"/>
        <v>-1</v>
      </c>
      <c r="BB81" s="33">
        <f t="shared" si="222"/>
        <v>-1</v>
      </c>
      <c r="BC81" s="13">
        <f>'2023년 실적'!BD81</f>
        <v>32470</v>
      </c>
      <c r="BD81" s="39">
        <v>44543</v>
      </c>
      <c r="BE81" s="39"/>
      <c r="BF81" s="88">
        <f t="shared" si="223"/>
        <v>-1</v>
      </c>
      <c r="BG81" s="15">
        <f t="shared" si="224"/>
        <v>-1</v>
      </c>
      <c r="BH81" s="45">
        <f>'2023년 실적'!BI81</f>
        <v>39064</v>
      </c>
      <c r="BI81" s="39">
        <v>57400</v>
      </c>
      <c r="BJ81" s="39"/>
      <c r="BK81" s="88">
        <f t="shared" si="225"/>
        <v>-1</v>
      </c>
      <c r="BL81" s="33">
        <f t="shared" si="226"/>
        <v>-1</v>
      </c>
      <c r="BM81" s="13">
        <f>'2023년 실적'!BN81</f>
        <v>62218</v>
      </c>
      <c r="BN81" s="39">
        <v>56301</v>
      </c>
      <c r="BO81" s="39"/>
      <c r="BP81" s="88">
        <f t="shared" si="227"/>
        <v>-1</v>
      </c>
      <c r="BQ81" s="15">
        <f t="shared" si="228"/>
        <v>-1</v>
      </c>
      <c r="BR81" s="45">
        <f>'2023년 실적'!BS81</f>
        <v>34928</v>
      </c>
      <c r="BS81" s="39">
        <v>50579</v>
      </c>
      <c r="BT81" s="39"/>
      <c r="BU81" s="88">
        <f t="shared" si="229"/>
        <v>-1</v>
      </c>
      <c r="BV81" s="15">
        <f t="shared" si="230"/>
        <v>-1</v>
      </c>
    </row>
    <row r="82" spans="2:74" x14ac:dyDescent="0.3">
      <c r="B82" s="301"/>
      <c r="C82" s="301"/>
      <c r="D82" s="312"/>
      <c r="E82" s="67" t="s">
        <v>27</v>
      </c>
      <c r="F82" s="45">
        <f>'2023년 실적'!F82</f>
        <v>398047</v>
      </c>
      <c r="G82" s="39">
        <f>'2023년 실적'!G82</f>
        <v>207830</v>
      </c>
      <c r="H82" s="39">
        <v>260000</v>
      </c>
      <c r="I82" s="33">
        <f t="shared" si="204"/>
        <v>0.25102247028821623</v>
      </c>
      <c r="J82" s="107">
        <f t="shared" si="236"/>
        <v>210150</v>
      </c>
      <c r="K82" s="87">
        <f t="shared" si="237"/>
        <v>258981</v>
      </c>
      <c r="L82" s="87">
        <f t="shared" si="238"/>
        <v>21983</v>
      </c>
      <c r="M82" s="88">
        <f t="shared" si="205"/>
        <v>-0.91511732520918521</v>
      </c>
      <c r="N82" s="15">
        <f t="shared" si="206"/>
        <v>-0.89539376635736379</v>
      </c>
      <c r="O82" s="13">
        <f>'2023년 실적'!P82</f>
        <v>24502</v>
      </c>
      <c r="P82" s="39">
        <v>20800</v>
      </c>
      <c r="Q82" s="39">
        <v>13981</v>
      </c>
      <c r="R82" s="88">
        <f t="shared" si="207"/>
        <v>-0.32783653846153848</v>
      </c>
      <c r="S82" s="15">
        <f t="shared" si="208"/>
        <v>-0.42939351889641664</v>
      </c>
      <c r="T82" s="45">
        <f>'2023년 실적'!U82</f>
        <v>24132</v>
      </c>
      <c r="U82" s="39">
        <v>20800</v>
      </c>
      <c r="V82" s="39">
        <v>8002</v>
      </c>
      <c r="W82" s="88">
        <f t="shared" si="209"/>
        <v>-0.61528846153846151</v>
      </c>
      <c r="X82" s="33">
        <f t="shared" si="210"/>
        <v>-0.66840709431460299</v>
      </c>
      <c r="Y82" s="13">
        <f>'2023년 실적'!Z82</f>
        <v>30839</v>
      </c>
      <c r="Z82" s="39">
        <v>20800</v>
      </c>
      <c r="AA82" s="39"/>
      <c r="AB82" s="88">
        <f t="shared" si="211"/>
        <v>-1</v>
      </c>
      <c r="AC82" s="15">
        <f t="shared" si="212"/>
        <v>-1</v>
      </c>
      <c r="AD82" s="45">
        <f>'2023년 실적'!AE82</f>
        <v>12990</v>
      </c>
      <c r="AE82" s="39">
        <v>20800</v>
      </c>
      <c r="AF82" s="39"/>
      <c r="AG82" s="88">
        <f t="shared" si="213"/>
        <v>-1</v>
      </c>
      <c r="AH82" s="33">
        <f t="shared" si="214"/>
        <v>-1</v>
      </c>
      <c r="AI82" s="13">
        <f>'2023년 실적'!AJ82</f>
        <v>18058</v>
      </c>
      <c r="AJ82" s="39">
        <v>20102</v>
      </c>
      <c r="AK82" s="39"/>
      <c r="AL82" s="88">
        <f t="shared" si="215"/>
        <v>-1</v>
      </c>
      <c r="AM82" s="15">
        <f t="shared" si="216"/>
        <v>-1</v>
      </c>
      <c r="AN82" s="45">
        <f>'2023년 실적'!AO82</f>
        <v>15305</v>
      </c>
      <c r="AO82" s="39">
        <v>20057</v>
      </c>
      <c r="AP82" s="39"/>
      <c r="AQ82" s="88">
        <f t="shared" si="217"/>
        <v>-1</v>
      </c>
      <c r="AR82" s="33">
        <f t="shared" si="218"/>
        <v>-1</v>
      </c>
      <c r="AS82" s="13">
        <f>'2023년 실적'!AT82</f>
        <v>20578</v>
      </c>
      <c r="AT82" s="39">
        <v>19794</v>
      </c>
      <c r="AU82" s="39"/>
      <c r="AV82" s="88">
        <f t="shared" si="219"/>
        <v>-1</v>
      </c>
      <c r="AW82" s="15">
        <f t="shared" si="220"/>
        <v>-1</v>
      </c>
      <c r="AX82" s="45">
        <f>'2023년 실적'!AY82</f>
        <v>7942</v>
      </c>
      <c r="AY82" s="39">
        <v>21240</v>
      </c>
      <c r="AZ82" s="39"/>
      <c r="BA82" s="88">
        <f t="shared" si="221"/>
        <v>-1</v>
      </c>
      <c r="BB82" s="33">
        <f t="shared" si="222"/>
        <v>-1</v>
      </c>
      <c r="BC82" s="13">
        <f>'2023년 실적'!BD82</f>
        <v>11650</v>
      </c>
      <c r="BD82" s="39">
        <v>20176</v>
      </c>
      <c r="BE82" s="39"/>
      <c r="BF82" s="88">
        <f t="shared" si="223"/>
        <v>-1</v>
      </c>
      <c r="BG82" s="15">
        <f t="shared" si="224"/>
        <v>-1</v>
      </c>
      <c r="BH82" s="45">
        <f>'2023년 실적'!BI82</f>
        <v>6298</v>
      </c>
      <c r="BI82" s="39">
        <v>26000</v>
      </c>
      <c r="BJ82" s="39"/>
      <c r="BK82" s="88">
        <f t="shared" si="225"/>
        <v>-1</v>
      </c>
      <c r="BL82" s="33">
        <f t="shared" si="226"/>
        <v>-1</v>
      </c>
      <c r="BM82" s="13">
        <f>'2023년 실적'!BN82</f>
        <v>21384</v>
      </c>
      <c r="BN82" s="39">
        <v>25502</v>
      </c>
      <c r="BO82" s="39"/>
      <c r="BP82" s="88">
        <f t="shared" si="227"/>
        <v>-1</v>
      </c>
      <c r="BQ82" s="15">
        <f t="shared" si="228"/>
        <v>-1</v>
      </c>
      <c r="BR82" s="45">
        <f>'2023년 실적'!BS82</f>
        <v>16472</v>
      </c>
      <c r="BS82" s="39">
        <v>22910</v>
      </c>
      <c r="BT82" s="39"/>
      <c r="BU82" s="88">
        <f t="shared" si="229"/>
        <v>-1</v>
      </c>
      <c r="BV82" s="15">
        <f t="shared" si="230"/>
        <v>-1</v>
      </c>
    </row>
    <row r="83" spans="2:74" ht="17.25" thickBot="1" x14ac:dyDescent="0.35">
      <c r="B83" s="301"/>
      <c r="C83" s="301"/>
      <c r="D83" s="313"/>
      <c r="E83" s="193" t="s">
        <v>53</v>
      </c>
      <c r="F83" s="194">
        <f>SUM(F80:F82)</f>
        <v>1067180</v>
      </c>
      <c r="G83" s="195">
        <f>SUM(G80:G82)</f>
        <v>949549</v>
      </c>
      <c r="H83" s="195">
        <f>SUM(H80:H82)</f>
        <v>1189000</v>
      </c>
      <c r="I83" s="196">
        <f t="shared" si="204"/>
        <v>0.25217340021420687</v>
      </c>
      <c r="J83" s="197">
        <f t="shared" ref="J83:L83" si="239">SUM(J80:J82)</f>
        <v>951869</v>
      </c>
      <c r="K83" s="195">
        <f t="shared" si="239"/>
        <v>1184339</v>
      </c>
      <c r="L83" s="195">
        <f t="shared" si="239"/>
        <v>117069</v>
      </c>
      <c r="M83" s="198">
        <f t="shared" si="205"/>
        <v>-0.90115245719342185</v>
      </c>
      <c r="N83" s="199">
        <f t="shared" si="206"/>
        <v>-0.87701143749822719</v>
      </c>
      <c r="O83" s="197">
        <f t="shared" ref="O83:Q83" si="240">SUM(O80:O82)</f>
        <v>71904</v>
      </c>
      <c r="P83" s="195">
        <f t="shared" si="240"/>
        <v>95120</v>
      </c>
      <c r="Q83" s="195">
        <f t="shared" si="240"/>
        <v>62554</v>
      </c>
      <c r="R83" s="198">
        <f t="shared" si="207"/>
        <v>-0.34236753574432299</v>
      </c>
      <c r="S83" s="199">
        <f t="shared" si="208"/>
        <v>-0.13003449043168669</v>
      </c>
      <c r="T83" s="194">
        <f>SUM(T80:T82)</f>
        <v>92533</v>
      </c>
      <c r="U83" s="195">
        <f>SUM(U80:U82)</f>
        <v>95120</v>
      </c>
      <c r="V83" s="195">
        <f>SUM(V80:V82)</f>
        <v>54515</v>
      </c>
      <c r="W83" s="198">
        <f t="shared" si="209"/>
        <v>-0.42688183347350717</v>
      </c>
      <c r="X83" s="196">
        <f t="shared" si="210"/>
        <v>-0.41085882874217849</v>
      </c>
      <c r="Y83" s="197">
        <f>SUM(Y80:Y82)</f>
        <v>80793</v>
      </c>
      <c r="Z83" s="195">
        <f>SUM(Z80:Z82)</f>
        <v>95120</v>
      </c>
      <c r="AA83" s="195">
        <f>SUM(AA80:AA82)</f>
        <v>0</v>
      </c>
      <c r="AB83" s="198">
        <f t="shared" si="211"/>
        <v>-1</v>
      </c>
      <c r="AC83" s="199">
        <f t="shared" si="212"/>
        <v>-1</v>
      </c>
      <c r="AD83" s="194">
        <f>SUM(AD80:AD82)</f>
        <v>64197</v>
      </c>
      <c r="AE83" s="195">
        <f>SUM(AE80:AE82)</f>
        <v>95120</v>
      </c>
      <c r="AF83" s="195">
        <f>SUM(AF80:AF82)</f>
        <v>0</v>
      </c>
      <c r="AG83" s="198">
        <f t="shared" si="213"/>
        <v>-1</v>
      </c>
      <c r="AH83" s="196">
        <f t="shared" si="214"/>
        <v>-1</v>
      </c>
      <c r="AI83" s="197">
        <f>SUM(AI80:AI82)</f>
        <v>74272</v>
      </c>
      <c r="AJ83" s="195">
        <f>SUM(AJ80:AJ82)</f>
        <v>91929</v>
      </c>
      <c r="AK83" s="195">
        <f>SUM(AK80:AK82)</f>
        <v>0</v>
      </c>
      <c r="AL83" s="198">
        <f t="shared" si="215"/>
        <v>-1</v>
      </c>
      <c r="AM83" s="199">
        <f t="shared" si="216"/>
        <v>-1</v>
      </c>
      <c r="AN83" s="194">
        <f>SUM(AN80:AN82)</f>
        <v>75349</v>
      </c>
      <c r="AO83" s="195">
        <f>SUM(AO80:AO82)</f>
        <v>91721</v>
      </c>
      <c r="AP83" s="195">
        <f>SUM(AP80:AP82)</f>
        <v>0</v>
      </c>
      <c r="AQ83" s="198">
        <f t="shared" si="217"/>
        <v>-1</v>
      </c>
      <c r="AR83" s="196">
        <f t="shared" si="218"/>
        <v>-1</v>
      </c>
      <c r="AS83" s="197">
        <f>SUM(AS80:AS82)</f>
        <v>78911</v>
      </c>
      <c r="AT83" s="195">
        <f>SUM(AT80:AT82)</f>
        <v>90518</v>
      </c>
      <c r="AU83" s="195">
        <f>SUM(AU80:AU82)</f>
        <v>0</v>
      </c>
      <c r="AV83" s="198">
        <f t="shared" si="219"/>
        <v>-1</v>
      </c>
      <c r="AW83" s="199">
        <f t="shared" si="220"/>
        <v>-1</v>
      </c>
      <c r="AX83" s="194">
        <f>SUM(AX80:AX82)</f>
        <v>66184</v>
      </c>
      <c r="AY83" s="195">
        <f>SUM(AY80:AY82)</f>
        <v>97131</v>
      </c>
      <c r="AZ83" s="195">
        <f>SUM(AZ80:AZ82)</f>
        <v>0</v>
      </c>
      <c r="BA83" s="198">
        <f t="shared" si="221"/>
        <v>-1</v>
      </c>
      <c r="BB83" s="196">
        <f t="shared" si="222"/>
        <v>-1</v>
      </c>
      <c r="BC83" s="197">
        <f>SUM(BC80:BC82)</f>
        <v>71264</v>
      </c>
      <c r="BD83" s="195">
        <f>SUM(BD80:BD82)</f>
        <v>92267</v>
      </c>
      <c r="BE83" s="195">
        <f>SUM(BE80:BE82)</f>
        <v>0</v>
      </c>
      <c r="BF83" s="198">
        <f t="shared" si="223"/>
        <v>-1</v>
      </c>
      <c r="BG83" s="199">
        <f t="shared" si="224"/>
        <v>-1</v>
      </c>
      <c r="BH83" s="194">
        <f>SUM(BH80:BH82)</f>
        <v>75576</v>
      </c>
      <c r="BI83" s="195">
        <f>SUM(BI80:BI82)</f>
        <v>118900</v>
      </c>
      <c r="BJ83" s="195">
        <f>SUM(BJ80:BJ82)</f>
        <v>0</v>
      </c>
      <c r="BK83" s="198">
        <f t="shared" si="225"/>
        <v>-1</v>
      </c>
      <c r="BL83" s="196">
        <f t="shared" si="226"/>
        <v>-1</v>
      </c>
      <c r="BM83" s="197">
        <f>SUM(BM80:BM82)</f>
        <v>117832</v>
      </c>
      <c r="BN83" s="195">
        <f>SUM(BN80:BN82)</f>
        <v>116623</v>
      </c>
      <c r="BO83" s="195">
        <f>SUM(BO80:BO82)</f>
        <v>0</v>
      </c>
      <c r="BP83" s="198">
        <f t="shared" si="227"/>
        <v>-1</v>
      </c>
      <c r="BQ83" s="199">
        <f t="shared" si="228"/>
        <v>-1</v>
      </c>
      <c r="BR83" s="194">
        <f>SUM(BR80:BR82)</f>
        <v>83054</v>
      </c>
      <c r="BS83" s="195">
        <f>SUM(BS80:BS82)</f>
        <v>104770</v>
      </c>
      <c r="BT83" s="195">
        <f>SUM(BT80:BT82)</f>
        <v>0</v>
      </c>
      <c r="BU83" s="198">
        <f t="shared" si="229"/>
        <v>-1</v>
      </c>
      <c r="BV83" s="199">
        <f t="shared" si="230"/>
        <v>-1</v>
      </c>
    </row>
    <row r="84" spans="2:74" x14ac:dyDescent="0.3">
      <c r="B84" s="301"/>
      <c r="C84" s="301"/>
      <c r="D84" s="314" t="s">
        <v>54</v>
      </c>
      <c r="E84" s="191" t="s">
        <v>22</v>
      </c>
      <c r="F84" s="56">
        <f>'2023년 실적'!F84</f>
        <v>255674</v>
      </c>
      <c r="G84" s="41">
        <f>'2023년 실적'!G84</f>
        <v>265892</v>
      </c>
      <c r="H84" s="41">
        <v>300000</v>
      </c>
      <c r="I84" s="81">
        <f t="shared" si="204"/>
        <v>0.12827764656326623</v>
      </c>
      <c r="J84" s="129">
        <f t="shared" ref="J84:J87" si="241">O84+T84+Y84+AD84+AI84+AN84+AS84+AX84+BC84+BH84+BM84+BR84</f>
        <v>294977</v>
      </c>
      <c r="K84" s="130">
        <f t="shared" ref="K84:K87" si="242">P84+U84+Z84+AE84+AJ84+AO84+AT84+AY84+BD84+BI84+BN84+BS84</f>
        <v>298823</v>
      </c>
      <c r="L84" s="130">
        <f t="shared" ref="L84:L87" si="243">Q84+V84+AA84+AF84+AK84+AP84+AU84+AZ84+BE84+BJ84+BO84+BT84</f>
        <v>47610</v>
      </c>
      <c r="M84" s="112">
        <f t="shared" si="205"/>
        <v>-0.84067491458154153</v>
      </c>
      <c r="N84" s="23">
        <f t="shared" si="206"/>
        <v>-0.83859758557446851</v>
      </c>
      <c r="O84" s="21">
        <f>'2023년 실적'!P84</f>
        <v>19273</v>
      </c>
      <c r="P84" s="41">
        <v>24000</v>
      </c>
      <c r="Q84" s="41">
        <v>24956</v>
      </c>
      <c r="R84" s="112">
        <f t="shared" si="207"/>
        <v>3.9833333333333387E-2</v>
      </c>
      <c r="S84" s="23">
        <f t="shared" si="208"/>
        <v>0.29486846884242213</v>
      </c>
      <c r="T84" s="56">
        <f>'2023년 실적'!U84</f>
        <v>32026</v>
      </c>
      <c r="U84" s="41">
        <v>24000</v>
      </c>
      <c r="V84" s="41">
        <v>22654</v>
      </c>
      <c r="W84" s="112">
        <f t="shared" si="209"/>
        <v>-5.6083333333333374E-2</v>
      </c>
      <c r="X84" s="81">
        <f t="shared" si="210"/>
        <v>-0.2926372322487979</v>
      </c>
      <c r="Y84" s="21">
        <f>'2023년 실적'!Z84</f>
        <v>19043</v>
      </c>
      <c r="Z84" s="41">
        <v>24000</v>
      </c>
      <c r="AA84" s="41"/>
      <c r="AB84" s="112">
        <f t="shared" si="211"/>
        <v>-1</v>
      </c>
      <c r="AC84" s="23">
        <f t="shared" si="212"/>
        <v>-1</v>
      </c>
      <c r="AD84" s="56">
        <f>'2023년 실적'!AE84</f>
        <v>20732</v>
      </c>
      <c r="AE84" s="41">
        <v>24000</v>
      </c>
      <c r="AF84" s="41"/>
      <c r="AG84" s="112">
        <f t="shared" si="213"/>
        <v>-1</v>
      </c>
      <c r="AH84" s="81">
        <f t="shared" si="214"/>
        <v>-1</v>
      </c>
      <c r="AI84" s="21">
        <f>'2023년 실적'!AJ84</f>
        <v>23468</v>
      </c>
      <c r="AJ84" s="41">
        <v>23195</v>
      </c>
      <c r="AK84" s="41"/>
      <c r="AL84" s="112">
        <f t="shared" si="215"/>
        <v>-1</v>
      </c>
      <c r="AM84" s="23">
        <f t="shared" si="216"/>
        <v>-1</v>
      </c>
      <c r="AN84" s="56">
        <f>'2023년 실적'!AO84</f>
        <v>24188</v>
      </c>
      <c r="AO84" s="41">
        <v>23142</v>
      </c>
      <c r="AP84" s="41"/>
      <c r="AQ84" s="112">
        <f t="shared" si="217"/>
        <v>-1</v>
      </c>
      <c r="AR84" s="81">
        <f t="shared" si="218"/>
        <v>-1</v>
      </c>
      <c r="AS84" s="21">
        <f>'2023년 실적'!AT84</f>
        <v>22316</v>
      </c>
      <c r="AT84" s="41">
        <v>22839</v>
      </c>
      <c r="AU84" s="41"/>
      <c r="AV84" s="112">
        <f t="shared" si="219"/>
        <v>-1</v>
      </c>
      <c r="AW84" s="23">
        <f t="shared" si="220"/>
        <v>-1</v>
      </c>
      <c r="AX84" s="56">
        <f>'2023년 실적'!AY84</f>
        <v>25544</v>
      </c>
      <c r="AY84" s="41">
        <v>24507</v>
      </c>
      <c r="AZ84" s="41"/>
      <c r="BA84" s="112">
        <f t="shared" si="221"/>
        <v>-1</v>
      </c>
      <c r="BB84" s="81">
        <f t="shared" si="222"/>
        <v>-1</v>
      </c>
      <c r="BC84" s="21">
        <f>'2023년 실적'!BD84</f>
        <v>24514</v>
      </c>
      <c r="BD84" s="41">
        <v>23280</v>
      </c>
      <c r="BE84" s="41"/>
      <c r="BF84" s="112">
        <f t="shared" si="223"/>
        <v>-1</v>
      </c>
      <c r="BG84" s="23">
        <f t="shared" si="224"/>
        <v>-1</v>
      </c>
      <c r="BH84" s="56">
        <f>'2023년 실적'!BI84</f>
        <v>27828</v>
      </c>
      <c r="BI84" s="41">
        <v>30000</v>
      </c>
      <c r="BJ84" s="41"/>
      <c r="BK84" s="112">
        <f t="shared" si="225"/>
        <v>-1</v>
      </c>
      <c r="BL84" s="81">
        <f t="shared" si="226"/>
        <v>-1</v>
      </c>
      <c r="BM84" s="21">
        <f>'2023년 실적'!BN84</f>
        <v>30920</v>
      </c>
      <c r="BN84" s="41">
        <v>29425</v>
      </c>
      <c r="BO84" s="41"/>
      <c r="BP84" s="112">
        <f t="shared" si="227"/>
        <v>-1</v>
      </c>
      <c r="BQ84" s="23">
        <f t="shared" si="228"/>
        <v>-1</v>
      </c>
      <c r="BR84" s="56">
        <f>'2023년 실적'!BS84</f>
        <v>25125</v>
      </c>
      <c r="BS84" s="41">
        <v>26435</v>
      </c>
      <c r="BT84" s="41"/>
      <c r="BU84" s="112">
        <f t="shared" si="229"/>
        <v>-1</v>
      </c>
      <c r="BV84" s="23">
        <f t="shared" si="230"/>
        <v>-1</v>
      </c>
    </row>
    <row r="85" spans="2:74" x14ac:dyDescent="0.3">
      <c r="B85" s="301"/>
      <c r="C85" s="301"/>
      <c r="D85" s="312"/>
      <c r="E85" s="67" t="s">
        <v>23</v>
      </c>
      <c r="F85" s="45">
        <f>'2023년 실적'!F85</f>
        <v>583012</v>
      </c>
      <c r="G85" s="39">
        <f>'2023년 실적'!G85</f>
        <v>554782</v>
      </c>
      <c r="H85" s="39">
        <v>600300</v>
      </c>
      <c r="I85" s="33">
        <f t="shared" si="204"/>
        <v>8.2046641743964255E-2</v>
      </c>
      <c r="J85" s="107">
        <f t="shared" si="241"/>
        <v>611068</v>
      </c>
      <c r="K85" s="87">
        <f t="shared" si="242"/>
        <v>597947</v>
      </c>
      <c r="L85" s="87">
        <f t="shared" si="243"/>
        <v>93030</v>
      </c>
      <c r="M85" s="88">
        <f t="shared" si="205"/>
        <v>-0.84441764905585281</v>
      </c>
      <c r="N85" s="15">
        <f t="shared" si="206"/>
        <v>-0.84775835095275809</v>
      </c>
      <c r="O85" s="13">
        <f>'2023년 실적'!P85</f>
        <v>50990</v>
      </c>
      <c r="P85" s="39">
        <v>48024</v>
      </c>
      <c r="Q85" s="39">
        <v>51458</v>
      </c>
      <c r="R85" s="88">
        <f t="shared" si="207"/>
        <v>7.1505913709811741E-2</v>
      </c>
      <c r="S85" s="15">
        <f t="shared" si="208"/>
        <v>9.1782702490683654E-3</v>
      </c>
      <c r="T85" s="45">
        <f>'2023년 실적'!U85</f>
        <v>45016</v>
      </c>
      <c r="U85" s="39">
        <v>48024</v>
      </c>
      <c r="V85" s="39">
        <v>41572</v>
      </c>
      <c r="W85" s="88">
        <f t="shared" si="209"/>
        <v>-0.13434949192070633</v>
      </c>
      <c r="X85" s="33">
        <f t="shared" si="210"/>
        <v>-7.6506131153367685E-2</v>
      </c>
      <c r="Y85" s="13">
        <f>'2023년 실적'!Z85</f>
        <v>75300</v>
      </c>
      <c r="Z85" s="39">
        <v>48024</v>
      </c>
      <c r="AA85" s="39"/>
      <c r="AB85" s="88">
        <f t="shared" si="211"/>
        <v>-1</v>
      </c>
      <c r="AC85" s="15">
        <f t="shared" si="212"/>
        <v>-1</v>
      </c>
      <c r="AD85" s="45">
        <f>'2023년 실적'!AE85</f>
        <v>37975</v>
      </c>
      <c r="AE85" s="39">
        <v>48024</v>
      </c>
      <c r="AF85" s="39"/>
      <c r="AG85" s="88">
        <f t="shared" si="213"/>
        <v>-1</v>
      </c>
      <c r="AH85" s="33">
        <f t="shared" si="214"/>
        <v>-1</v>
      </c>
      <c r="AI85" s="13">
        <f>'2023년 실적'!AJ85</f>
        <v>44598</v>
      </c>
      <c r="AJ85" s="39">
        <v>46413</v>
      </c>
      <c r="AK85" s="39"/>
      <c r="AL85" s="88">
        <f t="shared" si="215"/>
        <v>-1</v>
      </c>
      <c r="AM85" s="15">
        <f t="shared" si="216"/>
        <v>-1</v>
      </c>
      <c r="AN85" s="45">
        <f>'2023년 실적'!AO85</f>
        <v>50986</v>
      </c>
      <c r="AO85" s="39">
        <v>46308</v>
      </c>
      <c r="AP85" s="39"/>
      <c r="AQ85" s="88">
        <f t="shared" si="217"/>
        <v>-1</v>
      </c>
      <c r="AR85" s="33">
        <f t="shared" si="218"/>
        <v>-1</v>
      </c>
      <c r="AS85" s="13">
        <f>'2023년 실적'!AT85</f>
        <v>48452</v>
      </c>
      <c r="AT85" s="39">
        <v>45701</v>
      </c>
      <c r="AU85" s="39"/>
      <c r="AV85" s="88">
        <f t="shared" si="219"/>
        <v>-1</v>
      </c>
      <c r="AW85" s="15">
        <f t="shared" si="220"/>
        <v>-1</v>
      </c>
      <c r="AX85" s="45">
        <f>'2023년 실적'!AY85</f>
        <v>45980</v>
      </c>
      <c r="AY85" s="39">
        <v>49039</v>
      </c>
      <c r="AZ85" s="39"/>
      <c r="BA85" s="88">
        <f t="shared" si="221"/>
        <v>-1</v>
      </c>
      <c r="BB85" s="33">
        <f t="shared" si="222"/>
        <v>-1</v>
      </c>
      <c r="BC85" s="13">
        <f>'2023년 실적'!BD85</f>
        <v>47436</v>
      </c>
      <c r="BD85" s="39">
        <v>46584</v>
      </c>
      <c r="BE85" s="39"/>
      <c r="BF85" s="88">
        <f t="shared" si="223"/>
        <v>-1</v>
      </c>
      <c r="BG85" s="15">
        <f t="shared" si="224"/>
        <v>-1</v>
      </c>
      <c r="BH85" s="45">
        <f>'2023년 실적'!BI85</f>
        <v>54452</v>
      </c>
      <c r="BI85" s="39">
        <v>60030</v>
      </c>
      <c r="BJ85" s="39"/>
      <c r="BK85" s="88">
        <f t="shared" si="225"/>
        <v>-1</v>
      </c>
      <c r="BL85" s="33">
        <f t="shared" si="226"/>
        <v>-1</v>
      </c>
      <c r="BM85" s="13">
        <f>'2023년 실적'!BN85</f>
        <v>64781</v>
      </c>
      <c r="BN85" s="39">
        <v>58880</v>
      </c>
      <c r="BO85" s="39"/>
      <c r="BP85" s="88">
        <f t="shared" si="227"/>
        <v>-1</v>
      </c>
      <c r="BQ85" s="15">
        <f t="shared" si="228"/>
        <v>-1</v>
      </c>
      <c r="BR85" s="45">
        <f>'2023년 실적'!BS85</f>
        <v>45102</v>
      </c>
      <c r="BS85" s="39">
        <v>52896</v>
      </c>
      <c r="BT85" s="39"/>
      <c r="BU85" s="88">
        <f t="shared" si="229"/>
        <v>-1</v>
      </c>
      <c r="BV85" s="15">
        <f t="shared" si="230"/>
        <v>-1</v>
      </c>
    </row>
    <row r="86" spans="2:74" x14ac:dyDescent="0.3">
      <c r="B86" s="301"/>
      <c r="C86" s="301"/>
      <c r="D86" s="312"/>
      <c r="E86" s="67" t="s">
        <v>24</v>
      </c>
      <c r="F86" s="45">
        <f>'2023년 실적'!F86</f>
        <v>255841</v>
      </c>
      <c r="G86" s="39">
        <f>'2023년 실적'!G86</f>
        <v>316827</v>
      </c>
      <c r="H86" s="39">
        <v>355000</v>
      </c>
      <c r="I86" s="33">
        <f t="shared" si="204"/>
        <v>0.12048531217352054</v>
      </c>
      <c r="J86" s="107">
        <f t="shared" si="241"/>
        <v>231456</v>
      </c>
      <c r="K86" s="87">
        <f t="shared" si="242"/>
        <v>353607</v>
      </c>
      <c r="L86" s="87">
        <f t="shared" si="243"/>
        <v>41197</v>
      </c>
      <c r="M86" s="88">
        <f t="shared" si="205"/>
        <v>-0.88349495343700779</v>
      </c>
      <c r="N86" s="15">
        <f t="shared" si="206"/>
        <v>-0.82200936679109637</v>
      </c>
      <c r="O86" s="13">
        <f>'2023년 실적'!P86</f>
        <v>19114</v>
      </c>
      <c r="P86" s="39">
        <v>28400</v>
      </c>
      <c r="Q86" s="39">
        <v>21467</v>
      </c>
      <c r="R86" s="88">
        <f t="shared" si="207"/>
        <v>-0.24411971830985912</v>
      </c>
      <c r="S86" s="15">
        <f t="shared" si="208"/>
        <v>0.12310348435701579</v>
      </c>
      <c r="T86" s="45">
        <f>'2023년 실적'!U86</f>
        <v>23518</v>
      </c>
      <c r="U86" s="39">
        <v>28400</v>
      </c>
      <c r="V86" s="39">
        <v>19730</v>
      </c>
      <c r="W86" s="88">
        <f t="shared" si="209"/>
        <v>-0.30528169014084505</v>
      </c>
      <c r="X86" s="33">
        <f t="shared" si="210"/>
        <v>-0.16106811803724808</v>
      </c>
      <c r="Y86" s="13">
        <f>'2023년 실적'!Z86</f>
        <v>18054</v>
      </c>
      <c r="Z86" s="39">
        <v>28400</v>
      </c>
      <c r="AA86" s="39"/>
      <c r="AB86" s="88">
        <f t="shared" si="211"/>
        <v>-1</v>
      </c>
      <c r="AC86" s="15">
        <f t="shared" si="212"/>
        <v>-1</v>
      </c>
      <c r="AD86" s="45">
        <f>'2023년 실적'!AE86</f>
        <v>15328</v>
      </c>
      <c r="AE86" s="39">
        <v>28400</v>
      </c>
      <c r="AF86" s="39"/>
      <c r="AG86" s="88">
        <f t="shared" si="213"/>
        <v>-1</v>
      </c>
      <c r="AH86" s="33">
        <f t="shared" si="214"/>
        <v>-1</v>
      </c>
      <c r="AI86" s="13">
        <f>'2023년 실적'!AJ86</f>
        <v>17800</v>
      </c>
      <c r="AJ86" s="39">
        <v>27447</v>
      </c>
      <c r="AK86" s="39"/>
      <c r="AL86" s="88">
        <f t="shared" si="215"/>
        <v>-1</v>
      </c>
      <c r="AM86" s="15">
        <f t="shared" si="216"/>
        <v>-1</v>
      </c>
      <c r="AN86" s="45">
        <f>'2023년 실적'!AO86</f>
        <v>20036</v>
      </c>
      <c r="AO86" s="39">
        <v>27385</v>
      </c>
      <c r="AP86" s="39"/>
      <c r="AQ86" s="88">
        <f t="shared" si="217"/>
        <v>-1</v>
      </c>
      <c r="AR86" s="33">
        <f t="shared" si="218"/>
        <v>-1</v>
      </c>
      <c r="AS86" s="13">
        <f>'2023년 실적'!AT86</f>
        <v>19118</v>
      </c>
      <c r="AT86" s="39">
        <v>27026</v>
      </c>
      <c r="AU86" s="39"/>
      <c r="AV86" s="88">
        <f t="shared" si="219"/>
        <v>-1</v>
      </c>
      <c r="AW86" s="15">
        <f t="shared" si="220"/>
        <v>-1</v>
      </c>
      <c r="AX86" s="45">
        <f>'2023년 실적'!AY86</f>
        <v>17860</v>
      </c>
      <c r="AY86" s="39">
        <v>29000</v>
      </c>
      <c r="AZ86" s="39"/>
      <c r="BA86" s="88">
        <f t="shared" si="221"/>
        <v>-1</v>
      </c>
      <c r="BB86" s="33">
        <f t="shared" si="222"/>
        <v>-1</v>
      </c>
      <c r="BC86" s="13">
        <f>'2023년 실적'!BD86</f>
        <v>17672</v>
      </c>
      <c r="BD86" s="39">
        <v>27548</v>
      </c>
      <c r="BE86" s="39"/>
      <c r="BF86" s="88">
        <f t="shared" si="223"/>
        <v>-1</v>
      </c>
      <c r="BG86" s="15">
        <f t="shared" si="224"/>
        <v>-1</v>
      </c>
      <c r="BH86" s="45">
        <f>'2023년 실적'!BI86</f>
        <v>21934</v>
      </c>
      <c r="BI86" s="39">
        <v>35500</v>
      </c>
      <c r="BJ86" s="39"/>
      <c r="BK86" s="88">
        <f t="shared" si="225"/>
        <v>-1</v>
      </c>
      <c r="BL86" s="33">
        <f t="shared" si="226"/>
        <v>-1</v>
      </c>
      <c r="BM86" s="13">
        <f>'2023년 실적'!BN86</f>
        <v>23514</v>
      </c>
      <c r="BN86" s="39">
        <v>34820</v>
      </c>
      <c r="BO86" s="39"/>
      <c r="BP86" s="88">
        <f t="shared" si="227"/>
        <v>-1</v>
      </c>
      <c r="BQ86" s="15">
        <f t="shared" si="228"/>
        <v>-1</v>
      </c>
      <c r="BR86" s="45">
        <f>'2023년 실적'!BS86</f>
        <v>17508</v>
      </c>
      <c r="BS86" s="39">
        <v>31281</v>
      </c>
      <c r="BT86" s="39"/>
      <c r="BU86" s="88">
        <f t="shared" si="229"/>
        <v>-1</v>
      </c>
      <c r="BV86" s="15">
        <f t="shared" si="230"/>
        <v>-1</v>
      </c>
    </row>
    <row r="87" spans="2:74" x14ac:dyDescent="0.3">
      <c r="B87" s="301"/>
      <c r="C87" s="301"/>
      <c r="D87" s="312"/>
      <c r="E87" s="67" t="s">
        <v>27</v>
      </c>
      <c r="F87" s="45">
        <f>'2023년 실적'!F87</f>
        <v>621242</v>
      </c>
      <c r="G87" s="39">
        <f>'2023년 실적'!G87</f>
        <v>666952</v>
      </c>
      <c r="H87" s="39">
        <v>750000</v>
      </c>
      <c r="I87" s="33">
        <f t="shared" si="204"/>
        <v>0.12451870599383463</v>
      </c>
      <c r="J87" s="107">
        <f t="shared" si="241"/>
        <v>666952</v>
      </c>
      <c r="K87" s="87">
        <f t="shared" si="242"/>
        <v>747069</v>
      </c>
      <c r="L87" s="87">
        <f t="shared" si="243"/>
        <v>81892</v>
      </c>
      <c r="M87" s="88">
        <f t="shared" si="205"/>
        <v>-0.890382280619327</v>
      </c>
      <c r="N87" s="15">
        <f t="shared" si="206"/>
        <v>-0.87721455217167055</v>
      </c>
      <c r="O87" s="13">
        <f>'2023년 실적'!P87</f>
        <v>69905</v>
      </c>
      <c r="P87" s="39">
        <v>60000</v>
      </c>
      <c r="Q87" s="39">
        <v>41892</v>
      </c>
      <c r="R87" s="88">
        <f t="shared" si="207"/>
        <v>-0.30179999999999996</v>
      </c>
      <c r="S87" s="15">
        <f t="shared" si="208"/>
        <v>-0.40072956154781492</v>
      </c>
      <c r="T87" s="45">
        <f>'2023년 실적'!U87</f>
        <v>38673</v>
      </c>
      <c r="U87" s="39">
        <v>60000</v>
      </c>
      <c r="V87" s="39">
        <v>40000</v>
      </c>
      <c r="W87" s="88">
        <f t="shared" si="209"/>
        <v>-0.33333333333333337</v>
      </c>
      <c r="X87" s="33">
        <f t="shared" si="210"/>
        <v>3.431334522793672E-2</v>
      </c>
      <c r="Y87" s="13">
        <f>'2023년 실적'!Z87</f>
        <v>51187</v>
      </c>
      <c r="Z87" s="39">
        <v>60000</v>
      </c>
      <c r="AA87" s="39"/>
      <c r="AB87" s="88">
        <f t="shared" si="211"/>
        <v>-1</v>
      </c>
      <c r="AC87" s="15">
        <f t="shared" si="212"/>
        <v>-1</v>
      </c>
      <c r="AD87" s="45">
        <f>'2023년 실적'!AE87</f>
        <v>43489</v>
      </c>
      <c r="AE87" s="39">
        <v>60000</v>
      </c>
      <c r="AF87" s="39"/>
      <c r="AG87" s="88">
        <f t="shared" si="213"/>
        <v>-1</v>
      </c>
      <c r="AH87" s="33">
        <f t="shared" si="214"/>
        <v>-1</v>
      </c>
      <c r="AI87" s="13">
        <f>'2023년 실적'!AJ87</f>
        <v>48780</v>
      </c>
      <c r="AJ87" s="39">
        <v>57987</v>
      </c>
      <c r="AK87" s="39"/>
      <c r="AL87" s="88">
        <f t="shared" si="215"/>
        <v>-1</v>
      </c>
      <c r="AM87" s="15">
        <f t="shared" si="216"/>
        <v>-1</v>
      </c>
      <c r="AN87" s="45">
        <f>'2023년 실적'!AO87</f>
        <v>54835</v>
      </c>
      <c r="AO87" s="39">
        <v>57865</v>
      </c>
      <c r="AP87" s="39"/>
      <c r="AQ87" s="88">
        <f t="shared" si="217"/>
        <v>-1</v>
      </c>
      <c r="AR87" s="33">
        <f t="shared" si="218"/>
        <v>-1</v>
      </c>
      <c r="AS87" s="13">
        <f>'2023년 실적'!AT87</f>
        <v>44913</v>
      </c>
      <c r="AT87" s="39">
        <v>57097</v>
      </c>
      <c r="AU87" s="39"/>
      <c r="AV87" s="88">
        <f t="shared" si="219"/>
        <v>-1</v>
      </c>
      <c r="AW87" s="15">
        <f t="shared" si="220"/>
        <v>-1</v>
      </c>
      <c r="AX87" s="45">
        <f>'2023년 실적'!AY87</f>
        <v>59304</v>
      </c>
      <c r="AY87" s="39">
        <v>61268</v>
      </c>
      <c r="AZ87" s="39"/>
      <c r="BA87" s="88">
        <f t="shared" si="221"/>
        <v>-1</v>
      </c>
      <c r="BB87" s="33">
        <f t="shared" si="222"/>
        <v>-1</v>
      </c>
      <c r="BC87" s="13">
        <f>'2023년 실적'!BD87</f>
        <v>51388</v>
      </c>
      <c r="BD87" s="39">
        <v>58201</v>
      </c>
      <c r="BE87" s="39"/>
      <c r="BF87" s="88">
        <f t="shared" si="223"/>
        <v>-1</v>
      </c>
      <c r="BG87" s="15">
        <f t="shared" si="224"/>
        <v>-1</v>
      </c>
      <c r="BH87" s="45">
        <f>'2023년 실적'!BI87</f>
        <v>89119</v>
      </c>
      <c r="BI87" s="39">
        <v>75000</v>
      </c>
      <c r="BJ87" s="39"/>
      <c r="BK87" s="88">
        <f t="shared" si="225"/>
        <v>-1</v>
      </c>
      <c r="BL87" s="33">
        <f t="shared" si="226"/>
        <v>-1</v>
      </c>
      <c r="BM87" s="13">
        <f>'2023년 실적'!BN87</f>
        <v>54183</v>
      </c>
      <c r="BN87" s="39">
        <v>73564</v>
      </c>
      <c r="BO87" s="39"/>
      <c r="BP87" s="88">
        <f t="shared" si="227"/>
        <v>-1</v>
      </c>
      <c r="BQ87" s="15">
        <f t="shared" si="228"/>
        <v>-1</v>
      </c>
      <c r="BR87" s="45">
        <f>'2023년 실적'!BS87</f>
        <v>61176</v>
      </c>
      <c r="BS87" s="39">
        <v>66087</v>
      </c>
      <c r="BT87" s="39"/>
      <c r="BU87" s="88">
        <f t="shared" si="229"/>
        <v>-1</v>
      </c>
      <c r="BV87" s="15">
        <f t="shared" si="230"/>
        <v>-1</v>
      </c>
    </row>
    <row r="88" spans="2:74" ht="17.25" thickBot="1" x14ac:dyDescent="0.35">
      <c r="B88" s="301"/>
      <c r="C88" s="301"/>
      <c r="D88" s="315"/>
      <c r="E88" s="200" t="s">
        <v>53</v>
      </c>
      <c r="F88" s="201">
        <f>SUM(F84:F87)</f>
        <v>1715769</v>
      </c>
      <c r="G88" s="202">
        <f>SUM(G84:G87)</f>
        <v>1804453</v>
      </c>
      <c r="H88" s="202">
        <f>SUM(H84:H87)</f>
        <v>2005300</v>
      </c>
      <c r="I88" s="203">
        <f t="shared" si="204"/>
        <v>0.11130630722994717</v>
      </c>
      <c r="J88" s="204">
        <f t="shared" ref="J88:L88" si="244">SUM(J84:J87)</f>
        <v>1804453</v>
      </c>
      <c r="K88" s="202">
        <f t="shared" si="244"/>
        <v>1997446</v>
      </c>
      <c r="L88" s="202">
        <f t="shared" si="244"/>
        <v>263729</v>
      </c>
      <c r="M88" s="205">
        <f t="shared" si="205"/>
        <v>-0.86796689372328462</v>
      </c>
      <c r="N88" s="206">
        <f t="shared" si="206"/>
        <v>-0.85384545898396913</v>
      </c>
      <c r="O88" s="204">
        <f t="shared" ref="O88:Q88" si="245">SUM(O84:O87)</f>
        <v>159282</v>
      </c>
      <c r="P88" s="202">
        <f t="shared" si="245"/>
        <v>160424</v>
      </c>
      <c r="Q88" s="202">
        <f t="shared" si="245"/>
        <v>139773</v>
      </c>
      <c r="R88" s="205">
        <f t="shared" si="207"/>
        <v>-0.12872762180222408</v>
      </c>
      <c r="S88" s="206">
        <f t="shared" si="208"/>
        <v>-0.12248088296229331</v>
      </c>
      <c r="T88" s="201">
        <f>SUM(T84:T87)</f>
        <v>139233</v>
      </c>
      <c r="U88" s="202">
        <f>SUM(U84:U87)</f>
        <v>160424</v>
      </c>
      <c r="V88" s="202">
        <f>SUM(V84:V87)</f>
        <v>123956</v>
      </c>
      <c r="W88" s="205">
        <f t="shared" si="209"/>
        <v>-0.2273225951229243</v>
      </c>
      <c r="X88" s="203">
        <f t="shared" si="210"/>
        <v>-0.10972255140663489</v>
      </c>
      <c r="Y88" s="204">
        <f>SUM(Y84:Y87)</f>
        <v>163584</v>
      </c>
      <c r="Z88" s="202">
        <f>SUM(Z84:Z87)</f>
        <v>160424</v>
      </c>
      <c r="AA88" s="202">
        <f>SUM(AA84:AA87)</f>
        <v>0</v>
      </c>
      <c r="AB88" s="205">
        <f t="shared" si="211"/>
        <v>-1</v>
      </c>
      <c r="AC88" s="206">
        <f t="shared" si="212"/>
        <v>-1</v>
      </c>
      <c r="AD88" s="201">
        <f>SUM(AD84:AD87)</f>
        <v>117524</v>
      </c>
      <c r="AE88" s="202">
        <f>SUM(AE84:AE87)</f>
        <v>160424</v>
      </c>
      <c r="AF88" s="202">
        <f>SUM(AF84:AF87)</f>
        <v>0</v>
      </c>
      <c r="AG88" s="205">
        <f t="shared" si="213"/>
        <v>-1</v>
      </c>
      <c r="AH88" s="203">
        <f t="shared" si="214"/>
        <v>-1</v>
      </c>
      <c r="AI88" s="204">
        <f>SUM(AI84:AI87)</f>
        <v>134646</v>
      </c>
      <c r="AJ88" s="202">
        <f>SUM(AJ84:AJ87)</f>
        <v>155042</v>
      </c>
      <c r="AK88" s="202">
        <f>SUM(AK84:AK87)</f>
        <v>0</v>
      </c>
      <c r="AL88" s="205">
        <f t="shared" si="215"/>
        <v>-1</v>
      </c>
      <c r="AM88" s="206">
        <f t="shared" si="216"/>
        <v>-1</v>
      </c>
      <c r="AN88" s="201">
        <f>SUM(AN84:AN87)</f>
        <v>150045</v>
      </c>
      <c r="AO88" s="202">
        <f>SUM(AO84:AO87)</f>
        <v>154700</v>
      </c>
      <c r="AP88" s="202">
        <f>SUM(AP84:AP87)</f>
        <v>0</v>
      </c>
      <c r="AQ88" s="205">
        <f t="shared" si="217"/>
        <v>-1</v>
      </c>
      <c r="AR88" s="203">
        <f t="shared" si="218"/>
        <v>-1</v>
      </c>
      <c r="AS88" s="204">
        <f>SUM(AS84:AS87)</f>
        <v>134799</v>
      </c>
      <c r="AT88" s="202">
        <f>SUM(AT84:AT87)</f>
        <v>152663</v>
      </c>
      <c r="AU88" s="202">
        <f>SUM(AU84:AU87)</f>
        <v>0</v>
      </c>
      <c r="AV88" s="205">
        <f t="shared" si="219"/>
        <v>-1</v>
      </c>
      <c r="AW88" s="206">
        <f t="shared" si="220"/>
        <v>-1</v>
      </c>
      <c r="AX88" s="201">
        <f>SUM(AX84:AX87)</f>
        <v>148688</v>
      </c>
      <c r="AY88" s="202">
        <f>SUM(AY84:AY87)</f>
        <v>163814</v>
      </c>
      <c r="AZ88" s="202">
        <f>SUM(AZ84:AZ87)</f>
        <v>0</v>
      </c>
      <c r="BA88" s="205">
        <f t="shared" si="221"/>
        <v>-1</v>
      </c>
      <c r="BB88" s="203">
        <f t="shared" si="222"/>
        <v>-1</v>
      </c>
      <c r="BC88" s="204">
        <f>SUM(BC84:BC87)</f>
        <v>141010</v>
      </c>
      <c r="BD88" s="202">
        <f>SUM(BD84:BD87)</f>
        <v>155613</v>
      </c>
      <c r="BE88" s="202">
        <f>SUM(BE84:BE87)</f>
        <v>0</v>
      </c>
      <c r="BF88" s="205">
        <f t="shared" si="223"/>
        <v>-1</v>
      </c>
      <c r="BG88" s="206">
        <f t="shared" si="224"/>
        <v>-1</v>
      </c>
      <c r="BH88" s="201">
        <f>SUM(BH84:BH87)</f>
        <v>193333</v>
      </c>
      <c r="BI88" s="202">
        <f>SUM(BI84:BI87)</f>
        <v>200530</v>
      </c>
      <c r="BJ88" s="202">
        <f>SUM(BJ84:BJ87)</f>
        <v>0</v>
      </c>
      <c r="BK88" s="205">
        <f t="shared" si="225"/>
        <v>-1</v>
      </c>
      <c r="BL88" s="203">
        <f t="shared" si="226"/>
        <v>-1</v>
      </c>
      <c r="BM88" s="204">
        <f>SUM(BM84:BM87)</f>
        <v>173398</v>
      </c>
      <c r="BN88" s="202">
        <f>SUM(BN84:BN87)</f>
        <v>196689</v>
      </c>
      <c r="BO88" s="202">
        <f>SUM(BO84:BO87)</f>
        <v>0</v>
      </c>
      <c r="BP88" s="205">
        <f t="shared" si="227"/>
        <v>-1</v>
      </c>
      <c r="BQ88" s="206">
        <f t="shared" si="228"/>
        <v>-1</v>
      </c>
      <c r="BR88" s="201">
        <f>SUM(BR84:BR87)</f>
        <v>148911</v>
      </c>
      <c r="BS88" s="202">
        <f>SUM(BS84:BS87)</f>
        <v>176699</v>
      </c>
      <c r="BT88" s="202">
        <f>SUM(BT84:BT87)</f>
        <v>0</v>
      </c>
      <c r="BU88" s="205">
        <f t="shared" si="229"/>
        <v>-1</v>
      </c>
      <c r="BV88" s="206">
        <f t="shared" si="230"/>
        <v>-1</v>
      </c>
    </row>
    <row r="89" spans="2:74" x14ac:dyDescent="0.3">
      <c r="B89" s="301"/>
      <c r="C89" s="301"/>
      <c r="D89" s="311" t="s">
        <v>55</v>
      </c>
      <c r="E89" s="192" t="s">
        <v>25</v>
      </c>
      <c r="F89" s="52">
        <f>'2023년 실적'!F89</f>
        <v>492921</v>
      </c>
      <c r="G89" s="38">
        <f>'2023년 실적'!G89</f>
        <v>567346</v>
      </c>
      <c r="H89" s="38">
        <v>646000</v>
      </c>
      <c r="I89" s="77">
        <f t="shared" si="204"/>
        <v>0.13863497759744492</v>
      </c>
      <c r="J89" s="131">
        <f t="shared" ref="J89:J90" si="246">O89+T89+Y89+AD89+AI89+AN89+AS89+AX89+BC89+BH89+BM89+BR89</f>
        <v>567346</v>
      </c>
      <c r="K89" s="132">
        <f t="shared" ref="K89:K90" si="247">P89+U89+Z89+AE89+AJ89+AO89+AT89+AY89+BD89+BI89+BN89+BS89</f>
        <v>643467</v>
      </c>
      <c r="L89" s="132">
        <f t="shared" ref="L89:L90" si="248">Q89+V89+AA89+AF89+AK89+AP89+AU89+AZ89+BE89+BJ89+BO89+BT89</f>
        <v>83226</v>
      </c>
      <c r="M89" s="115">
        <f t="shared" si="205"/>
        <v>-0.87066003384788959</v>
      </c>
      <c r="N89" s="10">
        <f t="shared" si="206"/>
        <v>-0.85330644791714405</v>
      </c>
      <c r="O89" s="8">
        <f>'2023년 실적'!P89</f>
        <v>34826</v>
      </c>
      <c r="P89" s="38">
        <v>51680</v>
      </c>
      <c r="Q89" s="38">
        <v>44434</v>
      </c>
      <c r="R89" s="115">
        <f t="shared" si="207"/>
        <v>-0.14020897832817336</v>
      </c>
      <c r="S89" s="10">
        <f t="shared" si="208"/>
        <v>0.27588583242405096</v>
      </c>
      <c r="T89" s="52">
        <f>'2023년 실적'!U89</f>
        <v>64908</v>
      </c>
      <c r="U89" s="38">
        <v>51680</v>
      </c>
      <c r="V89" s="38">
        <v>38792</v>
      </c>
      <c r="W89" s="115">
        <f t="shared" si="209"/>
        <v>-0.24938080495356041</v>
      </c>
      <c r="X89" s="77">
        <f t="shared" si="210"/>
        <v>-0.40235410118937576</v>
      </c>
      <c r="Y89" s="8">
        <f>'2023년 실적'!Z89</f>
        <v>35386</v>
      </c>
      <c r="Z89" s="38">
        <v>51680</v>
      </c>
      <c r="AA89" s="38"/>
      <c r="AB89" s="115">
        <f t="shared" si="211"/>
        <v>-1</v>
      </c>
      <c r="AC89" s="10">
        <f t="shared" si="212"/>
        <v>-1</v>
      </c>
      <c r="AD89" s="52">
        <f>'2023년 실적'!AE89</f>
        <v>36862</v>
      </c>
      <c r="AE89" s="38">
        <v>51680</v>
      </c>
      <c r="AF89" s="38"/>
      <c r="AG89" s="115">
        <f t="shared" si="213"/>
        <v>-1</v>
      </c>
      <c r="AH89" s="77">
        <f t="shared" si="214"/>
        <v>-1</v>
      </c>
      <c r="AI89" s="8">
        <f>'2023년 실적'!AJ89</f>
        <v>40524</v>
      </c>
      <c r="AJ89" s="38">
        <v>49946</v>
      </c>
      <c r="AK89" s="38"/>
      <c r="AL89" s="115">
        <f t="shared" si="215"/>
        <v>-1</v>
      </c>
      <c r="AM89" s="10">
        <f t="shared" si="216"/>
        <v>-1</v>
      </c>
      <c r="AN89" s="52">
        <f>'2023년 실적'!AO89</f>
        <v>43794</v>
      </c>
      <c r="AO89" s="38">
        <v>49833</v>
      </c>
      <c r="AP89" s="38"/>
      <c r="AQ89" s="115">
        <f t="shared" si="217"/>
        <v>-1</v>
      </c>
      <c r="AR89" s="77">
        <f t="shared" si="218"/>
        <v>-1</v>
      </c>
      <c r="AS89" s="8">
        <f>'2023년 실적'!AT89</f>
        <v>48814</v>
      </c>
      <c r="AT89" s="38">
        <v>49180</v>
      </c>
      <c r="AU89" s="38"/>
      <c r="AV89" s="115">
        <f t="shared" si="219"/>
        <v>-1</v>
      </c>
      <c r="AW89" s="10">
        <f t="shared" si="220"/>
        <v>-1</v>
      </c>
      <c r="AX89" s="52">
        <f>'2023년 실적'!AY89</f>
        <v>45134</v>
      </c>
      <c r="AY89" s="38">
        <v>52772</v>
      </c>
      <c r="AZ89" s="38"/>
      <c r="BA89" s="115">
        <f t="shared" si="221"/>
        <v>-1</v>
      </c>
      <c r="BB89" s="77">
        <f t="shared" si="222"/>
        <v>-1</v>
      </c>
      <c r="BC89" s="8">
        <f>'2023년 실적'!BD89</f>
        <v>42492</v>
      </c>
      <c r="BD89" s="38">
        <v>50130</v>
      </c>
      <c r="BE89" s="38"/>
      <c r="BF89" s="115">
        <f t="shared" si="223"/>
        <v>-1</v>
      </c>
      <c r="BG89" s="10">
        <f t="shared" si="224"/>
        <v>-1</v>
      </c>
      <c r="BH89" s="52">
        <f>'2023년 실적'!BI89</f>
        <v>50076</v>
      </c>
      <c r="BI89" s="38">
        <v>64600</v>
      </c>
      <c r="BJ89" s="38"/>
      <c r="BK89" s="115">
        <f t="shared" si="225"/>
        <v>-1</v>
      </c>
      <c r="BL89" s="77">
        <f t="shared" si="226"/>
        <v>-1</v>
      </c>
      <c r="BM89" s="8">
        <f>'2023년 실적'!BN89</f>
        <v>82518</v>
      </c>
      <c r="BN89" s="38">
        <v>63363</v>
      </c>
      <c r="BO89" s="38"/>
      <c r="BP89" s="115">
        <f t="shared" si="227"/>
        <v>-1</v>
      </c>
      <c r="BQ89" s="10">
        <f t="shared" si="228"/>
        <v>-1</v>
      </c>
      <c r="BR89" s="52">
        <f>'2023년 실적'!BS89</f>
        <v>42012</v>
      </c>
      <c r="BS89" s="38">
        <v>56923</v>
      </c>
      <c r="BT89" s="38"/>
      <c r="BU89" s="115">
        <f t="shared" si="229"/>
        <v>-1</v>
      </c>
      <c r="BV89" s="10">
        <f t="shared" si="230"/>
        <v>-1</v>
      </c>
    </row>
    <row r="90" spans="2:74" x14ac:dyDescent="0.3">
      <c r="B90" s="301"/>
      <c r="C90" s="301"/>
      <c r="D90" s="312"/>
      <c r="E90" s="67" t="s">
        <v>27</v>
      </c>
      <c r="F90" s="45">
        <f>'2023년 실적'!F90</f>
        <v>7464</v>
      </c>
      <c r="G90" s="39">
        <f>'2023년 실적'!G90</f>
        <v>12804</v>
      </c>
      <c r="H90" s="39">
        <v>14000</v>
      </c>
      <c r="I90" s="33">
        <f t="shared" si="204"/>
        <v>9.3408309903155295E-2</v>
      </c>
      <c r="J90" s="107">
        <f t="shared" si="246"/>
        <v>12804</v>
      </c>
      <c r="K90" s="87">
        <f t="shared" si="247"/>
        <v>13945</v>
      </c>
      <c r="L90" s="87">
        <f t="shared" si="248"/>
        <v>0</v>
      </c>
      <c r="M90" s="88">
        <f t="shared" si="205"/>
        <v>-1</v>
      </c>
      <c r="N90" s="15">
        <f t="shared" si="206"/>
        <v>-1</v>
      </c>
      <c r="O90" s="13">
        <f>'2023년 실적'!P90</f>
        <v>2260</v>
      </c>
      <c r="P90" s="39">
        <v>1120</v>
      </c>
      <c r="Q90" s="39"/>
      <c r="R90" s="88">
        <f t="shared" si="207"/>
        <v>-1</v>
      </c>
      <c r="S90" s="15">
        <f t="shared" si="208"/>
        <v>-1</v>
      </c>
      <c r="T90" s="45">
        <f>'2023년 실적'!U90</f>
        <v>400</v>
      </c>
      <c r="U90" s="39">
        <v>1120</v>
      </c>
      <c r="V90" s="39"/>
      <c r="W90" s="88">
        <f t="shared" si="209"/>
        <v>-1</v>
      </c>
      <c r="X90" s="33">
        <f t="shared" si="210"/>
        <v>-1</v>
      </c>
      <c r="Y90" s="13">
        <f>'2023년 실적'!Z90</f>
        <v>0</v>
      </c>
      <c r="Z90" s="39">
        <v>1120</v>
      </c>
      <c r="AA90" s="39"/>
      <c r="AB90" s="88">
        <f t="shared" si="211"/>
        <v>-1</v>
      </c>
      <c r="AC90" s="15" t="e">
        <f t="shared" si="212"/>
        <v>#DIV/0!</v>
      </c>
      <c r="AD90" s="45">
        <f>'2023년 실적'!AE90</f>
        <v>1584</v>
      </c>
      <c r="AE90" s="39">
        <v>1120</v>
      </c>
      <c r="AF90" s="39"/>
      <c r="AG90" s="88">
        <f t="shared" si="213"/>
        <v>-1</v>
      </c>
      <c r="AH90" s="33">
        <f t="shared" si="214"/>
        <v>-1</v>
      </c>
      <c r="AI90" s="13">
        <f>'2023년 실적'!AJ90</f>
        <v>440</v>
      </c>
      <c r="AJ90" s="39">
        <v>1082</v>
      </c>
      <c r="AK90" s="39"/>
      <c r="AL90" s="88">
        <f t="shared" si="215"/>
        <v>-1</v>
      </c>
      <c r="AM90" s="15">
        <f t="shared" si="216"/>
        <v>-1</v>
      </c>
      <c r="AN90" s="45">
        <f>'2023년 실적'!AO90</f>
        <v>120</v>
      </c>
      <c r="AO90" s="39">
        <v>1080</v>
      </c>
      <c r="AP90" s="39"/>
      <c r="AQ90" s="88">
        <f t="shared" si="217"/>
        <v>-1</v>
      </c>
      <c r="AR90" s="33">
        <f t="shared" si="218"/>
        <v>-1</v>
      </c>
      <c r="AS90" s="13">
        <f>'2023년 실적'!AT90</f>
        <v>120</v>
      </c>
      <c r="AT90" s="39">
        <v>1066</v>
      </c>
      <c r="AU90" s="39"/>
      <c r="AV90" s="88">
        <f t="shared" si="219"/>
        <v>-1</v>
      </c>
      <c r="AW90" s="15">
        <f t="shared" si="220"/>
        <v>-1</v>
      </c>
      <c r="AX90" s="45">
        <f>'2023년 실적'!AY90</f>
        <v>2340</v>
      </c>
      <c r="AY90" s="39">
        <v>1144</v>
      </c>
      <c r="AZ90" s="39"/>
      <c r="BA90" s="88">
        <f t="shared" si="221"/>
        <v>-1</v>
      </c>
      <c r="BB90" s="33">
        <f t="shared" si="222"/>
        <v>-1</v>
      </c>
      <c r="BC90" s="13">
        <f>'2023년 실적'!BD90</f>
        <v>1084</v>
      </c>
      <c r="BD90" s="39">
        <v>1086</v>
      </c>
      <c r="BE90" s="39"/>
      <c r="BF90" s="88">
        <f t="shared" si="223"/>
        <v>-1</v>
      </c>
      <c r="BG90" s="15">
        <f t="shared" si="224"/>
        <v>-1</v>
      </c>
      <c r="BH90" s="45">
        <f>'2023년 실적'!BI90</f>
        <v>2372</v>
      </c>
      <c r="BI90" s="39">
        <v>1400</v>
      </c>
      <c r="BJ90" s="39"/>
      <c r="BK90" s="88">
        <f t="shared" si="225"/>
        <v>-1</v>
      </c>
      <c r="BL90" s="33">
        <f t="shared" si="226"/>
        <v>-1</v>
      </c>
      <c r="BM90" s="13">
        <f>'2023년 실적'!BN90</f>
        <v>256</v>
      </c>
      <c r="BN90" s="39">
        <v>1373</v>
      </c>
      <c r="BO90" s="39"/>
      <c r="BP90" s="88">
        <f t="shared" si="227"/>
        <v>-1</v>
      </c>
      <c r="BQ90" s="15">
        <f t="shared" si="228"/>
        <v>-1</v>
      </c>
      <c r="BR90" s="45">
        <f>'2023년 실적'!BS90</f>
        <v>1828</v>
      </c>
      <c r="BS90" s="39">
        <v>1234</v>
      </c>
      <c r="BT90" s="39"/>
      <c r="BU90" s="88">
        <f t="shared" si="229"/>
        <v>-1</v>
      </c>
      <c r="BV90" s="15">
        <f t="shared" si="230"/>
        <v>-1</v>
      </c>
    </row>
    <row r="91" spans="2:74" ht="17.25" thickBot="1" x14ac:dyDescent="0.35">
      <c r="B91" s="301"/>
      <c r="C91" s="301"/>
      <c r="D91" s="313"/>
      <c r="E91" s="193" t="s">
        <v>53</v>
      </c>
      <c r="F91" s="194">
        <f>SUM(F89:F90)</f>
        <v>500385</v>
      </c>
      <c r="G91" s="195">
        <f>SUM(G89:G90)</f>
        <v>580150</v>
      </c>
      <c r="H91" s="195">
        <f>SUM(H89:H90)</f>
        <v>660000</v>
      </c>
      <c r="I91" s="196">
        <f t="shared" si="204"/>
        <v>0.13763681806429373</v>
      </c>
      <c r="J91" s="197">
        <f t="shared" ref="J91:L91" si="249">SUM(J89:J90)</f>
        <v>580150</v>
      </c>
      <c r="K91" s="195">
        <f t="shared" si="249"/>
        <v>657412</v>
      </c>
      <c r="L91" s="195">
        <f t="shared" si="249"/>
        <v>83226</v>
      </c>
      <c r="M91" s="198">
        <f t="shared" si="205"/>
        <v>-0.87340358861718381</v>
      </c>
      <c r="N91" s="199">
        <f t="shared" si="206"/>
        <v>-0.85654399724209251</v>
      </c>
      <c r="O91" s="197">
        <f t="shared" ref="O91:Q91" si="250">SUM(O89:O90)</f>
        <v>37086</v>
      </c>
      <c r="P91" s="195">
        <f t="shared" si="250"/>
        <v>52800</v>
      </c>
      <c r="Q91" s="195">
        <f t="shared" si="250"/>
        <v>44434</v>
      </c>
      <c r="R91" s="198">
        <f t="shared" si="207"/>
        <v>-0.1584469696969697</v>
      </c>
      <c r="S91" s="199">
        <f t="shared" si="208"/>
        <v>0.19813406676373835</v>
      </c>
      <c r="T91" s="194">
        <f>SUM(T89:T90)</f>
        <v>65308</v>
      </c>
      <c r="U91" s="195">
        <f>SUM(U89:U90)</f>
        <v>52800</v>
      </c>
      <c r="V91" s="195">
        <f>SUM(V89:V90)</f>
        <v>38792</v>
      </c>
      <c r="W91" s="198">
        <f t="shared" si="209"/>
        <v>-0.26530303030303026</v>
      </c>
      <c r="X91" s="196">
        <f t="shared" si="210"/>
        <v>-0.40601457708090893</v>
      </c>
      <c r="Y91" s="197">
        <f>SUM(Y89:Y90)</f>
        <v>35386</v>
      </c>
      <c r="Z91" s="195">
        <f>SUM(Z89:Z90)</f>
        <v>52800</v>
      </c>
      <c r="AA91" s="195">
        <f>SUM(AA89:AA90)</f>
        <v>0</v>
      </c>
      <c r="AB91" s="198">
        <f t="shared" si="211"/>
        <v>-1</v>
      </c>
      <c r="AC91" s="199">
        <f t="shared" si="212"/>
        <v>-1</v>
      </c>
      <c r="AD91" s="194">
        <f>SUM(AD89:AD90)</f>
        <v>38446</v>
      </c>
      <c r="AE91" s="195">
        <f>SUM(AE89:AE90)</f>
        <v>52800</v>
      </c>
      <c r="AF91" s="195">
        <f>SUM(AF89:AF90)</f>
        <v>0</v>
      </c>
      <c r="AG91" s="198">
        <f t="shared" si="213"/>
        <v>-1</v>
      </c>
      <c r="AH91" s="196">
        <f t="shared" si="214"/>
        <v>-1</v>
      </c>
      <c r="AI91" s="197">
        <f>SUM(AI89:AI90)</f>
        <v>40964</v>
      </c>
      <c r="AJ91" s="195">
        <f>SUM(AJ89:AJ90)</f>
        <v>51028</v>
      </c>
      <c r="AK91" s="195">
        <f>SUM(AK89:AK90)</f>
        <v>0</v>
      </c>
      <c r="AL91" s="198">
        <f t="shared" si="215"/>
        <v>-1</v>
      </c>
      <c r="AM91" s="199">
        <f t="shared" si="216"/>
        <v>-1</v>
      </c>
      <c r="AN91" s="194">
        <f>SUM(AN89:AN90)</f>
        <v>43914</v>
      </c>
      <c r="AO91" s="195">
        <f>SUM(AO89:AO90)</f>
        <v>50913</v>
      </c>
      <c r="AP91" s="195">
        <f>SUM(AP89:AP90)</f>
        <v>0</v>
      </c>
      <c r="AQ91" s="198">
        <f t="shared" si="217"/>
        <v>-1</v>
      </c>
      <c r="AR91" s="196">
        <f t="shared" si="218"/>
        <v>-1</v>
      </c>
      <c r="AS91" s="197">
        <f>SUM(AS89:AS90)</f>
        <v>48934</v>
      </c>
      <c r="AT91" s="195">
        <f>SUM(AT89:AT90)</f>
        <v>50246</v>
      </c>
      <c r="AU91" s="195">
        <f>SUM(AU89:AU90)</f>
        <v>0</v>
      </c>
      <c r="AV91" s="198">
        <f t="shared" si="219"/>
        <v>-1</v>
      </c>
      <c r="AW91" s="199">
        <f t="shared" si="220"/>
        <v>-1</v>
      </c>
      <c r="AX91" s="194">
        <f>SUM(AX89:AX90)</f>
        <v>47474</v>
      </c>
      <c r="AY91" s="195">
        <f>SUM(AY89:AY90)</f>
        <v>53916</v>
      </c>
      <c r="AZ91" s="195">
        <f>SUM(AZ89:AZ90)</f>
        <v>0</v>
      </c>
      <c r="BA91" s="198">
        <f t="shared" si="221"/>
        <v>-1</v>
      </c>
      <c r="BB91" s="196">
        <f t="shared" si="222"/>
        <v>-1</v>
      </c>
      <c r="BC91" s="197">
        <f>SUM(BC89:BC90)</f>
        <v>43576</v>
      </c>
      <c r="BD91" s="195">
        <f>SUM(BD89:BD90)</f>
        <v>51216</v>
      </c>
      <c r="BE91" s="195">
        <f>SUM(BE89:BE90)</f>
        <v>0</v>
      </c>
      <c r="BF91" s="198">
        <f t="shared" si="223"/>
        <v>-1</v>
      </c>
      <c r="BG91" s="199">
        <f t="shared" si="224"/>
        <v>-1</v>
      </c>
      <c r="BH91" s="194">
        <f>SUM(BH89:BH90)</f>
        <v>52448</v>
      </c>
      <c r="BI91" s="195">
        <f>SUM(BI89:BI90)</f>
        <v>66000</v>
      </c>
      <c r="BJ91" s="195">
        <f>SUM(BJ89:BJ90)</f>
        <v>0</v>
      </c>
      <c r="BK91" s="198">
        <f t="shared" si="225"/>
        <v>-1</v>
      </c>
      <c r="BL91" s="196">
        <f t="shared" si="226"/>
        <v>-1</v>
      </c>
      <c r="BM91" s="197">
        <f>SUM(BM89:BM90)</f>
        <v>82774</v>
      </c>
      <c r="BN91" s="195">
        <f>SUM(BN89:BN90)</f>
        <v>64736</v>
      </c>
      <c r="BO91" s="195">
        <f>SUM(BO89:BO90)</f>
        <v>0</v>
      </c>
      <c r="BP91" s="198">
        <f t="shared" si="227"/>
        <v>-1</v>
      </c>
      <c r="BQ91" s="199">
        <f t="shared" si="228"/>
        <v>-1</v>
      </c>
      <c r="BR91" s="194">
        <f>SUM(BR89:BR90)</f>
        <v>43840</v>
      </c>
      <c r="BS91" s="195">
        <f>SUM(BS89:BS90)</f>
        <v>58157</v>
      </c>
      <c r="BT91" s="195">
        <f>SUM(BT89:BT90)</f>
        <v>0</v>
      </c>
      <c r="BU91" s="198">
        <f t="shared" si="229"/>
        <v>-1</v>
      </c>
      <c r="BV91" s="199">
        <f t="shared" si="230"/>
        <v>-1</v>
      </c>
    </row>
    <row r="92" spans="2:74" x14ac:dyDescent="0.3">
      <c r="B92" s="301"/>
      <c r="C92" s="301"/>
      <c r="D92" s="207" t="s">
        <v>56</v>
      </c>
      <c r="E92" s="208" t="s">
        <v>26</v>
      </c>
      <c r="F92" s="209">
        <f>'2023년 실적'!F92</f>
        <v>63204</v>
      </c>
      <c r="G92" s="210">
        <f>'2023년 실적'!G92</f>
        <v>79851</v>
      </c>
      <c r="H92" s="210">
        <v>93200</v>
      </c>
      <c r="I92" s="211">
        <f t="shared" si="204"/>
        <v>0.16717386131670242</v>
      </c>
      <c r="J92" s="212">
        <f t="shared" ref="J92:J94" si="251">O92+T92+Y92+AD92+AI92+AN92+AS92+AX92+BC92+BH92+BM92+BR92</f>
        <v>79851</v>
      </c>
      <c r="K92" s="213">
        <f t="shared" ref="K92:K94" si="252">P92+U92+Z92+AE92+AJ92+AO92+AT92+AY92+BD92+BI92+BN92+BS92</f>
        <v>92834</v>
      </c>
      <c r="L92" s="213">
        <f t="shared" ref="L92:L94" si="253">Q92+V92+AA92+AF92+AK92+AP92+AU92+AZ92+BE92+BJ92+BO92+BT92</f>
        <v>12478</v>
      </c>
      <c r="M92" s="214">
        <f t="shared" si="205"/>
        <v>-0.86558803886507096</v>
      </c>
      <c r="N92" s="215">
        <f t="shared" si="206"/>
        <v>-0.84373395449023803</v>
      </c>
      <c r="O92" s="216">
        <f>'2023년 실적'!P92</f>
        <v>4644</v>
      </c>
      <c r="P92" s="210">
        <v>7456</v>
      </c>
      <c r="Q92" s="210">
        <v>6046</v>
      </c>
      <c r="R92" s="214">
        <f t="shared" si="207"/>
        <v>-0.18910944206008584</v>
      </c>
      <c r="S92" s="215">
        <f t="shared" si="208"/>
        <v>0.30189491817398784</v>
      </c>
      <c r="T92" s="56">
        <f>'2023년 실적'!U92</f>
        <v>5468</v>
      </c>
      <c r="U92" s="210">
        <v>7456</v>
      </c>
      <c r="V92" s="210">
        <v>6432</v>
      </c>
      <c r="W92" s="214">
        <f t="shared" si="209"/>
        <v>-0.13733905579399142</v>
      </c>
      <c r="X92" s="211">
        <f t="shared" si="210"/>
        <v>0.17629846378931968</v>
      </c>
      <c r="Y92" s="21">
        <f>'2023년 실적'!Z92</f>
        <v>5318</v>
      </c>
      <c r="Z92" s="210">
        <v>7456</v>
      </c>
      <c r="AA92" s="210"/>
      <c r="AB92" s="214">
        <f t="shared" si="211"/>
        <v>-1</v>
      </c>
      <c r="AC92" s="215">
        <f t="shared" si="212"/>
        <v>-1</v>
      </c>
      <c r="AD92" s="56">
        <f>'2023년 실적'!AE92</f>
        <v>5171</v>
      </c>
      <c r="AE92" s="210">
        <v>7456</v>
      </c>
      <c r="AF92" s="210"/>
      <c r="AG92" s="214">
        <f t="shared" si="213"/>
        <v>-1</v>
      </c>
      <c r="AH92" s="211">
        <f t="shared" si="214"/>
        <v>-1</v>
      </c>
      <c r="AI92" s="21">
        <f>'2023년 실적'!AJ92</f>
        <v>8324</v>
      </c>
      <c r="AJ92" s="210">
        <v>7206</v>
      </c>
      <c r="AK92" s="210"/>
      <c r="AL92" s="214">
        <f t="shared" si="215"/>
        <v>-1</v>
      </c>
      <c r="AM92" s="215">
        <f t="shared" si="216"/>
        <v>-1</v>
      </c>
      <c r="AN92" s="56">
        <f>'2023년 실적'!AO92</f>
        <v>5546</v>
      </c>
      <c r="AO92" s="210">
        <v>7190</v>
      </c>
      <c r="AP92" s="210"/>
      <c r="AQ92" s="214">
        <f t="shared" si="217"/>
        <v>-1</v>
      </c>
      <c r="AR92" s="211">
        <f t="shared" si="218"/>
        <v>-1</v>
      </c>
      <c r="AS92" s="21">
        <f>'2023년 실적'!AT92</f>
        <v>7534</v>
      </c>
      <c r="AT92" s="210">
        <v>7095</v>
      </c>
      <c r="AU92" s="210"/>
      <c r="AV92" s="214">
        <f t="shared" si="219"/>
        <v>-1</v>
      </c>
      <c r="AW92" s="215">
        <f t="shared" si="220"/>
        <v>-1</v>
      </c>
      <c r="AX92" s="56">
        <f>'2023년 실적'!AY92</f>
        <v>6522</v>
      </c>
      <c r="AY92" s="210">
        <v>7614</v>
      </c>
      <c r="AZ92" s="210"/>
      <c r="BA92" s="214">
        <f t="shared" si="221"/>
        <v>-1</v>
      </c>
      <c r="BB92" s="211">
        <f t="shared" si="222"/>
        <v>-1</v>
      </c>
      <c r="BC92" s="21">
        <f>'2023년 실적'!BD92</f>
        <v>7472</v>
      </c>
      <c r="BD92" s="210">
        <v>7232</v>
      </c>
      <c r="BE92" s="210"/>
      <c r="BF92" s="214">
        <f t="shared" si="223"/>
        <v>-1</v>
      </c>
      <c r="BG92" s="215">
        <f t="shared" si="224"/>
        <v>-1</v>
      </c>
      <c r="BH92" s="56">
        <f>'2023년 실적'!BI92</f>
        <v>6844</v>
      </c>
      <c r="BI92" s="210">
        <v>9320</v>
      </c>
      <c r="BJ92" s="210"/>
      <c r="BK92" s="214">
        <f t="shared" si="225"/>
        <v>-1</v>
      </c>
      <c r="BL92" s="211">
        <f t="shared" si="226"/>
        <v>-1</v>
      </c>
      <c r="BM92" s="21">
        <f>'2023년 실적'!BN92</f>
        <v>10654</v>
      </c>
      <c r="BN92" s="210">
        <v>9141</v>
      </c>
      <c r="BO92" s="210"/>
      <c r="BP92" s="214">
        <f t="shared" si="227"/>
        <v>-1</v>
      </c>
      <c r="BQ92" s="215">
        <f t="shared" si="228"/>
        <v>-1</v>
      </c>
      <c r="BR92" s="56">
        <f>'2023년 실적'!BS92</f>
        <v>6354</v>
      </c>
      <c r="BS92" s="210">
        <v>8212</v>
      </c>
      <c r="BT92" s="210"/>
      <c r="BU92" s="214">
        <f t="shared" si="229"/>
        <v>-1</v>
      </c>
      <c r="BV92" s="215">
        <f t="shared" si="230"/>
        <v>-1</v>
      </c>
    </row>
    <row r="93" spans="2:74" ht="17.25" thickBot="1" x14ac:dyDescent="0.35">
      <c r="B93" s="301"/>
      <c r="C93" s="301"/>
      <c r="D93" s="217" t="s">
        <v>28</v>
      </c>
      <c r="E93" s="218" t="s">
        <v>28</v>
      </c>
      <c r="F93" s="219">
        <f>'2023년 실적'!F93</f>
        <v>538774</v>
      </c>
      <c r="G93" s="220">
        <f>'2023년 실적'!G93</f>
        <v>610171</v>
      </c>
      <c r="H93" s="220">
        <v>700000</v>
      </c>
      <c r="I93" s="221">
        <f t="shared" si="204"/>
        <v>0.1472193860409623</v>
      </c>
      <c r="J93" s="222">
        <f t="shared" si="251"/>
        <v>610171</v>
      </c>
      <c r="K93" s="223">
        <f t="shared" si="252"/>
        <v>697258</v>
      </c>
      <c r="L93" s="223">
        <f t="shared" si="253"/>
        <v>66427</v>
      </c>
      <c r="M93" s="224">
        <f t="shared" si="205"/>
        <v>-0.90473110383817756</v>
      </c>
      <c r="N93" s="225">
        <f t="shared" si="206"/>
        <v>-0.89113379691922434</v>
      </c>
      <c r="O93" s="226">
        <f>'2023년 실적'!P93</f>
        <v>81684</v>
      </c>
      <c r="P93" s="220">
        <v>56000</v>
      </c>
      <c r="Q93" s="220">
        <v>21880</v>
      </c>
      <c r="R93" s="224">
        <f t="shared" si="207"/>
        <v>-0.60928571428571421</v>
      </c>
      <c r="S93" s="225">
        <f>Q93/O93-1</f>
        <v>-0.73213848489300237</v>
      </c>
      <c r="T93" s="57">
        <f>'2023년 실적'!U93</f>
        <v>17244</v>
      </c>
      <c r="U93" s="220">
        <v>56000</v>
      </c>
      <c r="V93" s="220">
        <v>44547</v>
      </c>
      <c r="W93" s="224">
        <f t="shared" si="209"/>
        <v>-0.2045178571428572</v>
      </c>
      <c r="X93" s="221">
        <f t="shared" si="210"/>
        <v>1.5833333333333335</v>
      </c>
      <c r="Y93" s="24">
        <f>'2023년 실적'!Z93</f>
        <v>53596</v>
      </c>
      <c r="Z93" s="220">
        <v>56000</v>
      </c>
      <c r="AA93" s="220"/>
      <c r="AB93" s="224">
        <f t="shared" si="211"/>
        <v>-1</v>
      </c>
      <c r="AC93" s="225">
        <f t="shared" si="212"/>
        <v>-1</v>
      </c>
      <c r="AD93" s="57">
        <f>'2023년 실적'!AE93</f>
        <v>41890</v>
      </c>
      <c r="AE93" s="220">
        <v>56000</v>
      </c>
      <c r="AF93" s="220"/>
      <c r="AG93" s="224">
        <f t="shared" si="213"/>
        <v>-1</v>
      </c>
      <c r="AH93" s="221">
        <f t="shared" si="214"/>
        <v>-1</v>
      </c>
      <c r="AI93" s="24">
        <f>'2023년 실적'!AJ93</f>
        <v>54348</v>
      </c>
      <c r="AJ93" s="220">
        <v>54122</v>
      </c>
      <c r="AK93" s="220"/>
      <c r="AL93" s="224">
        <f t="shared" si="215"/>
        <v>-1</v>
      </c>
      <c r="AM93" s="225">
        <f t="shared" si="216"/>
        <v>-1</v>
      </c>
      <c r="AN93" s="57">
        <f>'2023년 실적'!AO93</f>
        <v>36664</v>
      </c>
      <c r="AO93" s="220">
        <v>53999</v>
      </c>
      <c r="AP93" s="220"/>
      <c r="AQ93" s="224">
        <f t="shared" si="217"/>
        <v>-1</v>
      </c>
      <c r="AR93" s="221">
        <f t="shared" si="218"/>
        <v>-1</v>
      </c>
      <c r="AS93" s="24">
        <f>'2023년 실적'!AT93</f>
        <v>41556</v>
      </c>
      <c r="AT93" s="220">
        <v>53291</v>
      </c>
      <c r="AU93" s="220"/>
      <c r="AV93" s="224">
        <f t="shared" si="219"/>
        <v>-1</v>
      </c>
      <c r="AW93" s="225">
        <f t="shared" si="220"/>
        <v>-1</v>
      </c>
      <c r="AX93" s="57">
        <f>'2023년 실적'!AY93</f>
        <v>50256</v>
      </c>
      <c r="AY93" s="220">
        <v>57184</v>
      </c>
      <c r="AZ93" s="220"/>
      <c r="BA93" s="224">
        <f t="shared" si="221"/>
        <v>-1</v>
      </c>
      <c r="BB93" s="221">
        <f t="shared" si="222"/>
        <v>-1</v>
      </c>
      <c r="BC93" s="24">
        <f>'2023년 실적'!BD93</f>
        <v>46420</v>
      </c>
      <c r="BD93" s="220">
        <v>54321</v>
      </c>
      <c r="BE93" s="220"/>
      <c r="BF93" s="224">
        <f t="shared" si="223"/>
        <v>-1</v>
      </c>
      <c r="BG93" s="225">
        <f t="shared" si="224"/>
        <v>-1</v>
      </c>
      <c r="BH93" s="57">
        <f>'2023년 실적'!BI93</f>
        <v>110267</v>
      </c>
      <c r="BI93" s="220">
        <v>70000</v>
      </c>
      <c r="BJ93" s="220"/>
      <c r="BK93" s="224">
        <f t="shared" si="225"/>
        <v>-1</v>
      </c>
      <c r="BL93" s="221">
        <f t="shared" si="226"/>
        <v>-1</v>
      </c>
      <c r="BM93" s="24">
        <f>'2023년 실적'!BN93</f>
        <v>7779</v>
      </c>
      <c r="BN93" s="220">
        <v>68659</v>
      </c>
      <c r="BO93" s="220"/>
      <c r="BP93" s="224">
        <f t="shared" si="227"/>
        <v>-1</v>
      </c>
      <c r="BQ93" s="225">
        <f t="shared" si="228"/>
        <v>-1</v>
      </c>
      <c r="BR93" s="57">
        <f>'2023년 실적'!BS93</f>
        <v>68467</v>
      </c>
      <c r="BS93" s="220">
        <v>61682</v>
      </c>
      <c r="BT93" s="220"/>
      <c r="BU93" s="224">
        <f t="shared" si="229"/>
        <v>-1</v>
      </c>
      <c r="BV93" s="225">
        <f t="shared" si="230"/>
        <v>-1</v>
      </c>
    </row>
    <row r="94" spans="2:74" ht="17.25" thickBot="1" x14ac:dyDescent="0.35">
      <c r="B94" s="301" t="s">
        <v>29</v>
      </c>
      <c r="C94" s="302"/>
      <c r="D94" s="316" t="s">
        <v>30</v>
      </c>
      <c r="E94" s="317"/>
      <c r="F94" s="227">
        <f>'2023년 실적'!F94</f>
        <v>763556</v>
      </c>
      <c r="G94" s="228">
        <f>'2023년 실적'!G94</f>
        <v>835396</v>
      </c>
      <c r="H94" s="228">
        <v>890000</v>
      </c>
      <c r="I94" s="229">
        <f t="shared" si="204"/>
        <v>6.5363013469061482E-2</v>
      </c>
      <c r="J94" s="230">
        <f t="shared" si="251"/>
        <v>833004</v>
      </c>
      <c r="K94" s="231">
        <f t="shared" si="252"/>
        <v>886511</v>
      </c>
      <c r="L94" s="231">
        <f t="shared" si="253"/>
        <v>0</v>
      </c>
      <c r="M94" s="232">
        <f t="shared" si="205"/>
        <v>-1</v>
      </c>
      <c r="N94" s="233">
        <f t="shared" si="206"/>
        <v>-1</v>
      </c>
      <c r="O94" s="234">
        <f>'2023년 실적'!P94</f>
        <v>50064</v>
      </c>
      <c r="P94" s="228">
        <v>71200</v>
      </c>
      <c r="Q94" s="228"/>
      <c r="R94" s="232">
        <f t="shared" si="207"/>
        <v>-1</v>
      </c>
      <c r="S94" s="233">
        <f>Q94/O94-1</f>
        <v>-1</v>
      </c>
      <c r="T94" s="227">
        <f>'2023년 실적'!U94</f>
        <v>74084</v>
      </c>
      <c r="U94" s="228">
        <v>71200</v>
      </c>
      <c r="V94" s="228"/>
      <c r="W94" s="232">
        <f t="shared" si="209"/>
        <v>-1</v>
      </c>
      <c r="X94" s="229">
        <f t="shared" si="210"/>
        <v>-1</v>
      </c>
      <c r="Y94" s="157">
        <f>'2023년 실적'!Z94</f>
        <v>68072</v>
      </c>
      <c r="Z94" s="228">
        <v>71200</v>
      </c>
      <c r="AA94" s="228"/>
      <c r="AB94" s="232">
        <f t="shared" si="211"/>
        <v>-1</v>
      </c>
      <c r="AC94" s="233">
        <f t="shared" si="212"/>
        <v>-1</v>
      </c>
      <c r="AD94" s="235">
        <f>'2023년 실적'!AE94</f>
        <v>84535</v>
      </c>
      <c r="AE94" s="228">
        <v>71200</v>
      </c>
      <c r="AF94" s="228"/>
      <c r="AG94" s="232">
        <f t="shared" si="213"/>
        <v>-1</v>
      </c>
      <c r="AH94" s="229">
        <f t="shared" si="214"/>
        <v>-1</v>
      </c>
      <c r="AI94" s="157">
        <f>'2023년 실적'!AJ94</f>
        <v>74509</v>
      </c>
      <c r="AJ94" s="228">
        <v>68812</v>
      </c>
      <c r="AK94" s="228"/>
      <c r="AL94" s="232">
        <f t="shared" si="215"/>
        <v>-1</v>
      </c>
      <c r="AM94" s="233">
        <f t="shared" si="216"/>
        <v>-1</v>
      </c>
      <c r="AN94" s="227">
        <f>'2023년 실적'!AO94</f>
        <v>54213</v>
      </c>
      <c r="AO94" s="228">
        <v>68655</v>
      </c>
      <c r="AP94" s="228"/>
      <c r="AQ94" s="232">
        <f t="shared" si="217"/>
        <v>-1</v>
      </c>
      <c r="AR94" s="229">
        <f t="shared" si="218"/>
        <v>-1</v>
      </c>
      <c r="AS94" s="157">
        <f>'2023년 실적'!AT94</f>
        <v>72579</v>
      </c>
      <c r="AT94" s="228">
        <v>67755</v>
      </c>
      <c r="AU94" s="228"/>
      <c r="AV94" s="232">
        <f t="shared" si="219"/>
        <v>-1</v>
      </c>
      <c r="AW94" s="233">
        <f t="shared" si="220"/>
        <v>-1</v>
      </c>
      <c r="AX94" s="235">
        <f>'2023년 실적'!AY94</f>
        <v>66753</v>
      </c>
      <c r="AY94" s="228">
        <v>72705</v>
      </c>
      <c r="AZ94" s="228"/>
      <c r="BA94" s="232">
        <f t="shared" si="221"/>
        <v>-1</v>
      </c>
      <c r="BB94" s="229">
        <f t="shared" si="222"/>
        <v>-1</v>
      </c>
      <c r="BC94" s="157">
        <f>'2023년 실적'!BD94</f>
        <v>57761</v>
      </c>
      <c r="BD94" s="228">
        <v>69065</v>
      </c>
      <c r="BE94" s="228"/>
      <c r="BF94" s="232">
        <f t="shared" si="223"/>
        <v>-1</v>
      </c>
      <c r="BG94" s="233">
        <f t="shared" si="224"/>
        <v>-1</v>
      </c>
      <c r="BH94" s="235">
        <f>'2023년 실적'!BI94</f>
        <v>79856</v>
      </c>
      <c r="BI94" s="228">
        <v>89000</v>
      </c>
      <c r="BJ94" s="228"/>
      <c r="BK94" s="232">
        <f t="shared" si="225"/>
        <v>-1</v>
      </c>
      <c r="BL94" s="229">
        <f t="shared" si="226"/>
        <v>-1</v>
      </c>
      <c r="BM94" s="234">
        <f>'2023년 실적'!BN94</f>
        <v>86024</v>
      </c>
      <c r="BN94" s="228">
        <v>87295</v>
      </c>
      <c r="BO94" s="228"/>
      <c r="BP94" s="232">
        <f t="shared" si="227"/>
        <v>-1</v>
      </c>
      <c r="BQ94" s="233">
        <f t="shared" si="228"/>
        <v>-1</v>
      </c>
      <c r="BR94" s="227">
        <f>'2023년 실적'!BS94</f>
        <v>64554</v>
      </c>
      <c r="BS94" s="228">
        <v>78424</v>
      </c>
      <c r="BT94" s="228"/>
      <c r="BU94" s="232">
        <f t="shared" si="229"/>
        <v>-1</v>
      </c>
      <c r="BV94" s="233">
        <f t="shared" si="230"/>
        <v>-1</v>
      </c>
    </row>
    <row r="95" spans="2:74" ht="17.25" thickBot="1" x14ac:dyDescent="0.35">
      <c r="B95" s="312"/>
      <c r="C95" s="318" t="s">
        <v>31</v>
      </c>
      <c r="D95" s="321" t="s">
        <v>32</v>
      </c>
      <c r="E95" s="322"/>
      <c r="F95" s="56">
        <v>358721</v>
      </c>
      <c r="G95" s="41">
        <v>358721</v>
      </c>
      <c r="H95" s="41">
        <f>ROUND(H96/24,0)</f>
        <v>333555</v>
      </c>
      <c r="I95" s="81">
        <f t="shared" si="204"/>
        <v>-7.0154799969893045E-2</v>
      </c>
      <c r="J95" s="8">
        <f t="shared" ref="J95" si="254">BR95</f>
        <v>340569</v>
      </c>
      <c r="K95" s="8">
        <f t="shared" ref="K95" si="255">BS95</f>
        <v>0</v>
      </c>
      <c r="L95" s="8">
        <f t="shared" ref="L95" si="256">BT95</f>
        <v>0</v>
      </c>
      <c r="M95" s="112" t="e">
        <f t="shared" si="205"/>
        <v>#DIV/0!</v>
      </c>
      <c r="N95" s="23">
        <f t="shared" si="206"/>
        <v>-1</v>
      </c>
      <c r="O95" s="21">
        <f>'2023년 실적'!P95</f>
        <v>631428</v>
      </c>
      <c r="P95" s="41">
        <f>ROUND(P96/2,2)</f>
        <v>300952.5</v>
      </c>
      <c r="Q95" s="41">
        <v>329768</v>
      </c>
      <c r="R95" s="112"/>
      <c r="S95" s="23">
        <f t="shared" ref="S95:S105" si="257">Q95/O95-1</f>
        <v>-0.47774251379413013</v>
      </c>
      <c r="T95" s="56">
        <f>'2023년 실적'!U95</f>
        <v>356790</v>
      </c>
      <c r="U95" s="41">
        <f>U96/2</f>
        <v>333555.20333333337</v>
      </c>
      <c r="V95" s="41">
        <v>278123</v>
      </c>
      <c r="W95" s="112">
        <f t="shared" si="209"/>
        <v>-0.16618599493990815</v>
      </c>
      <c r="X95" s="81">
        <f t="shared" si="210"/>
        <v>-0.22048543961433897</v>
      </c>
      <c r="Y95" s="21">
        <f>'2023년 실적'!Z95</f>
        <v>342979</v>
      </c>
      <c r="Z95" s="41">
        <f>Z96/2</f>
        <v>333555.20333333337</v>
      </c>
      <c r="AA95" s="41"/>
      <c r="AB95" s="112">
        <f t="shared" si="211"/>
        <v>-1</v>
      </c>
      <c r="AC95" s="23">
        <f t="shared" si="212"/>
        <v>-1</v>
      </c>
      <c r="AD95" s="56">
        <f>'2023년 실적'!AE95</f>
        <v>309133</v>
      </c>
      <c r="AE95" s="41"/>
      <c r="AF95" s="41"/>
      <c r="AG95" s="112" t="e">
        <f t="shared" si="213"/>
        <v>#DIV/0!</v>
      </c>
      <c r="AH95" s="81">
        <f t="shared" si="214"/>
        <v>-1</v>
      </c>
      <c r="AI95" s="21">
        <f>'2023년 실적'!AJ95</f>
        <v>349942</v>
      </c>
      <c r="AJ95" s="41"/>
      <c r="AK95" s="41"/>
      <c r="AL95" s="112" t="e">
        <f t="shared" si="215"/>
        <v>#DIV/0!</v>
      </c>
      <c r="AM95" s="23">
        <f t="shared" si="216"/>
        <v>-1</v>
      </c>
      <c r="AN95" s="56">
        <f>'2023년 실적'!AO95</f>
        <v>631428</v>
      </c>
      <c r="AO95" s="41"/>
      <c r="AP95" s="41"/>
      <c r="AQ95" s="112" t="e">
        <f t="shared" si="217"/>
        <v>#DIV/0!</v>
      </c>
      <c r="AR95" s="81">
        <f t="shared" si="218"/>
        <v>-1</v>
      </c>
      <c r="AS95" s="21">
        <f>'2023년 실적'!AT95</f>
        <v>252188</v>
      </c>
      <c r="AT95" s="41"/>
      <c r="AU95" s="41"/>
      <c r="AV95" s="112" t="e">
        <f t="shared" si="219"/>
        <v>#DIV/0!</v>
      </c>
      <c r="AW95" s="23">
        <f t="shared" si="220"/>
        <v>-1</v>
      </c>
      <c r="AX95" s="56">
        <f>'2023년 실적'!AY95</f>
        <v>232179</v>
      </c>
      <c r="AY95" s="41"/>
      <c r="AZ95" s="41"/>
      <c r="BA95" s="112" t="e">
        <f t="shared" si="221"/>
        <v>#DIV/0!</v>
      </c>
      <c r="BB95" s="81">
        <f t="shared" si="222"/>
        <v>-1</v>
      </c>
      <c r="BC95" s="21">
        <f>'2023년 실적'!BD95</f>
        <v>327994</v>
      </c>
      <c r="BD95" s="41"/>
      <c r="BE95" s="41"/>
      <c r="BF95" s="112" t="e">
        <f t="shared" si="223"/>
        <v>#DIV/0!</v>
      </c>
      <c r="BG95" s="23">
        <f t="shared" si="224"/>
        <v>-1</v>
      </c>
      <c r="BH95" s="56">
        <f>'2023년 실적'!BI95</f>
        <v>529532</v>
      </c>
      <c r="BI95" s="41"/>
      <c r="BJ95" s="41"/>
      <c r="BK95" s="112" t="e">
        <f t="shared" si="225"/>
        <v>#DIV/0!</v>
      </c>
      <c r="BL95" s="81">
        <f t="shared" si="226"/>
        <v>-1</v>
      </c>
      <c r="BM95" s="21">
        <f>'2023년 실적'!BN95</f>
        <v>447516</v>
      </c>
      <c r="BN95" s="41"/>
      <c r="BO95" s="41"/>
      <c r="BP95" s="112" t="e">
        <f t="shared" si="227"/>
        <v>#DIV/0!</v>
      </c>
      <c r="BQ95" s="23">
        <f t="shared" si="228"/>
        <v>-1</v>
      </c>
      <c r="BR95" s="56">
        <f>'2023년 실적'!BS95</f>
        <v>340569</v>
      </c>
      <c r="BS95" s="41"/>
      <c r="BT95" s="41"/>
      <c r="BU95" s="112" t="e">
        <f t="shared" si="229"/>
        <v>#DIV/0!</v>
      </c>
      <c r="BV95" s="23">
        <f t="shared" si="230"/>
        <v>-1</v>
      </c>
    </row>
    <row r="96" spans="2:74" ht="17.25" thickBot="1" x14ac:dyDescent="0.35">
      <c r="B96" s="312"/>
      <c r="C96" s="319"/>
      <c r="D96" s="305" t="s">
        <v>33</v>
      </c>
      <c r="E96" s="306"/>
      <c r="F96" s="164">
        <v>5704093</v>
      </c>
      <c r="G96" s="165">
        <v>5704093</v>
      </c>
      <c r="H96" s="165">
        <f>H97</f>
        <v>8005324.8800000008</v>
      </c>
      <c r="I96" s="169">
        <f t="shared" si="204"/>
        <v>0.4034351964457803</v>
      </c>
      <c r="J96" s="131">
        <f t="shared" ref="J96" si="258">O96+T96+Y96+AD96+AI96+AN96+AS96+AX96+BC96+BH96+BM96+BR96</f>
        <v>5827355</v>
      </c>
      <c r="K96" s="132">
        <f t="shared" ref="K96" si="259">P96+U96+Z96+AE96+AJ96+AO96+AT96+AY96+BD96+BI96+BN96+BS96</f>
        <v>1936125.8133333335</v>
      </c>
      <c r="L96" s="132">
        <f t="shared" ref="L96" si="260">Q96+V96+AA96+AF96+AK96+AP96+AU96+AZ96+BE96+BJ96+BO96+BT96</f>
        <v>738286</v>
      </c>
      <c r="M96" s="166">
        <f t="shared" si="205"/>
        <v>-0.61867870625156896</v>
      </c>
      <c r="N96" s="25">
        <f t="shared" si="206"/>
        <v>-0.87330684332771902</v>
      </c>
      <c r="O96" s="24">
        <f>'2023년 실적'!P96</f>
        <v>660352</v>
      </c>
      <c r="P96" s="165">
        <f>P97</f>
        <v>601905</v>
      </c>
      <c r="Q96" s="165">
        <v>341246</v>
      </c>
      <c r="R96" s="166">
        <f t="shared" ref="R96:R105" si="261">Q96/P96-1</f>
        <v>-0.4330567116073134</v>
      </c>
      <c r="S96" s="25">
        <f t="shared" si="257"/>
        <v>-0.48323621341345224</v>
      </c>
      <c r="T96" s="57">
        <f>'2023년 실적'!U96</f>
        <v>384987</v>
      </c>
      <c r="U96" s="165">
        <f>U97</f>
        <v>667110.40666666673</v>
      </c>
      <c r="V96" s="165">
        <v>397040</v>
      </c>
      <c r="W96" s="166">
        <f t="shared" si="209"/>
        <v>-0.40483614701218729</v>
      </c>
      <c r="X96" s="82">
        <f t="shared" si="210"/>
        <v>3.130755064456725E-2</v>
      </c>
      <c r="Y96" s="24">
        <f>'2023년 실적'!Z96</f>
        <v>450197</v>
      </c>
      <c r="Z96" s="165">
        <f>Z97</f>
        <v>667110.40666666673</v>
      </c>
      <c r="AA96" s="165"/>
      <c r="AB96" s="166">
        <f t="shared" si="211"/>
        <v>-1</v>
      </c>
      <c r="AC96" s="25">
        <f t="shared" si="212"/>
        <v>-1</v>
      </c>
      <c r="AD96" s="57">
        <f>'2023년 실적'!AE96</f>
        <v>476422</v>
      </c>
      <c r="AE96" s="165"/>
      <c r="AF96" s="165"/>
      <c r="AG96" s="166" t="e">
        <f t="shared" si="213"/>
        <v>#DIV/0!</v>
      </c>
      <c r="AH96" s="82">
        <f t="shared" si="214"/>
        <v>-1</v>
      </c>
      <c r="AI96" s="24">
        <f>'2023년 실적'!AJ96</f>
        <v>570143</v>
      </c>
      <c r="AJ96" s="165"/>
      <c r="AK96" s="165"/>
      <c r="AL96" s="166" t="e">
        <f t="shared" si="215"/>
        <v>#DIV/0!</v>
      </c>
      <c r="AM96" s="25">
        <f t="shared" si="216"/>
        <v>-1</v>
      </c>
      <c r="AN96" s="57">
        <f>'2023년 실적'!AO96</f>
        <v>401556</v>
      </c>
      <c r="AO96" s="165"/>
      <c r="AP96" s="165"/>
      <c r="AQ96" s="166" t="e">
        <f t="shared" si="217"/>
        <v>#DIV/0!</v>
      </c>
      <c r="AR96" s="82">
        <f t="shared" si="218"/>
        <v>-1</v>
      </c>
      <c r="AS96" s="24">
        <f>'2023년 실적'!AT96</f>
        <v>334659</v>
      </c>
      <c r="AT96" s="165"/>
      <c r="AU96" s="165"/>
      <c r="AV96" s="166" t="e">
        <f t="shared" si="219"/>
        <v>#DIV/0!</v>
      </c>
      <c r="AW96" s="25">
        <f t="shared" si="220"/>
        <v>-1</v>
      </c>
      <c r="AX96" s="57">
        <f>'2023년 실적'!AY96</f>
        <v>415213</v>
      </c>
      <c r="AY96" s="165"/>
      <c r="AZ96" s="165"/>
      <c r="BA96" s="166" t="e">
        <f t="shared" si="221"/>
        <v>#DIV/0!</v>
      </c>
      <c r="BB96" s="82">
        <f t="shared" si="222"/>
        <v>-1</v>
      </c>
      <c r="BC96" s="24">
        <f>'2023년 실적'!BD96</f>
        <v>475682</v>
      </c>
      <c r="BD96" s="165"/>
      <c r="BE96" s="165"/>
      <c r="BF96" s="166" t="e">
        <f t="shared" si="223"/>
        <v>#DIV/0!</v>
      </c>
      <c r="BG96" s="25">
        <f t="shared" si="224"/>
        <v>-1</v>
      </c>
      <c r="BH96" s="57">
        <f>'2023년 실적'!BI96</f>
        <v>808061</v>
      </c>
      <c r="BI96" s="165"/>
      <c r="BJ96" s="165"/>
      <c r="BK96" s="166" t="e">
        <f t="shared" si="225"/>
        <v>#DIV/0!</v>
      </c>
      <c r="BL96" s="82">
        <f t="shared" si="226"/>
        <v>-1</v>
      </c>
      <c r="BM96" s="24">
        <f>'2023년 실적'!BN96</f>
        <v>492353</v>
      </c>
      <c r="BN96" s="165"/>
      <c r="BO96" s="165"/>
      <c r="BP96" s="166" t="e">
        <f t="shared" si="227"/>
        <v>#DIV/0!</v>
      </c>
      <c r="BQ96" s="25">
        <f t="shared" si="228"/>
        <v>-1</v>
      </c>
      <c r="BR96" s="57">
        <f>'2023년 실적'!BS96</f>
        <v>357730</v>
      </c>
      <c r="BS96" s="165"/>
      <c r="BT96" s="165"/>
      <c r="BU96" s="166" t="e">
        <f t="shared" si="229"/>
        <v>#DIV/0!</v>
      </c>
      <c r="BV96" s="25">
        <f t="shared" si="230"/>
        <v>-1</v>
      </c>
    </row>
    <row r="97" spans="2:74" ht="17.25" thickBot="1" x14ac:dyDescent="0.35">
      <c r="B97" s="312"/>
      <c r="C97" s="319"/>
      <c r="D97" s="307" t="s">
        <v>34</v>
      </c>
      <c r="E97" s="308"/>
      <c r="F97" s="170">
        <f>SUM(F98:F104)</f>
        <v>7247124.9000000004</v>
      </c>
      <c r="G97" s="171">
        <f>SUM(G98:G104)</f>
        <v>7144286</v>
      </c>
      <c r="H97" s="171">
        <f>SUM(H98:H104)</f>
        <v>8005324.8800000008</v>
      </c>
      <c r="I97" s="172">
        <f t="shared" si="204"/>
        <v>0.12052133411232435</v>
      </c>
      <c r="J97" s="173">
        <f>SUM(J98:J104)</f>
        <v>7144286</v>
      </c>
      <c r="K97" s="171">
        <f>SUM(K98:K104)</f>
        <v>7572687.0333333341</v>
      </c>
      <c r="L97" s="171">
        <f>SUM(L98:L104)</f>
        <v>6843324</v>
      </c>
      <c r="M97" s="174">
        <f t="shared" si="205"/>
        <v>-9.6314957969718784E-2</v>
      </c>
      <c r="N97" s="175">
        <f t="shared" si="206"/>
        <v>-4.2126253064337038E-2</v>
      </c>
      <c r="O97" s="173">
        <f>SUM(O98:O104)</f>
        <v>487727</v>
      </c>
      <c r="P97" s="171">
        <f>SUM(P98:P104)</f>
        <v>601905</v>
      </c>
      <c r="Q97" s="171">
        <f>SUM(Q98:Q104)</f>
        <v>521256</v>
      </c>
      <c r="R97" s="174">
        <f t="shared" si="261"/>
        <v>-0.13398958307374087</v>
      </c>
      <c r="S97" s="175">
        <f t="shared" si="257"/>
        <v>6.8745425207134225E-2</v>
      </c>
      <c r="T97" s="170">
        <f>SUM(T98:T104)</f>
        <v>744060</v>
      </c>
      <c r="U97" s="171">
        <f>SUM(U98:U104)</f>
        <v>667110.40666666673</v>
      </c>
      <c r="V97" s="171">
        <f>SUM(V98:V104)</f>
        <v>506781</v>
      </c>
      <c r="W97" s="174">
        <f t="shared" si="209"/>
        <v>-0.24033414119228114</v>
      </c>
      <c r="X97" s="172">
        <f t="shared" si="210"/>
        <v>-0.31889766954277876</v>
      </c>
      <c r="Y97" s="173">
        <f>SUM(Y98:Y104)</f>
        <v>576987</v>
      </c>
      <c r="Z97" s="171">
        <f>SUM(Z98:Z104)</f>
        <v>667110.40666666673</v>
      </c>
      <c r="AA97" s="171">
        <f>SUM(AA98:AA104)</f>
        <v>595429</v>
      </c>
      <c r="AB97" s="174">
        <f t="shared" si="211"/>
        <v>-0.10745058981291467</v>
      </c>
      <c r="AC97" s="175">
        <f t="shared" si="212"/>
        <v>3.1962591878153201E-2</v>
      </c>
      <c r="AD97" s="170">
        <f>SUM(AD98:AD104)</f>
        <v>604107</v>
      </c>
      <c r="AE97" s="171">
        <f>SUM(AE98:AE104)</f>
        <v>667110.40666666673</v>
      </c>
      <c r="AF97" s="171">
        <f>SUM(AF98:AF104)</f>
        <v>574755</v>
      </c>
      <c r="AG97" s="174">
        <f t="shared" si="213"/>
        <v>-0.13844096231107617</v>
      </c>
      <c r="AH97" s="172">
        <f t="shared" si="214"/>
        <v>-4.8587419116149944E-2</v>
      </c>
      <c r="AI97" s="173">
        <f>SUM(AI98:AI104)</f>
        <v>647714</v>
      </c>
      <c r="AJ97" s="171">
        <f>SUM(AJ98:AJ104)</f>
        <v>667110.40666666673</v>
      </c>
      <c r="AK97" s="171">
        <f>SUM(AK98:AK104)</f>
        <v>642827</v>
      </c>
      <c r="AL97" s="174">
        <f t="shared" si="215"/>
        <v>-3.640088120945828E-2</v>
      </c>
      <c r="AM97" s="175">
        <f t="shared" si="216"/>
        <v>-7.5449967115115424E-3</v>
      </c>
      <c r="AN97" s="170">
        <f>SUM(AN98:AN104)</f>
        <v>579654</v>
      </c>
      <c r="AO97" s="171">
        <f>SUM(AO98:AO104)</f>
        <v>667110.40666666673</v>
      </c>
      <c r="AP97" s="171">
        <f>SUM(AP98:AP104)</f>
        <v>506078</v>
      </c>
      <c r="AQ97" s="174">
        <f t="shared" si="217"/>
        <v>-0.24138793977340745</v>
      </c>
      <c r="AR97" s="172">
        <f t="shared" si="218"/>
        <v>-0.1269308932570119</v>
      </c>
      <c r="AS97" s="173">
        <f>SUM(AS98:AS104)</f>
        <v>518998</v>
      </c>
      <c r="AT97" s="171">
        <f>SUM(AT98:AT104)</f>
        <v>601905</v>
      </c>
      <c r="AU97" s="171">
        <f>SUM(AU98:AU104)</f>
        <v>602774</v>
      </c>
      <c r="AV97" s="174">
        <f t="shared" si="219"/>
        <v>1.4437494288965791E-3</v>
      </c>
      <c r="AW97" s="175">
        <f t="shared" si="220"/>
        <v>0.16141873379088167</v>
      </c>
      <c r="AX97" s="170">
        <f>SUM(AX98:AX104)</f>
        <v>542556</v>
      </c>
      <c r="AY97" s="171">
        <f>SUM(AY98:AY104)</f>
        <v>606665</v>
      </c>
      <c r="AZ97" s="171">
        <f>SUM(AZ98:AZ104)</f>
        <v>554339</v>
      </c>
      <c r="BA97" s="174">
        <f t="shared" si="221"/>
        <v>-8.6251885307377263E-2</v>
      </c>
      <c r="BB97" s="172">
        <f t="shared" si="222"/>
        <v>2.1717573854127536E-2</v>
      </c>
      <c r="BC97" s="173">
        <f>SUM(BC98:BC104)</f>
        <v>482790</v>
      </c>
      <c r="BD97" s="171">
        <f>SUM(BD98:BD104)</f>
        <v>606665</v>
      </c>
      <c r="BE97" s="171">
        <f>SUM(BE98:BE104)</f>
        <v>484768</v>
      </c>
      <c r="BF97" s="174">
        <f t="shared" si="223"/>
        <v>-0.20092967288371666</v>
      </c>
      <c r="BG97" s="175">
        <f t="shared" si="224"/>
        <v>4.097019408024094E-3</v>
      </c>
      <c r="BH97" s="170">
        <f>SUM(BH98:BH104)</f>
        <v>733558</v>
      </c>
      <c r="BI97" s="171">
        <f>SUM(BI98:BI104)</f>
        <v>606665</v>
      </c>
      <c r="BJ97" s="171">
        <f>SUM(BJ98:BJ104)</f>
        <v>603717</v>
      </c>
      <c r="BK97" s="174">
        <f t="shared" si="225"/>
        <v>-4.8593540092143339E-3</v>
      </c>
      <c r="BL97" s="172">
        <f t="shared" si="226"/>
        <v>-0.17700168221190415</v>
      </c>
      <c r="BM97" s="173">
        <f>SUM(BM98:BM104)</f>
        <v>652822</v>
      </c>
      <c r="BN97" s="171">
        <f>SUM(BN98:BN104)</f>
        <v>606665</v>
      </c>
      <c r="BO97" s="171">
        <f>SUM(BO98:BO104)</f>
        <v>617592</v>
      </c>
      <c r="BP97" s="174">
        <f t="shared" si="227"/>
        <v>1.801158794392288E-2</v>
      </c>
      <c r="BQ97" s="175">
        <f t="shared" si="228"/>
        <v>-5.3965705812610509E-2</v>
      </c>
      <c r="BR97" s="170">
        <f>SUM(BR98:BR104)</f>
        <v>573313</v>
      </c>
      <c r="BS97" s="171">
        <f>SUM(BS98:BS104)</f>
        <v>606665</v>
      </c>
      <c r="BT97" s="171">
        <f>SUM(BT98:BT104)</f>
        <v>633008</v>
      </c>
      <c r="BU97" s="174">
        <f t="shared" si="229"/>
        <v>4.3422646765512996E-2</v>
      </c>
      <c r="BV97" s="175">
        <f t="shared" si="230"/>
        <v>0.10412287877651472</v>
      </c>
    </row>
    <row r="98" spans="2:74" x14ac:dyDescent="0.3">
      <c r="B98" s="312"/>
      <c r="C98" s="319"/>
      <c r="D98" s="321" t="s">
        <v>35</v>
      </c>
      <c r="E98" s="322"/>
      <c r="F98" s="56">
        <v>1353342</v>
      </c>
      <c r="G98" s="41">
        <f>'2023년 실적'!G98</f>
        <v>1326210</v>
      </c>
      <c r="H98" s="41">
        <f>G98*1.12</f>
        <v>1485355.2000000002</v>
      </c>
      <c r="I98" s="81">
        <f t="shared" si="204"/>
        <v>0.12000000000000011</v>
      </c>
      <c r="J98" s="129">
        <f t="shared" ref="J98:J104" si="262">O98+T98+Y98+AD98+AI98+AN98+AS98+AX98+BC98+BH98+BM98+BR98</f>
        <v>1326210</v>
      </c>
      <c r="K98" s="130">
        <f t="shared" ref="K98:K104" si="263">P98+U98+Z98+AE98+AJ98+AO98+AT98+AY98+BD98+BI98+BN98+BS98</f>
        <v>1280069</v>
      </c>
      <c r="L98" s="130">
        <f t="shared" ref="L98:L104" si="264">Q98+V98+AA98+AF98+AK98+AP98+AU98+AZ98+BE98+BJ98+BO98+BT98</f>
        <v>1143380</v>
      </c>
      <c r="M98" s="112">
        <f t="shared" si="205"/>
        <v>-0.10678252500451146</v>
      </c>
      <c r="N98" s="23">
        <f t="shared" si="206"/>
        <v>-0.13785901177038329</v>
      </c>
      <c r="O98" s="21">
        <v>76068</v>
      </c>
      <c r="P98" s="41">
        <f>ROUND($H30/12*1.12,0)</f>
        <v>94453</v>
      </c>
      <c r="Q98" s="41">
        <v>106467</v>
      </c>
      <c r="R98" s="112">
        <f t="shared" si="261"/>
        <v>0.12719553640434933</v>
      </c>
      <c r="S98" s="23">
        <f t="shared" si="257"/>
        <v>0.39962927906609869</v>
      </c>
      <c r="T98" s="56">
        <v>363330</v>
      </c>
      <c r="U98" s="41">
        <f>$H98/12</f>
        <v>123779.60000000002</v>
      </c>
      <c r="V98" s="41">
        <v>82544</v>
      </c>
      <c r="W98" s="112">
        <f t="shared" si="209"/>
        <v>-0.33313728595018899</v>
      </c>
      <c r="X98" s="81">
        <f t="shared" si="210"/>
        <v>-0.77281259461095975</v>
      </c>
      <c r="Y98" s="21">
        <v>105164</v>
      </c>
      <c r="Z98" s="41">
        <f>$H98/12</f>
        <v>123779.60000000002</v>
      </c>
      <c r="AA98" s="41">
        <v>89636</v>
      </c>
      <c r="AB98" s="112">
        <f t="shared" si="211"/>
        <v>-0.27584189963451178</v>
      </c>
      <c r="AC98" s="23">
        <f t="shared" si="212"/>
        <v>-0.14765509109581221</v>
      </c>
      <c r="AD98" s="56">
        <v>85232</v>
      </c>
      <c r="AE98" s="41">
        <f>$H98/12</f>
        <v>123779.60000000002</v>
      </c>
      <c r="AF98" s="41">
        <v>94960</v>
      </c>
      <c r="AG98" s="112">
        <f t="shared" si="213"/>
        <v>-0.23282996551935875</v>
      </c>
      <c r="AH98" s="81">
        <f t="shared" si="214"/>
        <v>0.11413553594893933</v>
      </c>
      <c r="AI98" s="21">
        <v>64334</v>
      </c>
      <c r="AJ98" s="41">
        <f>$H98/12</f>
        <v>123779.60000000002</v>
      </c>
      <c r="AK98" s="41">
        <v>107330</v>
      </c>
      <c r="AL98" s="112">
        <f t="shared" si="215"/>
        <v>-0.13289427336976378</v>
      </c>
      <c r="AM98" s="23">
        <f t="shared" si="216"/>
        <v>0.66832468057325833</v>
      </c>
      <c r="AN98" s="56">
        <v>88553</v>
      </c>
      <c r="AO98" s="41">
        <f>$H98/12</f>
        <v>123779.60000000002</v>
      </c>
      <c r="AP98" s="41">
        <v>79246</v>
      </c>
      <c r="AQ98" s="112">
        <f t="shared" si="217"/>
        <v>-0.35978141793962826</v>
      </c>
      <c r="AR98" s="81">
        <f t="shared" si="218"/>
        <v>-0.10510090002597317</v>
      </c>
      <c r="AS98" s="21">
        <f>'2023년 실적'!AT98</f>
        <v>61108</v>
      </c>
      <c r="AT98" s="41">
        <f>ROUND($H30/12*1.12,0)</f>
        <v>94453</v>
      </c>
      <c r="AU98" s="41">
        <v>139716</v>
      </c>
      <c r="AV98" s="112">
        <f t="shared" si="219"/>
        <v>0.47921188315881968</v>
      </c>
      <c r="AW98" s="23">
        <f t="shared" si="220"/>
        <v>1.2863782156182495</v>
      </c>
      <c r="AX98" s="56">
        <f>'2023년 실적'!AY98</f>
        <v>62670</v>
      </c>
      <c r="AY98" s="41">
        <f>ROUND($H30/12*1.12,0)</f>
        <v>94453</v>
      </c>
      <c r="AZ98" s="41">
        <v>69464</v>
      </c>
      <c r="BA98" s="112">
        <f t="shared" si="221"/>
        <v>-0.26456544524790104</v>
      </c>
      <c r="BB98" s="81">
        <f t="shared" si="222"/>
        <v>0.10840912717408657</v>
      </c>
      <c r="BC98" s="21">
        <f>'2023년 실적'!BD98</f>
        <v>51833</v>
      </c>
      <c r="BD98" s="41">
        <f>ROUND($H30/12*1.12,0)</f>
        <v>94453</v>
      </c>
      <c r="BE98" s="41">
        <v>88899</v>
      </c>
      <c r="BF98" s="112">
        <f t="shared" si="223"/>
        <v>-5.8801732078388236E-2</v>
      </c>
      <c r="BG98" s="23">
        <f t="shared" si="224"/>
        <v>0.71510427719792413</v>
      </c>
      <c r="BH98" s="56">
        <f>'2023년 실적'!BI98</f>
        <v>129938</v>
      </c>
      <c r="BI98" s="41">
        <f>ROUND($H30/12*1.12,0)</f>
        <v>94453</v>
      </c>
      <c r="BJ98" s="41">
        <v>93449</v>
      </c>
      <c r="BK98" s="112">
        <f t="shared" si="225"/>
        <v>-1.0629625316294855E-2</v>
      </c>
      <c r="BL98" s="81">
        <f t="shared" si="226"/>
        <v>-0.28081854422878605</v>
      </c>
      <c r="BM98" s="21">
        <f>'2023년 실적'!BN98</f>
        <v>155213</v>
      </c>
      <c r="BN98" s="41">
        <f>ROUND($H30/12*1.12,0)</f>
        <v>94453</v>
      </c>
      <c r="BO98" s="41">
        <v>77886</v>
      </c>
      <c r="BP98" s="112">
        <f t="shared" si="227"/>
        <v>-0.17539940499507689</v>
      </c>
      <c r="BQ98" s="23">
        <f t="shared" si="228"/>
        <v>-0.49819924877426502</v>
      </c>
      <c r="BR98" s="56">
        <f>'2023년 실적'!BS98</f>
        <v>82767</v>
      </c>
      <c r="BS98" s="41">
        <f>ROUND($H30/12*1.12,0)</f>
        <v>94453</v>
      </c>
      <c r="BT98" s="41">
        <v>113783</v>
      </c>
      <c r="BU98" s="112">
        <f t="shared" si="229"/>
        <v>0.20465204916731072</v>
      </c>
      <c r="BV98" s="23">
        <f t="shared" si="230"/>
        <v>0.37473872437082423</v>
      </c>
    </row>
    <row r="99" spans="2:74" x14ac:dyDescent="0.3">
      <c r="B99" s="312"/>
      <c r="C99" s="319"/>
      <c r="D99" s="284" t="s">
        <v>36</v>
      </c>
      <c r="E99" s="285"/>
      <c r="F99" s="45">
        <v>2591261</v>
      </c>
      <c r="G99" s="39">
        <f>'2023년 실적'!G99</f>
        <v>2250544</v>
      </c>
      <c r="H99" s="39">
        <f>G99*1.1</f>
        <v>2475598.4000000004</v>
      </c>
      <c r="I99" s="33">
        <f t="shared" si="204"/>
        <v>0.10000000000000009</v>
      </c>
      <c r="J99" s="107">
        <f t="shared" si="262"/>
        <v>2250544</v>
      </c>
      <c r="K99" s="87">
        <f t="shared" si="263"/>
        <v>2329019.3333333335</v>
      </c>
      <c r="L99" s="87">
        <f t="shared" si="264"/>
        <v>2156128</v>
      </c>
      <c r="M99" s="88">
        <f t="shared" si="205"/>
        <v>-7.423353291184942E-2</v>
      </c>
      <c r="N99" s="15">
        <f t="shared" si="206"/>
        <v>-4.1952523478767767E-2</v>
      </c>
      <c r="O99" s="13">
        <v>158374</v>
      </c>
      <c r="P99" s="41">
        <f t="shared" ref="P99:P103" si="265">ROUND($H31/12*1.12,0)</f>
        <v>185360</v>
      </c>
      <c r="Q99" s="41">
        <v>133396</v>
      </c>
      <c r="R99" s="88">
        <f t="shared" si="261"/>
        <v>-0.28034095813552007</v>
      </c>
      <c r="S99" s="15">
        <f t="shared" si="257"/>
        <v>-0.15771528154873904</v>
      </c>
      <c r="T99" s="45">
        <v>165054</v>
      </c>
      <c r="U99" s="41">
        <f t="shared" ref="U99:U103" si="266">$H99/12</f>
        <v>206299.8666666667</v>
      </c>
      <c r="V99" s="39">
        <v>166552</v>
      </c>
      <c r="W99" s="88">
        <f t="shared" si="209"/>
        <v>-0.19267034588485765</v>
      </c>
      <c r="X99" s="33">
        <f t="shared" si="210"/>
        <v>9.0758176112060163E-3</v>
      </c>
      <c r="Y99" s="13">
        <v>183672</v>
      </c>
      <c r="Z99" s="41">
        <f t="shared" ref="Z99:Z103" si="267">$H99/12</f>
        <v>206299.8666666667</v>
      </c>
      <c r="AA99" s="39">
        <v>156562</v>
      </c>
      <c r="AB99" s="88">
        <f t="shared" si="211"/>
        <v>-0.24109500151559327</v>
      </c>
      <c r="AC99" s="15">
        <f t="shared" si="212"/>
        <v>-0.14760006968944639</v>
      </c>
      <c r="AD99" s="45">
        <v>209776</v>
      </c>
      <c r="AE99" s="41">
        <f t="shared" ref="AE99:AE103" si="268">$H99/12</f>
        <v>206299.8666666667</v>
      </c>
      <c r="AF99" s="39">
        <v>169571</v>
      </c>
      <c r="AG99" s="88">
        <f t="shared" si="213"/>
        <v>-0.17803630831236616</v>
      </c>
      <c r="AH99" s="33">
        <f t="shared" si="214"/>
        <v>-0.19165681488826181</v>
      </c>
      <c r="AI99" s="13">
        <v>239161</v>
      </c>
      <c r="AJ99" s="41">
        <f t="shared" ref="AJ99:AJ103" si="269">$H99/12</f>
        <v>206299.8666666667</v>
      </c>
      <c r="AK99" s="39">
        <v>192212</v>
      </c>
      <c r="AL99" s="88">
        <f t="shared" si="215"/>
        <v>-6.8288297487993366E-2</v>
      </c>
      <c r="AM99" s="15">
        <f t="shared" si="216"/>
        <v>-0.1963070902028341</v>
      </c>
      <c r="AN99" s="45">
        <v>208643</v>
      </c>
      <c r="AO99" s="41">
        <f t="shared" ref="AO99:AO103" si="270">$H99/12</f>
        <v>206299.8666666667</v>
      </c>
      <c r="AP99" s="39">
        <v>181339</v>
      </c>
      <c r="AQ99" s="88">
        <f t="shared" si="217"/>
        <v>-0.12099313038819237</v>
      </c>
      <c r="AR99" s="33">
        <f t="shared" si="218"/>
        <v>-0.13086468273558183</v>
      </c>
      <c r="AS99" s="13">
        <f>'2023년 실적'!AT99</f>
        <v>159982</v>
      </c>
      <c r="AT99" s="39">
        <f t="shared" ref="AT99:AT103" si="271">ROUND($H31/12*1.12,0)</f>
        <v>185360</v>
      </c>
      <c r="AU99" s="39">
        <v>189474</v>
      </c>
      <c r="AV99" s="88">
        <f t="shared" si="219"/>
        <v>2.2194648252050087E-2</v>
      </c>
      <c r="AW99" s="15">
        <f t="shared" si="220"/>
        <v>0.18434573889562578</v>
      </c>
      <c r="AX99" s="45">
        <f>'2023년 실적'!AY99</f>
        <v>164230</v>
      </c>
      <c r="AY99" s="39">
        <f t="shared" ref="AY99:AY104" si="272">ROUND($H31/12*1.12,0)</f>
        <v>185360</v>
      </c>
      <c r="AZ99" s="39">
        <v>205184</v>
      </c>
      <c r="BA99" s="88">
        <f t="shared" si="221"/>
        <v>0.10694864048338371</v>
      </c>
      <c r="BB99" s="33">
        <f t="shared" si="222"/>
        <v>0.24936978627534545</v>
      </c>
      <c r="BC99" s="13">
        <f>'2023년 실적'!BD99</f>
        <v>144069</v>
      </c>
      <c r="BD99" s="39">
        <f t="shared" ref="BD99:BD104" si="273">ROUND($H31/12*1.12,0)</f>
        <v>185360</v>
      </c>
      <c r="BE99" s="39">
        <v>135040</v>
      </c>
      <c r="BF99" s="88">
        <f t="shared" si="223"/>
        <v>-0.2714717306862322</v>
      </c>
      <c r="BG99" s="15">
        <f t="shared" si="224"/>
        <v>-6.2671358862767201E-2</v>
      </c>
      <c r="BH99" s="45">
        <f>'2023년 실적'!BI99</f>
        <v>272519</v>
      </c>
      <c r="BI99" s="39">
        <f t="shared" ref="BI99:BI104" si="274">ROUND($H31/12*1.12,0)</f>
        <v>185360</v>
      </c>
      <c r="BJ99" s="39">
        <v>215469</v>
      </c>
      <c r="BK99" s="88">
        <f t="shared" si="225"/>
        <v>0.16243526111350892</v>
      </c>
      <c r="BL99" s="33">
        <f t="shared" si="226"/>
        <v>-0.20934320175840948</v>
      </c>
      <c r="BM99" s="13">
        <f>'2023년 실적'!BN99</f>
        <v>188466</v>
      </c>
      <c r="BN99" s="39">
        <f t="shared" ref="BN99:BN104" si="275">ROUND($H31/12*1.12,0)</f>
        <v>185360</v>
      </c>
      <c r="BO99" s="39">
        <v>201729</v>
      </c>
      <c r="BP99" s="88">
        <f t="shared" si="227"/>
        <v>8.8309236081139497E-2</v>
      </c>
      <c r="BQ99" s="15">
        <f t="shared" si="228"/>
        <v>7.0373436057432182E-2</v>
      </c>
      <c r="BR99" s="45">
        <f>'2023년 실적'!BS99</f>
        <v>156598</v>
      </c>
      <c r="BS99" s="39">
        <f t="shared" ref="BS99:BS104" si="276">ROUND($H31/12*1.12,0)</f>
        <v>185360</v>
      </c>
      <c r="BT99" s="39">
        <v>209600</v>
      </c>
      <c r="BU99" s="88">
        <f t="shared" si="229"/>
        <v>0.13077255071212779</v>
      </c>
      <c r="BV99" s="15">
        <f t="shared" si="230"/>
        <v>0.33845898415049991</v>
      </c>
    </row>
    <row r="100" spans="2:74" x14ac:dyDescent="0.3">
      <c r="B100" s="312"/>
      <c r="C100" s="319"/>
      <c r="D100" s="284" t="s">
        <v>37</v>
      </c>
      <c r="E100" s="285"/>
      <c r="F100" s="45">
        <v>611472</v>
      </c>
      <c r="G100" s="39">
        <f>'2023년 실적'!G100</f>
        <v>646705</v>
      </c>
      <c r="H100" s="39">
        <f>G100*1.3</f>
        <v>840716.5</v>
      </c>
      <c r="I100" s="33">
        <f t="shared" si="204"/>
        <v>0.30000000000000004</v>
      </c>
      <c r="J100" s="107">
        <f t="shared" si="262"/>
        <v>646705</v>
      </c>
      <c r="K100" s="87">
        <f t="shared" si="263"/>
        <v>856629.54166666651</v>
      </c>
      <c r="L100" s="87">
        <f t="shared" si="264"/>
        <v>675683</v>
      </c>
      <c r="M100" s="88">
        <f t="shared" si="205"/>
        <v>-0.21123079798837574</v>
      </c>
      <c r="N100" s="15">
        <f t="shared" si="206"/>
        <v>4.4808684021307998E-2</v>
      </c>
      <c r="O100" s="13">
        <v>74738</v>
      </c>
      <c r="P100" s="41">
        <f t="shared" si="265"/>
        <v>72333</v>
      </c>
      <c r="Q100" s="41">
        <v>42097</v>
      </c>
      <c r="R100" s="88">
        <f t="shared" si="261"/>
        <v>-0.41801114290849262</v>
      </c>
      <c r="S100" s="15">
        <f t="shared" si="257"/>
        <v>-0.43673900826888601</v>
      </c>
      <c r="T100" s="45">
        <v>32744</v>
      </c>
      <c r="U100" s="41">
        <f t="shared" si="266"/>
        <v>70059.708333333328</v>
      </c>
      <c r="V100" s="39">
        <v>21151</v>
      </c>
      <c r="W100" s="88">
        <f t="shared" si="209"/>
        <v>-0.69810037033887162</v>
      </c>
      <c r="X100" s="33">
        <f t="shared" si="210"/>
        <v>-0.35404959687270954</v>
      </c>
      <c r="Y100" s="13">
        <v>86411</v>
      </c>
      <c r="Z100" s="41">
        <f t="shared" si="267"/>
        <v>70059.708333333328</v>
      </c>
      <c r="AA100" s="39">
        <v>137128</v>
      </c>
      <c r="AB100" s="88">
        <f t="shared" si="211"/>
        <v>0.95730189665600718</v>
      </c>
      <c r="AC100" s="15">
        <f t="shared" si="212"/>
        <v>0.58692759023735408</v>
      </c>
      <c r="AD100" s="45">
        <v>66876</v>
      </c>
      <c r="AE100" s="41">
        <f t="shared" si="268"/>
        <v>70059.708333333328</v>
      </c>
      <c r="AF100" s="39">
        <v>91367</v>
      </c>
      <c r="AG100" s="88">
        <f t="shared" si="213"/>
        <v>0.3041304649070169</v>
      </c>
      <c r="AH100" s="33">
        <f t="shared" si="214"/>
        <v>0.36621508463424846</v>
      </c>
      <c r="AI100" s="13">
        <v>51856</v>
      </c>
      <c r="AJ100" s="41">
        <f t="shared" si="269"/>
        <v>70059.708333333328</v>
      </c>
      <c r="AK100" s="39">
        <v>96508</v>
      </c>
      <c r="AL100" s="88">
        <f t="shared" si="215"/>
        <v>0.37751073043053163</v>
      </c>
      <c r="AM100" s="15">
        <f t="shared" si="216"/>
        <v>0.86107682813946318</v>
      </c>
      <c r="AN100" s="45">
        <v>36605</v>
      </c>
      <c r="AO100" s="41">
        <f t="shared" si="270"/>
        <v>70059.708333333328</v>
      </c>
      <c r="AP100" s="39">
        <v>37311</v>
      </c>
      <c r="AQ100" s="88">
        <f t="shared" si="217"/>
        <v>-0.46743997530677694</v>
      </c>
      <c r="AR100" s="33">
        <f t="shared" si="218"/>
        <v>1.928698265264317E-2</v>
      </c>
      <c r="AS100" s="13">
        <f>'2023년 실적'!AT100</f>
        <v>39928</v>
      </c>
      <c r="AT100" s="39">
        <f t="shared" si="271"/>
        <v>72333</v>
      </c>
      <c r="AU100" s="39">
        <v>29294</v>
      </c>
      <c r="AV100" s="88">
        <f t="shared" si="219"/>
        <v>-0.5950119585804543</v>
      </c>
      <c r="AW100" s="15">
        <f t="shared" si="220"/>
        <v>-0.26632939290723301</v>
      </c>
      <c r="AX100" s="45">
        <f>'2023년 실적'!AY100</f>
        <v>33534</v>
      </c>
      <c r="AY100" s="39">
        <f t="shared" si="272"/>
        <v>72333</v>
      </c>
      <c r="AZ100" s="39">
        <v>45756</v>
      </c>
      <c r="BA100" s="88">
        <f t="shared" si="221"/>
        <v>-0.36742565633943014</v>
      </c>
      <c r="BB100" s="33">
        <f t="shared" si="222"/>
        <v>0.36446591519055294</v>
      </c>
      <c r="BC100" s="13">
        <f>'2023년 실적'!BD100</f>
        <v>36838</v>
      </c>
      <c r="BD100" s="39">
        <f t="shared" si="273"/>
        <v>72333</v>
      </c>
      <c r="BE100" s="39">
        <v>25076</v>
      </c>
      <c r="BF100" s="88">
        <f t="shared" si="223"/>
        <v>-0.65332559136217216</v>
      </c>
      <c r="BG100" s="15">
        <f t="shared" si="224"/>
        <v>-0.31928986372767254</v>
      </c>
      <c r="BH100" s="45">
        <f>'2023년 실적'!BI100</f>
        <v>34948</v>
      </c>
      <c r="BI100" s="39">
        <f t="shared" si="274"/>
        <v>72333</v>
      </c>
      <c r="BJ100" s="39">
        <v>55291</v>
      </c>
      <c r="BK100" s="88">
        <f t="shared" si="225"/>
        <v>-0.23560477237222288</v>
      </c>
      <c r="BL100" s="33">
        <f t="shared" si="226"/>
        <v>0.58209339590248366</v>
      </c>
      <c r="BM100" s="13">
        <f>'2023년 실적'!BN100</f>
        <v>61613</v>
      </c>
      <c r="BN100" s="39">
        <f t="shared" si="275"/>
        <v>72333</v>
      </c>
      <c r="BO100" s="39">
        <v>28137</v>
      </c>
      <c r="BP100" s="88">
        <f t="shared" si="227"/>
        <v>-0.61100742399734553</v>
      </c>
      <c r="BQ100" s="15">
        <f t="shared" si="228"/>
        <v>-0.54332689529807021</v>
      </c>
      <c r="BR100" s="45">
        <f>'2023년 실적'!BS100</f>
        <v>90614</v>
      </c>
      <c r="BS100" s="39">
        <f t="shared" si="276"/>
        <v>72333</v>
      </c>
      <c r="BT100" s="39">
        <v>66567</v>
      </c>
      <c r="BU100" s="88">
        <f t="shared" si="229"/>
        <v>-7.9714653062917362E-2</v>
      </c>
      <c r="BV100" s="15">
        <f t="shared" si="230"/>
        <v>-0.26537841834595099</v>
      </c>
    </row>
    <row r="101" spans="2:74" x14ac:dyDescent="0.3">
      <c r="B101" s="312"/>
      <c r="C101" s="319"/>
      <c r="D101" s="284" t="s">
        <v>38</v>
      </c>
      <c r="E101" s="285"/>
      <c r="F101" s="45">
        <v>366503</v>
      </c>
      <c r="G101" s="39">
        <f>'2023년 실적'!G101</f>
        <v>448798</v>
      </c>
      <c r="H101" s="39">
        <f>G101*1.12</f>
        <v>502653.76000000007</v>
      </c>
      <c r="I101" s="33">
        <f t="shared" si="204"/>
        <v>0.12000000000000011</v>
      </c>
      <c r="J101" s="107">
        <f t="shared" si="262"/>
        <v>448798</v>
      </c>
      <c r="K101" s="87">
        <f t="shared" si="263"/>
        <v>472730.06666666671</v>
      </c>
      <c r="L101" s="87">
        <f t="shared" si="264"/>
        <v>377418</v>
      </c>
      <c r="M101" s="88">
        <f t="shared" si="205"/>
        <v>-0.2016204878583987</v>
      </c>
      <c r="N101" s="15">
        <f t="shared" si="206"/>
        <v>-0.15904705457689206</v>
      </c>
      <c r="O101" s="13">
        <v>31656</v>
      </c>
      <c r="P101" s="41">
        <f t="shared" si="265"/>
        <v>37613</v>
      </c>
      <c r="Q101" s="41">
        <v>36269</v>
      </c>
      <c r="R101" s="88">
        <f t="shared" si="261"/>
        <v>-3.5732326589211216E-2</v>
      </c>
      <c r="S101" s="15">
        <f t="shared" si="257"/>
        <v>0.14572276977508203</v>
      </c>
      <c r="T101" s="45">
        <v>31010</v>
      </c>
      <c r="U101" s="41">
        <f t="shared" si="266"/>
        <v>41887.813333333339</v>
      </c>
      <c r="V101" s="39">
        <v>38167</v>
      </c>
      <c r="W101" s="88">
        <f t="shared" si="209"/>
        <v>-8.8828063277593072E-2</v>
      </c>
      <c r="X101" s="33">
        <f t="shared" si="210"/>
        <v>0.23079651725249928</v>
      </c>
      <c r="Y101" s="13">
        <v>45307</v>
      </c>
      <c r="Z101" s="41">
        <f t="shared" si="267"/>
        <v>41887.813333333339</v>
      </c>
      <c r="AA101" s="39">
        <v>29231</v>
      </c>
      <c r="AB101" s="88">
        <f t="shared" si="211"/>
        <v>-0.30215980081398386</v>
      </c>
      <c r="AC101" s="15">
        <f t="shared" si="212"/>
        <v>-0.35482375791820253</v>
      </c>
      <c r="AD101" s="45">
        <v>26657</v>
      </c>
      <c r="AE101" s="41">
        <f t="shared" si="268"/>
        <v>41887.813333333339</v>
      </c>
      <c r="AF101" s="39">
        <v>34198</v>
      </c>
      <c r="AG101" s="88">
        <f t="shared" si="213"/>
        <v>-0.18358115932525809</v>
      </c>
      <c r="AH101" s="33">
        <f t="shared" si="214"/>
        <v>0.28289004764227021</v>
      </c>
      <c r="AI101" s="13">
        <v>74601</v>
      </c>
      <c r="AJ101" s="41">
        <f t="shared" si="269"/>
        <v>41887.813333333339</v>
      </c>
      <c r="AK101" s="39">
        <v>34057</v>
      </c>
      <c r="AL101" s="88">
        <f t="shared" si="215"/>
        <v>-0.18694729350079875</v>
      </c>
      <c r="AM101" s="15">
        <f t="shared" si="216"/>
        <v>-0.54347796946421623</v>
      </c>
      <c r="AN101" s="45">
        <v>29149</v>
      </c>
      <c r="AO101" s="41">
        <f t="shared" si="270"/>
        <v>41887.813333333339</v>
      </c>
      <c r="AP101" s="39">
        <v>29068</v>
      </c>
      <c r="AQ101" s="88">
        <f t="shared" si="217"/>
        <v>-0.30605114741407691</v>
      </c>
      <c r="AR101" s="33">
        <f t="shared" si="218"/>
        <v>-2.7788260317678226E-3</v>
      </c>
      <c r="AS101" s="13">
        <f>'2023년 실적'!AT101</f>
        <v>33566</v>
      </c>
      <c r="AT101" s="39">
        <f t="shared" si="271"/>
        <v>37613</v>
      </c>
      <c r="AU101" s="39">
        <v>34229</v>
      </c>
      <c r="AV101" s="88">
        <f t="shared" si="219"/>
        <v>-8.9968893733549549E-2</v>
      </c>
      <c r="AW101" s="15">
        <f t="shared" si="220"/>
        <v>1.9752130131680978E-2</v>
      </c>
      <c r="AX101" s="45">
        <f>'2023년 실적'!AY101</f>
        <v>33377</v>
      </c>
      <c r="AY101" s="39">
        <f t="shared" si="272"/>
        <v>37613</v>
      </c>
      <c r="AZ101" s="39">
        <v>24254</v>
      </c>
      <c r="BA101" s="88">
        <f t="shared" si="221"/>
        <v>-0.35516975513785132</v>
      </c>
      <c r="BB101" s="33">
        <f t="shared" si="222"/>
        <v>-0.27333193516493393</v>
      </c>
      <c r="BC101" s="13">
        <f>'2023년 실적'!BD101</f>
        <v>39909</v>
      </c>
      <c r="BD101" s="39">
        <f t="shared" si="273"/>
        <v>37613</v>
      </c>
      <c r="BE101" s="39">
        <v>26328</v>
      </c>
      <c r="BF101" s="88">
        <f t="shared" si="223"/>
        <v>-0.30002924520777385</v>
      </c>
      <c r="BG101" s="15">
        <f t="shared" si="224"/>
        <v>-0.34029918063594677</v>
      </c>
      <c r="BH101" s="45">
        <f>'2023년 실적'!BI101</f>
        <v>29119</v>
      </c>
      <c r="BI101" s="39">
        <f t="shared" si="274"/>
        <v>37613</v>
      </c>
      <c r="BJ101" s="39">
        <v>28867</v>
      </c>
      <c r="BK101" s="88">
        <f t="shared" si="225"/>
        <v>-0.23252598835508997</v>
      </c>
      <c r="BL101" s="33">
        <f t="shared" si="226"/>
        <v>-8.6541433428345416E-3</v>
      </c>
      <c r="BM101" s="13">
        <f>'2023년 실적'!BN101</f>
        <v>35105</v>
      </c>
      <c r="BN101" s="39">
        <f t="shared" si="275"/>
        <v>37613</v>
      </c>
      <c r="BO101" s="39">
        <v>35031</v>
      </c>
      <c r="BP101" s="88">
        <f t="shared" si="227"/>
        <v>-6.86464786111185E-2</v>
      </c>
      <c r="BQ101" s="15">
        <f t="shared" si="228"/>
        <v>-2.107961828799354E-3</v>
      </c>
      <c r="BR101" s="45">
        <f>'2023년 실적'!BS101</f>
        <v>39342</v>
      </c>
      <c r="BS101" s="39">
        <f t="shared" si="276"/>
        <v>37613</v>
      </c>
      <c r="BT101" s="39">
        <v>27719</v>
      </c>
      <c r="BU101" s="88">
        <f t="shared" si="229"/>
        <v>-0.26304735065004126</v>
      </c>
      <c r="BV101" s="15">
        <f t="shared" si="230"/>
        <v>-0.2954349041736567</v>
      </c>
    </row>
    <row r="102" spans="2:74" x14ac:dyDescent="0.3">
      <c r="B102" s="312"/>
      <c r="C102" s="319"/>
      <c r="D102" s="284" t="s">
        <v>39</v>
      </c>
      <c r="E102" s="285"/>
      <c r="F102" s="45">
        <v>1914925.7000000004</v>
      </c>
      <c r="G102" s="39">
        <f>'2023년 실적'!G102</f>
        <v>1823088</v>
      </c>
      <c r="H102" s="39">
        <f>G102*1.09</f>
        <v>1987165.9200000002</v>
      </c>
      <c r="I102" s="33">
        <f t="shared" si="204"/>
        <v>9.000000000000008E-2</v>
      </c>
      <c r="J102" s="107">
        <f t="shared" si="262"/>
        <v>1823088</v>
      </c>
      <c r="K102" s="87">
        <f t="shared" si="263"/>
        <v>1855676.8000000003</v>
      </c>
      <c r="L102" s="87">
        <f t="shared" si="264"/>
        <v>1865152</v>
      </c>
      <c r="M102" s="88">
        <f t="shared" si="205"/>
        <v>5.1060615727909209E-3</v>
      </c>
      <c r="N102" s="15">
        <f t="shared" si="206"/>
        <v>2.3072939978761253E-2</v>
      </c>
      <c r="O102" s="13">
        <v>112118</v>
      </c>
      <c r="P102" s="41">
        <f t="shared" si="265"/>
        <v>146813</v>
      </c>
      <c r="Q102" s="41">
        <v>171127</v>
      </c>
      <c r="R102" s="88">
        <f t="shared" si="261"/>
        <v>0.16561203708118488</v>
      </c>
      <c r="S102" s="15">
        <f t="shared" si="257"/>
        <v>0.52631156460158057</v>
      </c>
      <c r="T102" s="45">
        <v>120772</v>
      </c>
      <c r="U102" s="41">
        <f t="shared" si="266"/>
        <v>165597.16</v>
      </c>
      <c r="V102" s="39">
        <v>156033</v>
      </c>
      <c r="W102" s="88">
        <f t="shared" si="209"/>
        <v>-5.7755579866224815E-2</v>
      </c>
      <c r="X102" s="33">
        <f t="shared" si="210"/>
        <v>0.29196336899281294</v>
      </c>
      <c r="Y102" s="13">
        <v>124667</v>
      </c>
      <c r="Z102" s="41">
        <f t="shared" si="267"/>
        <v>165597.16</v>
      </c>
      <c r="AA102" s="39">
        <v>140166</v>
      </c>
      <c r="AB102" s="88">
        <f t="shared" si="211"/>
        <v>-0.15357244049354468</v>
      </c>
      <c r="AC102" s="15">
        <f t="shared" si="212"/>
        <v>0.1243231969967995</v>
      </c>
      <c r="AD102" s="45">
        <v>171103</v>
      </c>
      <c r="AE102" s="41">
        <f t="shared" si="268"/>
        <v>165597.16</v>
      </c>
      <c r="AF102" s="39">
        <v>142290</v>
      </c>
      <c r="AG102" s="88">
        <f t="shared" si="213"/>
        <v>-0.14074613356895738</v>
      </c>
      <c r="AH102" s="33">
        <f t="shared" si="214"/>
        <v>-0.16839564472861379</v>
      </c>
      <c r="AI102" s="13">
        <v>149552</v>
      </c>
      <c r="AJ102" s="41">
        <f t="shared" si="269"/>
        <v>165597.16</v>
      </c>
      <c r="AK102" s="39">
        <v>162618</v>
      </c>
      <c r="AL102" s="88">
        <f t="shared" si="215"/>
        <v>-1.7990405149460265E-2</v>
      </c>
      <c r="AM102" s="15">
        <f t="shared" si="216"/>
        <v>8.7367604579009273E-2</v>
      </c>
      <c r="AN102" s="45">
        <v>160153</v>
      </c>
      <c r="AO102" s="41">
        <f t="shared" si="270"/>
        <v>165597.16</v>
      </c>
      <c r="AP102" s="39">
        <v>136432</v>
      </c>
      <c r="AQ102" s="88">
        <f t="shared" si="217"/>
        <v>-0.17612113637697657</v>
      </c>
      <c r="AR102" s="33">
        <f t="shared" si="218"/>
        <v>-0.14811461539902471</v>
      </c>
      <c r="AS102" s="13">
        <f>'2023년 실적'!AT102</f>
        <v>182333</v>
      </c>
      <c r="AT102" s="39">
        <f t="shared" si="271"/>
        <v>146813</v>
      </c>
      <c r="AU102" s="39">
        <v>147569</v>
      </c>
      <c r="AV102" s="88">
        <f t="shared" si="219"/>
        <v>5.1494077499949498E-3</v>
      </c>
      <c r="AW102" s="15">
        <f t="shared" si="220"/>
        <v>-0.1906621401501648</v>
      </c>
      <c r="AX102" s="45">
        <f>'2023년 실적'!AY102</f>
        <v>161455</v>
      </c>
      <c r="AY102" s="39">
        <f t="shared" si="272"/>
        <v>146813</v>
      </c>
      <c r="AZ102" s="39">
        <v>145563</v>
      </c>
      <c r="BA102" s="88">
        <f t="shared" si="221"/>
        <v>-8.5142323908645734E-3</v>
      </c>
      <c r="BB102" s="33">
        <f t="shared" si="222"/>
        <v>-9.8429903068966595E-2</v>
      </c>
      <c r="BC102" s="13">
        <f>'2023년 실적'!BD102</f>
        <v>144563</v>
      </c>
      <c r="BD102" s="39">
        <f t="shared" si="273"/>
        <v>146813</v>
      </c>
      <c r="BE102" s="39">
        <v>158945</v>
      </c>
      <c r="BF102" s="88">
        <f t="shared" si="223"/>
        <v>8.2635733892775232E-2</v>
      </c>
      <c r="BG102" s="15">
        <f t="shared" si="224"/>
        <v>9.9486037229443269E-2</v>
      </c>
      <c r="BH102" s="45">
        <f>'2023년 실적'!BI102</f>
        <v>174863</v>
      </c>
      <c r="BI102" s="39">
        <f t="shared" si="274"/>
        <v>146813</v>
      </c>
      <c r="BJ102" s="39">
        <v>168289</v>
      </c>
      <c r="BK102" s="88">
        <f t="shared" si="225"/>
        <v>0.14628132386096593</v>
      </c>
      <c r="BL102" s="33">
        <f t="shared" si="226"/>
        <v>-3.7595145914229966E-2</v>
      </c>
      <c r="BM102" s="13">
        <f>'2023년 실적'!BN102</f>
        <v>160592</v>
      </c>
      <c r="BN102" s="39">
        <f t="shared" si="275"/>
        <v>146813</v>
      </c>
      <c r="BO102" s="39">
        <v>189220</v>
      </c>
      <c r="BP102" s="88">
        <f t="shared" si="227"/>
        <v>0.28885044239951507</v>
      </c>
      <c r="BQ102" s="15">
        <f t="shared" si="228"/>
        <v>0.17826541795357187</v>
      </c>
      <c r="BR102" s="45">
        <f>'2023년 실적'!BS102</f>
        <v>160917</v>
      </c>
      <c r="BS102" s="39">
        <f t="shared" si="276"/>
        <v>146813</v>
      </c>
      <c r="BT102" s="39">
        <v>146900</v>
      </c>
      <c r="BU102" s="88">
        <f t="shared" si="229"/>
        <v>5.9259057440419483E-4</v>
      </c>
      <c r="BV102" s="15">
        <f t="shared" si="230"/>
        <v>-8.7107017903639727E-2</v>
      </c>
    </row>
    <row r="103" spans="2:74" x14ac:dyDescent="0.3">
      <c r="B103" s="312"/>
      <c r="C103" s="319"/>
      <c r="D103" s="284" t="s">
        <v>40</v>
      </c>
      <c r="E103" s="285"/>
      <c r="F103" s="45">
        <v>409621.2</v>
      </c>
      <c r="G103" s="39">
        <f>'2023년 실적'!G103</f>
        <v>648941</v>
      </c>
      <c r="H103" s="39">
        <f>G103*1.1</f>
        <v>713835.10000000009</v>
      </c>
      <c r="I103" s="33">
        <f t="shared" si="204"/>
        <v>0.10000000000000009</v>
      </c>
      <c r="J103" s="107">
        <f t="shared" si="262"/>
        <v>648941</v>
      </c>
      <c r="K103" s="87">
        <f t="shared" si="263"/>
        <v>754762.29166666674</v>
      </c>
      <c r="L103" s="87">
        <f t="shared" si="264"/>
        <v>552545</v>
      </c>
      <c r="M103" s="88">
        <f t="shared" si="205"/>
        <v>-0.26792182638076734</v>
      </c>
      <c r="N103" s="15">
        <f t="shared" si="206"/>
        <v>-0.14854355018406917</v>
      </c>
      <c r="O103" s="13">
        <v>34773</v>
      </c>
      <c r="P103" s="41">
        <f t="shared" si="265"/>
        <v>65333</v>
      </c>
      <c r="Q103" s="41">
        <v>27316</v>
      </c>
      <c r="R103" s="88">
        <f t="shared" si="261"/>
        <v>-0.58189582599911227</v>
      </c>
      <c r="S103" s="15">
        <f t="shared" si="257"/>
        <v>-0.21444799125758496</v>
      </c>
      <c r="T103" s="45">
        <v>31150</v>
      </c>
      <c r="U103" s="41">
        <f t="shared" si="266"/>
        <v>59486.258333333339</v>
      </c>
      <c r="V103" s="39">
        <v>36258</v>
      </c>
      <c r="W103" s="88">
        <f t="shared" si="209"/>
        <v>-0.39048107889343076</v>
      </c>
      <c r="X103" s="33">
        <f t="shared" si="210"/>
        <v>0.16398073836276073</v>
      </c>
      <c r="Y103" s="13">
        <v>31766</v>
      </c>
      <c r="Z103" s="41">
        <f t="shared" si="267"/>
        <v>59486.258333333339</v>
      </c>
      <c r="AA103" s="39">
        <v>39040</v>
      </c>
      <c r="AB103" s="88">
        <f t="shared" si="211"/>
        <v>-0.34371397539852</v>
      </c>
      <c r="AC103" s="15">
        <f t="shared" si="212"/>
        <v>0.22898696719763278</v>
      </c>
      <c r="AD103" s="45">
        <v>44463</v>
      </c>
      <c r="AE103" s="41">
        <f t="shared" si="268"/>
        <v>59486.258333333339</v>
      </c>
      <c r="AF103" s="39">
        <v>39561</v>
      </c>
      <c r="AG103" s="88">
        <f t="shared" si="213"/>
        <v>-0.33495565012143569</v>
      </c>
      <c r="AH103" s="33">
        <f t="shared" si="214"/>
        <v>-0.11024897105458475</v>
      </c>
      <c r="AI103" s="13">
        <v>68210</v>
      </c>
      <c r="AJ103" s="41">
        <f t="shared" si="269"/>
        <v>59486.258333333339</v>
      </c>
      <c r="AK103" s="39">
        <v>42238</v>
      </c>
      <c r="AL103" s="88">
        <f t="shared" si="215"/>
        <v>-0.2899536601660524</v>
      </c>
      <c r="AM103" s="15">
        <f t="shared" si="216"/>
        <v>-0.38076528368274443</v>
      </c>
      <c r="AN103" s="45">
        <v>56551</v>
      </c>
      <c r="AO103" s="41">
        <f t="shared" si="270"/>
        <v>59486.258333333339</v>
      </c>
      <c r="AP103" s="39">
        <v>39215</v>
      </c>
      <c r="AQ103" s="88">
        <f t="shared" si="217"/>
        <v>-0.34077211949930741</v>
      </c>
      <c r="AR103" s="33">
        <f t="shared" si="218"/>
        <v>-0.30655514491344094</v>
      </c>
      <c r="AS103" s="13">
        <f>'2023년 실적'!AT103</f>
        <v>42081</v>
      </c>
      <c r="AT103" s="39">
        <f t="shared" si="271"/>
        <v>65333</v>
      </c>
      <c r="AU103" s="39">
        <v>51943</v>
      </c>
      <c r="AV103" s="88">
        <f t="shared" si="219"/>
        <v>-0.20495002525523087</v>
      </c>
      <c r="AW103" s="15">
        <f t="shared" si="220"/>
        <v>0.23435754853734458</v>
      </c>
      <c r="AX103" s="45">
        <f>'2023년 실적'!AY103</f>
        <v>87290</v>
      </c>
      <c r="AY103" s="39">
        <f t="shared" si="272"/>
        <v>65333</v>
      </c>
      <c r="AZ103" s="39">
        <v>59462</v>
      </c>
      <c r="BA103" s="88">
        <f t="shared" si="221"/>
        <v>-8.9862703381139664E-2</v>
      </c>
      <c r="BB103" s="33">
        <f t="shared" si="222"/>
        <v>-0.31879940428456865</v>
      </c>
      <c r="BC103" s="13">
        <f>'2023년 실적'!BD103</f>
        <v>65578</v>
      </c>
      <c r="BD103" s="39">
        <f t="shared" si="273"/>
        <v>65333</v>
      </c>
      <c r="BE103" s="39">
        <v>41681</v>
      </c>
      <c r="BF103" s="88">
        <f t="shared" si="223"/>
        <v>-0.36202225521558784</v>
      </c>
      <c r="BG103" s="15">
        <f t="shared" si="224"/>
        <v>-0.364405745829394</v>
      </c>
      <c r="BH103" s="45">
        <f>'2023년 실적'!BI103</f>
        <v>92171</v>
      </c>
      <c r="BI103" s="39">
        <f t="shared" si="274"/>
        <v>65333</v>
      </c>
      <c r="BJ103" s="39">
        <v>36941</v>
      </c>
      <c r="BK103" s="88">
        <f t="shared" si="225"/>
        <v>-0.43457364578390711</v>
      </c>
      <c r="BL103" s="33">
        <f t="shared" si="226"/>
        <v>-0.59921233359733539</v>
      </c>
      <c r="BM103" s="13">
        <f>'2023년 실적'!BN103</f>
        <v>51833</v>
      </c>
      <c r="BN103" s="39">
        <f t="shared" si="275"/>
        <v>65333</v>
      </c>
      <c r="BO103" s="39">
        <v>75579</v>
      </c>
      <c r="BP103" s="88">
        <f t="shared" si="227"/>
        <v>0.15682733075168742</v>
      </c>
      <c r="BQ103" s="15">
        <f t="shared" si="228"/>
        <v>0.45812513263750887</v>
      </c>
      <c r="BR103" s="45">
        <f>'2023년 실적'!BS103</f>
        <v>43075</v>
      </c>
      <c r="BS103" s="39">
        <f t="shared" si="276"/>
        <v>65333</v>
      </c>
      <c r="BT103" s="39">
        <v>63311</v>
      </c>
      <c r="BU103" s="88">
        <f t="shared" si="229"/>
        <v>-3.0949137495599466E-2</v>
      </c>
      <c r="BV103" s="15">
        <f t="shared" si="230"/>
        <v>0.46978525827045847</v>
      </c>
    </row>
    <row r="104" spans="2:74" ht="17.25" thickBot="1" x14ac:dyDescent="0.35">
      <c r="B104" s="312"/>
      <c r="C104" s="320"/>
      <c r="D104" s="286" t="s">
        <v>41</v>
      </c>
      <c r="E104" s="287"/>
      <c r="F104" s="57"/>
      <c r="G104" s="42"/>
      <c r="H104" s="42"/>
      <c r="I104" s="82"/>
      <c r="J104" s="176">
        <f t="shared" si="262"/>
        <v>0</v>
      </c>
      <c r="K104" s="177">
        <f t="shared" si="263"/>
        <v>23800</v>
      </c>
      <c r="L104" s="177">
        <f t="shared" si="264"/>
        <v>73018</v>
      </c>
      <c r="M104" s="146">
        <f t="shared" si="205"/>
        <v>2.0679831932773109</v>
      </c>
      <c r="N104" s="25" t="e">
        <f t="shared" si="206"/>
        <v>#DIV/0!</v>
      </c>
      <c r="O104" s="24"/>
      <c r="P104" s="41"/>
      <c r="Q104" s="42">
        <v>4584</v>
      </c>
      <c r="R104" s="146"/>
      <c r="S104" s="25"/>
      <c r="T104" s="57"/>
      <c r="U104" s="42"/>
      <c r="V104" s="42">
        <v>6076</v>
      </c>
      <c r="W104" s="146"/>
      <c r="X104" s="82"/>
      <c r="Y104" s="24"/>
      <c r="Z104" s="42"/>
      <c r="AA104" s="42">
        <v>3666</v>
      </c>
      <c r="AB104" s="146"/>
      <c r="AC104" s="25"/>
      <c r="AD104" s="57"/>
      <c r="AE104" s="42"/>
      <c r="AF104" s="42">
        <v>2808</v>
      </c>
      <c r="AG104" s="146"/>
      <c r="AH104" s="82"/>
      <c r="AI104" s="24"/>
      <c r="AJ104" s="42"/>
      <c r="AK104" s="42">
        <v>7864</v>
      </c>
      <c r="AL104" s="146"/>
      <c r="AM104" s="25"/>
      <c r="AN104" s="57"/>
      <c r="AO104" s="42"/>
      <c r="AP104" s="42">
        <v>3467</v>
      </c>
      <c r="AQ104" s="146"/>
      <c r="AR104" s="82"/>
      <c r="AS104" s="24"/>
      <c r="AT104" s="42"/>
      <c r="AU104" s="42">
        <v>10549</v>
      </c>
      <c r="AV104" s="146" t="e">
        <f t="shared" si="219"/>
        <v>#DIV/0!</v>
      </c>
      <c r="AW104" s="25" t="e">
        <f t="shared" si="220"/>
        <v>#DIV/0!</v>
      </c>
      <c r="AX104" s="57">
        <f>'2023년 실적'!AY104</f>
        <v>0</v>
      </c>
      <c r="AY104" s="42">
        <f t="shared" si="272"/>
        <v>4760</v>
      </c>
      <c r="AZ104" s="42">
        <v>4656</v>
      </c>
      <c r="BA104" s="146">
        <f t="shared" si="221"/>
        <v>-2.1848739495798353E-2</v>
      </c>
      <c r="BB104" s="82" t="e">
        <f t="shared" si="222"/>
        <v>#DIV/0!</v>
      </c>
      <c r="BC104" s="24">
        <f>'2023년 실적'!BD104</f>
        <v>0</v>
      </c>
      <c r="BD104" s="42">
        <f t="shared" si="273"/>
        <v>4760</v>
      </c>
      <c r="BE104" s="42">
        <v>8799</v>
      </c>
      <c r="BF104" s="146">
        <f t="shared" si="223"/>
        <v>0.84852941176470598</v>
      </c>
      <c r="BG104" s="25" t="e">
        <f t="shared" si="224"/>
        <v>#DIV/0!</v>
      </c>
      <c r="BH104" s="57">
        <f>'2023년 실적'!BI104</f>
        <v>0</v>
      </c>
      <c r="BI104" s="42">
        <f t="shared" si="274"/>
        <v>4760</v>
      </c>
      <c r="BJ104" s="42">
        <v>5411</v>
      </c>
      <c r="BK104" s="146">
        <f t="shared" si="225"/>
        <v>0.1367647058823529</v>
      </c>
      <c r="BL104" s="82" t="e">
        <f t="shared" si="226"/>
        <v>#DIV/0!</v>
      </c>
      <c r="BM104" s="24">
        <f>'2023년 실적'!BN104</f>
        <v>0</v>
      </c>
      <c r="BN104" s="42">
        <f t="shared" si="275"/>
        <v>4760</v>
      </c>
      <c r="BO104" s="42">
        <v>10010</v>
      </c>
      <c r="BP104" s="146">
        <f t="shared" si="227"/>
        <v>1.1029411764705883</v>
      </c>
      <c r="BQ104" s="25" t="e">
        <f t="shared" si="228"/>
        <v>#DIV/0!</v>
      </c>
      <c r="BR104" s="57">
        <f>'2023년 실적'!BS104</f>
        <v>0</v>
      </c>
      <c r="BS104" s="42">
        <f t="shared" si="276"/>
        <v>4760</v>
      </c>
      <c r="BT104" s="42">
        <v>5128</v>
      </c>
      <c r="BU104" s="146">
        <f t="shared" si="229"/>
        <v>7.7310924369747847E-2</v>
      </c>
      <c r="BV104" s="25" t="e">
        <f t="shared" si="230"/>
        <v>#DIV/0!</v>
      </c>
    </row>
    <row r="105" spans="2:74" ht="17.25" thickBot="1" x14ac:dyDescent="0.35">
      <c r="B105" s="302"/>
      <c r="C105" s="323" t="s">
        <v>42</v>
      </c>
      <c r="D105" s="324"/>
      <c r="E105" s="325"/>
      <c r="F105" s="178">
        <f>F97+F94</f>
        <v>8010680.9000000004</v>
      </c>
      <c r="G105" s="179">
        <f>G97+G94</f>
        <v>7979682</v>
      </c>
      <c r="H105" s="179">
        <f>H97+H94</f>
        <v>8895324.8800000008</v>
      </c>
      <c r="I105" s="180">
        <f t="shared" si="204"/>
        <v>0.11474678815521733</v>
      </c>
      <c r="J105" s="181">
        <f>J97+J94</f>
        <v>7977290</v>
      </c>
      <c r="K105" s="179">
        <f>K97+K94</f>
        <v>8459198.0333333351</v>
      </c>
      <c r="L105" s="179">
        <f>L97+L94</f>
        <v>6843324</v>
      </c>
      <c r="M105" s="182">
        <f t="shared" si="205"/>
        <v>-0.19101976652704067</v>
      </c>
      <c r="N105" s="183">
        <f t="shared" si="206"/>
        <v>-0.14214927625797735</v>
      </c>
      <c r="O105" s="181">
        <f>O97+O94</f>
        <v>537791</v>
      </c>
      <c r="P105" s="179">
        <f>P97+P94</f>
        <v>673105</v>
      </c>
      <c r="Q105" s="179">
        <f>Q97+Q94</f>
        <v>521256</v>
      </c>
      <c r="R105" s="182">
        <f t="shared" si="261"/>
        <v>-0.22559481804473303</v>
      </c>
      <c r="S105" s="183">
        <f t="shared" si="257"/>
        <v>-3.0746144877842885E-2</v>
      </c>
      <c r="T105" s="178">
        <f>T97+T94</f>
        <v>818144</v>
      </c>
      <c r="U105" s="179">
        <f>U97+U94</f>
        <v>738310.40666666673</v>
      </c>
      <c r="V105" s="179">
        <f>V97+V94</f>
        <v>506781</v>
      </c>
      <c r="W105" s="182">
        <f t="shared" si="209"/>
        <v>-0.31359358418362093</v>
      </c>
      <c r="X105" s="184">
        <f t="shared" si="210"/>
        <v>-0.38057236867837452</v>
      </c>
      <c r="Y105" s="181">
        <f>Y97+Y94</f>
        <v>645059</v>
      </c>
      <c r="Z105" s="179">
        <f>Z97+Z94</f>
        <v>738310.40666666673</v>
      </c>
      <c r="AA105" s="179">
        <f>AA97+AA94</f>
        <v>595429</v>
      </c>
      <c r="AB105" s="182">
        <f t="shared" si="211"/>
        <v>-0.19352484453219276</v>
      </c>
      <c r="AC105" s="183">
        <f t="shared" si="212"/>
        <v>-7.6938698630667934E-2</v>
      </c>
      <c r="AD105" s="178">
        <f>AD97+AD94</f>
        <v>688642</v>
      </c>
      <c r="AE105" s="179">
        <f>AE97+AE94</f>
        <v>738310.40666666673</v>
      </c>
      <c r="AF105" s="179">
        <f>AF97+AF94</f>
        <v>574755</v>
      </c>
      <c r="AG105" s="182">
        <f t="shared" si="213"/>
        <v>-0.22152661697549247</v>
      </c>
      <c r="AH105" s="184">
        <f t="shared" si="214"/>
        <v>-0.16537910844822123</v>
      </c>
      <c r="AI105" s="181">
        <f>AI97+AI94</f>
        <v>722223</v>
      </c>
      <c r="AJ105" s="179">
        <f>AJ97+AJ94</f>
        <v>735922.40666666673</v>
      </c>
      <c r="AK105" s="179">
        <f>AK97+AK94</f>
        <v>642827</v>
      </c>
      <c r="AL105" s="182">
        <f t="shared" si="215"/>
        <v>-0.12650166080462055</v>
      </c>
      <c r="AM105" s="183">
        <f t="shared" si="216"/>
        <v>-0.1099328046877488</v>
      </c>
      <c r="AN105" s="178">
        <f>AN97+AN94</f>
        <v>633867</v>
      </c>
      <c r="AO105" s="179">
        <f>AO97+AO94</f>
        <v>735765.40666666673</v>
      </c>
      <c r="AP105" s="179">
        <f>AP97+AP94</f>
        <v>506078</v>
      </c>
      <c r="AQ105" s="182">
        <f t="shared" si="217"/>
        <v>-0.31217478368172991</v>
      </c>
      <c r="AR105" s="184">
        <f t="shared" si="218"/>
        <v>-0.20160222885873536</v>
      </c>
      <c r="AS105" s="181">
        <f>AS97+AS94</f>
        <v>591577</v>
      </c>
      <c r="AT105" s="179">
        <f>AT97+AT94</f>
        <v>669660</v>
      </c>
      <c r="AU105" s="179">
        <f>AU97+AU94</f>
        <v>602774</v>
      </c>
      <c r="AV105" s="182">
        <f t="shared" si="219"/>
        <v>-9.988053639160166E-2</v>
      </c>
      <c r="AW105" s="183">
        <f t="shared" si="220"/>
        <v>1.892737547267731E-2</v>
      </c>
      <c r="AX105" s="178">
        <f>AX97+AX94</f>
        <v>609309</v>
      </c>
      <c r="AY105" s="179">
        <f>AY97+AY94</f>
        <v>679370</v>
      </c>
      <c r="AZ105" s="179">
        <f>AZ97+AZ94</f>
        <v>554339</v>
      </c>
      <c r="BA105" s="182">
        <f t="shared" si="221"/>
        <v>-0.18403962494664172</v>
      </c>
      <c r="BB105" s="184">
        <f t="shared" si="222"/>
        <v>-9.0216950676914376E-2</v>
      </c>
      <c r="BC105" s="181">
        <f>BC97+BC94</f>
        <v>540551</v>
      </c>
      <c r="BD105" s="179">
        <f>BD97+BD94</f>
        <v>675730</v>
      </c>
      <c r="BE105" s="179">
        <f>BE97+BE94</f>
        <v>484768</v>
      </c>
      <c r="BF105" s="182">
        <f t="shared" si="223"/>
        <v>-0.28260103887647436</v>
      </c>
      <c r="BG105" s="183">
        <f t="shared" si="224"/>
        <v>-0.10319655314669662</v>
      </c>
      <c r="BH105" s="178">
        <f>BH97+BH94</f>
        <v>813414</v>
      </c>
      <c r="BI105" s="179">
        <f>BI97+BI94</f>
        <v>695665</v>
      </c>
      <c r="BJ105" s="179">
        <f>BJ97+BJ94</f>
        <v>603717</v>
      </c>
      <c r="BK105" s="182">
        <f t="shared" si="225"/>
        <v>-0.13217281306375916</v>
      </c>
      <c r="BL105" s="184">
        <f t="shared" si="226"/>
        <v>-0.25779861177702867</v>
      </c>
      <c r="BM105" s="181">
        <f>BM97+BM94</f>
        <v>738846</v>
      </c>
      <c r="BN105" s="179">
        <f>BN97+BN94</f>
        <v>693960</v>
      </c>
      <c r="BO105" s="179">
        <f>BO97+BO94</f>
        <v>617592</v>
      </c>
      <c r="BP105" s="182">
        <f t="shared" si="227"/>
        <v>-0.11004668856994637</v>
      </c>
      <c r="BQ105" s="183">
        <f t="shared" si="228"/>
        <v>-0.16411268383397892</v>
      </c>
      <c r="BR105" s="178">
        <f>BR97+BR94</f>
        <v>637867</v>
      </c>
      <c r="BS105" s="179">
        <f>BS97+BS94</f>
        <v>685089</v>
      </c>
      <c r="BT105" s="179">
        <f>BT97+BT94</f>
        <v>633008</v>
      </c>
      <c r="BU105" s="182">
        <f t="shared" si="229"/>
        <v>-7.6020779781896919E-2</v>
      </c>
      <c r="BV105" s="183">
        <f t="shared" si="230"/>
        <v>-7.6175754506817572E-3</v>
      </c>
    </row>
  </sheetData>
  <mergeCells count="129">
    <mergeCell ref="D104:E104"/>
    <mergeCell ref="C105:E105"/>
    <mergeCell ref="D99:E99"/>
    <mergeCell ref="D100:E100"/>
    <mergeCell ref="D101:E101"/>
    <mergeCell ref="D102:E102"/>
    <mergeCell ref="D103:E103"/>
    <mergeCell ref="B76:B93"/>
    <mergeCell ref="C76:C94"/>
    <mergeCell ref="D76:E76"/>
    <mergeCell ref="D77:E77"/>
    <mergeCell ref="D78:E78"/>
    <mergeCell ref="D79:E79"/>
    <mergeCell ref="D80:D83"/>
    <mergeCell ref="D84:D88"/>
    <mergeCell ref="D89:D91"/>
    <mergeCell ref="B94:B105"/>
    <mergeCell ref="D94:E94"/>
    <mergeCell ref="C95:C104"/>
    <mergeCell ref="D95:E95"/>
    <mergeCell ref="D96:E96"/>
    <mergeCell ref="D97:E97"/>
    <mergeCell ref="D98:E98"/>
    <mergeCell ref="BC71:BG71"/>
    <mergeCell ref="BH71:BL71"/>
    <mergeCell ref="BM71:BQ71"/>
    <mergeCell ref="BR71:BV71"/>
    <mergeCell ref="B73:C75"/>
    <mergeCell ref="D73:E73"/>
    <mergeCell ref="D74:E74"/>
    <mergeCell ref="D75:E75"/>
    <mergeCell ref="AD71:AH71"/>
    <mergeCell ref="AI71:AM71"/>
    <mergeCell ref="AN71:AR71"/>
    <mergeCell ref="AS71:AW71"/>
    <mergeCell ref="AX71:BB71"/>
    <mergeCell ref="I71:I72"/>
    <mergeCell ref="J71:N71"/>
    <mergeCell ref="O71:S71"/>
    <mergeCell ref="T71:X71"/>
    <mergeCell ref="Y71:AC71"/>
    <mergeCell ref="B71:E72"/>
    <mergeCell ref="F71:F72"/>
    <mergeCell ref="G71:G72"/>
    <mergeCell ref="H71:H72"/>
    <mergeCell ref="B50:C54"/>
    <mergeCell ref="B55:C59"/>
    <mergeCell ref="B48:E49"/>
    <mergeCell ref="B4:C6"/>
    <mergeCell ref="D4:E4"/>
    <mergeCell ref="D5:E5"/>
    <mergeCell ref="D6:E6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11:E11"/>
    <mergeCell ref="G48:G49"/>
    <mergeCell ref="H48:H49"/>
    <mergeCell ref="BM48:BQ48"/>
    <mergeCell ref="J48:N48"/>
    <mergeCell ref="O48:S48"/>
    <mergeCell ref="T48:X48"/>
    <mergeCell ref="BR48:BV48"/>
    <mergeCell ref="AN48:AR48"/>
    <mergeCell ref="AS48:AW48"/>
    <mergeCell ref="AX48:BB48"/>
    <mergeCell ref="BC48:BG48"/>
    <mergeCell ref="BH48:BL48"/>
    <mergeCell ref="Y48:AC48"/>
    <mergeCell ref="AD48:AH48"/>
    <mergeCell ref="AI48:AM48"/>
    <mergeCell ref="I48:I49"/>
    <mergeCell ref="F48:F49"/>
    <mergeCell ref="B41:B43"/>
    <mergeCell ref="C41:E41"/>
    <mergeCell ref="C42:E42"/>
    <mergeCell ref="C43:E43"/>
    <mergeCell ref="D36:E36"/>
    <mergeCell ref="C37:E37"/>
    <mergeCell ref="B38:B40"/>
    <mergeCell ref="C38:E38"/>
    <mergeCell ref="C39:E39"/>
    <mergeCell ref="C40:E40"/>
    <mergeCell ref="B26:B37"/>
    <mergeCell ref="C27:C36"/>
    <mergeCell ref="D35:E35"/>
    <mergeCell ref="D27:E27"/>
    <mergeCell ref="D28:E28"/>
    <mergeCell ref="D29:E29"/>
    <mergeCell ref="D30:E30"/>
    <mergeCell ref="D31:E31"/>
    <mergeCell ref="D32:E32"/>
    <mergeCell ref="D33:E33"/>
    <mergeCell ref="D34:E34"/>
    <mergeCell ref="BR2:BV2"/>
    <mergeCell ref="AN2:AR2"/>
    <mergeCell ref="AS2:AW2"/>
    <mergeCell ref="AX2:BB2"/>
    <mergeCell ref="BC2:BG2"/>
    <mergeCell ref="BH2:BL2"/>
    <mergeCell ref="BM2:BQ2"/>
    <mergeCell ref="J2:N2"/>
    <mergeCell ref="O2:S2"/>
    <mergeCell ref="T2:X2"/>
    <mergeCell ref="Y2:AC2"/>
    <mergeCell ref="AI2:AM2"/>
    <mergeCell ref="G2:G3"/>
    <mergeCell ref="H2:H3"/>
    <mergeCell ref="I2:I3"/>
    <mergeCell ref="AD2:AH2"/>
    <mergeCell ref="F2:F3"/>
    <mergeCell ref="B7:B25"/>
    <mergeCell ref="C7:C26"/>
    <mergeCell ref="D7:E7"/>
    <mergeCell ref="D8:E8"/>
    <mergeCell ref="D9:E9"/>
    <mergeCell ref="D10:E10"/>
    <mergeCell ref="D12:D15"/>
    <mergeCell ref="D16:D20"/>
    <mergeCell ref="D21:D23"/>
    <mergeCell ref="D26:E26"/>
    <mergeCell ref="B2:E3"/>
  </mergeCells>
  <phoneticPr fontId="2" type="noConversion"/>
  <pageMargins left="0.25" right="0.25" top="0.75" bottom="0.75" header="0.3" footer="0.3"/>
  <pageSetup paperSize="9" scale="2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F88E7-2BC5-48F0-9F8B-29F76E3C90BB}">
  <sheetPr>
    <pageSetUpPr fitToPage="1"/>
  </sheetPr>
  <dimension ref="B1:BU111"/>
  <sheetViews>
    <sheetView workbookViewId="0">
      <pane xSplit="13" ySplit="9" topLeftCell="BG10" activePane="bottomRight" state="frozen"/>
      <selection pane="topRight" activeCell="N1" sqref="N1"/>
      <selection pane="bottomLeft" activeCell="A10" sqref="A10"/>
      <selection pane="bottomRight" activeCell="F12" sqref="F12"/>
    </sheetView>
  </sheetViews>
  <sheetFormatPr defaultRowHeight="16.5" x14ac:dyDescent="0.3"/>
  <cols>
    <col min="1" max="1" width="3" style="37" customWidth="1"/>
    <col min="2" max="2" width="4.625" style="37" customWidth="1"/>
    <col min="3" max="3" width="4.375" style="37" customWidth="1"/>
    <col min="4" max="4" width="4.125" style="37" customWidth="1"/>
    <col min="5" max="6" width="7.25" style="37" customWidth="1"/>
    <col min="7" max="7" width="7.875" style="37" customWidth="1"/>
    <col min="8" max="8" width="8" style="30" bestFit="1" customWidth="1"/>
    <col min="9" max="9" width="7.375" style="37" bestFit="1" customWidth="1"/>
    <col min="10" max="10" width="7.375" style="37" customWidth="1"/>
    <col min="11" max="11" width="7.375" style="37" bestFit="1" customWidth="1"/>
    <col min="12" max="12" width="8.75" style="30" bestFit="1" customWidth="1"/>
    <col min="13" max="13" width="7.125" style="30" customWidth="1"/>
    <col min="14" max="14" width="7.375" style="37" bestFit="1" customWidth="1"/>
    <col min="15" max="15" width="9.125" style="37" bestFit="1" customWidth="1"/>
    <col min="16" max="16" width="8.375" style="37" customWidth="1"/>
    <col min="17" max="18" width="9.125" style="30" bestFit="1" customWidth="1"/>
    <col min="19" max="19" width="7.625" style="37" customWidth="1"/>
    <col min="20" max="20" width="9.125" style="37" bestFit="1" customWidth="1"/>
    <col min="21" max="21" width="9.25" style="37" bestFit="1" customWidth="1"/>
    <col min="22" max="23" width="9.125" style="30" bestFit="1" customWidth="1"/>
    <col min="24" max="24" width="9.25" style="37" bestFit="1" customWidth="1"/>
    <col min="25" max="25" width="9.125" style="37" bestFit="1" customWidth="1"/>
    <col min="26" max="26" width="9.25" style="37" bestFit="1" customWidth="1"/>
    <col min="27" max="28" width="9.125" style="30" bestFit="1" customWidth="1"/>
    <col min="29" max="29" width="9.25" style="37" bestFit="1" customWidth="1"/>
    <col min="30" max="30" width="9.125" style="37" bestFit="1" customWidth="1"/>
    <col min="31" max="31" width="9.25" style="37" bestFit="1" customWidth="1"/>
    <col min="32" max="33" width="9.125" style="30" bestFit="1" customWidth="1"/>
    <col min="34" max="34" width="9.25" style="37" bestFit="1" customWidth="1"/>
    <col min="35" max="35" width="9.125" style="37" bestFit="1" customWidth="1"/>
    <col min="36" max="36" width="9.25" style="37" bestFit="1" customWidth="1"/>
    <col min="37" max="38" width="9.125" style="30" bestFit="1" customWidth="1"/>
    <col min="39" max="39" width="9.25" style="37" bestFit="1" customWidth="1"/>
    <col min="40" max="40" width="9.125" style="37" bestFit="1" customWidth="1"/>
    <col min="41" max="41" width="9.25" style="37" bestFit="1" customWidth="1"/>
    <col min="42" max="43" width="9.125" style="30" bestFit="1" customWidth="1"/>
    <col min="44" max="44" width="9.25" style="37" bestFit="1" customWidth="1"/>
    <col min="45" max="45" width="9.125" style="37" bestFit="1" customWidth="1"/>
    <col min="46" max="46" width="9.25" style="37" bestFit="1" customWidth="1"/>
    <col min="47" max="48" width="9.125" style="30" bestFit="1" customWidth="1"/>
    <col min="49" max="49" width="9.25" style="37" bestFit="1" customWidth="1"/>
    <col min="50" max="50" width="9.125" style="37" bestFit="1" customWidth="1"/>
    <col min="51" max="51" width="9.25" style="37" bestFit="1" customWidth="1"/>
    <col min="52" max="53" width="9.125" style="30" bestFit="1" customWidth="1"/>
    <col min="54" max="54" width="9.25" style="37" bestFit="1" customWidth="1"/>
    <col min="55" max="55" width="9.125" style="37" bestFit="1" customWidth="1"/>
    <col min="56" max="56" width="9.25" style="37" bestFit="1" customWidth="1"/>
    <col min="57" max="58" width="9.125" style="30" bestFit="1" customWidth="1"/>
    <col min="59" max="59" width="9.25" style="37" bestFit="1" customWidth="1"/>
    <col min="60" max="60" width="9.125" style="37" bestFit="1" customWidth="1"/>
    <col min="61" max="61" width="9.25" style="37" bestFit="1" customWidth="1"/>
    <col min="62" max="63" width="9.125" style="30" bestFit="1" customWidth="1"/>
    <col min="64" max="64" width="9.25" style="37" bestFit="1" customWidth="1"/>
    <col min="65" max="65" width="9.125" style="37" bestFit="1" customWidth="1"/>
    <col min="66" max="66" width="9.25" style="37" bestFit="1" customWidth="1"/>
    <col min="67" max="68" width="9.125" style="30" bestFit="1" customWidth="1"/>
    <col min="69" max="69" width="9.25" style="37" bestFit="1" customWidth="1"/>
    <col min="70" max="70" width="9.125" style="37" bestFit="1" customWidth="1"/>
    <col min="71" max="71" width="9.25" style="37" bestFit="1" customWidth="1"/>
    <col min="72" max="73" width="9.125" style="30" bestFit="1" customWidth="1"/>
    <col min="74" max="16384" width="9" style="37"/>
  </cols>
  <sheetData>
    <row r="1" spans="2:73" ht="17.25" thickBot="1" x14ac:dyDescent="0.35"/>
    <row r="2" spans="2:73" x14ac:dyDescent="0.3">
      <c r="B2" s="374" t="s">
        <v>0</v>
      </c>
      <c r="C2" s="376" t="s">
        <v>1</v>
      </c>
      <c r="D2" s="327" t="s">
        <v>2</v>
      </c>
      <c r="E2" s="328"/>
      <c r="F2" s="329" t="s">
        <v>69</v>
      </c>
      <c r="G2" s="327" t="s">
        <v>3</v>
      </c>
      <c r="H2" s="339" t="s">
        <v>5</v>
      </c>
      <c r="I2" s="326" t="s">
        <v>6</v>
      </c>
      <c r="J2" s="327"/>
      <c r="K2" s="327"/>
      <c r="L2" s="327"/>
      <c r="M2" s="328"/>
      <c r="N2" s="326" t="s">
        <v>7</v>
      </c>
      <c r="O2" s="327"/>
      <c r="P2" s="327"/>
      <c r="Q2" s="327"/>
      <c r="R2" s="328"/>
      <c r="S2" s="329" t="s">
        <v>58</v>
      </c>
      <c r="T2" s="327"/>
      <c r="U2" s="327"/>
      <c r="V2" s="327"/>
      <c r="W2" s="330"/>
      <c r="X2" s="326" t="s">
        <v>59</v>
      </c>
      <c r="Y2" s="327"/>
      <c r="Z2" s="327"/>
      <c r="AA2" s="327"/>
      <c r="AB2" s="328"/>
      <c r="AC2" s="329" t="s">
        <v>60</v>
      </c>
      <c r="AD2" s="327"/>
      <c r="AE2" s="327"/>
      <c r="AF2" s="327"/>
      <c r="AG2" s="330"/>
      <c r="AH2" s="326" t="s">
        <v>61</v>
      </c>
      <c r="AI2" s="327"/>
      <c r="AJ2" s="327"/>
      <c r="AK2" s="327"/>
      <c r="AL2" s="328"/>
      <c r="AM2" s="329" t="s">
        <v>62</v>
      </c>
      <c r="AN2" s="327"/>
      <c r="AO2" s="327"/>
      <c r="AP2" s="327"/>
      <c r="AQ2" s="330"/>
      <c r="AR2" s="326" t="s">
        <v>63</v>
      </c>
      <c r="AS2" s="327"/>
      <c r="AT2" s="327"/>
      <c r="AU2" s="327"/>
      <c r="AV2" s="328"/>
      <c r="AW2" s="329" t="s">
        <v>64</v>
      </c>
      <c r="AX2" s="327"/>
      <c r="AY2" s="327"/>
      <c r="AZ2" s="327"/>
      <c r="BA2" s="330"/>
      <c r="BB2" s="326" t="s">
        <v>65</v>
      </c>
      <c r="BC2" s="327"/>
      <c r="BD2" s="327"/>
      <c r="BE2" s="327"/>
      <c r="BF2" s="328"/>
      <c r="BG2" s="329" t="s">
        <v>66</v>
      </c>
      <c r="BH2" s="327"/>
      <c r="BI2" s="327"/>
      <c r="BJ2" s="327"/>
      <c r="BK2" s="330"/>
      <c r="BL2" s="326" t="s">
        <v>67</v>
      </c>
      <c r="BM2" s="327"/>
      <c r="BN2" s="327"/>
      <c r="BO2" s="327"/>
      <c r="BP2" s="328"/>
      <c r="BQ2" s="329" t="s">
        <v>68</v>
      </c>
      <c r="BR2" s="327"/>
      <c r="BS2" s="327"/>
      <c r="BT2" s="327"/>
      <c r="BU2" s="328"/>
    </row>
    <row r="3" spans="2:73" ht="17.25" thickBot="1" x14ac:dyDescent="0.35">
      <c r="B3" s="375"/>
      <c r="C3" s="377"/>
      <c r="D3" s="338"/>
      <c r="E3" s="378"/>
      <c r="F3" s="337"/>
      <c r="G3" s="338"/>
      <c r="H3" s="340"/>
      <c r="I3" s="104" t="s">
        <v>70</v>
      </c>
      <c r="J3" s="97" t="s">
        <v>9</v>
      </c>
      <c r="K3" s="97" t="s">
        <v>8</v>
      </c>
      <c r="L3" s="98" t="s">
        <v>11</v>
      </c>
      <c r="M3" s="99" t="s">
        <v>12</v>
      </c>
      <c r="N3" s="111" t="str">
        <f t="shared" ref="N3:AS3" si="0">I3</f>
        <v>2022년</v>
      </c>
      <c r="O3" s="97" t="str">
        <f t="shared" si="0"/>
        <v>목표</v>
      </c>
      <c r="P3" s="97" t="str">
        <f t="shared" si="0"/>
        <v>2023년</v>
      </c>
      <c r="Q3" s="98" t="str">
        <f t="shared" si="0"/>
        <v>달성율</v>
      </c>
      <c r="R3" s="99" t="str">
        <f t="shared" si="0"/>
        <v>전년대비</v>
      </c>
      <c r="S3" s="103" t="str">
        <f t="shared" si="0"/>
        <v>2022년</v>
      </c>
      <c r="T3" s="97" t="str">
        <f t="shared" si="0"/>
        <v>목표</v>
      </c>
      <c r="U3" s="97" t="str">
        <f t="shared" si="0"/>
        <v>2023년</v>
      </c>
      <c r="V3" s="98" t="str">
        <f t="shared" si="0"/>
        <v>달성율</v>
      </c>
      <c r="W3" s="109" t="str">
        <f t="shared" si="0"/>
        <v>전년대비</v>
      </c>
      <c r="X3" s="111" t="str">
        <f t="shared" si="0"/>
        <v>2022년</v>
      </c>
      <c r="Y3" s="97" t="str">
        <f t="shared" si="0"/>
        <v>목표</v>
      </c>
      <c r="Z3" s="97" t="str">
        <f t="shared" si="0"/>
        <v>2023년</v>
      </c>
      <c r="AA3" s="98" t="str">
        <f t="shared" si="0"/>
        <v>달성율</v>
      </c>
      <c r="AB3" s="99" t="str">
        <f t="shared" si="0"/>
        <v>전년대비</v>
      </c>
      <c r="AC3" s="103" t="str">
        <f t="shared" si="0"/>
        <v>2022년</v>
      </c>
      <c r="AD3" s="97" t="str">
        <f t="shared" si="0"/>
        <v>목표</v>
      </c>
      <c r="AE3" s="97" t="str">
        <f t="shared" si="0"/>
        <v>2023년</v>
      </c>
      <c r="AF3" s="98" t="str">
        <f t="shared" si="0"/>
        <v>달성율</v>
      </c>
      <c r="AG3" s="109" t="str">
        <f t="shared" si="0"/>
        <v>전년대비</v>
      </c>
      <c r="AH3" s="111" t="str">
        <f t="shared" si="0"/>
        <v>2022년</v>
      </c>
      <c r="AI3" s="97" t="str">
        <f t="shared" si="0"/>
        <v>목표</v>
      </c>
      <c r="AJ3" s="97" t="str">
        <f t="shared" si="0"/>
        <v>2023년</v>
      </c>
      <c r="AK3" s="98" t="str">
        <f t="shared" si="0"/>
        <v>달성율</v>
      </c>
      <c r="AL3" s="99" t="str">
        <f t="shared" si="0"/>
        <v>전년대비</v>
      </c>
      <c r="AM3" s="103" t="str">
        <f t="shared" si="0"/>
        <v>2022년</v>
      </c>
      <c r="AN3" s="97" t="str">
        <f t="shared" si="0"/>
        <v>목표</v>
      </c>
      <c r="AO3" s="97" t="str">
        <f t="shared" si="0"/>
        <v>2023년</v>
      </c>
      <c r="AP3" s="98" t="str">
        <f t="shared" si="0"/>
        <v>달성율</v>
      </c>
      <c r="AQ3" s="109" t="str">
        <f t="shared" si="0"/>
        <v>전년대비</v>
      </c>
      <c r="AR3" s="111" t="str">
        <f t="shared" si="0"/>
        <v>2022년</v>
      </c>
      <c r="AS3" s="97" t="str">
        <f t="shared" si="0"/>
        <v>목표</v>
      </c>
      <c r="AT3" s="97" t="str">
        <f t="shared" ref="AT3:BU3" si="1">AO3</f>
        <v>2023년</v>
      </c>
      <c r="AU3" s="98" t="str">
        <f t="shared" si="1"/>
        <v>달성율</v>
      </c>
      <c r="AV3" s="99" t="str">
        <f t="shared" si="1"/>
        <v>전년대비</v>
      </c>
      <c r="AW3" s="103" t="str">
        <f t="shared" si="1"/>
        <v>2022년</v>
      </c>
      <c r="AX3" s="97" t="str">
        <f t="shared" si="1"/>
        <v>목표</v>
      </c>
      <c r="AY3" s="97" t="str">
        <f t="shared" si="1"/>
        <v>2023년</v>
      </c>
      <c r="AZ3" s="98" t="str">
        <f t="shared" si="1"/>
        <v>달성율</v>
      </c>
      <c r="BA3" s="109" t="str">
        <f t="shared" si="1"/>
        <v>전년대비</v>
      </c>
      <c r="BB3" s="111" t="str">
        <f t="shared" si="1"/>
        <v>2022년</v>
      </c>
      <c r="BC3" s="97" t="str">
        <f t="shared" si="1"/>
        <v>목표</v>
      </c>
      <c r="BD3" s="97" t="str">
        <f t="shared" si="1"/>
        <v>2023년</v>
      </c>
      <c r="BE3" s="98" t="str">
        <f t="shared" si="1"/>
        <v>달성율</v>
      </c>
      <c r="BF3" s="99" t="str">
        <f t="shared" si="1"/>
        <v>전년대비</v>
      </c>
      <c r="BG3" s="103" t="str">
        <f t="shared" si="1"/>
        <v>2022년</v>
      </c>
      <c r="BH3" s="97" t="str">
        <f t="shared" si="1"/>
        <v>목표</v>
      </c>
      <c r="BI3" s="97" t="str">
        <f t="shared" si="1"/>
        <v>2023년</v>
      </c>
      <c r="BJ3" s="98" t="str">
        <f t="shared" si="1"/>
        <v>달성율</v>
      </c>
      <c r="BK3" s="109" t="str">
        <f t="shared" si="1"/>
        <v>전년대비</v>
      </c>
      <c r="BL3" s="111" t="str">
        <f t="shared" si="1"/>
        <v>2022년</v>
      </c>
      <c r="BM3" s="97" t="str">
        <f t="shared" si="1"/>
        <v>목표</v>
      </c>
      <c r="BN3" s="97" t="str">
        <f t="shared" si="1"/>
        <v>2023년</v>
      </c>
      <c r="BO3" s="98" t="str">
        <f t="shared" si="1"/>
        <v>달성율</v>
      </c>
      <c r="BP3" s="99" t="str">
        <f t="shared" si="1"/>
        <v>전년대비</v>
      </c>
      <c r="BQ3" s="103" t="str">
        <f t="shared" si="1"/>
        <v>2022년</v>
      </c>
      <c r="BR3" s="97" t="str">
        <f t="shared" si="1"/>
        <v>목표</v>
      </c>
      <c r="BS3" s="97" t="str">
        <f t="shared" si="1"/>
        <v>2023년</v>
      </c>
      <c r="BT3" s="98" t="str">
        <f t="shared" si="1"/>
        <v>달성율</v>
      </c>
      <c r="BU3" s="99" t="str">
        <f t="shared" si="1"/>
        <v>전년대비</v>
      </c>
    </row>
    <row r="4" spans="2:73" x14ac:dyDescent="0.3">
      <c r="B4" s="387" t="s">
        <v>57</v>
      </c>
      <c r="C4" s="388" t="s">
        <v>13</v>
      </c>
      <c r="D4" s="389"/>
      <c r="E4" s="390"/>
      <c r="F4" s="83">
        <f>F9+F29</f>
        <v>10715192.9</v>
      </c>
      <c r="G4" s="113">
        <f>G9+G29</f>
        <v>10656512</v>
      </c>
      <c r="H4" s="74">
        <f>G4/F4-1</f>
        <v>-5.4764203078415674E-3</v>
      </c>
      <c r="I4" s="1">
        <f>I9+I29</f>
        <v>10715192.9</v>
      </c>
      <c r="J4" s="113">
        <f>J9+J29</f>
        <v>0</v>
      </c>
      <c r="K4" s="113">
        <f>K9+K29</f>
        <v>10650848</v>
      </c>
      <c r="L4" s="114" t="e">
        <f>K4/J4-1</f>
        <v>#DIV/0!</v>
      </c>
      <c r="M4" s="2">
        <f>K4/I4-1</f>
        <v>-6.0050155513299286E-3</v>
      </c>
      <c r="N4" s="1">
        <f>N9+N29</f>
        <v>1109002.8</v>
      </c>
      <c r="O4" s="113">
        <f>O9+O29</f>
        <v>0</v>
      </c>
      <c r="P4" s="113">
        <f>P9+P29</f>
        <v>813676</v>
      </c>
      <c r="Q4" s="114" t="e">
        <f>P4/O4-1</f>
        <v>#DIV/0!</v>
      </c>
      <c r="R4" s="2">
        <f>P4/N4-1</f>
        <v>-0.26629941781932387</v>
      </c>
      <c r="S4" s="83">
        <f>S9+S29</f>
        <v>752823.6</v>
      </c>
      <c r="T4" s="113">
        <f>T9+T29</f>
        <v>0</v>
      </c>
      <c r="U4" s="113">
        <f>U9+U29</f>
        <v>1027633</v>
      </c>
      <c r="V4" s="114" t="e">
        <f>U4/T4-1</f>
        <v>#DIV/0!</v>
      </c>
      <c r="W4" s="74">
        <f>U4/S4-1</f>
        <v>0.36503823737725538</v>
      </c>
      <c r="X4" s="1">
        <f>X9+X29</f>
        <v>1145903.1000000001</v>
      </c>
      <c r="Y4" s="113">
        <f>Y9+Y29</f>
        <v>0</v>
      </c>
      <c r="Z4" s="113">
        <f>Z9+Z29</f>
        <v>886260</v>
      </c>
      <c r="AA4" s="114" t="e">
        <f>Z4/Y4-1</f>
        <v>#DIV/0!</v>
      </c>
      <c r="AB4" s="2">
        <f>Z4/X4-1</f>
        <v>-0.22658381847470355</v>
      </c>
      <c r="AC4" s="83">
        <f>AC9+AC29</f>
        <v>1148547.3999999999</v>
      </c>
      <c r="AD4" s="113">
        <f>AD9+AD29</f>
        <v>0</v>
      </c>
      <c r="AE4" s="113">
        <f>AE9+AE29</f>
        <v>834245</v>
      </c>
      <c r="AF4" s="114" t="e">
        <f>AE4/AD4-1</f>
        <v>#DIV/0!</v>
      </c>
      <c r="AG4" s="74">
        <f>AE4/AC4-1</f>
        <v>-0.27365209306990723</v>
      </c>
      <c r="AH4" s="1">
        <f>AH9+AH29</f>
        <v>1015120</v>
      </c>
      <c r="AI4" s="113">
        <f>AI9+AI29</f>
        <v>0</v>
      </c>
      <c r="AJ4" s="113">
        <f>AJ9+AJ29</f>
        <v>919597</v>
      </c>
      <c r="AK4" s="114" t="e">
        <f>AJ4/AI4-1</f>
        <v>#DIV/0!</v>
      </c>
      <c r="AL4" s="2">
        <f>AJ4/AH4-1</f>
        <v>-9.4100204901883533E-2</v>
      </c>
      <c r="AM4" s="83">
        <f>AM9+AM29</f>
        <v>856647</v>
      </c>
      <c r="AN4" s="113">
        <f>AN9+AN29</f>
        <v>0</v>
      </c>
      <c r="AO4" s="113">
        <f>AO9+AO29</f>
        <v>841034</v>
      </c>
      <c r="AP4" s="114" t="e">
        <f>AO4/AN4-1</f>
        <v>#DIV/0!</v>
      </c>
      <c r="AQ4" s="74">
        <f>AO4/AM4-1</f>
        <v>-1.8225710240040494E-2</v>
      </c>
      <c r="AR4" s="1">
        <f>AR9+AR29</f>
        <v>658729</v>
      </c>
      <c r="AS4" s="113">
        <f>AS9+AS29</f>
        <v>0</v>
      </c>
      <c r="AT4" s="113">
        <f>AT9+AT29</f>
        <v>771634</v>
      </c>
      <c r="AU4" s="114" t="e">
        <f>AT4/AS4-1</f>
        <v>#DIV/0!</v>
      </c>
      <c r="AV4" s="2">
        <f>AT4/AR4-1</f>
        <v>0.17139825330295166</v>
      </c>
      <c r="AW4" s="83">
        <f>AW9+AW29</f>
        <v>518116</v>
      </c>
      <c r="AX4" s="113">
        <f>AX9+AX29</f>
        <v>0</v>
      </c>
      <c r="AY4" s="113">
        <f>AY9+AY29</f>
        <v>808238</v>
      </c>
      <c r="AZ4" s="114" t="e">
        <f>AY4/AX4-1</f>
        <v>#DIV/0!</v>
      </c>
      <c r="BA4" s="74">
        <f>AY4/AW4-1</f>
        <v>0.55995568559936393</v>
      </c>
      <c r="BB4" s="1">
        <f>BB9+BB29</f>
        <v>687942</v>
      </c>
      <c r="BC4" s="113">
        <f>BC9+BC29</f>
        <v>0</v>
      </c>
      <c r="BD4" s="113">
        <f>BD9+BD29</f>
        <v>747561</v>
      </c>
      <c r="BE4" s="114" t="e">
        <f>BD4/BC4-1</f>
        <v>#DIV/0!</v>
      </c>
      <c r="BF4" s="2">
        <f>BD4/BB4-1</f>
        <v>8.6662829133851371E-2</v>
      </c>
      <c r="BG4" s="83">
        <f>BG9+BG29</f>
        <v>809281</v>
      </c>
      <c r="BH4" s="113">
        <f>BH9+BH29</f>
        <v>0</v>
      </c>
      <c r="BI4" s="113">
        <f>BI9+BI29</f>
        <v>1131094</v>
      </c>
      <c r="BJ4" s="114" t="e">
        <f>BI4/BH4-1</f>
        <v>#DIV/0!</v>
      </c>
      <c r="BK4" s="74">
        <f>BI4/BG4-1</f>
        <v>0.39765297838451663</v>
      </c>
      <c r="BL4" s="1">
        <f>BL9+BL29</f>
        <v>976981</v>
      </c>
      <c r="BM4" s="113">
        <f>BM9+BM29</f>
        <v>0</v>
      </c>
      <c r="BN4" s="113">
        <f>BN9+BN29</f>
        <v>987740</v>
      </c>
      <c r="BO4" s="114" t="e">
        <f>BN4/BM4-1</f>
        <v>#DIV/0!</v>
      </c>
      <c r="BP4" s="2">
        <f>BN4/BL4-1</f>
        <v>1.1012496660631088E-2</v>
      </c>
      <c r="BQ4" s="83">
        <f>BQ9+BQ29</f>
        <v>777306</v>
      </c>
      <c r="BR4" s="113">
        <f>BR9+BR29</f>
        <v>0</v>
      </c>
      <c r="BS4" s="113">
        <f>BS9+BS29</f>
        <v>874746</v>
      </c>
      <c r="BT4" s="114" t="e">
        <f>BS4/BR4-1</f>
        <v>#DIV/0!</v>
      </c>
      <c r="BU4" s="2">
        <f>BS4/BQ4-1</f>
        <v>0.12535603739068013</v>
      </c>
    </row>
    <row r="5" spans="2:73" x14ac:dyDescent="0.3">
      <c r="B5" s="380"/>
      <c r="C5" s="383" t="s">
        <v>14</v>
      </c>
      <c r="D5" s="356"/>
      <c r="E5" s="357"/>
      <c r="F5" s="84">
        <f>F8+F28</f>
        <v>10321407</v>
      </c>
      <c r="G5" s="62">
        <f>G8+G28</f>
        <v>10654645</v>
      </c>
      <c r="H5" s="75">
        <f t="shared" ref="H5:H43" si="2">G5/F5-1</f>
        <v>3.2286102078912249E-2</v>
      </c>
      <c r="I5" s="3">
        <f>I8+I28</f>
        <v>10321407</v>
      </c>
      <c r="J5" s="62">
        <f>J8+J28</f>
        <v>11700012</v>
      </c>
      <c r="K5" s="62">
        <f>K8+K28</f>
        <v>10726735</v>
      </c>
      <c r="L5" s="86">
        <f t="shared" ref="L5:L43" si="3">K5/J5-1</f>
        <v>-8.3185983057111446E-2</v>
      </c>
      <c r="M5" s="4">
        <f t="shared" ref="M5:M43" si="4">K5/I5-1</f>
        <v>3.9270614946198767E-2</v>
      </c>
      <c r="N5" s="3">
        <f>N8+N28</f>
        <v>1002020</v>
      </c>
      <c r="O5" s="62">
        <f>O8+O28</f>
        <v>1009001</v>
      </c>
      <c r="P5" s="62">
        <f>P8+P28</f>
        <v>1076282</v>
      </c>
      <c r="Q5" s="86">
        <f t="shared" ref="Q5:Q37" si="5">P5/O5-1</f>
        <v>6.6680806064612463E-2</v>
      </c>
      <c r="R5" s="4">
        <f t="shared" ref="R5:R43" si="6">P5/N5-1</f>
        <v>7.4112293167801102E-2</v>
      </c>
      <c r="S5" s="84">
        <f>S8+S28</f>
        <v>936707</v>
      </c>
      <c r="T5" s="62">
        <f>T8+T28</f>
        <v>907001</v>
      </c>
      <c r="U5" s="62">
        <f>U8+U28</f>
        <v>705345</v>
      </c>
      <c r="V5" s="86">
        <f t="shared" ref="V5:V37" si="7">U5/T5-1</f>
        <v>-0.22233272069159793</v>
      </c>
      <c r="W5" s="75">
        <f t="shared" ref="W5:W43" si="8">U5/S5-1</f>
        <v>-0.24699505821991297</v>
      </c>
      <c r="X5" s="3">
        <f>X8+X28</f>
        <v>1184215</v>
      </c>
      <c r="Y5" s="62">
        <f>Y8+Y28</f>
        <v>1009001</v>
      </c>
      <c r="Z5" s="62">
        <f>Z8+Z28</f>
        <v>883127</v>
      </c>
      <c r="AA5" s="86">
        <f t="shared" ref="AA5:AA37" si="9">Z5/Y5-1</f>
        <v>-0.12475111521197702</v>
      </c>
      <c r="AB5" s="4">
        <f t="shared" ref="AB5:AB43" si="10">Z5/X5-1</f>
        <v>-0.25425112838462616</v>
      </c>
      <c r="AC5" s="84">
        <f>AC8+AC28</f>
        <v>1119345</v>
      </c>
      <c r="AD5" s="62">
        <f>AD8+AD28</f>
        <v>1009001</v>
      </c>
      <c r="AE5" s="62">
        <f>AE8+AE28</f>
        <v>948746</v>
      </c>
      <c r="AF5" s="86">
        <f t="shared" ref="AF5:AF37" si="11">AE5/AD5-1</f>
        <v>-5.9717482936092248E-2</v>
      </c>
      <c r="AG5" s="75">
        <f t="shared" ref="AG5:AG43" si="12">AE5/AC5-1</f>
        <v>-0.1524096681541437</v>
      </c>
      <c r="AH5" s="3">
        <f>AH8+AH28</f>
        <v>987333</v>
      </c>
      <c r="AI5" s="62">
        <f>AI8+AI28</f>
        <v>1060001</v>
      </c>
      <c r="AJ5" s="62">
        <f>AJ8+AJ28</f>
        <v>951450</v>
      </c>
      <c r="AK5" s="86">
        <f t="shared" ref="AK5:AK37" si="13">AJ5/AI5-1</f>
        <v>-0.1024065071636725</v>
      </c>
      <c r="AL5" s="4">
        <f t="shared" ref="AL5:AL43" si="14">AJ5/AH5-1</f>
        <v>-3.6343361358325943E-2</v>
      </c>
      <c r="AM5" s="84">
        <f>AM8+AM28</f>
        <v>770766</v>
      </c>
      <c r="AN5" s="62">
        <f>AN8+AN28</f>
        <v>907001</v>
      </c>
      <c r="AO5" s="62">
        <f>AO8+AO28</f>
        <v>681836</v>
      </c>
      <c r="AP5" s="86">
        <f t="shared" ref="AP5:AP37" si="15">AO5/AN5-1</f>
        <v>-0.24825220699866923</v>
      </c>
      <c r="AQ5" s="75">
        <f t="shared" ref="AQ5:AQ43" si="16">AO5/AM5-1</f>
        <v>-0.1153787271363812</v>
      </c>
      <c r="AR5" s="3">
        <f>AR8+AR28</f>
        <v>533513</v>
      </c>
      <c r="AS5" s="62">
        <f>AS8+AS28</f>
        <v>856001</v>
      </c>
      <c r="AT5" s="62">
        <f>AT8+AT28</f>
        <v>732861</v>
      </c>
      <c r="AU5" s="86">
        <f t="shared" ref="AU5:AU37" si="17">AT5/AS5-1</f>
        <v>-0.1438549721320419</v>
      </c>
      <c r="AV5" s="4">
        <f t="shared" ref="AV5:AV43" si="18">AT5/AR5-1</f>
        <v>0.37365162610845482</v>
      </c>
      <c r="AW5" s="84">
        <f>AW8+AW28</f>
        <v>565286</v>
      </c>
      <c r="AX5" s="62">
        <f>AX8+AX28</f>
        <v>907001</v>
      </c>
      <c r="AY5" s="62">
        <f>AY8+AY28</f>
        <v>775215</v>
      </c>
      <c r="AZ5" s="86">
        <f t="shared" ref="AZ5:AZ37" si="19">AY5/AX5-1</f>
        <v>-0.14529862701364171</v>
      </c>
      <c r="BA5" s="75">
        <f t="shared" ref="BA5:BA43" si="20">AY5/AW5-1</f>
        <v>0.37136776782018299</v>
      </c>
      <c r="BB5" s="3">
        <f>BB8+BB28</f>
        <v>692624</v>
      </c>
      <c r="BC5" s="62">
        <f>BC8+BC28</f>
        <v>958001</v>
      </c>
      <c r="BD5" s="62">
        <f>BD8+BD28</f>
        <v>846538</v>
      </c>
      <c r="BE5" s="86">
        <f t="shared" ref="BE5:BE37" si="21">BD5/BC5-1</f>
        <v>-0.11634956539711339</v>
      </c>
      <c r="BF5" s="4">
        <f t="shared" ref="BF5:BF43" si="22">BD5/BB5-1</f>
        <v>0.22221869297050056</v>
      </c>
      <c r="BG5" s="84">
        <f>BG8+BG28</f>
        <v>760778</v>
      </c>
      <c r="BH5" s="62">
        <f>BH8+BH28</f>
        <v>1009001</v>
      </c>
      <c r="BI5" s="62">
        <f>BI8+BI28</f>
        <v>1419367</v>
      </c>
      <c r="BJ5" s="86">
        <f t="shared" ref="BJ5:BJ37" si="23">BI5/BH5-1</f>
        <v>0.40670524608003356</v>
      </c>
      <c r="BK5" s="75">
        <f t="shared" ref="BK5:BK43" si="24">BI5/BG5-1</f>
        <v>0.86567829248479855</v>
      </c>
      <c r="BL5" s="3">
        <f>BL8+BL28</f>
        <v>1104162</v>
      </c>
      <c r="BM5" s="62">
        <f>BM8+BM28</f>
        <v>1060001</v>
      </c>
      <c r="BN5" s="62">
        <f>BN8+BN28</f>
        <v>916099</v>
      </c>
      <c r="BO5" s="86">
        <f t="shared" ref="BO5:BO37" si="25">BN5/BM5-1</f>
        <v>-0.13575647570143801</v>
      </c>
      <c r="BP5" s="4">
        <f t="shared" ref="BP5:BP43" si="26">BN5/BL5-1</f>
        <v>-0.17032192739833463</v>
      </c>
      <c r="BQ5" s="84">
        <f>BQ8+BQ28</f>
        <v>664658</v>
      </c>
      <c r="BR5" s="62">
        <f>BR8+BR28</f>
        <v>1009001</v>
      </c>
      <c r="BS5" s="62">
        <f>BS8+BS28</f>
        <v>789869</v>
      </c>
      <c r="BT5" s="86">
        <f t="shared" ref="BT5:BT37" si="27">BS5/BR5-1</f>
        <v>-0.21717718812964504</v>
      </c>
      <c r="BU5" s="4">
        <f t="shared" ref="BU5:BU43" si="28">BS5/BQ5-1</f>
        <v>0.18838410129720851</v>
      </c>
    </row>
    <row r="6" spans="2:73" ht="17.25" thickBot="1" x14ac:dyDescent="0.35">
      <c r="B6" s="381"/>
      <c r="C6" s="384" t="s">
        <v>15</v>
      </c>
      <c r="D6" s="358"/>
      <c r="E6" s="359"/>
      <c r="F6" s="47">
        <f>F7+F27</f>
        <v>702313</v>
      </c>
      <c r="G6" s="43">
        <f>G7+G27</f>
        <v>701840</v>
      </c>
      <c r="H6" s="76">
        <f t="shared" si="2"/>
        <v>-6.7348888600948786E-4</v>
      </c>
      <c r="I6" s="5">
        <f>I7+I27</f>
        <v>840057</v>
      </c>
      <c r="J6" s="43">
        <f>J7+J27</f>
        <v>0</v>
      </c>
      <c r="K6" s="43">
        <f>K7+K27</f>
        <v>789869</v>
      </c>
      <c r="L6" s="72" t="e">
        <f t="shared" si="3"/>
        <v>#DIV/0!</v>
      </c>
      <c r="M6" s="6">
        <f t="shared" si="4"/>
        <v>-5.9743565019992673E-2</v>
      </c>
      <c r="N6" s="5">
        <f>N7+N27</f>
        <v>840057</v>
      </c>
      <c r="O6" s="43">
        <f>O7+O27</f>
        <v>0</v>
      </c>
      <c r="P6" s="43">
        <f>P7+P27</f>
        <v>900864</v>
      </c>
      <c r="Q6" s="72" t="e">
        <f t="shared" si="5"/>
        <v>#DIV/0!</v>
      </c>
      <c r="R6" s="6">
        <f t="shared" si="6"/>
        <v>7.2384373917484091E-2</v>
      </c>
      <c r="S6" s="47">
        <f>S7+S27</f>
        <v>803184</v>
      </c>
      <c r="T6" s="43">
        <f>T7+T27</f>
        <v>0</v>
      </c>
      <c r="U6" s="43">
        <f>U7+U27</f>
        <v>608969</v>
      </c>
      <c r="V6" s="72" t="e">
        <f t="shared" si="7"/>
        <v>#DIV/0!</v>
      </c>
      <c r="W6" s="76">
        <f t="shared" si="8"/>
        <v>-0.24180636068447581</v>
      </c>
      <c r="X6" s="5">
        <f>X7+X27</f>
        <v>970407</v>
      </c>
      <c r="Y6" s="43">
        <f>Y7+Y27</f>
        <v>0</v>
      </c>
      <c r="Z6" s="43">
        <f>Z7+Z27</f>
        <v>618968</v>
      </c>
      <c r="AA6" s="72" t="e">
        <f t="shared" si="9"/>
        <v>#DIV/0!</v>
      </c>
      <c r="AB6" s="6">
        <f t="shared" si="10"/>
        <v>-0.36215629112320913</v>
      </c>
      <c r="AC6" s="47">
        <f>AC7+AC27</f>
        <v>1134835</v>
      </c>
      <c r="AD6" s="43">
        <f>AD7+AD27</f>
        <v>0</v>
      </c>
      <c r="AE6" s="43">
        <f>AE7+AE27</f>
        <v>703696</v>
      </c>
      <c r="AF6" s="72" t="e">
        <f t="shared" si="11"/>
        <v>#DIV/0!</v>
      </c>
      <c r="AG6" s="76">
        <f t="shared" si="12"/>
        <v>-0.37991337947807391</v>
      </c>
      <c r="AH6" s="5">
        <f>AH7+AH27</f>
        <v>1114942</v>
      </c>
      <c r="AI6" s="43">
        <f>AI7+AI27</f>
        <v>0</v>
      </c>
      <c r="AJ6" s="43">
        <f>AJ7+AJ27</f>
        <v>739260</v>
      </c>
      <c r="AK6" s="72" t="e">
        <f t="shared" si="13"/>
        <v>#DIV/0!</v>
      </c>
      <c r="AL6" s="6">
        <f t="shared" si="14"/>
        <v>-0.33695205669891348</v>
      </c>
      <c r="AM6" s="47">
        <f>AM7+AM27</f>
        <v>1056958</v>
      </c>
      <c r="AN6" s="43">
        <f>AN7+AN27</f>
        <v>0</v>
      </c>
      <c r="AO6" s="43">
        <f>AO7+AO27</f>
        <v>900864</v>
      </c>
      <c r="AP6" s="72" t="e">
        <f t="shared" si="15"/>
        <v>#DIV/0!</v>
      </c>
      <c r="AQ6" s="76">
        <f t="shared" si="16"/>
        <v>-0.14768231093383088</v>
      </c>
      <c r="AR6" s="5">
        <f>AR7+AR27</f>
        <v>929745</v>
      </c>
      <c r="AS6" s="43">
        <f>AS7+AS27</f>
        <v>0</v>
      </c>
      <c r="AT6" s="43">
        <f>AT7+AT27</f>
        <v>564752</v>
      </c>
      <c r="AU6" s="72" t="e">
        <f t="shared" si="17"/>
        <v>#DIV/0!</v>
      </c>
      <c r="AV6" s="6">
        <f t="shared" si="18"/>
        <v>-0.3925732324454555</v>
      </c>
      <c r="AW6" s="47">
        <f>AW7+AW27</f>
        <v>715762</v>
      </c>
      <c r="AX6" s="43">
        <f>AX7+AX27</f>
        <v>0</v>
      </c>
      <c r="AY6" s="43">
        <f>AY7+AY27</f>
        <v>513105</v>
      </c>
      <c r="AZ6" s="72" t="e">
        <f t="shared" si="19"/>
        <v>#DIV/0!</v>
      </c>
      <c r="BA6" s="76">
        <f t="shared" si="20"/>
        <v>-0.28313461737281387</v>
      </c>
      <c r="BB6" s="5">
        <f>BB7+BB27</f>
        <v>710044</v>
      </c>
      <c r="BC6" s="43">
        <f>BC7+BC27</f>
        <v>0</v>
      </c>
      <c r="BD6" s="43">
        <f>BD7+BD27</f>
        <v>616909</v>
      </c>
      <c r="BE6" s="72" t="e">
        <f t="shared" si="21"/>
        <v>#DIV/0!</v>
      </c>
      <c r="BF6" s="6">
        <f t="shared" si="22"/>
        <v>-0.13116792762138685</v>
      </c>
      <c r="BG6" s="47">
        <f>BG7+BG27</f>
        <v>665587</v>
      </c>
      <c r="BH6" s="43">
        <f>BH7+BH27</f>
        <v>0</v>
      </c>
      <c r="BI6" s="43">
        <f>BI7+BI27</f>
        <v>911497</v>
      </c>
      <c r="BJ6" s="72" t="e">
        <f t="shared" si="23"/>
        <v>#DIV/0!</v>
      </c>
      <c r="BK6" s="76">
        <f t="shared" si="24"/>
        <v>0.36946334588866669</v>
      </c>
      <c r="BL6" s="5">
        <f>BL7+BL27</f>
        <v>810426</v>
      </c>
      <c r="BM6" s="43">
        <f>BM7+BM27</f>
        <v>0</v>
      </c>
      <c r="BN6" s="43">
        <f>BN7+BN27</f>
        <v>775102</v>
      </c>
      <c r="BO6" s="72" t="e">
        <f t="shared" si="25"/>
        <v>#DIV/0!</v>
      </c>
      <c r="BP6" s="6">
        <f t="shared" si="26"/>
        <v>-4.3586953034576825E-2</v>
      </c>
      <c r="BQ6" s="47">
        <f>BQ7+BQ27</f>
        <v>761457</v>
      </c>
      <c r="BR6" s="43">
        <f>BR7+BR27</f>
        <v>0</v>
      </c>
      <c r="BS6" s="43">
        <f>BS7+BS27</f>
        <v>753757</v>
      </c>
      <c r="BT6" s="72" t="e">
        <f t="shared" si="27"/>
        <v>#DIV/0!</v>
      </c>
      <c r="BU6" s="6">
        <f t="shared" si="28"/>
        <v>-1.0112192809311638E-2</v>
      </c>
    </row>
    <row r="7" spans="2:73" x14ac:dyDescent="0.3">
      <c r="B7" s="398" t="s">
        <v>16</v>
      </c>
      <c r="C7" s="404" t="s">
        <v>17</v>
      </c>
      <c r="D7" s="303" t="s">
        <v>15</v>
      </c>
      <c r="E7" s="304"/>
      <c r="F7" s="52">
        <f>BQ7</f>
        <v>343592</v>
      </c>
      <c r="G7" s="38">
        <f>BS7</f>
        <v>343119</v>
      </c>
      <c r="H7" s="77">
        <f t="shared" si="2"/>
        <v>-1.376632750471507E-3</v>
      </c>
      <c r="I7" s="8">
        <f>N7</f>
        <v>343592</v>
      </c>
      <c r="J7" s="38"/>
      <c r="K7" s="38">
        <f>BS8</f>
        <v>432524</v>
      </c>
      <c r="L7" s="115" t="e">
        <f t="shared" si="3"/>
        <v>#DIV/0!</v>
      </c>
      <c r="M7" s="10">
        <f t="shared" si="4"/>
        <v>0.25883024051782355</v>
      </c>
      <c r="N7" s="8">
        <v>343592</v>
      </c>
      <c r="O7" s="38"/>
      <c r="P7" s="38">
        <v>269436</v>
      </c>
      <c r="Q7" s="115" t="e">
        <f t="shared" si="5"/>
        <v>#DIV/0!</v>
      </c>
      <c r="R7" s="10">
        <f t="shared" si="6"/>
        <v>-0.21582574681599109</v>
      </c>
      <c r="S7" s="52">
        <v>343592</v>
      </c>
      <c r="T7" s="38"/>
      <c r="U7" s="38">
        <v>252179</v>
      </c>
      <c r="V7" s="115" t="e">
        <f t="shared" si="7"/>
        <v>#DIV/0!</v>
      </c>
      <c r="W7" s="77">
        <f t="shared" si="8"/>
        <v>-0.26605101399334097</v>
      </c>
      <c r="X7" s="8">
        <v>425856</v>
      </c>
      <c r="Y7" s="38"/>
      <c r="Z7" s="38">
        <v>275989</v>
      </c>
      <c r="AA7" s="115" t="e">
        <f t="shared" si="9"/>
        <v>#DIV/0!</v>
      </c>
      <c r="AB7" s="10">
        <f t="shared" si="10"/>
        <v>-0.35191942816351063</v>
      </c>
      <c r="AC7" s="52">
        <v>356455</v>
      </c>
      <c r="AD7" s="38"/>
      <c r="AE7" s="38">
        <v>394563</v>
      </c>
      <c r="AF7" s="115" t="e">
        <f t="shared" si="11"/>
        <v>#DIV/0!</v>
      </c>
      <c r="AG7" s="77">
        <f t="shared" si="12"/>
        <v>0.106908305396193</v>
      </c>
      <c r="AH7" s="8">
        <v>331299</v>
      </c>
      <c r="AI7" s="38"/>
      <c r="AJ7" s="38">
        <v>389318</v>
      </c>
      <c r="AK7" s="115" t="e">
        <f t="shared" si="13"/>
        <v>#DIV/0!</v>
      </c>
      <c r="AL7" s="10">
        <f t="shared" si="14"/>
        <v>0.17512579271292705</v>
      </c>
      <c r="AM7" s="52">
        <v>417629</v>
      </c>
      <c r="AN7" s="38"/>
      <c r="AO7" s="38">
        <v>269436</v>
      </c>
      <c r="AP7" s="115" t="e">
        <f t="shared" si="15"/>
        <v>#DIV/0!</v>
      </c>
      <c r="AQ7" s="77">
        <f t="shared" si="16"/>
        <v>-0.35484365309880306</v>
      </c>
      <c r="AR7" s="8">
        <v>384231</v>
      </c>
      <c r="AS7" s="38"/>
      <c r="AT7" s="38">
        <v>312564</v>
      </c>
      <c r="AU7" s="115" t="e">
        <f t="shared" si="17"/>
        <v>#DIV/0!</v>
      </c>
      <c r="AV7" s="10">
        <f t="shared" si="18"/>
        <v>-0.18652060869633114</v>
      </c>
      <c r="AW7" s="52">
        <v>316121</v>
      </c>
      <c r="AX7" s="38"/>
      <c r="AY7" s="38">
        <v>280926</v>
      </c>
      <c r="AZ7" s="115" t="e">
        <f t="shared" si="19"/>
        <v>#DIV/0!</v>
      </c>
      <c r="BA7" s="77">
        <f t="shared" si="20"/>
        <v>-0.11133395124018963</v>
      </c>
      <c r="BB7" s="8">
        <v>334369</v>
      </c>
      <c r="BC7" s="38"/>
      <c r="BD7" s="38">
        <v>288915</v>
      </c>
      <c r="BE7" s="115" t="e">
        <f t="shared" si="21"/>
        <v>#DIV/0!</v>
      </c>
      <c r="BF7" s="10">
        <f t="shared" si="22"/>
        <v>-0.1359396355523389</v>
      </c>
      <c r="BG7" s="52">
        <v>290364</v>
      </c>
      <c r="BH7" s="38"/>
      <c r="BI7" s="38">
        <v>381965</v>
      </c>
      <c r="BJ7" s="115" t="e">
        <f t="shared" si="23"/>
        <v>#DIV/0!</v>
      </c>
      <c r="BK7" s="77">
        <f t="shared" si="24"/>
        <v>0.31546954856662679</v>
      </c>
      <c r="BL7" s="8">
        <v>343592</v>
      </c>
      <c r="BM7" s="38"/>
      <c r="BN7" s="38">
        <v>327586</v>
      </c>
      <c r="BO7" s="115" t="e">
        <f t="shared" si="25"/>
        <v>#DIV/0!</v>
      </c>
      <c r="BP7" s="10">
        <f t="shared" si="26"/>
        <v>-4.6584320938787838E-2</v>
      </c>
      <c r="BQ7" s="52">
        <v>343592</v>
      </c>
      <c r="BR7" s="38"/>
      <c r="BS7" s="38">
        <v>343119</v>
      </c>
      <c r="BT7" s="115" t="e">
        <f t="shared" si="27"/>
        <v>#DIV/0!</v>
      </c>
      <c r="BU7" s="10">
        <f t="shared" si="28"/>
        <v>-1.376632750471507E-3</v>
      </c>
    </row>
    <row r="8" spans="2:73" x14ac:dyDescent="0.3">
      <c r="B8" s="380"/>
      <c r="C8" s="405"/>
      <c r="D8" s="385" t="s">
        <v>14</v>
      </c>
      <c r="E8" s="386"/>
      <c r="F8" s="84">
        <v>4617314</v>
      </c>
      <c r="G8" s="62">
        <f>K8</f>
        <v>4950552</v>
      </c>
      <c r="H8" s="33">
        <f t="shared" si="2"/>
        <v>7.2171396617167538E-2</v>
      </c>
      <c r="I8" s="105">
        <f>N8+S8+X8+AC8+AH8+AM8+AR8+AW8+BB8+BG8+BL8+BQ8</f>
        <v>4617314</v>
      </c>
      <c r="J8" s="85">
        <f>O8+T8+Y8+AD8+AI8+AN8+AS8+AX8+BC8+BH8+BM8+BR8</f>
        <v>5100000</v>
      </c>
      <c r="K8" s="85">
        <f>P8+U8+Z8+AE8+AJ8+AO8+AT8+AY8+BD8+BI8+BN8+BS8</f>
        <v>4950552</v>
      </c>
      <c r="L8" s="86">
        <f t="shared" si="3"/>
        <v>-2.9303529411764728E-2</v>
      </c>
      <c r="M8" s="4">
        <f t="shared" si="4"/>
        <v>7.2171396617167538E-2</v>
      </c>
      <c r="N8" s="3">
        <v>341668</v>
      </c>
      <c r="O8" s="62">
        <v>459000</v>
      </c>
      <c r="P8" s="62">
        <v>469678</v>
      </c>
      <c r="Q8" s="86">
        <f t="shared" si="5"/>
        <v>2.3263616557734235E-2</v>
      </c>
      <c r="R8" s="4">
        <f t="shared" si="6"/>
        <v>0.37466195253872181</v>
      </c>
      <c r="S8" s="84">
        <v>408701</v>
      </c>
      <c r="T8" s="62">
        <v>357000</v>
      </c>
      <c r="U8" s="62">
        <v>320358</v>
      </c>
      <c r="V8" s="86">
        <f t="shared" si="7"/>
        <v>-0.10263865546218487</v>
      </c>
      <c r="W8" s="75">
        <f t="shared" si="8"/>
        <v>-0.21615557583661404</v>
      </c>
      <c r="X8" s="3">
        <v>578782</v>
      </c>
      <c r="Y8" s="62">
        <v>459000</v>
      </c>
      <c r="Z8" s="62">
        <v>432930</v>
      </c>
      <c r="AA8" s="86">
        <f t="shared" si="9"/>
        <v>-5.6797385620915075E-2</v>
      </c>
      <c r="AB8" s="4">
        <f t="shared" si="10"/>
        <v>-0.25199816165672051</v>
      </c>
      <c r="AC8" s="84">
        <v>447066</v>
      </c>
      <c r="AD8" s="62">
        <v>459000</v>
      </c>
      <c r="AE8" s="62">
        <v>472323</v>
      </c>
      <c r="AF8" s="86">
        <f t="shared" si="11"/>
        <v>2.9026143790849668E-2</v>
      </c>
      <c r="AG8" s="75">
        <f t="shared" si="12"/>
        <v>5.6495014158983281E-2</v>
      </c>
      <c r="AH8" s="3">
        <v>441837</v>
      </c>
      <c r="AI8" s="62">
        <v>510000</v>
      </c>
      <c r="AJ8" s="62">
        <v>381307</v>
      </c>
      <c r="AK8" s="86">
        <f t="shared" si="13"/>
        <v>-0.25233921568627449</v>
      </c>
      <c r="AL8" s="4">
        <f t="shared" si="14"/>
        <v>-0.13699622258887323</v>
      </c>
      <c r="AM8" s="84">
        <v>364497</v>
      </c>
      <c r="AN8" s="62">
        <v>357000</v>
      </c>
      <c r="AO8" s="62">
        <v>280280</v>
      </c>
      <c r="AP8" s="86">
        <f t="shared" si="15"/>
        <v>-0.21490196078431367</v>
      </c>
      <c r="AQ8" s="75">
        <f t="shared" si="16"/>
        <v>-0.2310499126193083</v>
      </c>
      <c r="AR8" s="3">
        <v>265475</v>
      </c>
      <c r="AS8" s="62">
        <v>306000</v>
      </c>
      <c r="AT8" s="62">
        <v>395242</v>
      </c>
      <c r="AU8" s="86">
        <f t="shared" si="17"/>
        <v>0.29164052287581699</v>
      </c>
      <c r="AV8" s="4">
        <f t="shared" si="18"/>
        <v>0.48881062246915907</v>
      </c>
      <c r="AW8" s="84">
        <v>262675</v>
      </c>
      <c r="AX8" s="62">
        <v>357000</v>
      </c>
      <c r="AY8" s="62">
        <v>360002</v>
      </c>
      <c r="AZ8" s="86">
        <f t="shared" si="19"/>
        <v>8.4089635854340816E-3</v>
      </c>
      <c r="BA8" s="75">
        <f t="shared" si="20"/>
        <v>0.37052250880365478</v>
      </c>
      <c r="BB8" s="3">
        <v>365147</v>
      </c>
      <c r="BC8" s="62">
        <v>408000</v>
      </c>
      <c r="BD8" s="62">
        <v>370856</v>
      </c>
      <c r="BE8" s="86">
        <f t="shared" si="21"/>
        <v>-9.1039215686274488E-2</v>
      </c>
      <c r="BF8" s="4">
        <f t="shared" si="22"/>
        <v>1.5634799135690658E-2</v>
      </c>
      <c r="BG8" s="84">
        <v>329033</v>
      </c>
      <c r="BH8" s="62">
        <v>459000</v>
      </c>
      <c r="BI8" s="62">
        <v>611306</v>
      </c>
      <c r="BJ8" s="86">
        <f t="shared" si="23"/>
        <v>0.33182135076252717</v>
      </c>
      <c r="BK8" s="75">
        <f t="shared" si="24"/>
        <v>0.85788659496159969</v>
      </c>
      <c r="BL8" s="3">
        <v>506496</v>
      </c>
      <c r="BM8" s="62">
        <v>510000</v>
      </c>
      <c r="BN8" s="62">
        <v>423746</v>
      </c>
      <c r="BO8" s="86">
        <f t="shared" si="25"/>
        <v>-0.16912549019607848</v>
      </c>
      <c r="BP8" s="4">
        <f t="shared" si="26"/>
        <v>-0.16337740080869345</v>
      </c>
      <c r="BQ8" s="84">
        <v>305937</v>
      </c>
      <c r="BR8" s="62">
        <v>459000</v>
      </c>
      <c r="BS8" s="62">
        <v>432524</v>
      </c>
      <c r="BT8" s="86">
        <f t="shared" si="27"/>
        <v>-5.7681917211328981E-2</v>
      </c>
      <c r="BU8" s="4">
        <f t="shared" si="28"/>
        <v>0.4137681941053224</v>
      </c>
    </row>
    <row r="9" spans="2:73" ht="17.25" thickBot="1" x14ac:dyDescent="0.35">
      <c r="B9" s="380"/>
      <c r="C9" s="405"/>
      <c r="D9" s="393" t="s">
        <v>18</v>
      </c>
      <c r="E9" s="394"/>
      <c r="F9" s="116">
        <f>F10+F26</f>
        <v>4648868</v>
      </c>
      <c r="G9" s="117">
        <f>G10+G26</f>
        <v>4859570</v>
      </c>
      <c r="H9" s="121">
        <f t="shared" si="2"/>
        <v>4.5323291605612326E-2</v>
      </c>
      <c r="I9" s="118">
        <f>I10+I26</f>
        <v>4648868</v>
      </c>
      <c r="J9" s="117">
        <f>J10+J26</f>
        <v>0</v>
      </c>
      <c r="K9" s="117">
        <f>K10+K26</f>
        <v>4859498</v>
      </c>
      <c r="L9" s="119" t="e">
        <f t="shared" si="3"/>
        <v>#DIV/0!</v>
      </c>
      <c r="M9" s="120">
        <f t="shared" si="4"/>
        <v>4.5307803964319993E-2</v>
      </c>
      <c r="N9" s="118">
        <f>N10+N26</f>
        <v>350586</v>
      </c>
      <c r="O9" s="117">
        <f>O10+O26</f>
        <v>0</v>
      </c>
      <c r="P9" s="117">
        <f>P10+P26</f>
        <v>404664</v>
      </c>
      <c r="Q9" s="119" t="e">
        <f t="shared" si="5"/>
        <v>#DIV/0!</v>
      </c>
      <c r="R9" s="120">
        <f t="shared" si="6"/>
        <v>0.15425031233420605</v>
      </c>
      <c r="S9" s="116">
        <f>S10+S26</f>
        <v>333225</v>
      </c>
      <c r="T9" s="117">
        <f>T10+T26</f>
        <v>0</v>
      </c>
      <c r="U9" s="117">
        <f>U10+U26</f>
        <v>393870</v>
      </c>
      <c r="V9" s="119" t="e">
        <f t="shared" si="7"/>
        <v>#DIV/0!</v>
      </c>
      <c r="W9" s="121">
        <f t="shared" si="8"/>
        <v>0.18199414809813197</v>
      </c>
      <c r="X9" s="118">
        <f>X10+X26</f>
        <v>508246</v>
      </c>
      <c r="Y9" s="117">
        <f>Y10+Y26</f>
        <v>0</v>
      </c>
      <c r="Z9" s="117">
        <f>Z10+Z26</f>
        <v>406749</v>
      </c>
      <c r="AA9" s="119" t="e">
        <f t="shared" si="9"/>
        <v>#DIV/0!</v>
      </c>
      <c r="AB9" s="120">
        <f t="shared" si="10"/>
        <v>-0.19970053871550386</v>
      </c>
      <c r="AC9" s="116">
        <f>AC10+AC26</f>
        <v>523351</v>
      </c>
      <c r="AD9" s="117">
        <f>AD10+AD26</f>
        <v>0</v>
      </c>
      <c r="AE9" s="117">
        <f>AE10+AE26</f>
        <v>351763</v>
      </c>
      <c r="AF9" s="119" t="e">
        <f t="shared" si="11"/>
        <v>#DIV/0!</v>
      </c>
      <c r="AG9" s="121">
        <f t="shared" si="12"/>
        <v>-0.3278640912122075</v>
      </c>
      <c r="AH9" s="118">
        <f>AH10+AH26</f>
        <v>474371</v>
      </c>
      <c r="AI9" s="117">
        <f>AI10+AI26</f>
        <v>0</v>
      </c>
      <c r="AJ9" s="117">
        <f>AJ10+AJ26</f>
        <v>387063</v>
      </c>
      <c r="AK9" s="119" t="e">
        <f t="shared" si="13"/>
        <v>#DIV/0!</v>
      </c>
      <c r="AL9" s="120">
        <f t="shared" si="14"/>
        <v>-0.18405003678555387</v>
      </c>
      <c r="AM9" s="116">
        <f>AM10+AM26</f>
        <v>281721</v>
      </c>
      <c r="AN9" s="117">
        <f>AN10+AN26</f>
        <v>0</v>
      </c>
      <c r="AO9" s="117">
        <f>AO10+AO26</f>
        <v>365731</v>
      </c>
      <c r="AP9" s="119" t="e">
        <f t="shared" si="15"/>
        <v>#DIV/0!</v>
      </c>
      <c r="AQ9" s="121">
        <f t="shared" si="16"/>
        <v>0.29820283187976759</v>
      </c>
      <c r="AR9" s="118">
        <f>AR10+AR26</f>
        <v>297243</v>
      </c>
      <c r="AS9" s="117">
        <f>AS10+AS26</f>
        <v>0</v>
      </c>
      <c r="AT9" s="117">
        <f>AT10+AT26</f>
        <v>384313</v>
      </c>
      <c r="AU9" s="119" t="e">
        <f t="shared" si="17"/>
        <v>#DIV/0!</v>
      </c>
      <c r="AV9" s="120">
        <f t="shared" si="18"/>
        <v>0.29292531699653135</v>
      </c>
      <c r="AW9" s="116">
        <f>AW10+AW26</f>
        <v>69669</v>
      </c>
      <c r="AX9" s="117">
        <f>AX10+AX26</f>
        <v>0</v>
      </c>
      <c r="AY9" s="117">
        <f>AY10+AY26</f>
        <v>378487</v>
      </c>
      <c r="AZ9" s="119" t="e">
        <f t="shared" si="19"/>
        <v>#DIV/0!</v>
      </c>
      <c r="BA9" s="121">
        <f t="shared" si="20"/>
        <v>4.4326457965522685</v>
      </c>
      <c r="BB9" s="118">
        <f>BB10+BB26</f>
        <v>341879</v>
      </c>
      <c r="BC9" s="117">
        <f>BC10+BC26</f>
        <v>0</v>
      </c>
      <c r="BD9" s="117">
        <f>BD10+BD26</f>
        <v>367503</v>
      </c>
      <c r="BE9" s="119" t="e">
        <f t="shared" si="21"/>
        <v>#DIV/0!</v>
      </c>
      <c r="BF9" s="120">
        <f t="shared" si="22"/>
        <v>7.4950494180689553E-2</v>
      </c>
      <c r="BG9" s="116">
        <f>BG10+BG26</f>
        <v>369782</v>
      </c>
      <c r="BH9" s="117">
        <f>BH10+BH26</f>
        <v>0</v>
      </c>
      <c r="BI9" s="117">
        <f>BI10+BI26</f>
        <v>518324</v>
      </c>
      <c r="BJ9" s="119" t="e">
        <f t="shared" si="23"/>
        <v>#DIV/0!</v>
      </c>
      <c r="BK9" s="121">
        <f t="shared" si="24"/>
        <v>0.40170154307132311</v>
      </c>
      <c r="BL9" s="118">
        <f>BL10+BL26</f>
        <v>472125</v>
      </c>
      <c r="BM9" s="117">
        <f>BM10+BM26</f>
        <v>0</v>
      </c>
      <c r="BN9" s="117">
        <f>BN10+BN26</f>
        <v>478461</v>
      </c>
      <c r="BO9" s="119" t="e">
        <f t="shared" si="25"/>
        <v>#DIV/0!</v>
      </c>
      <c r="BP9" s="120">
        <f t="shared" si="26"/>
        <v>1.3420174741858526E-2</v>
      </c>
      <c r="BQ9" s="116">
        <f>BQ10+BQ26</f>
        <v>367876</v>
      </c>
      <c r="BR9" s="117">
        <f>BR10+BR26</f>
        <v>0</v>
      </c>
      <c r="BS9" s="117">
        <f>BS10+BS26</f>
        <v>415180</v>
      </c>
      <c r="BT9" s="119" t="e">
        <f t="shared" si="27"/>
        <v>#DIV/0!</v>
      </c>
      <c r="BU9" s="120">
        <f t="shared" si="28"/>
        <v>0.12858680642390374</v>
      </c>
    </row>
    <row r="10" spans="2:73" x14ac:dyDescent="0.3">
      <c r="B10" s="380"/>
      <c r="C10" s="405"/>
      <c r="D10" s="395" t="s">
        <v>19</v>
      </c>
      <c r="E10" s="396"/>
      <c r="F10" s="53">
        <f>F15+F20+F23+F24+F25</f>
        <v>3885312</v>
      </c>
      <c r="G10" s="54">
        <f>G15+G20+G23+G24+G25</f>
        <v>4024174</v>
      </c>
      <c r="H10" s="78">
        <f t="shared" si="2"/>
        <v>3.5740244284114153E-2</v>
      </c>
      <c r="I10" s="11">
        <f>I15+I20+I23+I24+I25</f>
        <v>3885312</v>
      </c>
      <c r="J10" s="54">
        <f>J15+J20+J23+J24+J25</f>
        <v>0</v>
      </c>
      <c r="K10" s="54">
        <f>K15+K20+K23+K24+K25</f>
        <v>4026494</v>
      </c>
      <c r="L10" s="133" t="e">
        <f t="shared" si="3"/>
        <v>#DIV/0!</v>
      </c>
      <c r="M10" s="12">
        <f t="shared" si="4"/>
        <v>3.6337364927192528E-2</v>
      </c>
      <c r="N10" s="11">
        <f>N15+N20+N23+N24+N25</f>
        <v>293189</v>
      </c>
      <c r="O10" s="54">
        <f>O15+O20+O23+O24+O25</f>
        <v>0</v>
      </c>
      <c r="P10" s="54">
        <f>P15+P20+P23+P24+P25</f>
        <v>354600</v>
      </c>
      <c r="Q10" s="133" t="e">
        <f t="shared" si="5"/>
        <v>#DIV/0!</v>
      </c>
      <c r="R10" s="12">
        <f t="shared" si="6"/>
        <v>0.20945874504159434</v>
      </c>
      <c r="S10" s="53">
        <f>S15+S20+S23+S24+S25</f>
        <v>273957</v>
      </c>
      <c r="T10" s="54">
        <f>T15+T20+T23+T24+T25</f>
        <v>0</v>
      </c>
      <c r="U10" s="54">
        <f>U15+U20+U23+U24+U25</f>
        <v>319786</v>
      </c>
      <c r="V10" s="133" t="e">
        <f t="shared" si="7"/>
        <v>#DIV/0!</v>
      </c>
      <c r="W10" s="78">
        <f t="shared" si="8"/>
        <v>0.16728537690221468</v>
      </c>
      <c r="X10" s="11">
        <f>X15+X20+X23+X24+X25</f>
        <v>420779</v>
      </c>
      <c r="Y10" s="54">
        <f>Y15+Y20+Y23+Y24+Y25</f>
        <v>0</v>
      </c>
      <c r="Z10" s="54">
        <f>Z15+Z20+Z23+Z24+Z25</f>
        <v>338677</v>
      </c>
      <c r="AA10" s="133" t="e">
        <f t="shared" si="9"/>
        <v>#DIV/0!</v>
      </c>
      <c r="AB10" s="12">
        <f t="shared" si="10"/>
        <v>-0.19511905299456489</v>
      </c>
      <c r="AC10" s="53">
        <f>AC15+AC20+AC23+AC24+AC25</f>
        <v>465684</v>
      </c>
      <c r="AD10" s="54">
        <f>AD15+AD20+AD23+AD24+AD25</f>
        <v>0</v>
      </c>
      <c r="AE10" s="54">
        <f>AE15+AE20+AE23+AE24+AE25</f>
        <v>267228</v>
      </c>
      <c r="AF10" s="133" t="e">
        <f t="shared" si="11"/>
        <v>#DIV/0!</v>
      </c>
      <c r="AG10" s="78">
        <f t="shared" si="12"/>
        <v>-0.42616022882469662</v>
      </c>
      <c r="AH10" s="11">
        <f>AH15+AH20+AH23+AH24+AH25</f>
        <v>411434</v>
      </c>
      <c r="AI10" s="54">
        <f>AI15+AI20+AI23+AI24+AI25</f>
        <v>0</v>
      </c>
      <c r="AJ10" s="54">
        <f>AJ15+AJ20+AJ23+AJ24+AJ25</f>
        <v>312554</v>
      </c>
      <c r="AK10" s="133" t="e">
        <f t="shared" si="13"/>
        <v>#DIV/0!</v>
      </c>
      <c r="AL10" s="12">
        <f t="shared" si="14"/>
        <v>-0.24033016231035842</v>
      </c>
      <c r="AM10" s="53">
        <f>AM15+AM20+AM23+AM24+AM25</f>
        <v>230284</v>
      </c>
      <c r="AN10" s="54">
        <f>AN15+AN20+AN23+AN24+AN25</f>
        <v>0</v>
      </c>
      <c r="AO10" s="54">
        <f>AO15+AO20+AO23+AO24+AO25</f>
        <v>311518</v>
      </c>
      <c r="AP10" s="133" t="e">
        <f t="shared" si="15"/>
        <v>#DIV/0!</v>
      </c>
      <c r="AQ10" s="78">
        <f t="shared" si="16"/>
        <v>0.35275572771013186</v>
      </c>
      <c r="AR10" s="11">
        <f>AR15+AR20+AR23+AR24+AR25</f>
        <v>234333</v>
      </c>
      <c r="AS10" s="54">
        <f>AS15+AS20+AS23+AS24+AS25</f>
        <v>0</v>
      </c>
      <c r="AT10" s="54">
        <f>AT15+AT20+AT23+AT24+AT25</f>
        <v>311734</v>
      </c>
      <c r="AU10" s="133" t="e">
        <f t="shared" si="17"/>
        <v>#DIV/0!</v>
      </c>
      <c r="AV10" s="12">
        <f t="shared" si="18"/>
        <v>0.33030345704616937</v>
      </c>
      <c r="AW10" s="53">
        <v>0</v>
      </c>
      <c r="AX10" s="54">
        <v>0</v>
      </c>
      <c r="AY10" s="54">
        <v>311734</v>
      </c>
      <c r="AZ10" s="133" t="e">
        <f t="shared" si="19"/>
        <v>#DIV/0!</v>
      </c>
      <c r="BA10" s="78" t="e">
        <f t="shared" si="20"/>
        <v>#DIV/0!</v>
      </c>
      <c r="BB10" s="11">
        <f>BB15+BB20+BB23+BB24+BB25</f>
        <v>282966</v>
      </c>
      <c r="BC10" s="54">
        <f>BC15+BC20+BC23+BC24+BC25</f>
        <v>0</v>
      </c>
      <c r="BD10" s="54">
        <f>BD15+BD20+BD23+BD24+BD25</f>
        <v>309742</v>
      </c>
      <c r="BE10" s="133" t="e">
        <f t="shared" si="21"/>
        <v>#DIV/0!</v>
      </c>
      <c r="BF10" s="12">
        <f t="shared" si="22"/>
        <v>9.4626209509269588E-2</v>
      </c>
      <c r="BG10" s="53">
        <f>BG15+BG20+BG23+BG24+BG25</f>
        <v>307789</v>
      </c>
      <c r="BH10" s="54">
        <f>BH15+BH20+BH23+BH24+BH25</f>
        <v>0</v>
      </c>
      <c r="BI10" s="54">
        <f>BI15+BI20+BI23+BI24+BI25</f>
        <v>438468</v>
      </c>
      <c r="BJ10" s="133" t="e">
        <f t="shared" si="23"/>
        <v>#DIV/0!</v>
      </c>
      <c r="BK10" s="78">
        <f t="shared" si="24"/>
        <v>0.42457332783172896</v>
      </c>
      <c r="BL10" s="11">
        <f>BL15+BL20+BL23+BL24+BL25</f>
        <v>405603</v>
      </c>
      <c r="BM10" s="54">
        <f>BM15+BM20+BM23+BM24+BM25</f>
        <v>0</v>
      </c>
      <c r="BN10" s="54">
        <f>BN15+BN20+BN23+BN24+BN25</f>
        <v>392437</v>
      </c>
      <c r="BO10" s="133" t="e">
        <f t="shared" si="25"/>
        <v>#DIV/0!</v>
      </c>
      <c r="BP10" s="12">
        <f t="shared" si="26"/>
        <v>-3.2460312177178152E-2</v>
      </c>
      <c r="BQ10" s="53">
        <f>BQ15+BQ20+BQ23+BQ24+BQ25</f>
        <v>300500</v>
      </c>
      <c r="BR10" s="54">
        <f>BR15+BR20+BR23+BR24+BR25</f>
        <v>0</v>
      </c>
      <c r="BS10" s="54">
        <f>BS15+BS20+BS23+BS24+BS25</f>
        <v>350626</v>
      </c>
      <c r="BT10" s="133" t="e">
        <f t="shared" si="27"/>
        <v>#DIV/0!</v>
      </c>
      <c r="BU10" s="12">
        <f t="shared" si="28"/>
        <v>0.16680865224625618</v>
      </c>
    </row>
    <row r="11" spans="2:73" x14ac:dyDescent="0.3">
      <c r="B11" s="380"/>
      <c r="C11" s="405"/>
      <c r="D11" s="391" t="s">
        <v>72</v>
      </c>
      <c r="E11" s="392"/>
      <c r="F11" s="242">
        <f t="shared" ref="F11:G11" si="29">F12+F13+F16+F17+F18+F21+F24</f>
        <v>2319785</v>
      </c>
      <c r="G11" s="243">
        <f t="shared" si="29"/>
        <v>2526417</v>
      </c>
      <c r="H11" s="244">
        <f t="shared" si="2"/>
        <v>8.9073771922828948E-2</v>
      </c>
      <c r="I11" s="245">
        <f t="shared" ref="I11:K11" si="30">I12+I13+I16+I17+I18+I21+I24</f>
        <v>2319785</v>
      </c>
      <c r="J11" s="243">
        <f t="shared" si="30"/>
        <v>0</v>
      </c>
      <c r="K11" s="243">
        <f t="shared" si="30"/>
        <v>2526417</v>
      </c>
      <c r="L11" s="246" t="e">
        <f t="shared" si="3"/>
        <v>#DIV/0!</v>
      </c>
      <c r="M11" s="247">
        <f t="shared" si="4"/>
        <v>8.9073771922828948E-2</v>
      </c>
      <c r="N11" s="245">
        <f t="shared" ref="N11:P11" si="31">N12+N13+N16+N17+N18+N21+N24</f>
        <v>182348</v>
      </c>
      <c r="O11" s="243">
        <f t="shared" si="31"/>
        <v>0</v>
      </c>
      <c r="P11" s="243">
        <f t="shared" si="31"/>
        <v>176249</v>
      </c>
      <c r="Q11" s="246" t="e">
        <f t="shared" si="5"/>
        <v>#DIV/0!</v>
      </c>
      <c r="R11" s="247">
        <f t="shared" si="6"/>
        <v>-3.3447035339022047E-2</v>
      </c>
      <c r="S11" s="242">
        <f t="shared" ref="S11:U11" si="32">S12+S13+S16+S17+S18+S21+S24</f>
        <v>150904</v>
      </c>
      <c r="T11" s="243">
        <f t="shared" si="32"/>
        <v>0</v>
      </c>
      <c r="U11" s="243">
        <f t="shared" si="32"/>
        <v>239337</v>
      </c>
      <c r="V11" s="246" t="e">
        <f t="shared" si="7"/>
        <v>#DIV/0!</v>
      </c>
      <c r="W11" s="244">
        <f t="shared" si="8"/>
        <v>0.5860215766315009</v>
      </c>
      <c r="X11" s="245">
        <f t="shared" ref="X11:Z11" si="33">X12+X13+X16+X17+X18+X21+X24</f>
        <v>215523</v>
      </c>
      <c r="Y11" s="243">
        <f t="shared" si="33"/>
        <v>0</v>
      </c>
      <c r="Z11" s="243">
        <f t="shared" si="33"/>
        <v>203055</v>
      </c>
      <c r="AA11" s="246" t="e">
        <f t="shared" si="9"/>
        <v>#DIV/0!</v>
      </c>
      <c r="AB11" s="247">
        <f t="shared" si="10"/>
        <v>-5.7849974248688096E-2</v>
      </c>
      <c r="AC11" s="242">
        <f t="shared" ref="AC11:AE11" si="34">AC12+AC13+AC16+AC17+AC18+AC21+AC24</f>
        <v>314336</v>
      </c>
      <c r="AD11" s="243">
        <f t="shared" si="34"/>
        <v>0</v>
      </c>
      <c r="AE11" s="243">
        <f t="shared" si="34"/>
        <v>167275</v>
      </c>
      <c r="AF11" s="246" t="e">
        <f t="shared" si="11"/>
        <v>#DIV/0!</v>
      </c>
      <c r="AG11" s="244">
        <f t="shared" si="12"/>
        <v>-0.46784650819505247</v>
      </c>
      <c r="AH11" s="245">
        <f t="shared" ref="AH11:AJ11" si="35">AH12+AH13+AH16+AH17+AH18+AH21+AH24</f>
        <v>247705</v>
      </c>
      <c r="AI11" s="243">
        <f t="shared" si="35"/>
        <v>0</v>
      </c>
      <c r="AJ11" s="243">
        <f t="shared" si="35"/>
        <v>190928</v>
      </c>
      <c r="AK11" s="246" t="e">
        <f t="shared" si="13"/>
        <v>#DIV/0!</v>
      </c>
      <c r="AL11" s="247">
        <f t="shared" si="14"/>
        <v>-0.22921216769948127</v>
      </c>
      <c r="AM11" s="242">
        <f t="shared" ref="AM11:AO11" si="36">AM12+AM13+AM16+AM17+AM18+AM21+AM24</f>
        <v>146162</v>
      </c>
      <c r="AN11" s="243">
        <f t="shared" si="36"/>
        <v>0</v>
      </c>
      <c r="AO11" s="243">
        <f t="shared" si="36"/>
        <v>204594</v>
      </c>
      <c r="AP11" s="246" t="e">
        <f t="shared" si="15"/>
        <v>#DIV/0!</v>
      </c>
      <c r="AQ11" s="244">
        <f t="shared" si="16"/>
        <v>0.39977559146700248</v>
      </c>
      <c r="AR11" s="245">
        <f t="shared" ref="AR11:AT11" si="37">AR12+AR13+AR16+AR17+AR18+AR21+AR24</f>
        <v>152014</v>
      </c>
      <c r="AS11" s="243">
        <f t="shared" si="37"/>
        <v>0</v>
      </c>
      <c r="AT11" s="243">
        <f t="shared" si="37"/>
        <v>204567</v>
      </c>
      <c r="AU11" s="246" t="e">
        <f t="shared" si="17"/>
        <v>#DIV/0!</v>
      </c>
      <c r="AV11" s="247">
        <f t="shared" si="18"/>
        <v>0.34571157919665296</v>
      </c>
      <c r="AW11" s="242">
        <f t="shared" ref="AW11:AY11" si="38">AW12+AW13+AW16+AW17+AW18+AW21+AW24</f>
        <v>144679</v>
      </c>
      <c r="AX11" s="243">
        <f t="shared" si="38"/>
        <v>0</v>
      </c>
      <c r="AY11" s="243">
        <f t="shared" si="38"/>
        <v>199282</v>
      </c>
      <c r="AZ11" s="246" t="e">
        <f t="shared" si="19"/>
        <v>#DIV/0!</v>
      </c>
      <c r="BA11" s="244">
        <f t="shared" si="20"/>
        <v>0.37740791683658315</v>
      </c>
      <c r="BB11" s="245">
        <f t="shared" ref="BB11:BD11" si="39">BB12+BB13+BB16+BB17+BB18+BB21+BB24</f>
        <v>182830</v>
      </c>
      <c r="BC11" s="243">
        <f t="shared" si="39"/>
        <v>0</v>
      </c>
      <c r="BD11" s="243">
        <f t="shared" si="39"/>
        <v>199200</v>
      </c>
      <c r="BE11" s="246" t="e">
        <f t="shared" si="21"/>
        <v>#DIV/0!</v>
      </c>
      <c r="BF11" s="247">
        <f t="shared" si="22"/>
        <v>8.9536728108078556E-2</v>
      </c>
      <c r="BG11" s="242">
        <f t="shared" ref="BG11:BI11" si="40">BG12+BG13+BG16+BG17+BG18+BG21+BG24</f>
        <v>173184</v>
      </c>
      <c r="BH11" s="243">
        <f t="shared" si="40"/>
        <v>0</v>
      </c>
      <c r="BI11" s="243">
        <f t="shared" si="40"/>
        <v>230412</v>
      </c>
      <c r="BJ11" s="246" t="e">
        <f t="shared" si="23"/>
        <v>#DIV/0!</v>
      </c>
      <c r="BK11" s="244">
        <f t="shared" si="24"/>
        <v>0.33044623059866973</v>
      </c>
      <c r="BL11" s="245">
        <f t="shared" ref="BL11:BN11" si="41">BL12+BL13+BL16+BL17+BL18+BL21+BL24</f>
        <v>206668</v>
      </c>
      <c r="BM11" s="243">
        <f t="shared" si="41"/>
        <v>0</v>
      </c>
      <c r="BN11" s="243">
        <f t="shared" si="41"/>
        <v>308835</v>
      </c>
      <c r="BO11" s="246" t="e">
        <f t="shared" si="25"/>
        <v>#DIV/0!</v>
      </c>
      <c r="BP11" s="247">
        <f t="shared" si="26"/>
        <v>0.49435326223701792</v>
      </c>
      <c r="BQ11" s="242">
        <f t="shared" ref="BQ11:BS11" si="42">BQ12+BQ13+BQ16+BQ17+BQ18+BQ21+BQ24</f>
        <v>203432</v>
      </c>
      <c r="BR11" s="243">
        <f t="shared" si="42"/>
        <v>0</v>
      </c>
      <c r="BS11" s="243">
        <f t="shared" si="42"/>
        <v>202683</v>
      </c>
      <c r="BT11" s="246" t="e">
        <f t="shared" si="27"/>
        <v>#DIV/0!</v>
      </c>
      <c r="BU11" s="247">
        <f t="shared" si="28"/>
        <v>-3.681819969326372E-3</v>
      </c>
    </row>
    <row r="12" spans="2:73" x14ac:dyDescent="0.3">
      <c r="B12" s="380"/>
      <c r="C12" s="405"/>
      <c r="D12" s="312" t="s">
        <v>52</v>
      </c>
      <c r="E12" s="67" t="s">
        <v>20</v>
      </c>
      <c r="F12" s="45">
        <v>274504</v>
      </c>
      <c r="G12" s="39">
        <v>321951</v>
      </c>
      <c r="H12" s="33">
        <f t="shared" si="2"/>
        <v>0.17284629732171486</v>
      </c>
      <c r="I12" s="107">
        <f t="shared" ref="I12:K14" si="43">N12+S12+X12+AC12+AH12+AM12+AR12+AW12+BB12+BG12+BL12+BQ12</f>
        <v>274504</v>
      </c>
      <c r="J12" s="87">
        <f t="shared" si="43"/>
        <v>0</v>
      </c>
      <c r="K12" s="87">
        <f t="shared" si="43"/>
        <v>321951</v>
      </c>
      <c r="L12" s="88" t="e">
        <f t="shared" si="3"/>
        <v>#DIV/0!</v>
      </c>
      <c r="M12" s="15">
        <f t="shared" si="4"/>
        <v>0.17284629732171486</v>
      </c>
      <c r="N12" s="13">
        <v>24877</v>
      </c>
      <c r="O12" s="39"/>
      <c r="P12" s="39">
        <v>22882</v>
      </c>
      <c r="Q12" s="88" t="e">
        <f>P12/O12-1</f>
        <v>#DIV/0!</v>
      </c>
      <c r="R12" s="15">
        <f>P12/N12-1</f>
        <v>-8.0194557221529905E-2</v>
      </c>
      <c r="S12" s="45">
        <v>17597</v>
      </c>
      <c r="T12" s="39"/>
      <c r="U12" s="39">
        <v>25581</v>
      </c>
      <c r="V12" s="88" t="e">
        <f t="shared" si="7"/>
        <v>#DIV/0!</v>
      </c>
      <c r="W12" s="33">
        <f t="shared" si="8"/>
        <v>0.45371370119906795</v>
      </c>
      <c r="X12" s="13">
        <v>23450</v>
      </c>
      <c r="Y12" s="39"/>
      <c r="Z12" s="39">
        <v>21966</v>
      </c>
      <c r="AA12" s="88" t="e">
        <f t="shared" si="9"/>
        <v>#DIV/0!</v>
      </c>
      <c r="AB12" s="15">
        <f t="shared" si="10"/>
        <v>-6.3283582089552204E-2</v>
      </c>
      <c r="AC12" s="45">
        <v>32858</v>
      </c>
      <c r="AD12" s="39"/>
      <c r="AE12" s="39">
        <v>23867</v>
      </c>
      <c r="AF12" s="88" t="e">
        <f t="shared" si="11"/>
        <v>#DIV/0!</v>
      </c>
      <c r="AG12" s="33">
        <f t="shared" si="12"/>
        <v>-0.27363199220889889</v>
      </c>
      <c r="AH12" s="13">
        <v>22262</v>
      </c>
      <c r="AI12" s="39"/>
      <c r="AJ12" s="39">
        <v>26277</v>
      </c>
      <c r="AK12" s="88" t="e">
        <f t="shared" si="13"/>
        <v>#DIV/0!</v>
      </c>
      <c r="AL12" s="15">
        <f t="shared" si="14"/>
        <v>0.18035216961638656</v>
      </c>
      <c r="AM12" s="45">
        <v>18482</v>
      </c>
      <c r="AN12" s="39"/>
      <c r="AO12" s="39">
        <v>28344</v>
      </c>
      <c r="AP12" s="88" t="e">
        <f t="shared" si="15"/>
        <v>#DIV/0!</v>
      </c>
      <c r="AQ12" s="33">
        <f t="shared" si="16"/>
        <v>0.5336002597121523</v>
      </c>
      <c r="AR12" s="13">
        <v>18058</v>
      </c>
      <c r="AS12" s="39"/>
      <c r="AT12" s="39">
        <v>24918</v>
      </c>
      <c r="AU12" s="88" t="e">
        <f t="shared" si="17"/>
        <v>#DIV/0!</v>
      </c>
      <c r="AV12" s="15">
        <f t="shared" si="18"/>
        <v>0.37988703067892349</v>
      </c>
      <c r="AW12" s="45">
        <v>19249</v>
      </c>
      <c r="AX12" s="39"/>
      <c r="AY12" s="39">
        <v>24874</v>
      </c>
      <c r="AZ12" s="88" t="e">
        <f t="shared" si="19"/>
        <v>#DIV/0!</v>
      </c>
      <c r="BA12" s="33">
        <f t="shared" si="20"/>
        <v>0.29222297262195429</v>
      </c>
      <c r="BB12" s="13">
        <v>19847</v>
      </c>
      <c r="BC12" s="39"/>
      <c r="BD12" s="39">
        <v>27144</v>
      </c>
      <c r="BE12" s="88" t="e">
        <f t="shared" si="21"/>
        <v>#DIV/0!</v>
      </c>
      <c r="BF12" s="15">
        <f t="shared" si="22"/>
        <v>0.36766261903562247</v>
      </c>
      <c r="BG12" s="45">
        <v>22206</v>
      </c>
      <c r="BH12" s="39"/>
      <c r="BI12" s="39">
        <v>30214</v>
      </c>
      <c r="BJ12" s="88" t="e">
        <f t="shared" si="23"/>
        <v>#DIV/0!</v>
      </c>
      <c r="BK12" s="33">
        <f t="shared" si="24"/>
        <v>0.36062325497613257</v>
      </c>
      <c r="BL12" s="13">
        <v>24695</v>
      </c>
      <c r="BM12" s="39"/>
      <c r="BN12" s="39">
        <v>34230</v>
      </c>
      <c r="BO12" s="88" t="e">
        <f t="shared" si="25"/>
        <v>#DIV/0!</v>
      </c>
      <c r="BP12" s="15">
        <f t="shared" si="26"/>
        <v>0.38611054869406769</v>
      </c>
      <c r="BQ12" s="45">
        <v>30923</v>
      </c>
      <c r="BR12" s="39"/>
      <c r="BS12" s="39">
        <v>31654</v>
      </c>
      <c r="BT12" s="88" t="e">
        <f t="shared" si="27"/>
        <v>#DIV/0!</v>
      </c>
      <c r="BU12" s="15">
        <f t="shared" si="28"/>
        <v>2.3639362286970833E-2</v>
      </c>
    </row>
    <row r="13" spans="2:73" x14ac:dyDescent="0.3">
      <c r="B13" s="380"/>
      <c r="C13" s="405"/>
      <c r="D13" s="312"/>
      <c r="E13" s="67" t="s">
        <v>21</v>
      </c>
      <c r="F13" s="45">
        <v>394629</v>
      </c>
      <c r="G13" s="39">
        <v>419768</v>
      </c>
      <c r="H13" s="33">
        <f t="shared" si="2"/>
        <v>6.3702870290830216E-2</v>
      </c>
      <c r="I13" s="107">
        <f t="shared" si="43"/>
        <v>394629</v>
      </c>
      <c r="J13" s="87">
        <f t="shared" si="43"/>
        <v>0</v>
      </c>
      <c r="K13" s="87">
        <f t="shared" si="43"/>
        <v>419768</v>
      </c>
      <c r="L13" s="88" t="e">
        <f t="shared" si="3"/>
        <v>#DIV/0!</v>
      </c>
      <c r="M13" s="15">
        <f t="shared" si="4"/>
        <v>6.3702870290830216E-2</v>
      </c>
      <c r="N13" s="13">
        <v>30440</v>
      </c>
      <c r="O13" s="39"/>
      <c r="P13" s="39">
        <v>24520</v>
      </c>
      <c r="Q13" s="88" t="e">
        <f>P13/O13-1</f>
        <v>#DIV/0!</v>
      </c>
      <c r="R13" s="15">
        <f>P13/N13-1</f>
        <v>-0.19448094612352174</v>
      </c>
      <c r="S13" s="45">
        <v>24473</v>
      </c>
      <c r="T13" s="39"/>
      <c r="U13" s="39">
        <v>42820</v>
      </c>
      <c r="V13" s="88" t="e">
        <f t="shared" si="7"/>
        <v>#DIV/0!</v>
      </c>
      <c r="W13" s="33">
        <f t="shared" si="8"/>
        <v>0.74968332448003916</v>
      </c>
      <c r="X13" s="13">
        <v>43692</v>
      </c>
      <c r="Y13" s="39"/>
      <c r="Z13" s="39">
        <v>27988</v>
      </c>
      <c r="AA13" s="88" t="e">
        <f t="shared" si="9"/>
        <v>#DIV/0!</v>
      </c>
      <c r="AB13" s="15">
        <f t="shared" si="10"/>
        <v>-0.35942506637370686</v>
      </c>
      <c r="AC13" s="45">
        <v>53084</v>
      </c>
      <c r="AD13" s="39"/>
      <c r="AE13" s="39">
        <v>27340</v>
      </c>
      <c r="AF13" s="88" t="e">
        <f t="shared" si="11"/>
        <v>#DIV/0!</v>
      </c>
      <c r="AG13" s="33">
        <f t="shared" si="12"/>
        <v>-0.48496722176173612</v>
      </c>
      <c r="AH13" s="13">
        <v>22470</v>
      </c>
      <c r="AI13" s="39"/>
      <c r="AJ13" s="39">
        <v>29937</v>
      </c>
      <c r="AK13" s="88" t="e">
        <f t="shared" si="13"/>
        <v>#DIV/0!</v>
      </c>
      <c r="AL13" s="15">
        <f t="shared" si="14"/>
        <v>0.3323097463284379</v>
      </c>
      <c r="AM13" s="45">
        <v>31510</v>
      </c>
      <c r="AN13" s="39"/>
      <c r="AO13" s="39">
        <v>31700</v>
      </c>
      <c r="AP13" s="88" t="e">
        <f t="shared" si="15"/>
        <v>#DIV/0!</v>
      </c>
      <c r="AQ13" s="33">
        <f t="shared" si="16"/>
        <v>6.0298317994287309E-3</v>
      </c>
      <c r="AR13" s="13">
        <v>30462</v>
      </c>
      <c r="AS13" s="39"/>
      <c r="AT13" s="39">
        <v>33415</v>
      </c>
      <c r="AU13" s="88" t="e">
        <f t="shared" si="17"/>
        <v>#DIV/0!</v>
      </c>
      <c r="AV13" s="15">
        <f t="shared" si="18"/>
        <v>9.6940450397216216E-2</v>
      </c>
      <c r="AW13" s="45">
        <v>22756</v>
      </c>
      <c r="AX13" s="39"/>
      <c r="AY13" s="39">
        <v>33368</v>
      </c>
      <c r="AZ13" s="88" t="e">
        <f t="shared" si="19"/>
        <v>#DIV/0!</v>
      </c>
      <c r="BA13" s="33">
        <f t="shared" si="20"/>
        <v>0.46633854807523289</v>
      </c>
      <c r="BB13" s="13">
        <v>49249</v>
      </c>
      <c r="BC13" s="39"/>
      <c r="BD13" s="39">
        <v>32470</v>
      </c>
      <c r="BE13" s="88" t="e">
        <f t="shared" si="21"/>
        <v>#DIV/0!</v>
      </c>
      <c r="BF13" s="15">
        <f t="shared" si="22"/>
        <v>-0.340697273041077</v>
      </c>
      <c r="BG13" s="45">
        <v>24698</v>
      </c>
      <c r="BH13" s="39"/>
      <c r="BI13" s="39">
        <v>39064</v>
      </c>
      <c r="BJ13" s="88" t="e">
        <f t="shared" si="23"/>
        <v>#DIV/0!</v>
      </c>
      <c r="BK13" s="33">
        <f t="shared" si="24"/>
        <v>0.58166653170297189</v>
      </c>
      <c r="BL13" s="13">
        <v>35259</v>
      </c>
      <c r="BM13" s="39"/>
      <c r="BN13" s="39">
        <v>62218</v>
      </c>
      <c r="BO13" s="88" t="e">
        <f t="shared" si="25"/>
        <v>#DIV/0!</v>
      </c>
      <c r="BP13" s="15">
        <f t="shared" si="26"/>
        <v>0.7645991094472333</v>
      </c>
      <c r="BQ13" s="45">
        <v>26536</v>
      </c>
      <c r="BR13" s="39"/>
      <c r="BS13" s="39">
        <v>34928</v>
      </c>
      <c r="BT13" s="88" t="e">
        <f t="shared" si="27"/>
        <v>#DIV/0!</v>
      </c>
      <c r="BU13" s="15">
        <f t="shared" si="28"/>
        <v>0.31624962315345195</v>
      </c>
    </row>
    <row r="14" spans="2:73" x14ac:dyDescent="0.3">
      <c r="B14" s="380"/>
      <c r="C14" s="405"/>
      <c r="D14" s="312"/>
      <c r="E14" s="67" t="s">
        <v>27</v>
      </c>
      <c r="F14" s="45">
        <v>398047</v>
      </c>
      <c r="G14" s="39">
        <v>207830</v>
      </c>
      <c r="H14" s="33">
        <f t="shared" si="2"/>
        <v>-0.47787572824314717</v>
      </c>
      <c r="I14" s="107">
        <f t="shared" si="43"/>
        <v>398047</v>
      </c>
      <c r="J14" s="87">
        <f t="shared" si="43"/>
        <v>0</v>
      </c>
      <c r="K14" s="87">
        <f t="shared" si="43"/>
        <v>210150</v>
      </c>
      <c r="L14" s="88" t="e">
        <f t="shared" si="3"/>
        <v>#DIV/0!</v>
      </c>
      <c r="M14" s="15">
        <f t="shared" si="4"/>
        <v>-0.47204727079967945</v>
      </c>
      <c r="N14" s="13">
        <v>9372</v>
      </c>
      <c r="O14" s="39"/>
      <c r="P14" s="39">
        <v>24502</v>
      </c>
      <c r="Q14" s="88" t="e">
        <f>P14/O14-1</f>
        <v>#DIV/0!</v>
      </c>
      <c r="R14" s="15">
        <f>P14/N14-1</f>
        <v>1.6143832693128468</v>
      </c>
      <c r="S14" s="45">
        <v>13207</v>
      </c>
      <c r="T14" s="39"/>
      <c r="U14" s="39">
        <v>24132</v>
      </c>
      <c r="V14" s="88" t="e">
        <f t="shared" si="7"/>
        <v>#DIV/0!</v>
      </c>
      <c r="W14" s="33">
        <f t="shared" si="8"/>
        <v>0.82721284167486941</v>
      </c>
      <c r="X14" s="13">
        <v>26896</v>
      </c>
      <c r="Y14" s="39"/>
      <c r="Z14" s="39">
        <v>30839</v>
      </c>
      <c r="AA14" s="88" t="e">
        <f t="shared" si="9"/>
        <v>#DIV/0!</v>
      </c>
      <c r="AB14" s="15">
        <f t="shared" si="10"/>
        <v>0.14660172516359316</v>
      </c>
      <c r="AC14" s="45">
        <v>35288</v>
      </c>
      <c r="AD14" s="39"/>
      <c r="AE14" s="39">
        <v>12990</v>
      </c>
      <c r="AF14" s="88" t="e">
        <f t="shared" si="11"/>
        <v>#DIV/0!</v>
      </c>
      <c r="AG14" s="33">
        <f t="shared" si="12"/>
        <v>-0.6318861936068918</v>
      </c>
      <c r="AH14" s="13">
        <v>18930</v>
      </c>
      <c r="AI14" s="39"/>
      <c r="AJ14" s="39">
        <v>18058</v>
      </c>
      <c r="AK14" s="88" t="e">
        <f t="shared" si="13"/>
        <v>#DIV/0!</v>
      </c>
      <c r="AL14" s="15">
        <f t="shared" si="14"/>
        <v>-4.6064447966191246E-2</v>
      </c>
      <c r="AM14" s="45">
        <v>43636</v>
      </c>
      <c r="AN14" s="39"/>
      <c r="AO14" s="39">
        <v>15305</v>
      </c>
      <c r="AP14" s="88" t="e">
        <f t="shared" si="15"/>
        <v>#DIV/0!</v>
      </c>
      <c r="AQ14" s="33">
        <f t="shared" si="16"/>
        <v>-0.64925749381244846</v>
      </c>
      <c r="AR14" s="13">
        <v>40134</v>
      </c>
      <c r="AS14" s="39"/>
      <c r="AT14" s="39">
        <v>20578</v>
      </c>
      <c r="AU14" s="88" t="e">
        <f t="shared" si="17"/>
        <v>#DIV/0!</v>
      </c>
      <c r="AV14" s="15">
        <f t="shared" si="18"/>
        <v>-0.48726765336123989</v>
      </c>
      <c r="AW14" s="45">
        <v>23970</v>
      </c>
      <c r="AX14" s="39"/>
      <c r="AY14" s="39">
        <v>7942</v>
      </c>
      <c r="AZ14" s="88" t="e">
        <f t="shared" si="19"/>
        <v>#DIV/0!</v>
      </c>
      <c r="BA14" s="33">
        <f t="shared" si="20"/>
        <v>-0.66866916979557778</v>
      </c>
      <c r="BB14" s="13">
        <v>28234</v>
      </c>
      <c r="BC14" s="39"/>
      <c r="BD14" s="39">
        <v>11650</v>
      </c>
      <c r="BE14" s="88" t="e">
        <f t="shared" si="21"/>
        <v>#DIV/0!</v>
      </c>
      <c r="BF14" s="15">
        <f t="shared" si="22"/>
        <v>-0.58737692144223275</v>
      </c>
      <c r="BG14" s="45">
        <v>52510</v>
      </c>
      <c r="BH14" s="39"/>
      <c r="BI14" s="39">
        <v>6298</v>
      </c>
      <c r="BJ14" s="88" t="e">
        <f t="shared" si="23"/>
        <v>#DIV/0!</v>
      </c>
      <c r="BK14" s="33">
        <f t="shared" si="24"/>
        <v>-0.88006094077318608</v>
      </c>
      <c r="BL14" s="13">
        <v>71824</v>
      </c>
      <c r="BM14" s="39"/>
      <c r="BN14" s="39">
        <v>21384</v>
      </c>
      <c r="BO14" s="88" t="e">
        <f t="shared" si="25"/>
        <v>#DIV/0!</v>
      </c>
      <c r="BP14" s="15">
        <f t="shared" si="26"/>
        <v>-0.70227222098462905</v>
      </c>
      <c r="BQ14" s="45">
        <v>34046</v>
      </c>
      <c r="BR14" s="39"/>
      <c r="BS14" s="39">
        <v>16472</v>
      </c>
      <c r="BT14" s="88" t="e">
        <f t="shared" si="27"/>
        <v>#DIV/0!</v>
      </c>
      <c r="BU14" s="15">
        <f t="shared" si="28"/>
        <v>-0.51618398637137997</v>
      </c>
    </row>
    <row r="15" spans="2:73" x14ac:dyDescent="0.3">
      <c r="B15" s="380"/>
      <c r="C15" s="405"/>
      <c r="D15" s="312"/>
      <c r="E15" s="101" t="s">
        <v>53</v>
      </c>
      <c r="F15" s="55">
        <f>SUM(F12:F14)</f>
        <v>1067180</v>
      </c>
      <c r="G15" s="50">
        <f>SUM(G12:G14)</f>
        <v>949549</v>
      </c>
      <c r="H15" s="79">
        <f t="shared" si="2"/>
        <v>-0.11022601622968942</v>
      </c>
      <c r="I15" s="48">
        <f t="shared" ref="I15:O15" si="44">SUM(I12:I14)</f>
        <v>1067180</v>
      </c>
      <c r="J15" s="50">
        <f t="shared" si="44"/>
        <v>0</v>
      </c>
      <c r="K15" s="50">
        <f t="shared" si="44"/>
        <v>951869</v>
      </c>
      <c r="L15" s="91" t="e">
        <f t="shared" si="3"/>
        <v>#DIV/0!</v>
      </c>
      <c r="M15" s="49">
        <f t="shared" si="4"/>
        <v>-0.10805206244494836</v>
      </c>
      <c r="N15" s="48">
        <f t="shared" si="44"/>
        <v>64689</v>
      </c>
      <c r="O15" s="50">
        <f t="shared" si="44"/>
        <v>0</v>
      </c>
      <c r="P15" s="50">
        <f>SUM(P12:P14)</f>
        <v>71904</v>
      </c>
      <c r="Q15" s="91" t="e">
        <f t="shared" si="5"/>
        <v>#DIV/0!</v>
      </c>
      <c r="R15" s="49">
        <f t="shared" si="6"/>
        <v>0.11153364559662382</v>
      </c>
      <c r="S15" s="55">
        <f>SUM(S12:S14)</f>
        <v>55277</v>
      </c>
      <c r="T15" s="50">
        <f>SUM(T12:T14)</f>
        <v>0</v>
      </c>
      <c r="U15" s="50">
        <f>SUM(U12:U14)</f>
        <v>92533</v>
      </c>
      <c r="V15" s="91" t="e">
        <f t="shared" si="7"/>
        <v>#DIV/0!</v>
      </c>
      <c r="W15" s="79">
        <f t="shared" si="8"/>
        <v>0.67398737268665077</v>
      </c>
      <c r="X15" s="48">
        <f>SUM(X12:X14)</f>
        <v>94038</v>
      </c>
      <c r="Y15" s="50">
        <f>SUM(Y12:Y14)</f>
        <v>0</v>
      </c>
      <c r="Z15" s="50">
        <f>SUM(Z12:Z14)</f>
        <v>80793</v>
      </c>
      <c r="AA15" s="91" t="e">
        <f t="shared" si="9"/>
        <v>#DIV/0!</v>
      </c>
      <c r="AB15" s="49">
        <f t="shared" si="10"/>
        <v>-0.14084731704204678</v>
      </c>
      <c r="AC15" s="55">
        <f>SUM(AC12:AC14)</f>
        <v>121230</v>
      </c>
      <c r="AD15" s="50">
        <f>SUM(AD12:AD14)</f>
        <v>0</v>
      </c>
      <c r="AE15" s="50">
        <f>SUM(AE12:AE14)</f>
        <v>64197</v>
      </c>
      <c r="AF15" s="91" t="e">
        <f t="shared" si="11"/>
        <v>#DIV/0!</v>
      </c>
      <c r="AG15" s="79">
        <f t="shared" si="12"/>
        <v>-0.47045285820341498</v>
      </c>
      <c r="AH15" s="48">
        <f>SUM(AH12:AH14)</f>
        <v>63662</v>
      </c>
      <c r="AI15" s="50">
        <f>SUM(AI12:AI14)</f>
        <v>0</v>
      </c>
      <c r="AJ15" s="50">
        <f>SUM(AJ12:AJ14)</f>
        <v>74272</v>
      </c>
      <c r="AK15" s="91" t="e">
        <f t="shared" si="13"/>
        <v>#DIV/0!</v>
      </c>
      <c r="AL15" s="49">
        <f t="shared" si="14"/>
        <v>0.16666143068078298</v>
      </c>
      <c r="AM15" s="55">
        <f>SUM(AM12:AM14)</f>
        <v>93628</v>
      </c>
      <c r="AN15" s="50">
        <f>SUM(AN12:AN14)</f>
        <v>0</v>
      </c>
      <c r="AO15" s="50">
        <f>SUM(AO12:AO14)</f>
        <v>75349</v>
      </c>
      <c r="AP15" s="91" t="e">
        <f t="shared" si="15"/>
        <v>#DIV/0!</v>
      </c>
      <c r="AQ15" s="79">
        <f t="shared" si="16"/>
        <v>-0.195230059383945</v>
      </c>
      <c r="AR15" s="48">
        <f>SUM(AR12:AR14)</f>
        <v>88654</v>
      </c>
      <c r="AS15" s="50">
        <f>SUM(AS12:AS14)</f>
        <v>0</v>
      </c>
      <c r="AT15" s="50">
        <f>SUM(AT12:AT14)</f>
        <v>78911</v>
      </c>
      <c r="AU15" s="91" t="e">
        <f t="shared" si="17"/>
        <v>#DIV/0!</v>
      </c>
      <c r="AV15" s="49">
        <f t="shared" si="18"/>
        <v>-0.10989915852640608</v>
      </c>
      <c r="AW15" s="55">
        <f>SUM(AW12:AW14)</f>
        <v>65975</v>
      </c>
      <c r="AX15" s="50">
        <f>SUM(AX12:AX14)</f>
        <v>0</v>
      </c>
      <c r="AY15" s="50">
        <f>SUM(AY12:AY14)</f>
        <v>66184</v>
      </c>
      <c r="AZ15" s="91" t="e">
        <f t="shared" si="19"/>
        <v>#DIV/0!</v>
      </c>
      <c r="BA15" s="79">
        <f t="shared" si="20"/>
        <v>3.1678666161425451E-3</v>
      </c>
      <c r="BB15" s="48">
        <f>SUM(BB12:BB14)</f>
        <v>97330</v>
      </c>
      <c r="BC15" s="50">
        <f>SUM(BC12:BC14)</f>
        <v>0</v>
      </c>
      <c r="BD15" s="50">
        <f>SUM(BD12:BD14)</f>
        <v>71264</v>
      </c>
      <c r="BE15" s="91" t="e">
        <f t="shared" si="21"/>
        <v>#DIV/0!</v>
      </c>
      <c r="BF15" s="49">
        <f t="shared" si="22"/>
        <v>-0.2678105414568992</v>
      </c>
      <c r="BG15" s="55">
        <f>SUM(BG12:BG14)</f>
        <v>99414</v>
      </c>
      <c r="BH15" s="50">
        <f>SUM(BH12:BH14)</f>
        <v>0</v>
      </c>
      <c r="BI15" s="50">
        <f>SUM(BI12:BI14)</f>
        <v>75576</v>
      </c>
      <c r="BJ15" s="91" t="e">
        <f t="shared" si="23"/>
        <v>#DIV/0!</v>
      </c>
      <c r="BK15" s="79">
        <f t="shared" si="24"/>
        <v>-0.23978514092582537</v>
      </c>
      <c r="BL15" s="48">
        <f>SUM(BL12:BL14)</f>
        <v>131778</v>
      </c>
      <c r="BM15" s="50">
        <f>SUM(BM12:BM14)</f>
        <v>0</v>
      </c>
      <c r="BN15" s="50">
        <f>SUM(BN12:BN14)</f>
        <v>117832</v>
      </c>
      <c r="BO15" s="91" t="e">
        <f t="shared" si="25"/>
        <v>#DIV/0!</v>
      </c>
      <c r="BP15" s="49">
        <f t="shared" si="26"/>
        <v>-0.10582950113068945</v>
      </c>
      <c r="BQ15" s="55">
        <f>SUM(BQ12:BQ14)</f>
        <v>91505</v>
      </c>
      <c r="BR15" s="50">
        <f>SUM(BR12:BR14)</f>
        <v>0</v>
      </c>
      <c r="BS15" s="50">
        <f>SUM(BS12:BS14)</f>
        <v>83054</v>
      </c>
      <c r="BT15" s="91" t="e">
        <f t="shared" si="27"/>
        <v>#DIV/0!</v>
      </c>
      <c r="BU15" s="49">
        <f t="shared" si="28"/>
        <v>-9.2355608983115678E-2</v>
      </c>
    </row>
    <row r="16" spans="2:73" x14ac:dyDescent="0.3">
      <c r="B16" s="380"/>
      <c r="C16" s="405"/>
      <c r="D16" s="312" t="s">
        <v>54</v>
      </c>
      <c r="E16" s="67" t="s">
        <v>22</v>
      </c>
      <c r="F16" s="45">
        <v>255674</v>
      </c>
      <c r="G16" s="39">
        <v>265892</v>
      </c>
      <c r="H16" s="33">
        <f t="shared" si="2"/>
        <v>3.9964955372857602E-2</v>
      </c>
      <c r="I16" s="107">
        <f t="shared" ref="I16:K19" si="45">N16+S16+X16+AC16+AH16+AM16+AR16+AW16+BB16+BG16+BL16+BQ16</f>
        <v>255674</v>
      </c>
      <c r="J16" s="87">
        <f t="shared" si="45"/>
        <v>0</v>
      </c>
      <c r="K16" s="87">
        <f t="shared" si="45"/>
        <v>294977</v>
      </c>
      <c r="L16" s="88" t="e">
        <f t="shared" si="3"/>
        <v>#DIV/0!</v>
      </c>
      <c r="M16" s="15">
        <f t="shared" si="4"/>
        <v>0.15372310051080662</v>
      </c>
      <c r="N16" s="13">
        <v>13456</v>
      </c>
      <c r="O16" s="39"/>
      <c r="P16" s="39">
        <v>19273</v>
      </c>
      <c r="Q16" s="88" t="e">
        <f t="shared" si="5"/>
        <v>#DIV/0!</v>
      </c>
      <c r="R16" s="15">
        <f t="shared" si="6"/>
        <v>0.43229785969084422</v>
      </c>
      <c r="S16" s="45">
        <v>13406</v>
      </c>
      <c r="T16" s="39"/>
      <c r="U16" s="39">
        <v>32026</v>
      </c>
      <c r="V16" s="88" t="e">
        <f t="shared" si="7"/>
        <v>#DIV/0!</v>
      </c>
      <c r="W16" s="33">
        <f t="shared" si="8"/>
        <v>1.3889303297031179</v>
      </c>
      <c r="X16" s="13">
        <v>19872</v>
      </c>
      <c r="Y16" s="39"/>
      <c r="Z16" s="39">
        <v>19043</v>
      </c>
      <c r="AA16" s="88" t="e">
        <f t="shared" si="9"/>
        <v>#DIV/0!</v>
      </c>
      <c r="AB16" s="15">
        <f t="shared" si="10"/>
        <v>-4.171698872785834E-2</v>
      </c>
      <c r="AC16" s="45">
        <v>28255</v>
      </c>
      <c r="AD16" s="39"/>
      <c r="AE16" s="39">
        <v>20732</v>
      </c>
      <c r="AF16" s="88" t="e">
        <f t="shared" si="11"/>
        <v>#DIV/0!</v>
      </c>
      <c r="AG16" s="33">
        <f t="shared" si="12"/>
        <v>-0.26625376039639004</v>
      </c>
      <c r="AH16" s="13">
        <v>18478</v>
      </c>
      <c r="AI16" s="39"/>
      <c r="AJ16" s="39">
        <v>23468</v>
      </c>
      <c r="AK16" s="88" t="e">
        <f t="shared" si="13"/>
        <v>#DIV/0!</v>
      </c>
      <c r="AL16" s="15">
        <f t="shared" si="14"/>
        <v>0.27005087130641847</v>
      </c>
      <c r="AM16" s="45">
        <v>22304</v>
      </c>
      <c r="AN16" s="39"/>
      <c r="AO16" s="39">
        <v>24188</v>
      </c>
      <c r="AP16" s="88" t="e">
        <f t="shared" si="15"/>
        <v>#DIV/0!</v>
      </c>
      <c r="AQ16" s="33">
        <f t="shared" si="16"/>
        <v>8.4469153515064566E-2</v>
      </c>
      <c r="AR16" s="13">
        <v>25024</v>
      </c>
      <c r="AS16" s="39"/>
      <c r="AT16" s="39">
        <v>22316</v>
      </c>
      <c r="AU16" s="88" t="e">
        <f t="shared" si="17"/>
        <v>#DIV/0!</v>
      </c>
      <c r="AV16" s="15">
        <f t="shared" si="18"/>
        <v>-0.10821611253196928</v>
      </c>
      <c r="AW16" s="45">
        <v>24412</v>
      </c>
      <c r="AX16" s="39"/>
      <c r="AY16" s="39">
        <v>25544</v>
      </c>
      <c r="AZ16" s="88" t="e">
        <f t="shared" si="19"/>
        <v>#DIV/0!</v>
      </c>
      <c r="BA16" s="33">
        <f t="shared" si="20"/>
        <v>4.6370637391446756E-2</v>
      </c>
      <c r="BB16" s="13">
        <v>19277</v>
      </c>
      <c r="BC16" s="39"/>
      <c r="BD16" s="39">
        <v>24514</v>
      </c>
      <c r="BE16" s="88" t="e">
        <f t="shared" si="21"/>
        <v>#DIV/0!</v>
      </c>
      <c r="BF16" s="15">
        <f t="shared" si="22"/>
        <v>0.27167090314883025</v>
      </c>
      <c r="BG16" s="45">
        <v>22102</v>
      </c>
      <c r="BH16" s="39"/>
      <c r="BI16" s="39">
        <v>27828</v>
      </c>
      <c r="BJ16" s="88" t="e">
        <f t="shared" si="23"/>
        <v>#DIV/0!</v>
      </c>
      <c r="BK16" s="33">
        <f t="shared" si="24"/>
        <v>0.25907157723282959</v>
      </c>
      <c r="BL16" s="13">
        <v>19326</v>
      </c>
      <c r="BM16" s="39"/>
      <c r="BN16" s="39">
        <v>30920</v>
      </c>
      <c r="BO16" s="88" t="e">
        <f t="shared" si="25"/>
        <v>#DIV/0!</v>
      </c>
      <c r="BP16" s="15">
        <f t="shared" si="26"/>
        <v>0.5999172099761978</v>
      </c>
      <c r="BQ16" s="45">
        <v>29762</v>
      </c>
      <c r="BR16" s="39"/>
      <c r="BS16" s="39">
        <v>25125</v>
      </c>
      <c r="BT16" s="88" t="e">
        <f t="shared" si="27"/>
        <v>#DIV/0!</v>
      </c>
      <c r="BU16" s="15">
        <f t="shared" si="28"/>
        <v>-0.15580270143135544</v>
      </c>
    </row>
    <row r="17" spans="2:73" x14ac:dyDescent="0.3">
      <c r="B17" s="380"/>
      <c r="C17" s="405"/>
      <c r="D17" s="312"/>
      <c r="E17" s="67" t="s">
        <v>23</v>
      </c>
      <c r="F17" s="45">
        <v>583012</v>
      </c>
      <c r="G17" s="39">
        <v>554782</v>
      </c>
      <c r="H17" s="33">
        <f t="shared" si="2"/>
        <v>-4.8420958745274523E-2</v>
      </c>
      <c r="I17" s="107">
        <f t="shared" si="45"/>
        <v>583012</v>
      </c>
      <c r="J17" s="87">
        <f t="shared" si="45"/>
        <v>0</v>
      </c>
      <c r="K17" s="87">
        <f t="shared" si="45"/>
        <v>611068</v>
      </c>
      <c r="L17" s="88" t="e">
        <f t="shared" si="3"/>
        <v>#DIV/0!</v>
      </c>
      <c r="M17" s="15">
        <f t="shared" si="4"/>
        <v>4.8122508627609806E-2</v>
      </c>
      <c r="N17" s="13">
        <v>46717</v>
      </c>
      <c r="O17" s="39"/>
      <c r="P17" s="39">
        <v>50990</v>
      </c>
      <c r="Q17" s="88" t="e">
        <f t="shared" si="5"/>
        <v>#DIV/0!</v>
      </c>
      <c r="R17" s="15">
        <f t="shared" si="6"/>
        <v>9.1465633495301457E-2</v>
      </c>
      <c r="S17" s="45">
        <v>37474</v>
      </c>
      <c r="T17" s="39"/>
      <c r="U17" s="39">
        <v>45016</v>
      </c>
      <c r="V17" s="88" t="e">
        <f t="shared" si="7"/>
        <v>#DIV/0!</v>
      </c>
      <c r="W17" s="33">
        <f t="shared" si="8"/>
        <v>0.20125953994769707</v>
      </c>
      <c r="X17" s="13">
        <v>53427</v>
      </c>
      <c r="Y17" s="39"/>
      <c r="Z17" s="39">
        <v>75300</v>
      </c>
      <c r="AA17" s="88" t="e">
        <f t="shared" si="9"/>
        <v>#DIV/0!</v>
      </c>
      <c r="AB17" s="15">
        <f t="shared" si="10"/>
        <v>0.40939974170363302</v>
      </c>
      <c r="AC17" s="45">
        <v>65838</v>
      </c>
      <c r="AD17" s="39"/>
      <c r="AE17" s="39">
        <v>37975</v>
      </c>
      <c r="AF17" s="88" t="e">
        <f t="shared" si="11"/>
        <v>#DIV/0!</v>
      </c>
      <c r="AG17" s="33">
        <f t="shared" si="12"/>
        <v>-0.42320544366475288</v>
      </c>
      <c r="AH17" s="13">
        <v>119602</v>
      </c>
      <c r="AI17" s="39"/>
      <c r="AJ17" s="39">
        <v>44598</v>
      </c>
      <c r="AK17" s="88" t="e">
        <f t="shared" si="13"/>
        <v>#DIV/0!</v>
      </c>
      <c r="AL17" s="15">
        <f t="shared" si="14"/>
        <v>-0.62711325897560244</v>
      </c>
      <c r="AM17" s="45">
        <v>29144</v>
      </c>
      <c r="AN17" s="39"/>
      <c r="AO17" s="39">
        <v>50986</v>
      </c>
      <c r="AP17" s="88" t="e">
        <f t="shared" si="15"/>
        <v>#DIV/0!</v>
      </c>
      <c r="AQ17" s="33">
        <f t="shared" si="16"/>
        <v>0.74945100192149328</v>
      </c>
      <c r="AR17" s="13">
        <v>25040</v>
      </c>
      <c r="AS17" s="39"/>
      <c r="AT17" s="39">
        <v>48452</v>
      </c>
      <c r="AU17" s="88" t="e">
        <f t="shared" si="17"/>
        <v>#DIV/0!</v>
      </c>
      <c r="AV17" s="15">
        <f t="shared" si="18"/>
        <v>0.93498402555910554</v>
      </c>
      <c r="AW17" s="45">
        <v>29302</v>
      </c>
      <c r="AX17" s="39"/>
      <c r="AY17" s="39">
        <v>45980</v>
      </c>
      <c r="AZ17" s="88" t="e">
        <f t="shared" si="19"/>
        <v>#DIV/0!</v>
      </c>
      <c r="BA17" s="33">
        <f t="shared" si="20"/>
        <v>0.56917616544945737</v>
      </c>
      <c r="BB17" s="13">
        <v>32685</v>
      </c>
      <c r="BC17" s="39"/>
      <c r="BD17" s="39">
        <v>47436</v>
      </c>
      <c r="BE17" s="88" t="e">
        <f t="shared" si="21"/>
        <v>#DIV/0!</v>
      </c>
      <c r="BF17" s="15">
        <f t="shared" si="22"/>
        <v>0.45130793942175318</v>
      </c>
      <c r="BG17" s="45">
        <v>41336</v>
      </c>
      <c r="BH17" s="39"/>
      <c r="BI17" s="39">
        <v>54452</v>
      </c>
      <c r="BJ17" s="88" t="e">
        <f t="shared" si="23"/>
        <v>#DIV/0!</v>
      </c>
      <c r="BK17" s="33">
        <f t="shared" si="24"/>
        <v>0.31730210954131999</v>
      </c>
      <c r="BL17" s="13">
        <v>55946</v>
      </c>
      <c r="BM17" s="39"/>
      <c r="BN17" s="39">
        <v>64781</v>
      </c>
      <c r="BO17" s="88" t="e">
        <f t="shared" si="25"/>
        <v>#DIV/0!</v>
      </c>
      <c r="BP17" s="15">
        <f t="shared" si="26"/>
        <v>0.15792013727522969</v>
      </c>
      <c r="BQ17" s="45">
        <v>46501</v>
      </c>
      <c r="BR17" s="39"/>
      <c r="BS17" s="39">
        <v>45102</v>
      </c>
      <c r="BT17" s="88" t="e">
        <f t="shared" si="27"/>
        <v>#DIV/0!</v>
      </c>
      <c r="BU17" s="15">
        <f t="shared" si="28"/>
        <v>-3.0085374508075136E-2</v>
      </c>
    </row>
    <row r="18" spans="2:73" x14ac:dyDescent="0.3">
      <c r="B18" s="380"/>
      <c r="C18" s="405"/>
      <c r="D18" s="312"/>
      <c r="E18" s="67" t="s">
        <v>24</v>
      </c>
      <c r="F18" s="45">
        <v>255841</v>
      </c>
      <c r="G18" s="39">
        <v>316827</v>
      </c>
      <c r="H18" s="33">
        <f t="shared" si="2"/>
        <v>0.23837461548383576</v>
      </c>
      <c r="I18" s="107">
        <f t="shared" si="45"/>
        <v>255841</v>
      </c>
      <c r="J18" s="87">
        <f t="shared" si="45"/>
        <v>0</v>
      </c>
      <c r="K18" s="87">
        <f t="shared" si="45"/>
        <v>231456</v>
      </c>
      <c r="L18" s="88" t="e">
        <f t="shared" si="3"/>
        <v>#DIV/0!</v>
      </c>
      <c r="M18" s="15">
        <f t="shared" si="4"/>
        <v>-9.5313104623574785E-2</v>
      </c>
      <c r="N18" s="13">
        <v>21906</v>
      </c>
      <c r="O18" s="39"/>
      <c r="P18" s="39">
        <v>19114</v>
      </c>
      <c r="Q18" s="88" t="e">
        <f t="shared" si="5"/>
        <v>#DIV/0!</v>
      </c>
      <c r="R18" s="15">
        <f t="shared" si="6"/>
        <v>-0.12745366566237559</v>
      </c>
      <c r="S18" s="45">
        <v>17822</v>
      </c>
      <c r="T18" s="39"/>
      <c r="U18" s="39">
        <v>23518</v>
      </c>
      <c r="V18" s="88" t="e">
        <f t="shared" si="7"/>
        <v>#DIV/0!</v>
      </c>
      <c r="W18" s="33">
        <f t="shared" si="8"/>
        <v>0.31960498260576808</v>
      </c>
      <c r="X18" s="13">
        <v>29316</v>
      </c>
      <c r="Y18" s="39"/>
      <c r="Z18" s="39">
        <v>18054</v>
      </c>
      <c r="AA18" s="88" t="e">
        <f t="shared" si="9"/>
        <v>#DIV/0!</v>
      </c>
      <c r="AB18" s="15">
        <f t="shared" si="10"/>
        <v>-0.38415882112157185</v>
      </c>
      <c r="AC18" s="45">
        <v>41791</v>
      </c>
      <c r="AD18" s="39"/>
      <c r="AE18" s="39">
        <v>15328</v>
      </c>
      <c r="AF18" s="88" t="e">
        <f t="shared" si="11"/>
        <v>#DIV/0!</v>
      </c>
      <c r="AG18" s="33">
        <f t="shared" si="12"/>
        <v>-0.63322246416692596</v>
      </c>
      <c r="AH18" s="13">
        <v>18291</v>
      </c>
      <c r="AI18" s="39"/>
      <c r="AJ18" s="39">
        <v>17800</v>
      </c>
      <c r="AK18" s="88" t="e">
        <f t="shared" si="13"/>
        <v>#DIV/0!</v>
      </c>
      <c r="AL18" s="15">
        <f t="shared" si="14"/>
        <v>-2.6843802963205987E-2</v>
      </c>
      <c r="AM18" s="45">
        <v>15616</v>
      </c>
      <c r="AN18" s="39"/>
      <c r="AO18" s="39">
        <v>20036</v>
      </c>
      <c r="AP18" s="88" t="e">
        <f t="shared" si="15"/>
        <v>#DIV/0!</v>
      </c>
      <c r="AQ18" s="33">
        <f t="shared" si="16"/>
        <v>0.28304303278688514</v>
      </c>
      <c r="AR18" s="13">
        <v>15627</v>
      </c>
      <c r="AS18" s="39"/>
      <c r="AT18" s="39">
        <v>19118</v>
      </c>
      <c r="AU18" s="88" t="e">
        <f t="shared" si="17"/>
        <v>#DIV/0!</v>
      </c>
      <c r="AV18" s="15">
        <f t="shared" si="18"/>
        <v>0.22339540538811042</v>
      </c>
      <c r="AW18" s="45">
        <v>17292</v>
      </c>
      <c r="AX18" s="39"/>
      <c r="AY18" s="39">
        <v>17860</v>
      </c>
      <c r="AZ18" s="88" t="e">
        <f t="shared" si="19"/>
        <v>#DIV/0!</v>
      </c>
      <c r="BA18" s="33">
        <f t="shared" si="20"/>
        <v>3.2847559565116757E-2</v>
      </c>
      <c r="BB18" s="13">
        <v>19092</v>
      </c>
      <c r="BC18" s="39"/>
      <c r="BD18" s="39">
        <v>17672</v>
      </c>
      <c r="BE18" s="88" t="e">
        <f t="shared" si="21"/>
        <v>#DIV/0!</v>
      </c>
      <c r="BF18" s="15">
        <f t="shared" si="22"/>
        <v>-7.4376702283678986E-2</v>
      </c>
      <c r="BG18" s="45">
        <v>18636</v>
      </c>
      <c r="BH18" s="39"/>
      <c r="BI18" s="39">
        <v>21934</v>
      </c>
      <c r="BJ18" s="88" t="e">
        <f t="shared" si="23"/>
        <v>#DIV/0!</v>
      </c>
      <c r="BK18" s="33">
        <f t="shared" si="24"/>
        <v>0.1769693067181799</v>
      </c>
      <c r="BL18" s="13">
        <v>20534</v>
      </c>
      <c r="BM18" s="39"/>
      <c r="BN18" s="39">
        <v>23514</v>
      </c>
      <c r="BO18" s="88" t="e">
        <f t="shared" si="25"/>
        <v>#DIV/0!</v>
      </c>
      <c r="BP18" s="15">
        <f t="shared" si="26"/>
        <v>0.14512515827408201</v>
      </c>
      <c r="BQ18" s="45">
        <v>19918</v>
      </c>
      <c r="BR18" s="39"/>
      <c r="BS18" s="39">
        <v>17508</v>
      </c>
      <c r="BT18" s="88" t="e">
        <f t="shared" si="27"/>
        <v>#DIV/0!</v>
      </c>
      <c r="BU18" s="15">
        <f t="shared" si="28"/>
        <v>-0.12099608394417105</v>
      </c>
    </row>
    <row r="19" spans="2:73" x14ac:dyDescent="0.3">
      <c r="B19" s="380"/>
      <c r="C19" s="405"/>
      <c r="D19" s="312"/>
      <c r="E19" s="67" t="s">
        <v>27</v>
      </c>
      <c r="F19" s="45">
        <v>621242</v>
      </c>
      <c r="G19" s="39">
        <v>666952</v>
      </c>
      <c r="H19" s="33">
        <f t="shared" si="2"/>
        <v>7.3578412277341299E-2</v>
      </c>
      <c r="I19" s="107">
        <f t="shared" si="45"/>
        <v>621242</v>
      </c>
      <c r="J19" s="87">
        <f t="shared" si="45"/>
        <v>0</v>
      </c>
      <c r="K19" s="87">
        <f t="shared" si="45"/>
        <v>666952</v>
      </c>
      <c r="L19" s="88" t="e">
        <f t="shared" si="3"/>
        <v>#DIV/0!</v>
      </c>
      <c r="M19" s="15">
        <f t="shared" si="4"/>
        <v>7.3578412277341299E-2</v>
      </c>
      <c r="N19" s="13">
        <v>52045</v>
      </c>
      <c r="O19" s="39"/>
      <c r="P19" s="39">
        <v>69905</v>
      </c>
      <c r="Q19" s="88" t="e">
        <f t="shared" si="5"/>
        <v>#DIV/0!</v>
      </c>
      <c r="R19" s="15">
        <f t="shared" si="6"/>
        <v>0.34316456912287441</v>
      </c>
      <c r="S19" s="45">
        <v>59846</v>
      </c>
      <c r="T19" s="39"/>
      <c r="U19" s="39">
        <v>38673</v>
      </c>
      <c r="V19" s="88" t="e">
        <f t="shared" si="7"/>
        <v>#DIV/0!</v>
      </c>
      <c r="W19" s="33">
        <f t="shared" si="8"/>
        <v>-0.35379139792133141</v>
      </c>
      <c r="X19" s="13">
        <v>96432</v>
      </c>
      <c r="Y19" s="39"/>
      <c r="Z19" s="39">
        <v>51187</v>
      </c>
      <c r="AA19" s="88" t="e">
        <f t="shared" si="9"/>
        <v>#DIV/0!</v>
      </c>
      <c r="AB19" s="15">
        <f t="shared" si="10"/>
        <v>-0.46919072507051596</v>
      </c>
      <c r="AC19" s="45">
        <v>63557</v>
      </c>
      <c r="AD19" s="39"/>
      <c r="AE19" s="39">
        <v>43489</v>
      </c>
      <c r="AF19" s="88" t="e">
        <f t="shared" si="11"/>
        <v>#DIV/0!</v>
      </c>
      <c r="AG19" s="33">
        <f t="shared" si="12"/>
        <v>-0.31574806866277516</v>
      </c>
      <c r="AH19" s="13">
        <v>76455</v>
      </c>
      <c r="AI19" s="39"/>
      <c r="AJ19" s="39">
        <v>48780</v>
      </c>
      <c r="AK19" s="88" t="e">
        <f t="shared" si="13"/>
        <v>#DIV/0!</v>
      </c>
      <c r="AL19" s="15">
        <f t="shared" si="14"/>
        <v>-0.36197763390229543</v>
      </c>
      <c r="AM19" s="45">
        <v>28158</v>
      </c>
      <c r="AN19" s="39"/>
      <c r="AO19" s="39">
        <v>54835</v>
      </c>
      <c r="AP19" s="88" t="e">
        <f t="shared" si="15"/>
        <v>#DIV/0!</v>
      </c>
      <c r="AQ19" s="33">
        <f t="shared" si="16"/>
        <v>0.94740393493856101</v>
      </c>
      <c r="AR19" s="13">
        <v>17348</v>
      </c>
      <c r="AS19" s="39"/>
      <c r="AT19" s="39">
        <v>44913</v>
      </c>
      <c r="AU19" s="88" t="e">
        <f t="shared" si="17"/>
        <v>#DIV/0!</v>
      </c>
      <c r="AV19" s="15">
        <f t="shared" si="18"/>
        <v>1.5889439704865116</v>
      </c>
      <c r="AW19" s="45">
        <v>44873</v>
      </c>
      <c r="AX19" s="39"/>
      <c r="AY19" s="39">
        <v>59304</v>
      </c>
      <c r="AZ19" s="88" t="e">
        <f t="shared" si="19"/>
        <v>#DIV/0!</v>
      </c>
      <c r="BA19" s="33">
        <f t="shared" si="20"/>
        <v>0.32159650569384701</v>
      </c>
      <c r="BB19" s="13">
        <v>32150</v>
      </c>
      <c r="BC19" s="39"/>
      <c r="BD19" s="39">
        <v>51388</v>
      </c>
      <c r="BE19" s="88" t="e">
        <f t="shared" si="21"/>
        <v>#DIV/0!</v>
      </c>
      <c r="BF19" s="15">
        <f t="shared" si="22"/>
        <v>0.59838258164852265</v>
      </c>
      <c r="BG19" s="45">
        <v>48497</v>
      </c>
      <c r="BH19" s="39"/>
      <c r="BI19" s="39">
        <v>89119</v>
      </c>
      <c r="BJ19" s="88" t="e">
        <f t="shared" si="23"/>
        <v>#DIV/0!</v>
      </c>
      <c r="BK19" s="33">
        <f t="shared" si="24"/>
        <v>0.83761882178279068</v>
      </c>
      <c r="BL19" s="13">
        <v>54079</v>
      </c>
      <c r="BM19" s="39"/>
      <c r="BN19" s="39">
        <v>54183</v>
      </c>
      <c r="BO19" s="88" t="e">
        <f t="shared" si="25"/>
        <v>#DIV/0!</v>
      </c>
      <c r="BP19" s="15">
        <f t="shared" si="26"/>
        <v>1.9231124835887847E-3</v>
      </c>
      <c r="BQ19" s="45">
        <v>47802</v>
      </c>
      <c r="BR19" s="39"/>
      <c r="BS19" s="39">
        <v>61176</v>
      </c>
      <c r="BT19" s="88" t="e">
        <f t="shared" si="27"/>
        <v>#DIV/0!</v>
      </c>
      <c r="BU19" s="15">
        <f t="shared" si="28"/>
        <v>0.27977908874105695</v>
      </c>
    </row>
    <row r="20" spans="2:73" x14ac:dyDescent="0.3">
      <c r="B20" s="380"/>
      <c r="C20" s="405"/>
      <c r="D20" s="312"/>
      <c r="E20" s="101" t="s">
        <v>53</v>
      </c>
      <c r="F20" s="55">
        <f>SUM(F16:F19)</f>
        <v>1715769</v>
      </c>
      <c r="G20" s="50">
        <f>SUM(G16:G19)</f>
        <v>1804453</v>
      </c>
      <c r="H20" s="79">
        <f t="shared" si="2"/>
        <v>5.1687610628237346E-2</v>
      </c>
      <c r="I20" s="48">
        <f t="shared" ref="I20:P20" si="46">SUM(I16:I19)</f>
        <v>1715769</v>
      </c>
      <c r="J20" s="50">
        <f t="shared" si="46"/>
        <v>0</v>
      </c>
      <c r="K20" s="50">
        <f t="shared" si="46"/>
        <v>1804453</v>
      </c>
      <c r="L20" s="91" t="e">
        <f t="shared" si="3"/>
        <v>#DIV/0!</v>
      </c>
      <c r="M20" s="49">
        <f t="shared" si="4"/>
        <v>5.1687610628237346E-2</v>
      </c>
      <c r="N20" s="48">
        <f t="shared" si="46"/>
        <v>134124</v>
      </c>
      <c r="O20" s="50">
        <f t="shared" si="46"/>
        <v>0</v>
      </c>
      <c r="P20" s="50">
        <f t="shared" si="46"/>
        <v>159282</v>
      </c>
      <c r="Q20" s="91" t="e">
        <f t="shared" si="5"/>
        <v>#DIV/0!</v>
      </c>
      <c r="R20" s="49">
        <f t="shared" si="6"/>
        <v>0.18757269392502463</v>
      </c>
      <c r="S20" s="55">
        <f>SUM(S16:S19)</f>
        <v>128548</v>
      </c>
      <c r="T20" s="50">
        <f>SUM(T16:T19)</f>
        <v>0</v>
      </c>
      <c r="U20" s="50">
        <f>SUM(U16:U19)</f>
        <v>139233</v>
      </c>
      <c r="V20" s="91" t="e">
        <f t="shared" si="7"/>
        <v>#DIV/0!</v>
      </c>
      <c r="W20" s="79">
        <f t="shared" si="8"/>
        <v>8.3120701994585655E-2</v>
      </c>
      <c r="X20" s="48">
        <f>SUM(X16:X19)</f>
        <v>199047</v>
      </c>
      <c r="Y20" s="50">
        <f>SUM(Y16:Y19)</f>
        <v>0</v>
      </c>
      <c r="Z20" s="50">
        <f>SUM(Z16:Z19)</f>
        <v>163584</v>
      </c>
      <c r="AA20" s="91" t="e">
        <f t="shared" si="9"/>
        <v>#DIV/0!</v>
      </c>
      <c r="AB20" s="49">
        <f t="shared" si="10"/>
        <v>-0.17816395122759954</v>
      </c>
      <c r="AC20" s="55">
        <f>SUM(AC16:AC19)</f>
        <v>199441</v>
      </c>
      <c r="AD20" s="50">
        <f>SUM(AD16:AD19)</f>
        <v>0</v>
      </c>
      <c r="AE20" s="50">
        <f>SUM(AE16:AE19)</f>
        <v>117524</v>
      </c>
      <c r="AF20" s="91" t="e">
        <f t="shared" si="11"/>
        <v>#DIV/0!</v>
      </c>
      <c r="AG20" s="79">
        <f t="shared" si="12"/>
        <v>-0.41073299873145441</v>
      </c>
      <c r="AH20" s="48">
        <f>SUM(AH16:AH19)</f>
        <v>232826</v>
      </c>
      <c r="AI20" s="50">
        <f>SUM(AI16:AI19)</f>
        <v>0</v>
      </c>
      <c r="AJ20" s="50">
        <f>SUM(AJ16:AJ19)</f>
        <v>134646</v>
      </c>
      <c r="AK20" s="91" t="e">
        <f t="shared" si="13"/>
        <v>#DIV/0!</v>
      </c>
      <c r="AL20" s="49">
        <f t="shared" si="14"/>
        <v>-0.4216882994167318</v>
      </c>
      <c r="AM20" s="55">
        <f>SUM(AM16:AM19)</f>
        <v>95222</v>
      </c>
      <c r="AN20" s="50">
        <f>SUM(AN16:AN19)</f>
        <v>0</v>
      </c>
      <c r="AO20" s="50">
        <f>SUM(AO16:AO19)</f>
        <v>150045</v>
      </c>
      <c r="AP20" s="91" t="e">
        <f t="shared" si="15"/>
        <v>#DIV/0!</v>
      </c>
      <c r="AQ20" s="79">
        <f t="shared" si="16"/>
        <v>0.57573879985717591</v>
      </c>
      <c r="AR20" s="48">
        <f>SUM(AR16:AR19)</f>
        <v>83039</v>
      </c>
      <c r="AS20" s="50">
        <f>SUM(AS16:AS19)</f>
        <v>0</v>
      </c>
      <c r="AT20" s="50">
        <f>SUM(AT16:AT19)</f>
        <v>134799</v>
      </c>
      <c r="AU20" s="91" t="e">
        <f t="shared" si="17"/>
        <v>#DIV/0!</v>
      </c>
      <c r="AV20" s="49">
        <f t="shared" si="18"/>
        <v>0.62332157179156789</v>
      </c>
      <c r="AW20" s="55">
        <f>SUM(AW16:AW19)</f>
        <v>115879</v>
      </c>
      <c r="AX20" s="50">
        <f>SUM(AX16:AX19)</f>
        <v>0</v>
      </c>
      <c r="AY20" s="50">
        <f>SUM(AY16:AY19)</f>
        <v>148688</v>
      </c>
      <c r="AZ20" s="91" t="e">
        <f>AY20/AX20-1</f>
        <v>#DIV/0!</v>
      </c>
      <c r="BA20" s="79">
        <f t="shared" si="20"/>
        <v>0.28313154238472893</v>
      </c>
      <c r="BB20" s="48">
        <f>SUM(BB16:BB19)</f>
        <v>103204</v>
      </c>
      <c r="BC20" s="50">
        <f>SUM(BC16:BC19)</f>
        <v>0</v>
      </c>
      <c r="BD20" s="50">
        <f>SUM(BD16:BD19)</f>
        <v>141010</v>
      </c>
      <c r="BE20" s="91" t="e">
        <f t="shared" si="21"/>
        <v>#DIV/0!</v>
      </c>
      <c r="BF20" s="49">
        <f t="shared" si="22"/>
        <v>0.36632301073601803</v>
      </c>
      <c r="BG20" s="55">
        <f>SUM(BG16:BG19)</f>
        <v>130571</v>
      </c>
      <c r="BH20" s="50">
        <f>SUM(BH16:BH19)</f>
        <v>0</v>
      </c>
      <c r="BI20" s="50">
        <f>SUM(BI16:BI19)</f>
        <v>193333</v>
      </c>
      <c r="BJ20" s="91" t="e">
        <f t="shared" si="23"/>
        <v>#DIV/0!</v>
      </c>
      <c r="BK20" s="79">
        <f t="shared" si="24"/>
        <v>0.48067335013134627</v>
      </c>
      <c r="BL20" s="48">
        <f>SUM(BL16:BL19)</f>
        <v>149885</v>
      </c>
      <c r="BM20" s="50">
        <f>SUM(BM16:BM19)</f>
        <v>0</v>
      </c>
      <c r="BN20" s="50">
        <f>SUM(BN16:BN19)</f>
        <v>173398</v>
      </c>
      <c r="BO20" s="91" t="e">
        <f t="shared" si="25"/>
        <v>#DIV/0!</v>
      </c>
      <c r="BP20" s="49">
        <f t="shared" si="26"/>
        <v>0.15687360309570675</v>
      </c>
      <c r="BQ20" s="55">
        <f>SUM(BQ16:BQ19)</f>
        <v>143983</v>
      </c>
      <c r="BR20" s="50">
        <f>SUM(BR16:BR19)</f>
        <v>0</v>
      </c>
      <c r="BS20" s="50">
        <f>SUM(BS16:BS19)</f>
        <v>148911</v>
      </c>
      <c r="BT20" s="91" t="e">
        <f t="shared" si="27"/>
        <v>#DIV/0!</v>
      </c>
      <c r="BU20" s="49">
        <f t="shared" si="28"/>
        <v>3.4226262822694364E-2</v>
      </c>
    </row>
    <row r="21" spans="2:73" x14ac:dyDescent="0.3">
      <c r="B21" s="380"/>
      <c r="C21" s="405"/>
      <c r="D21" s="312" t="s">
        <v>55</v>
      </c>
      <c r="E21" s="67" t="s">
        <v>25</v>
      </c>
      <c r="F21" s="45">
        <v>492921</v>
      </c>
      <c r="G21" s="39">
        <v>567346</v>
      </c>
      <c r="H21" s="33">
        <f t="shared" si="2"/>
        <v>0.15098768362475945</v>
      </c>
      <c r="I21" s="107">
        <f t="shared" ref="I21:K22" si="47">N21+S21+X21+AC21+AH21+AM21+AR21+AW21+BB21+BG21+BL21+BQ21</f>
        <v>492921</v>
      </c>
      <c r="J21" s="87">
        <f t="shared" si="47"/>
        <v>0</v>
      </c>
      <c r="K21" s="87">
        <f t="shared" si="47"/>
        <v>567346</v>
      </c>
      <c r="L21" s="88" t="e">
        <f t="shared" si="3"/>
        <v>#DIV/0!</v>
      </c>
      <c r="M21" s="15">
        <f t="shared" si="4"/>
        <v>0.15098768362475945</v>
      </c>
      <c r="N21" s="13">
        <v>39582</v>
      </c>
      <c r="O21" s="39"/>
      <c r="P21" s="39">
        <v>34826</v>
      </c>
      <c r="Q21" s="88" t="e">
        <f t="shared" si="5"/>
        <v>#DIV/0!</v>
      </c>
      <c r="R21" s="15">
        <f t="shared" si="6"/>
        <v>-0.12015562629478049</v>
      </c>
      <c r="S21" s="45">
        <v>36022</v>
      </c>
      <c r="T21" s="39"/>
      <c r="U21" s="39">
        <v>64908</v>
      </c>
      <c r="V21" s="88" t="e">
        <f t="shared" si="7"/>
        <v>#DIV/0!</v>
      </c>
      <c r="W21" s="33">
        <f t="shared" si="8"/>
        <v>0.80189883959802333</v>
      </c>
      <c r="X21" s="13">
        <v>38950</v>
      </c>
      <c r="Y21" s="39"/>
      <c r="Z21" s="39">
        <v>35386</v>
      </c>
      <c r="AA21" s="88" t="e">
        <f t="shared" si="9"/>
        <v>#DIV/0!</v>
      </c>
      <c r="AB21" s="15">
        <f t="shared" si="10"/>
        <v>-9.1501925545571239E-2</v>
      </c>
      <c r="AC21" s="45">
        <v>78124</v>
      </c>
      <c r="AD21" s="39"/>
      <c r="AE21" s="39">
        <v>36862</v>
      </c>
      <c r="AF21" s="88" t="e">
        <f t="shared" si="11"/>
        <v>#DIV/0!</v>
      </c>
      <c r="AG21" s="33">
        <f t="shared" si="12"/>
        <v>-0.52816036045261372</v>
      </c>
      <c r="AH21" s="13">
        <v>43580</v>
      </c>
      <c r="AI21" s="39"/>
      <c r="AJ21" s="39">
        <v>40524</v>
      </c>
      <c r="AK21" s="88" t="e">
        <f t="shared" si="13"/>
        <v>#DIV/0!</v>
      </c>
      <c r="AL21" s="15">
        <f t="shared" si="14"/>
        <v>-7.0123910050481908E-2</v>
      </c>
      <c r="AM21" s="45">
        <v>25436</v>
      </c>
      <c r="AN21" s="39"/>
      <c r="AO21" s="39">
        <v>43794</v>
      </c>
      <c r="AP21" s="88" t="e">
        <f t="shared" si="15"/>
        <v>#DIV/0!</v>
      </c>
      <c r="AQ21" s="33">
        <f t="shared" si="16"/>
        <v>0.72173297688315774</v>
      </c>
      <c r="AR21" s="13">
        <v>34699</v>
      </c>
      <c r="AS21" s="39"/>
      <c r="AT21" s="39">
        <v>48814</v>
      </c>
      <c r="AU21" s="88" t="e">
        <f t="shared" si="17"/>
        <v>#DIV/0!</v>
      </c>
      <c r="AV21" s="15">
        <f t="shared" si="18"/>
        <v>0.40678405717744037</v>
      </c>
      <c r="AW21" s="45">
        <v>28158</v>
      </c>
      <c r="AX21" s="39"/>
      <c r="AY21" s="39">
        <v>45134</v>
      </c>
      <c r="AZ21" s="88" t="e">
        <f t="shared" si="19"/>
        <v>#DIV/0!</v>
      </c>
      <c r="BA21" s="33">
        <f t="shared" si="20"/>
        <v>0.60288372753746722</v>
      </c>
      <c r="BB21" s="13">
        <v>38676</v>
      </c>
      <c r="BC21" s="39"/>
      <c r="BD21" s="39">
        <v>42492</v>
      </c>
      <c r="BE21" s="88" t="e">
        <f t="shared" si="21"/>
        <v>#DIV/0!</v>
      </c>
      <c r="BF21" s="15">
        <f t="shared" si="22"/>
        <v>9.8665839280173806E-2</v>
      </c>
      <c r="BG21" s="45">
        <v>40226</v>
      </c>
      <c r="BH21" s="39"/>
      <c r="BI21" s="39">
        <v>50076</v>
      </c>
      <c r="BJ21" s="88" t="e">
        <f t="shared" si="23"/>
        <v>#DIV/0!</v>
      </c>
      <c r="BK21" s="33">
        <f t="shared" si="24"/>
        <v>0.24486650425098189</v>
      </c>
      <c r="BL21" s="13">
        <v>45070</v>
      </c>
      <c r="BM21" s="39"/>
      <c r="BN21" s="39">
        <v>82518</v>
      </c>
      <c r="BO21" s="88" t="e">
        <f t="shared" si="25"/>
        <v>#DIV/0!</v>
      </c>
      <c r="BP21" s="15">
        <f t="shared" si="26"/>
        <v>0.83088528954958951</v>
      </c>
      <c r="BQ21" s="45">
        <v>44398</v>
      </c>
      <c r="BR21" s="39"/>
      <c r="BS21" s="39">
        <v>42012</v>
      </c>
      <c r="BT21" s="88" t="e">
        <f t="shared" si="27"/>
        <v>#DIV/0!</v>
      </c>
      <c r="BU21" s="15">
        <f t="shared" si="28"/>
        <v>-5.3741159511689673E-2</v>
      </c>
    </row>
    <row r="22" spans="2:73" x14ac:dyDescent="0.3">
      <c r="B22" s="380"/>
      <c r="C22" s="405"/>
      <c r="D22" s="312"/>
      <c r="E22" s="67" t="s">
        <v>27</v>
      </c>
      <c r="F22" s="45">
        <v>7464</v>
      </c>
      <c r="G22" s="39">
        <v>12804</v>
      </c>
      <c r="H22" s="33">
        <f t="shared" si="2"/>
        <v>0.71543408360128624</v>
      </c>
      <c r="I22" s="107">
        <f t="shared" si="47"/>
        <v>7464</v>
      </c>
      <c r="J22" s="87">
        <f t="shared" si="47"/>
        <v>0</v>
      </c>
      <c r="K22" s="87">
        <f t="shared" si="47"/>
        <v>12804</v>
      </c>
      <c r="L22" s="88" t="e">
        <f t="shared" si="3"/>
        <v>#DIV/0!</v>
      </c>
      <c r="M22" s="15">
        <f t="shared" si="4"/>
        <v>0.71543408360128624</v>
      </c>
      <c r="N22" s="13">
        <v>120</v>
      </c>
      <c r="O22" s="39"/>
      <c r="P22" s="39">
        <v>2260</v>
      </c>
      <c r="Q22" s="88" t="e">
        <f t="shared" si="5"/>
        <v>#DIV/0!</v>
      </c>
      <c r="R22" s="15">
        <f t="shared" si="6"/>
        <v>17.833333333333332</v>
      </c>
      <c r="S22" s="45">
        <v>2024</v>
      </c>
      <c r="T22" s="39"/>
      <c r="U22" s="39">
        <v>400</v>
      </c>
      <c r="V22" s="88" t="e">
        <f t="shared" si="7"/>
        <v>#DIV/0!</v>
      </c>
      <c r="W22" s="33">
        <f t="shared" si="8"/>
        <v>-0.80237154150197632</v>
      </c>
      <c r="X22" s="13">
        <v>1304</v>
      </c>
      <c r="Y22" s="39"/>
      <c r="Z22" s="39"/>
      <c r="AA22" s="88" t="e">
        <f t="shared" si="9"/>
        <v>#DIV/0!</v>
      </c>
      <c r="AB22" s="15">
        <f t="shared" si="10"/>
        <v>-1</v>
      </c>
      <c r="AC22" s="45">
        <v>272</v>
      </c>
      <c r="AD22" s="39"/>
      <c r="AE22" s="39">
        <v>1584</v>
      </c>
      <c r="AF22" s="88" t="e">
        <f t="shared" si="11"/>
        <v>#DIV/0!</v>
      </c>
      <c r="AG22" s="33">
        <f t="shared" si="12"/>
        <v>4.8235294117647056</v>
      </c>
      <c r="AH22" s="13">
        <v>976</v>
      </c>
      <c r="AI22" s="39"/>
      <c r="AJ22" s="39">
        <v>440</v>
      </c>
      <c r="AK22" s="88" t="e">
        <f t="shared" si="13"/>
        <v>#DIV/0!</v>
      </c>
      <c r="AL22" s="15">
        <f t="shared" si="14"/>
        <v>-0.54918032786885251</v>
      </c>
      <c r="AM22" s="45">
        <v>120</v>
      </c>
      <c r="AN22" s="39"/>
      <c r="AO22" s="39">
        <v>120</v>
      </c>
      <c r="AP22" s="88" t="e">
        <f t="shared" si="15"/>
        <v>#DIV/0!</v>
      </c>
      <c r="AQ22" s="33">
        <f t="shared" si="16"/>
        <v>0</v>
      </c>
      <c r="AR22" s="13">
        <v>200</v>
      </c>
      <c r="AS22" s="39"/>
      <c r="AT22" s="39">
        <v>120</v>
      </c>
      <c r="AU22" s="88" t="e">
        <f t="shared" si="17"/>
        <v>#DIV/0!</v>
      </c>
      <c r="AV22" s="15">
        <f t="shared" si="18"/>
        <v>-0.4</v>
      </c>
      <c r="AW22" s="45">
        <v>60</v>
      </c>
      <c r="AX22" s="39"/>
      <c r="AY22" s="39">
        <v>2340</v>
      </c>
      <c r="AZ22" s="88" t="e">
        <f t="shared" si="19"/>
        <v>#DIV/0!</v>
      </c>
      <c r="BA22" s="33">
        <f t="shared" si="20"/>
        <v>38</v>
      </c>
      <c r="BB22" s="13">
        <v>120</v>
      </c>
      <c r="BC22" s="39"/>
      <c r="BD22" s="39">
        <v>1084</v>
      </c>
      <c r="BE22" s="88" t="e">
        <f t="shared" si="21"/>
        <v>#DIV/0!</v>
      </c>
      <c r="BF22" s="15">
        <f t="shared" si="22"/>
        <v>8.0333333333333332</v>
      </c>
      <c r="BG22" s="45">
        <v>120</v>
      </c>
      <c r="BH22" s="39"/>
      <c r="BI22" s="39">
        <v>2372</v>
      </c>
      <c r="BJ22" s="88" t="e">
        <f t="shared" si="23"/>
        <v>#DIV/0!</v>
      </c>
      <c r="BK22" s="33">
        <f t="shared" si="24"/>
        <v>18.766666666666666</v>
      </c>
      <c r="BL22" s="13">
        <v>200</v>
      </c>
      <c r="BM22" s="39"/>
      <c r="BN22" s="39">
        <v>256</v>
      </c>
      <c r="BO22" s="88" t="e">
        <f t="shared" si="25"/>
        <v>#DIV/0!</v>
      </c>
      <c r="BP22" s="15">
        <f t="shared" si="26"/>
        <v>0.28000000000000003</v>
      </c>
      <c r="BQ22" s="45">
        <v>1948</v>
      </c>
      <c r="BR22" s="39"/>
      <c r="BS22" s="39">
        <v>1828</v>
      </c>
      <c r="BT22" s="88" t="e">
        <f t="shared" si="27"/>
        <v>#DIV/0!</v>
      </c>
      <c r="BU22" s="15">
        <f t="shared" si="28"/>
        <v>-6.1601642710472304E-2</v>
      </c>
    </row>
    <row r="23" spans="2:73" x14ac:dyDescent="0.3">
      <c r="B23" s="380"/>
      <c r="C23" s="405"/>
      <c r="D23" s="312"/>
      <c r="E23" s="101" t="s">
        <v>53</v>
      </c>
      <c r="F23" s="55">
        <f>SUM(F21:F22)</f>
        <v>500385</v>
      </c>
      <c r="G23" s="50">
        <f>SUM(G21:G22)</f>
        <v>580150</v>
      </c>
      <c r="H23" s="79">
        <f t="shared" si="2"/>
        <v>0.15940725641256237</v>
      </c>
      <c r="I23" s="48">
        <f t="shared" ref="I23:P23" si="48">SUM(I21:I22)</f>
        <v>500385</v>
      </c>
      <c r="J23" s="50">
        <f t="shared" si="48"/>
        <v>0</v>
      </c>
      <c r="K23" s="50">
        <f t="shared" si="48"/>
        <v>580150</v>
      </c>
      <c r="L23" s="91" t="e">
        <f t="shared" si="3"/>
        <v>#DIV/0!</v>
      </c>
      <c r="M23" s="49">
        <f t="shared" si="4"/>
        <v>0.15940725641256237</v>
      </c>
      <c r="N23" s="48">
        <f t="shared" si="48"/>
        <v>39702</v>
      </c>
      <c r="O23" s="50">
        <f t="shared" si="48"/>
        <v>0</v>
      </c>
      <c r="P23" s="50">
        <f t="shared" si="48"/>
        <v>37086</v>
      </c>
      <c r="Q23" s="91" t="e">
        <f t="shared" si="5"/>
        <v>#DIV/0!</v>
      </c>
      <c r="R23" s="49">
        <f t="shared" si="6"/>
        <v>-6.5890887108961738E-2</v>
      </c>
      <c r="S23" s="55">
        <f>SUM(S21:S22)</f>
        <v>38046</v>
      </c>
      <c r="T23" s="50">
        <f>SUM(T21:T22)</f>
        <v>0</v>
      </c>
      <c r="U23" s="50">
        <f>SUM(U21:U22)</f>
        <v>65308</v>
      </c>
      <c r="V23" s="91" t="e">
        <f t="shared" si="7"/>
        <v>#DIV/0!</v>
      </c>
      <c r="W23" s="79">
        <f t="shared" si="8"/>
        <v>0.71655364558692103</v>
      </c>
      <c r="X23" s="48">
        <f>SUM(X21:X22)</f>
        <v>40254</v>
      </c>
      <c r="Y23" s="50">
        <f>SUM(Y21:Y22)</f>
        <v>0</v>
      </c>
      <c r="Z23" s="50">
        <f>SUM(Z21:Z22)</f>
        <v>35386</v>
      </c>
      <c r="AA23" s="91" t="e">
        <f t="shared" si="9"/>
        <v>#DIV/0!</v>
      </c>
      <c r="AB23" s="49">
        <f t="shared" si="10"/>
        <v>-0.12093208128384758</v>
      </c>
      <c r="AC23" s="55">
        <f>SUM(AC21:AC22)</f>
        <v>78396</v>
      </c>
      <c r="AD23" s="50">
        <f>SUM(AD21:AD22)</f>
        <v>0</v>
      </c>
      <c r="AE23" s="50">
        <f>SUM(AE21:AE22)</f>
        <v>38446</v>
      </c>
      <c r="AF23" s="91" t="e">
        <f t="shared" si="11"/>
        <v>#DIV/0!</v>
      </c>
      <c r="AG23" s="79">
        <f t="shared" si="12"/>
        <v>-0.50959232613908867</v>
      </c>
      <c r="AH23" s="48">
        <f>SUM(AH21:AH22)</f>
        <v>44556</v>
      </c>
      <c r="AI23" s="50">
        <f>SUM(AI21:AI22)</f>
        <v>0</v>
      </c>
      <c r="AJ23" s="50">
        <f>SUM(AJ21:AJ22)</f>
        <v>40964</v>
      </c>
      <c r="AK23" s="91" t="e">
        <f t="shared" si="13"/>
        <v>#DIV/0!</v>
      </c>
      <c r="AL23" s="49">
        <f t="shared" si="14"/>
        <v>-8.061764969925489E-2</v>
      </c>
      <c r="AM23" s="55">
        <f>SUM(AM21:AM22)</f>
        <v>25556</v>
      </c>
      <c r="AN23" s="50">
        <f>SUM(AN21:AN22)</f>
        <v>0</v>
      </c>
      <c r="AO23" s="50">
        <f>SUM(AO21:AO22)</f>
        <v>43914</v>
      </c>
      <c r="AP23" s="91" t="e">
        <f t="shared" si="15"/>
        <v>#DIV/0!</v>
      </c>
      <c r="AQ23" s="79">
        <f t="shared" si="16"/>
        <v>0.7183440287994991</v>
      </c>
      <c r="AR23" s="48">
        <f>SUM(AR21:AR22)</f>
        <v>34899</v>
      </c>
      <c r="AS23" s="50">
        <f>SUM(AS21:AS22)</f>
        <v>0</v>
      </c>
      <c r="AT23" s="50">
        <f>SUM(AT21:AT22)</f>
        <v>48934</v>
      </c>
      <c r="AU23" s="91" t="e">
        <f t="shared" si="17"/>
        <v>#DIV/0!</v>
      </c>
      <c r="AV23" s="49">
        <f t="shared" si="18"/>
        <v>0.4021605203587495</v>
      </c>
      <c r="AW23" s="55">
        <f>SUM(AW21:AW22)</f>
        <v>28218</v>
      </c>
      <c r="AX23" s="50">
        <f>SUM(AX21:AX22)</f>
        <v>0</v>
      </c>
      <c r="AY23" s="50">
        <f>SUM(AY21:AY22)</f>
        <v>47474</v>
      </c>
      <c r="AZ23" s="91" t="e">
        <f t="shared" si="19"/>
        <v>#DIV/0!</v>
      </c>
      <c r="BA23" s="79">
        <f t="shared" si="20"/>
        <v>0.68240130413211419</v>
      </c>
      <c r="BB23" s="48">
        <f>SUM(BB21:BB22)</f>
        <v>38796</v>
      </c>
      <c r="BC23" s="50">
        <f>SUM(BC21:BC22)</f>
        <v>0</v>
      </c>
      <c r="BD23" s="50">
        <f>SUM(BD21:BD22)</f>
        <v>43576</v>
      </c>
      <c r="BE23" s="91" t="e">
        <f t="shared" si="21"/>
        <v>#DIV/0!</v>
      </c>
      <c r="BF23" s="49">
        <f t="shared" si="22"/>
        <v>0.12320857820393849</v>
      </c>
      <c r="BG23" s="55">
        <f>SUM(BG21:BG22)</f>
        <v>40346</v>
      </c>
      <c r="BH23" s="50">
        <f>SUM(BH21:BH22)</f>
        <v>0</v>
      </c>
      <c r="BI23" s="50">
        <f>SUM(BI21:BI22)</f>
        <v>52448</v>
      </c>
      <c r="BJ23" s="91" t="e">
        <f t="shared" si="23"/>
        <v>#DIV/0!</v>
      </c>
      <c r="BK23" s="79">
        <f t="shared" si="24"/>
        <v>0.29995538591186244</v>
      </c>
      <c r="BL23" s="48">
        <f>SUM(BL21:BL22)</f>
        <v>45270</v>
      </c>
      <c r="BM23" s="50">
        <f>SUM(BM21:BM22)</f>
        <v>0</v>
      </c>
      <c r="BN23" s="50">
        <f>SUM(BN21:BN22)</f>
        <v>82774</v>
      </c>
      <c r="BO23" s="91" t="e">
        <f t="shared" si="25"/>
        <v>#DIV/0!</v>
      </c>
      <c r="BP23" s="49">
        <f t="shared" si="26"/>
        <v>0.82845151314336207</v>
      </c>
      <c r="BQ23" s="55">
        <f>SUM(BQ21:BQ22)</f>
        <v>46346</v>
      </c>
      <c r="BR23" s="50">
        <f>SUM(BR21:BR22)</f>
        <v>0</v>
      </c>
      <c r="BS23" s="50">
        <f>SUM(BS21:BS22)</f>
        <v>43840</v>
      </c>
      <c r="BT23" s="91" t="e">
        <f t="shared" si="27"/>
        <v>#DIV/0!</v>
      </c>
      <c r="BU23" s="49">
        <f t="shared" si="28"/>
        <v>-5.4071548785224133E-2</v>
      </c>
    </row>
    <row r="24" spans="2:73" s="73" customFormat="1" x14ac:dyDescent="0.3">
      <c r="B24" s="380"/>
      <c r="C24" s="405"/>
      <c r="D24" s="122" t="s">
        <v>56</v>
      </c>
      <c r="E24" s="102" t="s">
        <v>26</v>
      </c>
      <c r="F24" s="46">
        <v>63204</v>
      </c>
      <c r="G24" s="40">
        <v>79851</v>
      </c>
      <c r="H24" s="80">
        <f t="shared" si="2"/>
        <v>0.26338522878298831</v>
      </c>
      <c r="I24" s="108">
        <f t="shared" ref="I24:K26" si="49">N24+S24+X24+AC24+AH24+AM24+AR24+AW24+BB24+BG24+BL24+BQ24</f>
        <v>63204</v>
      </c>
      <c r="J24" s="92">
        <f t="shared" si="49"/>
        <v>0</v>
      </c>
      <c r="K24" s="92">
        <f t="shared" si="49"/>
        <v>79851</v>
      </c>
      <c r="L24" s="93" t="e">
        <f t="shared" si="3"/>
        <v>#DIV/0!</v>
      </c>
      <c r="M24" s="17">
        <f t="shared" si="4"/>
        <v>0.26338522878298831</v>
      </c>
      <c r="N24" s="16">
        <v>5370</v>
      </c>
      <c r="O24" s="40"/>
      <c r="P24" s="40">
        <v>4644</v>
      </c>
      <c r="Q24" s="93" t="e">
        <f t="shared" si="5"/>
        <v>#DIV/0!</v>
      </c>
      <c r="R24" s="17">
        <f t="shared" si="6"/>
        <v>-0.13519553072625701</v>
      </c>
      <c r="S24" s="46">
        <v>4110</v>
      </c>
      <c r="T24" s="40"/>
      <c r="U24" s="40">
        <v>5468</v>
      </c>
      <c r="V24" s="93" t="e">
        <f t="shared" si="7"/>
        <v>#DIV/0!</v>
      </c>
      <c r="W24" s="80">
        <f t="shared" si="8"/>
        <v>0.33041362530413632</v>
      </c>
      <c r="X24" s="16">
        <v>6816</v>
      </c>
      <c r="Y24" s="40"/>
      <c r="Z24" s="40">
        <v>5318</v>
      </c>
      <c r="AA24" s="93" t="e">
        <f t="shared" si="9"/>
        <v>#DIV/0!</v>
      </c>
      <c r="AB24" s="17">
        <f t="shared" si="10"/>
        <v>-0.21977699530516437</v>
      </c>
      <c r="AC24" s="46">
        <v>14386</v>
      </c>
      <c r="AD24" s="40"/>
      <c r="AE24" s="40">
        <v>5171</v>
      </c>
      <c r="AF24" s="93" t="e">
        <f t="shared" si="11"/>
        <v>#DIV/0!</v>
      </c>
      <c r="AG24" s="80">
        <f t="shared" si="12"/>
        <v>-0.64055331572362018</v>
      </c>
      <c r="AH24" s="16">
        <v>3022</v>
      </c>
      <c r="AI24" s="40"/>
      <c r="AJ24" s="40">
        <v>8324</v>
      </c>
      <c r="AK24" s="93" t="e">
        <f t="shared" si="13"/>
        <v>#DIV/0!</v>
      </c>
      <c r="AL24" s="17">
        <f t="shared" si="14"/>
        <v>1.7544672402382528</v>
      </c>
      <c r="AM24" s="46">
        <v>3670</v>
      </c>
      <c r="AN24" s="40"/>
      <c r="AO24" s="40">
        <v>5546</v>
      </c>
      <c r="AP24" s="93" t="e">
        <f t="shared" si="15"/>
        <v>#DIV/0!</v>
      </c>
      <c r="AQ24" s="80">
        <f t="shared" si="16"/>
        <v>0.5111716621253406</v>
      </c>
      <c r="AR24" s="16">
        <v>3104</v>
      </c>
      <c r="AS24" s="40"/>
      <c r="AT24" s="40">
        <v>7534</v>
      </c>
      <c r="AU24" s="93" t="e">
        <f t="shared" si="17"/>
        <v>#DIV/0!</v>
      </c>
      <c r="AV24" s="17">
        <f t="shared" si="18"/>
        <v>1.4271907216494846</v>
      </c>
      <c r="AW24" s="46">
        <v>3510</v>
      </c>
      <c r="AX24" s="40"/>
      <c r="AY24" s="40">
        <v>6522</v>
      </c>
      <c r="AZ24" s="93" t="e">
        <f t="shared" si="19"/>
        <v>#DIV/0!</v>
      </c>
      <c r="BA24" s="80">
        <f t="shared" si="20"/>
        <v>0.85811965811965818</v>
      </c>
      <c r="BB24" s="16">
        <v>4004</v>
      </c>
      <c r="BC24" s="40"/>
      <c r="BD24" s="40">
        <v>7472</v>
      </c>
      <c r="BE24" s="93" t="e">
        <f t="shared" si="21"/>
        <v>#DIV/0!</v>
      </c>
      <c r="BF24" s="17">
        <f t="shared" si="22"/>
        <v>0.86613386613386623</v>
      </c>
      <c r="BG24" s="46">
        <v>3980</v>
      </c>
      <c r="BH24" s="40"/>
      <c r="BI24" s="40">
        <v>6844</v>
      </c>
      <c r="BJ24" s="93" t="e">
        <f t="shared" si="23"/>
        <v>#DIV/0!</v>
      </c>
      <c r="BK24" s="80">
        <f t="shared" si="24"/>
        <v>0.71959798994974866</v>
      </c>
      <c r="BL24" s="16">
        <v>5838</v>
      </c>
      <c r="BM24" s="40"/>
      <c r="BN24" s="40">
        <v>10654</v>
      </c>
      <c r="BO24" s="93" t="e">
        <f t="shared" si="25"/>
        <v>#DIV/0!</v>
      </c>
      <c r="BP24" s="17">
        <f t="shared" si="26"/>
        <v>0.82494004796163067</v>
      </c>
      <c r="BQ24" s="46">
        <v>5394</v>
      </c>
      <c r="BR24" s="40"/>
      <c r="BS24" s="40">
        <v>6354</v>
      </c>
      <c r="BT24" s="93" t="e">
        <f t="shared" si="27"/>
        <v>#DIV/0!</v>
      </c>
      <c r="BU24" s="17">
        <f t="shared" si="28"/>
        <v>0.17797552836484987</v>
      </c>
    </row>
    <row r="25" spans="2:73" s="73" customFormat="1" x14ac:dyDescent="0.3">
      <c r="B25" s="380"/>
      <c r="C25" s="405"/>
      <c r="D25" s="122" t="s">
        <v>28</v>
      </c>
      <c r="E25" s="102" t="s">
        <v>28</v>
      </c>
      <c r="F25" s="46">
        <v>538774</v>
      </c>
      <c r="G25" s="40">
        <v>610171</v>
      </c>
      <c r="H25" s="80">
        <f t="shared" si="2"/>
        <v>0.1325175305415629</v>
      </c>
      <c r="I25" s="108">
        <f t="shared" si="49"/>
        <v>538774</v>
      </c>
      <c r="J25" s="92">
        <f t="shared" si="49"/>
        <v>0</v>
      </c>
      <c r="K25" s="92">
        <f t="shared" si="49"/>
        <v>610171</v>
      </c>
      <c r="L25" s="93" t="e">
        <f t="shared" si="3"/>
        <v>#DIV/0!</v>
      </c>
      <c r="M25" s="17">
        <f t="shared" si="4"/>
        <v>0.1325175305415629</v>
      </c>
      <c r="N25" s="16">
        <v>49304</v>
      </c>
      <c r="O25" s="40"/>
      <c r="P25" s="40">
        <v>81684</v>
      </c>
      <c r="Q25" s="93" t="e">
        <f t="shared" si="5"/>
        <v>#DIV/0!</v>
      </c>
      <c r="R25" s="17">
        <f t="shared" si="6"/>
        <v>0.65674184650332634</v>
      </c>
      <c r="S25" s="46">
        <v>47976</v>
      </c>
      <c r="T25" s="40"/>
      <c r="U25" s="40">
        <v>17244</v>
      </c>
      <c r="V25" s="93" t="e">
        <f t="shared" si="7"/>
        <v>#DIV/0!</v>
      </c>
      <c r="W25" s="80">
        <f t="shared" si="8"/>
        <v>-0.64057028514257131</v>
      </c>
      <c r="X25" s="16">
        <v>80624</v>
      </c>
      <c r="Y25" s="40"/>
      <c r="Z25" s="40">
        <v>53596</v>
      </c>
      <c r="AA25" s="93" t="e">
        <f t="shared" si="9"/>
        <v>#DIV/0!</v>
      </c>
      <c r="AB25" s="17">
        <f t="shared" si="10"/>
        <v>-0.33523516570748169</v>
      </c>
      <c r="AC25" s="46">
        <v>52231</v>
      </c>
      <c r="AD25" s="40"/>
      <c r="AE25" s="40">
        <v>41890</v>
      </c>
      <c r="AF25" s="93" t="e">
        <f t="shared" si="11"/>
        <v>#DIV/0!</v>
      </c>
      <c r="AG25" s="80">
        <f t="shared" si="12"/>
        <v>-0.19798587046007166</v>
      </c>
      <c r="AH25" s="16">
        <v>67368</v>
      </c>
      <c r="AI25" s="40"/>
      <c r="AJ25" s="40">
        <v>54348</v>
      </c>
      <c r="AK25" s="93" t="e">
        <f t="shared" si="13"/>
        <v>#DIV/0!</v>
      </c>
      <c r="AL25" s="17">
        <f t="shared" si="14"/>
        <v>-0.19326683291770574</v>
      </c>
      <c r="AM25" s="46">
        <v>12208</v>
      </c>
      <c r="AN25" s="40"/>
      <c r="AO25" s="40">
        <v>36664</v>
      </c>
      <c r="AP25" s="93" t="e">
        <f t="shared" si="15"/>
        <v>#DIV/0!</v>
      </c>
      <c r="AQ25" s="80">
        <f t="shared" si="16"/>
        <v>2.0032765399737875</v>
      </c>
      <c r="AR25" s="16">
        <v>24637</v>
      </c>
      <c r="AS25" s="40"/>
      <c r="AT25" s="40">
        <v>41556</v>
      </c>
      <c r="AU25" s="93" t="e">
        <f t="shared" si="17"/>
        <v>#DIV/0!</v>
      </c>
      <c r="AV25" s="17">
        <f t="shared" si="18"/>
        <v>0.68673133904290284</v>
      </c>
      <c r="AW25" s="46">
        <v>45212</v>
      </c>
      <c r="AX25" s="40"/>
      <c r="AY25" s="40">
        <v>50256</v>
      </c>
      <c r="AZ25" s="93" t="e">
        <f t="shared" si="19"/>
        <v>#DIV/0!</v>
      </c>
      <c r="BA25" s="80">
        <f t="shared" si="20"/>
        <v>0.11156330177828888</v>
      </c>
      <c r="BB25" s="16">
        <v>39632</v>
      </c>
      <c r="BC25" s="40"/>
      <c r="BD25" s="40">
        <v>46420</v>
      </c>
      <c r="BE25" s="93" t="e">
        <f t="shared" si="21"/>
        <v>#DIV/0!</v>
      </c>
      <c r="BF25" s="17">
        <f t="shared" si="22"/>
        <v>0.17127573677836083</v>
      </c>
      <c r="BG25" s="46">
        <v>33478</v>
      </c>
      <c r="BH25" s="40"/>
      <c r="BI25" s="40">
        <v>110267</v>
      </c>
      <c r="BJ25" s="93" t="e">
        <f t="shared" si="23"/>
        <v>#DIV/0!</v>
      </c>
      <c r="BK25" s="80">
        <f t="shared" si="24"/>
        <v>2.2937152757034469</v>
      </c>
      <c r="BL25" s="16">
        <v>72832</v>
      </c>
      <c r="BM25" s="40"/>
      <c r="BN25" s="40">
        <v>7779</v>
      </c>
      <c r="BO25" s="93" t="e">
        <f t="shared" si="25"/>
        <v>#DIV/0!</v>
      </c>
      <c r="BP25" s="17">
        <f t="shared" si="26"/>
        <v>-0.89319255272407738</v>
      </c>
      <c r="BQ25" s="46">
        <v>13272</v>
      </c>
      <c r="BR25" s="40"/>
      <c r="BS25" s="40">
        <v>68467</v>
      </c>
      <c r="BT25" s="93" t="e">
        <f t="shared" si="27"/>
        <v>#DIV/0!</v>
      </c>
      <c r="BU25" s="17">
        <f t="shared" si="28"/>
        <v>4.158755274261603</v>
      </c>
    </row>
    <row r="26" spans="2:73" ht="17.25" thickBot="1" x14ac:dyDescent="0.35">
      <c r="B26" s="380" t="s">
        <v>29</v>
      </c>
      <c r="C26" s="405"/>
      <c r="D26" s="397" t="s">
        <v>30</v>
      </c>
      <c r="E26" s="378"/>
      <c r="F26" s="103">
        <v>763556</v>
      </c>
      <c r="G26" s="97">
        <v>835396</v>
      </c>
      <c r="H26" s="109">
        <f t="shared" si="2"/>
        <v>9.4086091917292336E-2</v>
      </c>
      <c r="I26" s="134">
        <f t="shared" si="49"/>
        <v>763556</v>
      </c>
      <c r="J26" s="135">
        <f t="shared" si="49"/>
        <v>0</v>
      </c>
      <c r="K26" s="135">
        <f t="shared" si="49"/>
        <v>833004</v>
      </c>
      <c r="L26" s="98" t="e">
        <f t="shared" si="3"/>
        <v>#DIV/0!</v>
      </c>
      <c r="M26" s="99">
        <f t="shared" si="4"/>
        <v>9.0953381284411439E-2</v>
      </c>
      <c r="N26" s="111">
        <v>57397</v>
      </c>
      <c r="O26" s="97"/>
      <c r="P26" s="97">
        <v>50064</v>
      </c>
      <c r="Q26" s="98" t="e">
        <f t="shared" si="5"/>
        <v>#DIV/0!</v>
      </c>
      <c r="R26" s="99">
        <f t="shared" si="6"/>
        <v>-0.12775929055525548</v>
      </c>
      <c r="S26" s="103">
        <v>59268</v>
      </c>
      <c r="T26" s="97"/>
      <c r="U26" s="97">
        <v>74084</v>
      </c>
      <c r="V26" s="98" t="e">
        <f t="shared" si="7"/>
        <v>#DIV/0!</v>
      </c>
      <c r="W26" s="109">
        <f t="shared" si="8"/>
        <v>0.24998312748869544</v>
      </c>
      <c r="X26" s="111">
        <v>87467</v>
      </c>
      <c r="Y26" s="97"/>
      <c r="Z26" s="97">
        <v>68072</v>
      </c>
      <c r="AA26" s="98" t="e">
        <f t="shared" si="9"/>
        <v>#DIV/0!</v>
      </c>
      <c r="AB26" s="99">
        <f t="shared" si="10"/>
        <v>-0.22174077080498933</v>
      </c>
      <c r="AC26" s="103">
        <v>57667</v>
      </c>
      <c r="AD26" s="97"/>
      <c r="AE26" s="97">
        <v>84535</v>
      </c>
      <c r="AF26" s="98" t="e">
        <f t="shared" si="11"/>
        <v>#DIV/0!</v>
      </c>
      <c r="AG26" s="109">
        <f t="shared" si="12"/>
        <v>0.46591638198623131</v>
      </c>
      <c r="AH26" s="111">
        <v>62937</v>
      </c>
      <c r="AI26" s="97"/>
      <c r="AJ26" s="97">
        <v>74509</v>
      </c>
      <c r="AK26" s="98" t="e">
        <f t="shared" si="13"/>
        <v>#DIV/0!</v>
      </c>
      <c r="AL26" s="99">
        <f t="shared" si="14"/>
        <v>0.18386640608862836</v>
      </c>
      <c r="AM26" s="103">
        <v>51437</v>
      </c>
      <c r="AN26" s="97"/>
      <c r="AO26" s="97">
        <v>54213</v>
      </c>
      <c r="AP26" s="98" t="e">
        <f t="shared" si="15"/>
        <v>#DIV/0!</v>
      </c>
      <c r="AQ26" s="109">
        <f t="shared" si="16"/>
        <v>5.3968932869335351E-2</v>
      </c>
      <c r="AR26" s="111">
        <v>62910</v>
      </c>
      <c r="AS26" s="97"/>
      <c r="AT26" s="97">
        <v>72579</v>
      </c>
      <c r="AU26" s="98" t="e">
        <f t="shared" si="17"/>
        <v>#DIV/0!</v>
      </c>
      <c r="AV26" s="99">
        <f t="shared" si="18"/>
        <v>0.15369575584167849</v>
      </c>
      <c r="AW26" s="103">
        <v>69669</v>
      </c>
      <c r="AX26" s="97"/>
      <c r="AY26" s="97">
        <v>66753</v>
      </c>
      <c r="AZ26" s="98" t="e">
        <f t="shared" si="19"/>
        <v>#DIV/0!</v>
      </c>
      <c r="BA26" s="109">
        <f t="shared" si="20"/>
        <v>-4.1855057486112957E-2</v>
      </c>
      <c r="BB26" s="111">
        <v>58913</v>
      </c>
      <c r="BC26" s="97"/>
      <c r="BD26" s="97">
        <v>57761</v>
      </c>
      <c r="BE26" s="98" t="e">
        <f t="shared" si="21"/>
        <v>#DIV/0!</v>
      </c>
      <c r="BF26" s="99">
        <f t="shared" si="22"/>
        <v>-1.9554257973622091E-2</v>
      </c>
      <c r="BG26" s="103">
        <v>61993</v>
      </c>
      <c r="BH26" s="97"/>
      <c r="BI26" s="97">
        <v>79856</v>
      </c>
      <c r="BJ26" s="98" t="e">
        <f t="shared" si="23"/>
        <v>#DIV/0!</v>
      </c>
      <c r="BK26" s="109">
        <f t="shared" si="24"/>
        <v>0.28814543577500684</v>
      </c>
      <c r="BL26" s="111">
        <v>66522</v>
      </c>
      <c r="BM26" s="97"/>
      <c r="BN26" s="97">
        <v>86024</v>
      </c>
      <c r="BO26" s="98" t="e">
        <f t="shared" si="25"/>
        <v>#DIV/0!</v>
      </c>
      <c r="BP26" s="99">
        <f t="shared" si="26"/>
        <v>0.29316617059018069</v>
      </c>
      <c r="BQ26" s="103">
        <v>67376</v>
      </c>
      <c r="BR26" s="97"/>
      <c r="BS26" s="97">
        <v>64554</v>
      </c>
      <c r="BT26" s="98" t="e">
        <f t="shared" si="27"/>
        <v>#DIV/0!</v>
      </c>
      <c r="BU26" s="99">
        <f t="shared" si="28"/>
        <v>-4.1884350510567603E-2</v>
      </c>
    </row>
    <row r="27" spans="2:73" x14ac:dyDescent="0.3">
      <c r="B27" s="380"/>
      <c r="C27" s="405" t="s">
        <v>31</v>
      </c>
      <c r="D27" s="321" t="s">
        <v>32</v>
      </c>
      <c r="E27" s="322"/>
      <c r="F27" s="56">
        <v>358721</v>
      </c>
      <c r="G27" s="41">
        <v>358721</v>
      </c>
      <c r="H27" s="81">
        <f t="shared" si="2"/>
        <v>0</v>
      </c>
      <c r="I27" s="21">
        <f>N27</f>
        <v>496465</v>
      </c>
      <c r="J27" s="41"/>
      <c r="K27" s="41">
        <f>BS28</f>
        <v>357345</v>
      </c>
      <c r="L27" s="112" t="e">
        <f t="shared" si="3"/>
        <v>#DIV/0!</v>
      </c>
      <c r="M27" s="23">
        <f t="shared" si="4"/>
        <v>-0.2802211636268418</v>
      </c>
      <c r="N27" s="21">
        <v>496465</v>
      </c>
      <c r="O27" s="41"/>
      <c r="P27" s="41">
        <v>631428</v>
      </c>
      <c r="Q27" s="112" t="e">
        <f t="shared" si="5"/>
        <v>#DIV/0!</v>
      </c>
      <c r="R27" s="23">
        <f t="shared" si="6"/>
        <v>0.27184796511335141</v>
      </c>
      <c r="S27" s="56">
        <v>459592</v>
      </c>
      <c r="T27" s="41"/>
      <c r="U27" s="41">
        <v>356790</v>
      </c>
      <c r="V27" s="112" t="e">
        <f t="shared" si="7"/>
        <v>#DIV/0!</v>
      </c>
      <c r="W27" s="81">
        <f t="shared" si="8"/>
        <v>-0.2236810040209577</v>
      </c>
      <c r="X27" s="21">
        <v>544551</v>
      </c>
      <c r="Y27" s="41"/>
      <c r="Z27" s="41">
        <v>342979</v>
      </c>
      <c r="AA27" s="112" t="e">
        <f t="shared" si="9"/>
        <v>#DIV/0!</v>
      </c>
      <c r="AB27" s="23">
        <f t="shared" si="10"/>
        <v>-0.37016183975421957</v>
      </c>
      <c r="AC27" s="56">
        <v>778380</v>
      </c>
      <c r="AD27" s="41"/>
      <c r="AE27" s="41">
        <v>309133</v>
      </c>
      <c r="AF27" s="112" t="e">
        <f t="shared" si="11"/>
        <v>#DIV/0!</v>
      </c>
      <c r="AG27" s="81">
        <f t="shared" si="12"/>
        <v>-0.60285079267195973</v>
      </c>
      <c r="AH27" s="21">
        <v>783643</v>
      </c>
      <c r="AI27" s="41"/>
      <c r="AJ27" s="41">
        <v>349942</v>
      </c>
      <c r="AK27" s="112" t="e">
        <f t="shared" si="13"/>
        <v>#DIV/0!</v>
      </c>
      <c r="AL27" s="23">
        <f t="shared" si="14"/>
        <v>-0.55344206481778047</v>
      </c>
      <c r="AM27" s="56">
        <v>639329</v>
      </c>
      <c r="AN27" s="41"/>
      <c r="AO27" s="41">
        <v>631428</v>
      </c>
      <c r="AP27" s="112" t="e">
        <f t="shared" si="15"/>
        <v>#DIV/0!</v>
      </c>
      <c r="AQ27" s="81">
        <f t="shared" si="16"/>
        <v>-1.2358269373045849E-2</v>
      </c>
      <c r="AR27" s="21">
        <v>545514</v>
      </c>
      <c r="AS27" s="41"/>
      <c r="AT27" s="41">
        <v>252188</v>
      </c>
      <c r="AU27" s="112" t="e">
        <f t="shared" si="17"/>
        <v>#DIV/0!</v>
      </c>
      <c r="AV27" s="23">
        <f t="shared" si="18"/>
        <v>-0.53770572340948175</v>
      </c>
      <c r="AW27" s="56">
        <v>399641</v>
      </c>
      <c r="AX27" s="41"/>
      <c r="AY27" s="41">
        <v>232179</v>
      </c>
      <c r="AZ27" s="112" t="e">
        <f t="shared" si="19"/>
        <v>#DIV/0!</v>
      </c>
      <c r="BA27" s="81">
        <f t="shared" si="20"/>
        <v>-0.4190310803946542</v>
      </c>
      <c r="BB27" s="21">
        <v>375675</v>
      </c>
      <c r="BC27" s="41"/>
      <c r="BD27" s="41">
        <v>327994</v>
      </c>
      <c r="BE27" s="112" t="e">
        <f t="shared" si="21"/>
        <v>#DIV/0!</v>
      </c>
      <c r="BF27" s="23">
        <f t="shared" si="22"/>
        <v>-0.12692087575697075</v>
      </c>
      <c r="BG27" s="56">
        <v>375223</v>
      </c>
      <c r="BH27" s="41"/>
      <c r="BI27" s="41">
        <v>529532</v>
      </c>
      <c r="BJ27" s="112" t="e">
        <f t="shared" si="23"/>
        <v>#DIV/0!</v>
      </c>
      <c r="BK27" s="81">
        <f t="shared" si="24"/>
        <v>0.41124611231187846</v>
      </c>
      <c r="BL27" s="21">
        <v>466834</v>
      </c>
      <c r="BM27" s="41"/>
      <c r="BN27" s="41">
        <v>447516</v>
      </c>
      <c r="BO27" s="112" t="e">
        <f t="shared" si="25"/>
        <v>#DIV/0!</v>
      </c>
      <c r="BP27" s="23">
        <f t="shared" si="26"/>
        <v>-4.1380876285788903E-2</v>
      </c>
      <c r="BQ27" s="56">
        <v>417865</v>
      </c>
      <c r="BR27" s="41"/>
      <c r="BS27" s="41">
        <v>410638</v>
      </c>
      <c r="BT27" s="112" t="e">
        <f t="shared" si="27"/>
        <v>#DIV/0!</v>
      </c>
      <c r="BU27" s="23">
        <f t="shared" si="28"/>
        <v>-1.7295059409139335E-2</v>
      </c>
    </row>
    <row r="28" spans="2:73" x14ac:dyDescent="0.3">
      <c r="B28" s="380"/>
      <c r="C28" s="405"/>
      <c r="D28" s="385" t="s">
        <v>33</v>
      </c>
      <c r="E28" s="386"/>
      <c r="F28" s="84">
        <v>5704093</v>
      </c>
      <c r="G28" s="62">
        <v>5704093</v>
      </c>
      <c r="H28" s="75">
        <f t="shared" si="2"/>
        <v>0</v>
      </c>
      <c r="I28" s="105">
        <f>N28+S28+X28+AC28+AH28+AM28+AR28+AW28+BB28+BG28+BL28+BQ28</f>
        <v>5704093</v>
      </c>
      <c r="J28" s="85">
        <f>O28+T28+Y28+AD28+AI28+AN28+AS28+AX28+BC28+BH28+BM28+BR28</f>
        <v>6600012</v>
      </c>
      <c r="K28" s="85">
        <f>P28+U28+Z28+AE28+AJ28+AO28+AT28+AY28+BD28+BI28+BN28+BS28</f>
        <v>5776183</v>
      </c>
      <c r="L28" s="86">
        <f t="shared" si="3"/>
        <v>-0.1248223488078507</v>
      </c>
      <c r="M28" s="15">
        <f t="shared" si="4"/>
        <v>1.2638293239608744E-2</v>
      </c>
      <c r="N28" s="13">
        <v>660352</v>
      </c>
      <c r="O28" s="62">
        <v>550001</v>
      </c>
      <c r="P28" s="62">
        <v>606604</v>
      </c>
      <c r="Q28" s="86">
        <f t="shared" si="5"/>
        <v>0.10291435833753027</v>
      </c>
      <c r="R28" s="15">
        <f t="shared" si="6"/>
        <v>-8.1392954060864553E-2</v>
      </c>
      <c r="S28" s="45">
        <v>528006</v>
      </c>
      <c r="T28" s="62">
        <v>550001</v>
      </c>
      <c r="U28" s="62">
        <v>384987</v>
      </c>
      <c r="V28" s="86">
        <f t="shared" si="7"/>
        <v>-0.30002490904561996</v>
      </c>
      <c r="W28" s="33">
        <f t="shared" si="8"/>
        <v>-0.27086624015636185</v>
      </c>
      <c r="X28" s="13">
        <v>605433</v>
      </c>
      <c r="Y28" s="62">
        <v>550001</v>
      </c>
      <c r="Z28" s="62">
        <v>450197</v>
      </c>
      <c r="AA28" s="86">
        <f t="shared" si="9"/>
        <v>-0.1814614882518395</v>
      </c>
      <c r="AB28" s="15">
        <f t="shared" si="10"/>
        <v>-0.25640492011502514</v>
      </c>
      <c r="AC28" s="45">
        <v>672279</v>
      </c>
      <c r="AD28" s="62">
        <v>550001</v>
      </c>
      <c r="AE28" s="62">
        <v>476423</v>
      </c>
      <c r="AF28" s="86">
        <f t="shared" si="11"/>
        <v>-0.13377793858556619</v>
      </c>
      <c r="AG28" s="33">
        <f t="shared" si="12"/>
        <v>-0.29133142638696141</v>
      </c>
      <c r="AH28" s="13">
        <v>545496</v>
      </c>
      <c r="AI28" s="62">
        <v>550001</v>
      </c>
      <c r="AJ28" s="62">
        <v>570143</v>
      </c>
      <c r="AK28" s="86">
        <f t="shared" si="13"/>
        <v>3.6621751596815244E-2</v>
      </c>
      <c r="AL28" s="15">
        <f t="shared" si="14"/>
        <v>4.5182732778975554E-2</v>
      </c>
      <c r="AM28" s="45">
        <v>406269</v>
      </c>
      <c r="AN28" s="62">
        <v>550001</v>
      </c>
      <c r="AO28" s="62">
        <v>401556</v>
      </c>
      <c r="AP28" s="86">
        <f t="shared" si="15"/>
        <v>-0.2698995092736195</v>
      </c>
      <c r="AQ28" s="33">
        <f t="shared" si="16"/>
        <v>-1.1600688213966648E-2</v>
      </c>
      <c r="AR28" s="13">
        <v>268038</v>
      </c>
      <c r="AS28" s="62">
        <v>550001</v>
      </c>
      <c r="AT28" s="62">
        <v>337619</v>
      </c>
      <c r="AU28" s="86">
        <f t="shared" si="17"/>
        <v>-0.38614838882111124</v>
      </c>
      <c r="AV28" s="15">
        <f t="shared" si="18"/>
        <v>0.2595937889403741</v>
      </c>
      <c r="AW28" s="45">
        <v>302611</v>
      </c>
      <c r="AX28" s="62">
        <v>550001</v>
      </c>
      <c r="AY28" s="62">
        <v>415213</v>
      </c>
      <c r="AZ28" s="86">
        <f t="shared" si="19"/>
        <v>-0.24506864532973571</v>
      </c>
      <c r="BA28" s="33">
        <f t="shared" si="20"/>
        <v>0.37210147681346672</v>
      </c>
      <c r="BB28" s="13">
        <v>327477</v>
      </c>
      <c r="BC28" s="62">
        <v>550001</v>
      </c>
      <c r="BD28" s="62">
        <v>475682</v>
      </c>
      <c r="BE28" s="86">
        <f t="shared" si="21"/>
        <v>-0.13512520886325663</v>
      </c>
      <c r="BF28" s="15">
        <f t="shared" si="22"/>
        <v>0.45256613441554672</v>
      </c>
      <c r="BG28" s="45">
        <v>431745</v>
      </c>
      <c r="BH28" s="62">
        <v>550001</v>
      </c>
      <c r="BI28" s="62">
        <v>808061</v>
      </c>
      <c r="BJ28" s="86">
        <f t="shared" si="23"/>
        <v>0.46919914691064202</v>
      </c>
      <c r="BK28" s="33">
        <f t="shared" si="24"/>
        <v>0.87161634761259532</v>
      </c>
      <c r="BL28" s="13">
        <v>597666</v>
      </c>
      <c r="BM28" s="62">
        <v>550001</v>
      </c>
      <c r="BN28" s="62">
        <v>492353</v>
      </c>
      <c r="BO28" s="86">
        <f t="shared" si="25"/>
        <v>-0.10481435488299107</v>
      </c>
      <c r="BP28" s="15">
        <f t="shared" si="26"/>
        <v>-0.1762071123336445</v>
      </c>
      <c r="BQ28" s="45">
        <v>358721</v>
      </c>
      <c r="BR28" s="62">
        <v>550001</v>
      </c>
      <c r="BS28" s="62">
        <v>357345</v>
      </c>
      <c r="BT28" s="86">
        <f t="shared" si="27"/>
        <v>-0.35028299948545549</v>
      </c>
      <c r="BU28" s="15">
        <f t="shared" si="28"/>
        <v>-3.8358501453775729E-3</v>
      </c>
    </row>
    <row r="29" spans="2:73" x14ac:dyDescent="0.3">
      <c r="B29" s="380"/>
      <c r="C29" s="405"/>
      <c r="D29" s="410" t="s">
        <v>34</v>
      </c>
      <c r="E29" s="411"/>
      <c r="F29" s="100">
        <f>SUM(F30:F36)</f>
        <v>6066324.9000000004</v>
      </c>
      <c r="G29" s="89">
        <f>SUM(G30:G36)</f>
        <v>5796942</v>
      </c>
      <c r="H29" s="110">
        <f t="shared" si="2"/>
        <v>-4.4406276360173247E-2</v>
      </c>
      <c r="I29" s="106">
        <f>SUM(I30:I36)</f>
        <v>6066324.9000000004</v>
      </c>
      <c r="J29" s="89">
        <f>SUM(J30:J36)</f>
        <v>0</v>
      </c>
      <c r="K29" s="89">
        <f>SUM(K30:K36)</f>
        <v>5791350</v>
      </c>
      <c r="L29" s="90" t="e">
        <f t="shared" si="3"/>
        <v>#DIV/0!</v>
      </c>
      <c r="M29" s="94">
        <f t="shared" si="4"/>
        <v>-4.5328086532259504E-2</v>
      </c>
      <c r="N29" s="89">
        <f t="shared" ref="N29:O29" si="50">SUM(N30:N36)</f>
        <v>758416.8</v>
      </c>
      <c r="O29" s="89">
        <f t="shared" si="50"/>
        <v>0</v>
      </c>
      <c r="P29" s="89">
        <f>SUM(P30:P36)</f>
        <v>409012</v>
      </c>
      <c r="Q29" s="90" t="e">
        <f t="shared" si="5"/>
        <v>#DIV/0!</v>
      </c>
      <c r="R29" s="94">
        <f t="shared" si="6"/>
        <v>-0.46070287472534899</v>
      </c>
      <c r="S29" s="89">
        <f t="shared" ref="S29:T29" si="51">SUM(S30:S36)</f>
        <v>419598.6</v>
      </c>
      <c r="T29" s="89">
        <f t="shared" si="51"/>
        <v>0</v>
      </c>
      <c r="U29" s="89">
        <f>SUM(U30:U36)</f>
        <v>633763</v>
      </c>
      <c r="V29" s="90" t="e">
        <f t="shared" si="7"/>
        <v>#DIV/0!</v>
      </c>
      <c r="W29" s="110">
        <f t="shared" si="8"/>
        <v>0.5104030375697155</v>
      </c>
      <c r="X29" s="89">
        <f t="shared" ref="X29:Y29" si="52">SUM(X30:X36)</f>
        <v>637657.1</v>
      </c>
      <c r="Y29" s="89">
        <f t="shared" si="52"/>
        <v>0</v>
      </c>
      <c r="Z29" s="89">
        <f>SUM(Z30:Z36)</f>
        <v>479511</v>
      </c>
      <c r="AA29" s="90" t="e">
        <f t="shared" si="9"/>
        <v>#DIV/0!</v>
      </c>
      <c r="AB29" s="94">
        <f t="shared" si="10"/>
        <v>-0.24801119598605581</v>
      </c>
      <c r="AC29" s="89">
        <f t="shared" ref="AC29:AD29" si="53">SUM(AC30:AC36)</f>
        <v>625196.4</v>
      </c>
      <c r="AD29" s="89">
        <f t="shared" si="53"/>
        <v>0</v>
      </c>
      <c r="AE29" s="89">
        <f>SUM(AE30:AE36)</f>
        <v>482482</v>
      </c>
      <c r="AF29" s="90" t="e">
        <f t="shared" si="11"/>
        <v>#DIV/0!</v>
      </c>
      <c r="AG29" s="110">
        <f t="shared" si="12"/>
        <v>-0.22827130802416651</v>
      </c>
      <c r="AH29" s="89">
        <f t="shared" ref="AH29:AI29" si="54">SUM(AH30:AH36)</f>
        <v>540749</v>
      </c>
      <c r="AI29" s="89">
        <f t="shared" si="54"/>
        <v>0</v>
      </c>
      <c r="AJ29" s="89">
        <f>SUM(AJ30:AJ36)</f>
        <v>532534</v>
      </c>
      <c r="AK29" s="90" t="e">
        <f t="shared" si="13"/>
        <v>#DIV/0!</v>
      </c>
      <c r="AL29" s="94">
        <f t="shared" si="14"/>
        <v>-1.5191891247140488E-2</v>
      </c>
      <c r="AM29" s="89">
        <f t="shared" ref="AM29:AN29" si="55">SUM(AM30:AM36)</f>
        <v>574926</v>
      </c>
      <c r="AN29" s="89">
        <f t="shared" si="55"/>
        <v>0</v>
      </c>
      <c r="AO29" s="89">
        <f>SUM(AO30:AO36)</f>
        <v>475303</v>
      </c>
      <c r="AP29" s="90" t="e">
        <f t="shared" si="15"/>
        <v>#DIV/0!</v>
      </c>
      <c r="AQ29" s="110">
        <f t="shared" si="16"/>
        <v>-0.17327969164727286</v>
      </c>
      <c r="AR29" s="89">
        <f t="shared" ref="AR29:AS29" si="56">SUM(AR30:AR36)</f>
        <v>361486</v>
      </c>
      <c r="AS29" s="89">
        <f t="shared" si="56"/>
        <v>0</v>
      </c>
      <c r="AT29" s="89">
        <f>SUM(AT30:AT36)</f>
        <v>387321</v>
      </c>
      <c r="AU29" s="90" t="e">
        <f t="shared" si="17"/>
        <v>#DIV/0!</v>
      </c>
      <c r="AV29" s="94">
        <f t="shared" si="18"/>
        <v>7.1468881229148629E-2</v>
      </c>
      <c r="AW29" s="89">
        <f t="shared" ref="AW29:AX29" si="57">SUM(AW30:AW36)</f>
        <v>448447</v>
      </c>
      <c r="AX29" s="89">
        <f t="shared" si="57"/>
        <v>0</v>
      </c>
      <c r="AY29" s="89">
        <f>SUM(AY30:AY36)</f>
        <v>429751</v>
      </c>
      <c r="AZ29" s="90" t="e">
        <f t="shared" si="19"/>
        <v>#DIV/0!</v>
      </c>
      <c r="BA29" s="110">
        <f t="shared" si="20"/>
        <v>-4.1690545371024901E-2</v>
      </c>
      <c r="BB29" s="89">
        <f t="shared" ref="BB29:BC29" si="58">SUM(BB30:BB36)</f>
        <v>346063</v>
      </c>
      <c r="BC29" s="89">
        <f t="shared" si="58"/>
        <v>0</v>
      </c>
      <c r="BD29" s="89">
        <f>SUM(BD30:BD36)</f>
        <v>380058</v>
      </c>
      <c r="BE29" s="90" t="e">
        <f t="shared" si="21"/>
        <v>#DIV/0!</v>
      </c>
      <c r="BF29" s="94">
        <f t="shared" si="22"/>
        <v>9.8233558629498008E-2</v>
      </c>
      <c r="BG29" s="89">
        <f t="shared" ref="BG29:BH29" si="59">SUM(BG30:BG36)</f>
        <v>439499</v>
      </c>
      <c r="BH29" s="89">
        <f t="shared" si="59"/>
        <v>0</v>
      </c>
      <c r="BI29" s="89">
        <f>SUM(BI30:BI36)</f>
        <v>612770</v>
      </c>
      <c r="BJ29" s="90" t="e">
        <f t="shared" si="23"/>
        <v>#DIV/0!</v>
      </c>
      <c r="BK29" s="110">
        <f t="shared" si="24"/>
        <v>0.39424663082282319</v>
      </c>
      <c r="BL29" s="89">
        <f t="shared" ref="BL29:BM29" si="60">SUM(BL30:BL36)</f>
        <v>504856</v>
      </c>
      <c r="BM29" s="89">
        <f t="shared" si="60"/>
        <v>0</v>
      </c>
      <c r="BN29" s="89">
        <f>SUM(BN30:BN36)</f>
        <v>509279</v>
      </c>
      <c r="BO29" s="90" t="e">
        <f t="shared" si="25"/>
        <v>#DIV/0!</v>
      </c>
      <c r="BP29" s="94">
        <f t="shared" si="26"/>
        <v>8.7609140032010036E-3</v>
      </c>
      <c r="BQ29" s="89">
        <f t="shared" ref="BQ29:BR29" si="61">SUM(BQ30:BQ36)</f>
        <v>409430</v>
      </c>
      <c r="BR29" s="89">
        <f t="shared" si="61"/>
        <v>0</v>
      </c>
      <c r="BS29" s="89">
        <f>SUM(BS30:BS36)</f>
        <v>459566</v>
      </c>
      <c r="BT29" s="90" t="e">
        <f t="shared" si="27"/>
        <v>#DIV/0!</v>
      </c>
      <c r="BU29" s="94">
        <f t="shared" si="28"/>
        <v>0.12245316659746486</v>
      </c>
    </row>
    <row r="30" spans="2:73" x14ac:dyDescent="0.3">
      <c r="B30" s="380"/>
      <c r="C30" s="405"/>
      <c r="D30" s="284" t="s">
        <v>35</v>
      </c>
      <c r="E30" s="285"/>
      <c r="F30" s="45">
        <f>I30</f>
        <v>955059</v>
      </c>
      <c r="G30" s="39">
        <v>901787</v>
      </c>
      <c r="H30" s="33">
        <f t="shared" si="2"/>
        <v>-5.5778752935682463E-2</v>
      </c>
      <c r="I30" s="107">
        <f t="shared" ref="I30:I36" si="62">N30+S30+X30+AC30+AH30+AM30+AR30+AW30+BB30+BG30+BL30+BQ30</f>
        <v>955059</v>
      </c>
      <c r="J30" s="87">
        <f t="shared" ref="J30:J36" si="63">O30+T30+Y30+AD30+AI30+AN30+AS30+AX30+BC30+BH30+BM30+BR30</f>
        <v>0</v>
      </c>
      <c r="K30" s="87">
        <f t="shared" ref="K30:K36" si="64">P30+U30+Z30+AE30+AJ30+AO30+AT30+AY30+BD30+BI30+BN30+BS30</f>
        <v>888619</v>
      </c>
      <c r="L30" s="88" t="e">
        <f t="shared" si="3"/>
        <v>#DIV/0!</v>
      </c>
      <c r="M30" s="15">
        <f t="shared" si="4"/>
        <v>-6.956638280985783E-2</v>
      </c>
      <c r="N30" s="13">
        <v>383513</v>
      </c>
      <c r="O30" s="39"/>
      <c r="P30" s="39">
        <v>46149</v>
      </c>
      <c r="Q30" s="88" t="e">
        <f t="shared" si="5"/>
        <v>#DIV/0!</v>
      </c>
      <c r="R30" s="15">
        <f t="shared" si="6"/>
        <v>-0.87966770357197799</v>
      </c>
      <c r="S30" s="45">
        <v>38564</v>
      </c>
      <c r="T30" s="39"/>
      <c r="U30" s="39">
        <v>317961</v>
      </c>
      <c r="V30" s="88" t="e">
        <f t="shared" si="7"/>
        <v>#DIV/0!</v>
      </c>
      <c r="W30" s="33">
        <f t="shared" si="8"/>
        <v>7.245021263354424</v>
      </c>
      <c r="X30" s="13">
        <v>42726</v>
      </c>
      <c r="Y30" s="39"/>
      <c r="Z30" s="39">
        <v>68741</v>
      </c>
      <c r="AA30" s="88" t="e">
        <f t="shared" si="9"/>
        <v>#DIV/0!</v>
      </c>
      <c r="AB30" s="15">
        <f t="shared" si="10"/>
        <v>0.60887983897392695</v>
      </c>
      <c r="AC30" s="45">
        <v>44186</v>
      </c>
      <c r="AD30" s="39"/>
      <c r="AE30" s="39">
        <v>45825</v>
      </c>
      <c r="AF30" s="88" t="e">
        <f t="shared" si="11"/>
        <v>#DIV/0!</v>
      </c>
      <c r="AG30" s="33">
        <f t="shared" si="12"/>
        <v>3.7093196940207296E-2</v>
      </c>
      <c r="AH30" s="13">
        <v>39037</v>
      </c>
      <c r="AI30" s="39"/>
      <c r="AJ30" s="39">
        <v>31539</v>
      </c>
      <c r="AK30" s="88" t="e">
        <f t="shared" si="13"/>
        <v>#DIV/0!</v>
      </c>
      <c r="AL30" s="15">
        <f t="shared" si="14"/>
        <v>-0.19207418602863946</v>
      </c>
      <c r="AM30" s="45">
        <v>171545</v>
      </c>
      <c r="AN30" s="39"/>
      <c r="AO30" s="39">
        <v>52682</v>
      </c>
      <c r="AP30" s="88" t="e">
        <f t="shared" si="15"/>
        <v>#DIV/0!</v>
      </c>
      <c r="AQ30" s="33">
        <f t="shared" si="16"/>
        <v>-0.69289690751697808</v>
      </c>
      <c r="AR30" s="13">
        <v>36247</v>
      </c>
      <c r="AS30" s="39"/>
      <c r="AT30" s="39">
        <v>28952</v>
      </c>
      <c r="AU30" s="88" t="e">
        <f t="shared" si="17"/>
        <v>#DIV/0!</v>
      </c>
      <c r="AV30" s="15">
        <f t="shared" si="18"/>
        <v>-0.20125803514773632</v>
      </c>
      <c r="AW30" s="45">
        <v>57507</v>
      </c>
      <c r="AX30" s="39"/>
      <c r="AY30" s="39">
        <v>25424</v>
      </c>
      <c r="AZ30" s="88" t="e">
        <f t="shared" si="19"/>
        <v>#DIV/0!</v>
      </c>
      <c r="BA30" s="33">
        <f t="shared" si="20"/>
        <v>-0.55789729945919619</v>
      </c>
      <c r="BB30" s="13">
        <v>46291</v>
      </c>
      <c r="BC30" s="39"/>
      <c r="BD30" s="39">
        <v>18592</v>
      </c>
      <c r="BE30" s="88" t="e">
        <f t="shared" si="21"/>
        <v>#DIV/0!</v>
      </c>
      <c r="BF30" s="15">
        <f t="shared" si="22"/>
        <v>-0.59836685316800242</v>
      </c>
      <c r="BG30" s="45">
        <v>17615</v>
      </c>
      <c r="BH30" s="39"/>
      <c r="BI30" s="39">
        <v>93124</v>
      </c>
      <c r="BJ30" s="88" t="e">
        <f t="shared" si="23"/>
        <v>#DIV/0!</v>
      </c>
      <c r="BK30" s="33">
        <f t="shared" si="24"/>
        <v>4.2866307124609708</v>
      </c>
      <c r="BL30" s="13">
        <v>33534</v>
      </c>
      <c r="BM30" s="39"/>
      <c r="BN30" s="39">
        <v>112080</v>
      </c>
      <c r="BO30" s="88" t="e">
        <f t="shared" si="25"/>
        <v>#DIV/0!</v>
      </c>
      <c r="BP30" s="15">
        <f t="shared" si="26"/>
        <v>2.3422794775451781</v>
      </c>
      <c r="BQ30" s="45">
        <v>44294</v>
      </c>
      <c r="BR30" s="39"/>
      <c r="BS30" s="39">
        <v>47550</v>
      </c>
      <c r="BT30" s="88" t="e">
        <f t="shared" si="27"/>
        <v>#DIV/0!</v>
      </c>
      <c r="BU30" s="15">
        <f t="shared" si="28"/>
        <v>7.350882738068365E-2</v>
      </c>
    </row>
    <row r="31" spans="2:73" x14ac:dyDescent="0.3">
      <c r="B31" s="380"/>
      <c r="C31" s="405"/>
      <c r="D31" s="284" t="s">
        <v>36</v>
      </c>
      <c r="E31" s="285"/>
      <c r="F31" s="45">
        <f t="shared" ref="F31:F36" si="65">I31</f>
        <v>2100970</v>
      </c>
      <c r="G31" s="39">
        <v>1808203</v>
      </c>
      <c r="H31" s="33">
        <f t="shared" si="2"/>
        <v>-0.13934849141111005</v>
      </c>
      <c r="I31" s="107">
        <f t="shared" si="62"/>
        <v>2100970</v>
      </c>
      <c r="J31" s="87">
        <f t="shared" si="63"/>
        <v>0</v>
      </c>
      <c r="K31" s="87">
        <f t="shared" si="64"/>
        <v>1780464</v>
      </c>
      <c r="L31" s="88" t="e">
        <f t="shared" si="3"/>
        <v>#DIV/0!</v>
      </c>
      <c r="M31" s="15">
        <f t="shared" si="4"/>
        <v>-0.15255144052509084</v>
      </c>
      <c r="N31" s="13">
        <v>204712</v>
      </c>
      <c r="O31" s="39"/>
      <c r="P31" s="39">
        <v>128252</v>
      </c>
      <c r="Q31" s="88" t="e">
        <f t="shared" si="5"/>
        <v>#DIV/0!</v>
      </c>
      <c r="R31" s="15">
        <f t="shared" si="6"/>
        <v>-0.37350033217398104</v>
      </c>
      <c r="S31" s="45">
        <v>192743</v>
      </c>
      <c r="T31" s="39"/>
      <c r="U31" s="39">
        <v>124947</v>
      </c>
      <c r="V31" s="88" t="e">
        <f t="shared" si="7"/>
        <v>#DIV/0!</v>
      </c>
      <c r="W31" s="33">
        <f t="shared" si="8"/>
        <v>-0.35174299455751956</v>
      </c>
      <c r="X31" s="13">
        <v>312776</v>
      </c>
      <c r="Y31" s="39"/>
      <c r="Z31" s="39">
        <v>143749</v>
      </c>
      <c r="AA31" s="88" t="e">
        <f t="shared" si="9"/>
        <v>#DIV/0!</v>
      </c>
      <c r="AB31" s="15">
        <f t="shared" si="10"/>
        <v>-0.54040911067345321</v>
      </c>
      <c r="AC31" s="45">
        <v>178807</v>
      </c>
      <c r="AD31" s="39"/>
      <c r="AE31" s="39">
        <v>158688</v>
      </c>
      <c r="AF31" s="88" t="e">
        <f t="shared" si="11"/>
        <v>#DIV/0!</v>
      </c>
      <c r="AG31" s="33">
        <f t="shared" si="12"/>
        <v>-0.11251796629885857</v>
      </c>
      <c r="AH31" s="13">
        <v>162452</v>
      </c>
      <c r="AI31" s="39"/>
      <c r="AJ31" s="39">
        <v>195666</v>
      </c>
      <c r="AK31" s="88" t="e">
        <f t="shared" si="13"/>
        <v>#DIV/0!</v>
      </c>
      <c r="AL31" s="15">
        <f t="shared" si="14"/>
        <v>0.20445423879053504</v>
      </c>
      <c r="AM31" s="45">
        <v>101406</v>
      </c>
      <c r="AN31" s="39"/>
      <c r="AO31" s="39">
        <v>184559</v>
      </c>
      <c r="AP31" s="88" t="e">
        <f t="shared" si="15"/>
        <v>#DIV/0!</v>
      </c>
      <c r="AQ31" s="33">
        <f t="shared" si="16"/>
        <v>0.82000078890795414</v>
      </c>
      <c r="AR31" s="13">
        <v>108046</v>
      </c>
      <c r="AS31" s="39"/>
      <c r="AT31" s="39">
        <v>118865</v>
      </c>
      <c r="AU31" s="88" t="e">
        <f t="shared" si="17"/>
        <v>#DIV/0!</v>
      </c>
      <c r="AV31" s="15">
        <f t="shared" si="18"/>
        <v>0.10013327656738791</v>
      </c>
      <c r="AW31" s="45">
        <v>147240</v>
      </c>
      <c r="AX31" s="39"/>
      <c r="AY31" s="39">
        <v>120213</v>
      </c>
      <c r="AZ31" s="88" t="e">
        <f t="shared" si="19"/>
        <v>#DIV/0!</v>
      </c>
      <c r="BA31" s="33">
        <f t="shared" si="20"/>
        <v>-0.18355745721271388</v>
      </c>
      <c r="BB31" s="13">
        <v>102637</v>
      </c>
      <c r="BC31" s="39"/>
      <c r="BD31" s="39">
        <v>114506</v>
      </c>
      <c r="BE31" s="88" t="e">
        <f t="shared" si="21"/>
        <v>#DIV/0!</v>
      </c>
      <c r="BF31" s="15">
        <f t="shared" si="22"/>
        <v>0.11564055847306531</v>
      </c>
      <c r="BG31" s="45">
        <v>233295</v>
      </c>
      <c r="BH31" s="39"/>
      <c r="BI31" s="39">
        <v>224812</v>
      </c>
      <c r="BJ31" s="88" t="e">
        <f t="shared" si="23"/>
        <v>#DIV/0!</v>
      </c>
      <c r="BK31" s="33">
        <f t="shared" si="24"/>
        <v>-3.6361687991598668E-2</v>
      </c>
      <c r="BL31" s="13">
        <v>214448</v>
      </c>
      <c r="BM31" s="39"/>
      <c r="BN31" s="39">
        <v>139811</v>
      </c>
      <c r="BO31" s="88" t="e">
        <f t="shared" si="25"/>
        <v>#DIV/0!</v>
      </c>
      <c r="BP31" s="15">
        <f t="shared" si="26"/>
        <v>-0.34804241587704243</v>
      </c>
      <c r="BQ31" s="45">
        <v>142408</v>
      </c>
      <c r="BR31" s="39"/>
      <c r="BS31" s="39">
        <v>126396</v>
      </c>
      <c r="BT31" s="88" t="e">
        <f t="shared" si="27"/>
        <v>#DIV/0!</v>
      </c>
      <c r="BU31" s="15">
        <f t="shared" si="28"/>
        <v>-0.11243750351103876</v>
      </c>
    </row>
    <row r="32" spans="2:73" x14ac:dyDescent="0.3">
      <c r="B32" s="380"/>
      <c r="C32" s="405"/>
      <c r="D32" s="284" t="s">
        <v>37</v>
      </c>
      <c r="E32" s="285"/>
      <c r="F32" s="45">
        <f t="shared" si="65"/>
        <v>573626</v>
      </c>
      <c r="G32" s="39">
        <v>597017</v>
      </c>
      <c r="H32" s="33">
        <f t="shared" si="2"/>
        <v>4.077744035312203E-2</v>
      </c>
      <c r="I32" s="107">
        <f t="shared" si="62"/>
        <v>573626</v>
      </c>
      <c r="J32" s="87">
        <f t="shared" si="63"/>
        <v>0</v>
      </c>
      <c r="K32" s="87">
        <f t="shared" si="64"/>
        <v>578686</v>
      </c>
      <c r="L32" s="88" t="e">
        <f t="shared" si="3"/>
        <v>#DIV/0!</v>
      </c>
      <c r="M32" s="15">
        <f t="shared" si="4"/>
        <v>8.8210785424649441E-3</v>
      </c>
      <c r="N32" s="13">
        <v>22289</v>
      </c>
      <c r="O32" s="39"/>
      <c r="P32" s="39">
        <v>72917</v>
      </c>
      <c r="Q32" s="88" t="e">
        <f t="shared" si="5"/>
        <v>#DIV/0!</v>
      </c>
      <c r="R32" s="15">
        <f t="shared" si="6"/>
        <v>2.2714343398088745</v>
      </c>
      <c r="S32" s="45">
        <v>26548</v>
      </c>
      <c r="T32" s="39"/>
      <c r="U32" s="39">
        <v>30930</v>
      </c>
      <c r="V32" s="88" t="e">
        <f t="shared" si="7"/>
        <v>#DIV/0!</v>
      </c>
      <c r="W32" s="33">
        <f t="shared" si="8"/>
        <v>0.16505951484104253</v>
      </c>
      <c r="X32" s="13">
        <v>60770</v>
      </c>
      <c r="Y32" s="39"/>
      <c r="Z32" s="39">
        <v>84655</v>
      </c>
      <c r="AA32" s="88" t="e">
        <f t="shared" si="9"/>
        <v>#DIV/0!</v>
      </c>
      <c r="AB32" s="15">
        <f t="shared" si="10"/>
        <v>0.39303932861609336</v>
      </c>
      <c r="AC32" s="45">
        <v>102194</v>
      </c>
      <c r="AD32" s="39"/>
      <c r="AE32" s="39">
        <v>65058</v>
      </c>
      <c r="AF32" s="88" t="e">
        <f t="shared" si="11"/>
        <v>#DIV/0!</v>
      </c>
      <c r="AG32" s="33">
        <f t="shared" si="12"/>
        <v>-0.3633872830107443</v>
      </c>
      <c r="AH32" s="13">
        <v>61373</v>
      </c>
      <c r="AI32" s="39"/>
      <c r="AJ32" s="39">
        <v>47667</v>
      </c>
      <c r="AK32" s="88" t="e">
        <f t="shared" si="13"/>
        <v>#DIV/0!</v>
      </c>
      <c r="AL32" s="15">
        <f t="shared" si="14"/>
        <v>-0.22332295960764503</v>
      </c>
      <c r="AM32" s="45">
        <v>85633</v>
      </c>
      <c r="AN32" s="39"/>
      <c r="AO32" s="39">
        <v>23000</v>
      </c>
      <c r="AP32" s="88" t="e">
        <f t="shared" si="15"/>
        <v>#DIV/0!</v>
      </c>
      <c r="AQ32" s="33">
        <f t="shared" si="16"/>
        <v>-0.73141195567129502</v>
      </c>
      <c r="AR32" s="13">
        <v>49184</v>
      </c>
      <c r="AS32" s="39"/>
      <c r="AT32" s="39">
        <v>29936</v>
      </c>
      <c r="AU32" s="88" t="e">
        <f t="shared" si="17"/>
        <v>#DIV/0!</v>
      </c>
      <c r="AV32" s="15">
        <f t="shared" si="18"/>
        <v>-0.39134677944046847</v>
      </c>
      <c r="AW32" s="45">
        <v>26492</v>
      </c>
      <c r="AX32" s="39"/>
      <c r="AY32" s="39">
        <v>31415</v>
      </c>
      <c r="AZ32" s="88" t="e">
        <f t="shared" si="19"/>
        <v>#DIV/0!</v>
      </c>
      <c r="BA32" s="33">
        <f t="shared" si="20"/>
        <v>0.18582968443303649</v>
      </c>
      <c r="BB32" s="13">
        <v>29906</v>
      </c>
      <c r="BC32" s="39"/>
      <c r="BD32" s="39">
        <v>35467</v>
      </c>
      <c r="BE32" s="88" t="e">
        <f t="shared" si="21"/>
        <v>#DIV/0!</v>
      </c>
      <c r="BF32" s="15">
        <f t="shared" si="22"/>
        <v>0.18594930783120445</v>
      </c>
      <c r="BG32" s="45">
        <v>32605</v>
      </c>
      <c r="BH32" s="39"/>
      <c r="BI32" s="39">
        <v>33718</v>
      </c>
      <c r="BJ32" s="88" t="e">
        <f t="shared" si="23"/>
        <v>#DIV/0!</v>
      </c>
      <c r="BK32" s="33">
        <f t="shared" si="24"/>
        <v>3.4135868731789643E-2</v>
      </c>
      <c r="BL32" s="13">
        <v>37491</v>
      </c>
      <c r="BM32" s="39"/>
      <c r="BN32" s="39">
        <v>56396</v>
      </c>
      <c r="BO32" s="88" t="e">
        <f t="shared" si="25"/>
        <v>#DIV/0!</v>
      </c>
      <c r="BP32" s="15">
        <f t="shared" si="26"/>
        <v>0.50425435437838417</v>
      </c>
      <c r="BQ32" s="45">
        <v>39141</v>
      </c>
      <c r="BR32" s="39"/>
      <c r="BS32" s="39">
        <v>67527</v>
      </c>
      <c r="BT32" s="88" t="e">
        <f t="shared" si="27"/>
        <v>#DIV/0!</v>
      </c>
      <c r="BU32" s="15">
        <f t="shared" si="28"/>
        <v>0.72522418946884337</v>
      </c>
    </row>
    <row r="33" spans="2:73" x14ac:dyDescent="0.3">
      <c r="B33" s="380"/>
      <c r="C33" s="405"/>
      <c r="D33" s="284" t="s">
        <v>38</v>
      </c>
      <c r="E33" s="285"/>
      <c r="F33" s="45">
        <f t="shared" si="65"/>
        <v>287191</v>
      </c>
      <c r="G33" s="39">
        <v>359470</v>
      </c>
      <c r="H33" s="33">
        <f t="shared" si="2"/>
        <v>0.25167571407181977</v>
      </c>
      <c r="I33" s="107">
        <f t="shared" si="62"/>
        <v>287191</v>
      </c>
      <c r="J33" s="87">
        <f t="shared" si="63"/>
        <v>0</v>
      </c>
      <c r="K33" s="87">
        <f t="shared" si="64"/>
        <v>369392</v>
      </c>
      <c r="L33" s="88" t="e">
        <f t="shared" si="3"/>
        <v>#DIV/0!</v>
      </c>
      <c r="M33" s="15">
        <f t="shared" si="4"/>
        <v>0.28622415047825323</v>
      </c>
      <c r="N33" s="13">
        <v>22204</v>
      </c>
      <c r="O33" s="39"/>
      <c r="P33" s="39">
        <v>23777</v>
      </c>
      <c r="Q33" s="88" t="e">
        <f t="shared" si="5"/>
        <v>#DIV/0!</v>
      </c>
      <c r="R33" s="15">
        <f t="shared" si="6"/>
        <v>7.0843091334894526E-2</v>
      </c>
      <c r="S33" s="45">
        <v>14135</v>
      </c>
      <c r="T33" s="39"/>
      <c r="U33" s="39">
        <v>25726</v>
      </c>
      <c r="V33" s="88" t="e">
        <f t="shared" si="7"/>
        <v>#DIV/0!</v>
      </c>
      <c r="W33" s="33">
        <f t="shared" si="8"/>
        <v>0.82002122391227439</v>
      </c>
      <c r="X33" s="13">
        <v>43648</v>
      </c>
      <c r="Y33" s="39"/>
      <c r="Z33" s="39">
        <v>34152</v>
      </c>
      <c r="AA33" s="88" t="e">
        <f t="shared" si="9"/>
        <v>#DIV/0!</v>
      </c>
      <c r="AB33" s="15">
        <f t="shared" si="10"/>
        <v>-0.21755865102639294</v>
      </c>
      <c r="AC33" s="45">
        <v>24240</v>
      </c>
      <c r="AD33" s="39"/>
      <c r="AE33" s="39">
        <v>22816</v>
      </c>
      <c r="AF33" s="88" t="e">
        <f t="shared" si="11"/>
        <v>#DIV/0!</v>
      </c>
      <c r="AG33" s="33">
        <f t="shared" si="12"/>
        <v>-5.8745874587458724E-2</v>
      </c>
      <c r="AH33" s="13">
        <v>30602</v>
      </c>
      <c r="AI33" s="39"/>
      <c r="AJ33" s="39">
        <v>66314</v>
      </c>
      <c r="AK33" s="88" t="e">
        <f t="shared" si="13"/>
        <v>#DIV/0!</v>
      </c>
      <c r="AL33" s="15">
        <f t="shared" si="14"/>
        <v>1.1669825501601201</v>
      </c>
      <c r="AM33" s="45">
        <v>21841</v>
      </c>
      <c r="AN33" s="39"/>
      <c r="AO33" s="39">
        <v>21143</v>
      </c>
      <c r="AP33" s="88" t="e">
        <f t="shared" si="15"/>
        <v>#DIV/0!</v>
      </c>
      <c r="AQ33" s="33">
        <f t="shared" si="16"/>
        <v>-3.1958243670161646E-2</v>
      </c>
      <c r="AR33" s="13">
        <v>21423</v>
      </c>
      <c r="AS33" s="39"/>
      <c r="AT33" s="39">
        <v>23490</v>
      </c>
      <c r="AU33" s="88" t="e">
        <f t="shared" si="17"/>
        <v>#DIV/0!</v>
      </c>
      <c r="AV33" s="15">
        <f t="shared" si="18"/>
        <v>9.6485086122391817E-2</v>
      </c>
      <c r="AW33" s="45">
        <v>20242</v>
      </c>
      <c r="AX33" s="39"/>
      <c r="AY33" s="39">
        <v>24940</v>
      </c>
      <c r="AZ33" s="88" t="e">
        <f t="shared" si="19"/>
        <v>#DIV/0!</v>
      </c>
      <c r="BA33" s="33">
        <f t="shared" si="20"/>
        <v>0.23209169054441259</v>
      </c>
      <c r="BB33" s="13">
        <v>19808</v>
      </c>
      <c r="BC33" s="39"/>
      <c r="BD33" s="39">
        <v>30043</v>
      </c>
      <c r="BE33" s="88" t="e">
        <f t="shared" si="21"/>
        <v>#DIV/0!</v>
      </c>
      <c r="BF33" s="15">
        <f t="shared" si="22"/>
        <v>0.51671042003231027</v>
      </c>
      <c r="BG33" s="45">
        <v>24480</v>
      </c>
      <c r="BH33" s="39"/>
      <c r="BI33" s="39">
        <v>20412</v>
      </c>
      <c r="BJ33" s="88" t="e">
        <f t="shared" si="23"/>
        <v>#DIV/0!</v>
      </c>
      <c r="BK33" s="33">
        <f t="shared" si="24"/>
        <v>-0.16617647058823526</v>
      </c>
      <c r="BL33" s="13">
        <v>25001</v>
      </c>
      <c r="BM33" s="39"/>
      <c r="BN33" s="39">
        <v>30387</v>
      </c>
      <c r="BO33" s="88" t="e">
        <f t="shared" si="25"/>
        <v>#DIV/0!</v>
      </c>
      <c r="BP33" s="15">
        <f t="shared" si="26"/>
        <v>0.21543138274469031</v>
      </c>
      <c r="BQ33" s="45">
        <v>19567</v>
      </c>
      <c r="BR33" s="39"/>
      <c r="BS33" s="39">
        <v>46192</v>
      </c>
      <c r="BT33" s="88" t="e">
        <f t="shared" si="27"/>
        <v>#DIV/0!</v>
      </c>
      <c r="BU33" s="15">
        <f t="shared" si="28"/>
        <v>1.3607093575918641</v>
      </c>
    </row>
    <row r="34" spans="2:73" x14ac:dyDescent="0.3">
      <c r="B34" s="380"/>
      <c r="C34" s="405"/>
      <c r="D34" s="284" t="s">
        <v>39</v>
      </c>
      <c r="E34" s="285"/>
      <c r="F34" s="45">
        <f t="shared" si="65"/>
        <v>1601635.7</v>
      </c>
      <c r="G34" s="39">
        <v>1439800</v>
      </c>
      <c r="H34" s="33">
        <f t="shared" si="2"/>
        <v>-0.10104401394149742</v>
      </c>
      <c r="I34" s="107">
        <f t="shared" si="62"/>
        <v>1601635.7</v>
      </c>
      <c r="J34" s="87">
        <f t="shared" si="63"/>
        <v>0</v>
      </c>
      <c r="K34" s="87">
        <f t="shared" si="64"/>
        <v>1451652</v>
      </c>
      <c r="L34" s="88" t="e">
        <f t="shared" si="3"/>
        <v>#DIV/0!</v>
      </c>
      <c r="M34" s="15">
        <f t="shared" si="4"/>
        <v>-9.3644078987500046E-2</v>
      </c>
      <c r="N34" s="13">
        <v>101275.3</v>
      </c>
      <c r="O34" s="39"/>
      <c r="P34" s="39">
        <v>92739</v>
      </c>
      <c r="Q34" s="88" t="e">
        <f t="shared" si="5"/>
        <v>#DIV/0!</v>
      </c>
      <c r="R34" s="15">
        <f t="shared" si="6"/>
        <v>-8.4288074189856732E-2</v>
      </c>
      <c r="S34" s="45">
        <v>113348.09999999999</v>
      </c>
      <c r="T34" s="39"/>
      <c r="U34" s="39">
        <v>99256</v>
      </c>
      <c r="V34" s="88" t="e">
        <f t="shared" si="7"/>
        <v>#DIV/0!</v>
      </c>
      <c r="W34" s="33">
        <f t="shared" si="8"/>
        <v>-0.12432585989531353</v>
      </c>
      <c r="X34" s="13">
        <v>135086.39999999999</v>
      </c>
      <c r="Y34" s="39"/>
      <c r="Z34" s="39">
        <v>98802</v>
      </c>
      <c r="AA34" s="88" t="e">
        <f t="shared" si="9"/>
        <v>#DIV/0!</v>
      </c>
      <c r="AB34" s="15">
        <f t="shared" si="10"/>
        <v>-0.26860142841914503</v>
      </c>
      <c r="AC34" s="45">
        <v>232268.9</v>
      </c>
      <c r="AD34" s="39"/>
      <c r="AE34" s="39">
        <v>142848</v>
      </c>
      <c r="AF34" s="88" t="e">
        <f t="shared" si="11"/>
        <v>#DIV/0!</v>
      </c>
      <c r="AG34" s="33">
        <f t="shared" si="12"/>
        <v>-0.38498869198588359</v>
      </c>
      <c r="AH34" s="13">
        <v>162398</v>
      </c>
      <c r="AI34" s="39"/>
      <c r="AJ34" s="39">
        <v>120517</v>
      </c>
      <c r="AK34" s="88" t="e">
        <f t="shared" si="13"/>
        <v>#DIV/0!</v>
      </c>
      <c r="AL34" s="15">
        <f t="shared" si="14"/>
        <v>-0.25789110703333784</v>
      </c>
      <c r="AM34" s="45">
        <v>143312</v>
      </c>
      <c r="AN34" s="39"/>
      <c r="AO34" s="39">
        <v>124598</v>
      </c>
      <c r="AP34" s="88" t="e">
        <f t="shared" si="15"/>
        <v>#DIV/0!</v>
      </c>
      <c r="AQ34" s="33">
        <f t="shared" si="16"/>
        <v>-0.13058222619180526</v>
      </c>
      <c r="AR34" s="13">
        <v>99165</v>
      </c>
      <c r="AS34" s="39"/>
      <c r="AT34" s="39">
        <v>140711</v>
      </c>
      <c r="AU34" s="88" t="e">
        <f t="shared" si="17"/>
        <v>#DIV/0!</v>
      </c>
      <c r="AV34" s="15">
        <f t="shared" si="18"/>
        <v>0.41895830182019855</v>
      </c>
      <c r="AW34" s="45">
        <v>170408</v>
      </c>
      <c r="AX34" s="39"/>
      <c r="AY34" s="39">
        <v>136456</v>
      </c>
      <c r="AZ34" s="88" t="e">
        <f t="shared" si="19"/>
        <v>#DIV/0!</v>
      </c>
      <c r="BA34" s="33">
        <f t="shared" si="20"/>
        <v>-0.19923947232524297</v>
      </c>
      <c r="BB34" s="13">
        <v>103911</v>
      </c>
      <c r="BC34" s="39"/>
      <c r="BD34" s="39">
        <v>114009</v>
      </c>
      <c r="BE34" s="88" t="e">
        <f t="shared" si="21"/>
        <v>#DIV/0!</v>
      </c>
      <c r="BF34" s="15">
        <f t="shared" si="22"/>
        <v>9.7179316915437353E-2</v>
      </c>
      <c r="BG34" s="45">
        <v>93114</v>
      </c>
      <c r="BH34" s="39"/>
      <c r="BI34" s="39">
        <v>145367</v>
      </c>
      <c r="BJ34" s="88" t="e">
        <f t="shared" si="23"/>
        <v>#DIV/0!</v>
      </c>
      <c r="BK34" s="33">
        <f t="shared" si="24"/>
        <v>0.561172326395601</v>
      </c>
      <c r="BL34" s="13">
        <v>130740</v>
      </c>
      <c r="BM34" s="39"/>
      <c r="BN34" s="39">
        <v>116398</v>
      </c>
      <c r="BO34" s="88" t="e">
        <f t="shared" si="25"/>
        <v>#DIV/0!</v>
      </c>
      <c r="BP34" s="15">
        <f t="shared" si="26"/>
        <v>-0.10969863851919837</v>
      </c>
      <c r="BQ34" s="45">
        <v>116609</v>
      </c>
      <c r="BR34" s="39"/>
      <c r="BS34" s="39">
        <v>119951</v>
      </c>
      <c r="BT34" s="88" t="e">
        <f t="shared" si="27"/>
        <v>#DIV/0!</v>
      </c>
      <c r="BU34" s="15">
        <f t="shared" si="28"/>
        <v>2.8659880455196518E-2</v>
      </c>
    </row>
    <row r="35" spans="2:73" x14ac:dyDescent="0.3">
      <c r="B35" s="380"/>
      <c r="C35" s="405"/>
      <c r="D35" s="284" t="s">
        <v>40</v>
      </c>
      <c r="E35" s="285"/>
      <c r="F35" s="45">
        <f t="shared" si="65"/>
        <v>399081.2</v>
      </c>
      <c r="G35" s="39">
        <v>638927</v>
      </c>
      <c r="H35" s="33">
        <f t="shared" si="2"/>
        <v>0.6009949854816512</v>
      </c>
      <c r="I35" s="107">
        <f t="shared" si="62"/>
        <v>399081.2</v>
      </c>
      <c r="J35" s="87">
        <f t="shared" si="63"/>
        <v>0</v>
      </c>
      <c r="K35" s="87">
        <f t="shared" si="64"/>
        <v>637667</v>
      </c>
      <c r="L35" s="88" t="e">
        <f t="shared" si="3"/>
        <v>#DIV/0!</v>
      </c>
      <c r="M35" s="15">
        <f t="shared" si="4"/>
        <v>0.5978377332733289</v>
      </c>
      <c r="N35" s="13">
        <v>19650.5</v>
      </c>
      <c r="O35" s="39"/>
      <c r="P35" s="39">
        <v>34313</v>
      </c>
      <c r="Q35" s="88" t="e">
        <f t="shared" si="5"/>
        <v>#DIV/0!</v>
      </c>
      <c r="R35" s="15">
        <f t="shared" si="6"/>
        <v>0.74616421973995584</v>
      </c>
      <c r="S35" s="45">
        <v>32653.5</v>
      </c>
      <c r="T35" s="39"/>
      <c r="U35" s="39">
        <v>30604</v>
      </c>
      <c r="V35" s="88" t="e">
        <f t="shared" si="7"/>
        <v>#DIV/0!</v>
      </c>
      <c r="W35" s="33">
        <f t="shared" si="8"/>
        <v>-6.2765094094048068E-2</v>
      </c>
      <c r="X35" s="13">
        <v>36624.700000000004</v>
      </c>
      <c r="Y35" s="39"/>
      <c r="Z35" s="39">
        <v>31452</v>
      </c>
      <c r="AA35" s="88" t="e">
        <f t="shared" si="9"/>
        <v>#DIV/0!</v>
      </c>
      <c r="AB35" s="15">
        <f t="shared" si="10"/>
        <v>-0.14123528656890028</v>
      </c>
      <c r="AC35" s="45">
        <v>30640.500000000004</v>
      </c>
      <c r="AD35" s="39"/>
      <c r="AE35" s="39">
        <v>43895</v>
      </c>
      <c r="AF35" s="88" t="e">
        <f t="shared" si="11"/>
        <v>#DIV/0!</v>
      </c>
      <c r="AG35" s="33">
        <f t="shared" si="12"/>
        <v>0.43258106101401728</v>
      </c>
      <c r="AH35" s="13">
        <v>51659</v>
      </c>
      <c r="AI35" s="39"/>
      <c r="AJ35" s="39">
        <v>67610</v>
      </c>
      <c r="AK35" s="88" t="e">
        <f t="shared" si="13"/>
        <v>#DIV/0!</v>
      </c>
      <c r="AL35" s="15">
        <f t="shared" si="14"/>
        <v>0.3087748504616814</v>
      </c>
      <c r="AM35" s="45">
        <v>29741</v>
      </c>
      <c r="AN35" s="39"/>
      <c r="AO35" s="39">
        <v>56131</v>
      </c>
      <c r="AP35" s="88" t="e">
        <f t="shared" si="15"/>
        <v>#DIV/0!</v>
      </c>
      <c r="AQ35" s="33">
        <f t="shared" si="16"/>
        <v>0.88732725866648732</v>
      </c>
      <c r="AR35" s="13">
        <v>36325</v>
      </c>
      <c r="AS35" s="39"/>
      <c r="AT35" s="39">
        <v>37815</v>
      </c>
      <c r="AU35" s="88" t="e">
        <f t="shared" si="17"/>
        <v>#DIV/0!</v>
      </c>
      <c r="AV35" s="15">
        <f t="shared" si="18"/>
        <v>4.1018582243633972E-2</v>
      </c>
      <c r="AW35" s="45">
        <v>20887</v>
      </c>
      <c r="AX35" s="39"/>
      <c r="AY35" s="39">
        <v>86466</v>
      </c>
      <c r="AZ35" s="88" t="e">
        <f t="shared" si="19"/>
        <v>#DIV/0!</v>
      </c>
      <c r="BA35" s="33">
        <f t="shared" si="20"/>
        <v>3.1397041221812607</v>
      </c>
      <c r="BB35" s="13">
        <v>29538</v>
      </c>
      <c r="BC35" s="39"/>
      <c r="BD35" s="39">
        <v>64363</v>
      </c>
      <c r="BE35" s="88" t="e">
        <f t="shared" si="21"/>
        <v>#DIV/0!</v>
      </c>
      <c r="BF35" s="15">
        <f t="shared" si="22"/>
        <v>1.1789897758819148</v>
      </c>
      <c r="BG35" s="45">
        <v>25018</v>
      </c>
      <c r="BH35" s="39"/>
      <c r="BI35" s="39">
        <v>91873</v>
      </c>
      <c r="BJ35" s="88" t="e">
        <f t="shared" si="23"/>
        <v>#DIV/0!</v>
      </c>
      <c r="BK35" s="33">
        <f t="shared" si="24"/>
        <v>2.6722759613078582</v>
      </c>
      <c r="BL35" s="13">
        <v>49785</v>
      </c>
      <c r="BM35" s="39"/>
      <c r="BN35" s="39">
        <v>51371</v>
      </c>
      <c r="BO35" s="88" t="e">
        <f t="shared" si="25"/>
        <v>#DIV/0!</v>
      </c>
      <c r="BP35" s="15">
        <f t="shared" si="26"/>
        <v>3.1856985035653373E-2</v>
      </c>
      <c r="BQ35" s="45">
        <v>36559</v>
      </c>
      <c r="BR35" s="39"/>
      <c r="BS35" s="39">
        <v>41774</v>
      </c>
      <c r="BT35" s="88" t="e">
        <f t="shared" si="27"/>
        <v>#DIV/0!</v>
      </c>
      <c r="BU35" s="15">
        <f t="shared" si="28"/>
        <v>0.14264613364698153</v>
      </c>
    </row>
    <row r="36" spans="2:73" ht="17.25" thickBot="1" x14ac:dyDescent="0.35">
      <c r="B36" s="380"/>
      <c r="C36" s="405"/>
      <c r="D36" s="286" t="s">
        <v>41</v>
      </c>
      <c r="E36" s="287"/>
      <c r="F36" s="45">
        <f t="shared" si="65"/>
        <v>148762</v>
      </c>
      <c r="G36" s="39">
        <v>51738</v>
      </c>
      <c r="H36" s="33">
        <f t="shared" si="2"/>
        <v>-0.6522095696481629</v>
      </c>
      <c r="I36" s="107">
        <f t="shared" si="62"/>
        <v>148762</v>
      </c>
      <c r="J36" s="87">
        <f t="shared" si="63"/>
        <v>0</v>
      </c>
      <c r="K36" s="87">
        <f t="shared" si="64"/>
        <v>84870</v>
      </c>
      <c r="L36" s="88" t="e">
        <f t="shared" si="3"/>
        <v>#DIV/0!</v>
      </c>
      <c r="M36" s="15">
        <f t="shared" si="4"/>
        <v>-0.4294914023742622</v>
      </c>
      <c r="N36" s="13">
        <v>4773</v>
      </c>
      <c r="O36" s="39"/>
      <c r="P36" s="39">
        <v>10865</v>
      </c>
      <c r="Q36" s="88" t="e">
        <f t="shared" si="5"/>
        <v>#DIV/0!</v>
      </c>
      <c r="R36" s="15">
        <f t="shared" si="6"/>
        <v>1.2763461135554159</v>
      </c>
      <c r="S36" s="45">
        <v>1607</v>
      </c>
      <c r="T36" s="39"/>
      <c r="U36" s="39">
        <v>4339</v>
      </c>
      <c r="V36" s="88" t="e">
        <f t="shared" si="7"/>
        <v>#DIV/0!</v>
      </c>
      <c r="W36" s="33">
        <f t="shared" si="8"/>
        <v>1.7000622277535782</v>
      </c>
      <c r="X36" s="13">
        <v>6026</v>
      </c>
      <c r="Y36" s="39"/>
      <c r="Z36" s="39">
        <v>17960</v>
      </c>
      <c r="AA36" s="88" t="e">
        <f t="shared" si="9"/>
        <v>#DIV/0!</v>
      </c>
      <c r="AB36" s="15">
        <f t="shared" si="10"/>
        <v>1.9804181878526386</v>
      </c>
      <c r="AC36" s="45">
        <v>12860</v>
      </c>
      <c r="AD36" s="39"/>
      <c r="AE36" s="39">
        <v>3352</v>
      </c>
      <c r="AF36" s="88" t="e">
        <f t="shared" si="11"/>
        <v>#DIV/0!</v>
      </c>
      <c r="AG36" s="33">
        <f t="shared" si="12"/>
        <v>-0.73934681181959561</v>
      </c>
      <c r="AH36" s="13">
        <v>33228</v>
      </c>
      <c r="AI36" s="39"/>
      <c r="AJ36" s="39">
        <v>3221</v>
      </c>
      <c r="AK36" s="88" t="e">
        <f t="shared" si="13"/>
        <v>#DIV/0!</v>
      </c>
      <c r="AL36" s="15">
        <f t="shared" si="14"/>
        <v>-0.90306368123269531</v>
      </c>
      <c r="AM36" s="45">
        <v>21448</v>
      </c>
      <c r="AN36" s="39"/>
      <c r="AO36" s="39">
        <v>13190</v>
      </c>
      <c r="AP36" s="88" t="e">
        <f t="shared" si="15"/>
        <v>#DIV/0!</v>
      </c>
      <c r="AQ36" s="33">
        <f t="shared" si="16"/>
        <v>-0.38502424468481911</v>
      </c>
      <c r="AR36" s="13">
        <v>11096</v>
      </c>
      <c r="AS36" s="39"/>
      <c r="AT36" s="39">
        <v>7552</v>
      </c>
      <c r="AU36" s="88" t="e">
        <f t="shared" si="17"/>
        <v>#DIV/0!</v>
      </c>
      <c r="AV36" s="15">
        <f t="shared" si="18"/>
        <v>-0.31939437635183854</v>
      </c>
      <c r="AW36" s="45">
        <v>5671</v>
      </c>
      <c r="AX36" s="39"/>
      <c r="AY36" s="39">
        <v>4837</v>
      </c>
      <c r="AZ36" s="88" t="e">
        <f t="shared" si="19"/>
        <v>#DIV/0!</v>
      </c>
      <c r="BA36" s="33">
        <f t="shared" si="20"/>
        <v>-0.14706400987480162</v>
      </c>
      <c r="BB36" s="13">
        <v>13972</v>
      </c>
      <c r="BC36" s="39"/>
      <c r="BD36" s="39">
        <v>3078</v>
      </c>
      <c r="BE36" s="88" t="e">
        <f t="shared" si="21"/>
        <v>#DIV/0!</v>
      </c>
      <c r="BF36" s="15">
        <f t="shared" si="22"/>
        <v>-0.7797022616661895</v>
      </c>
      <c r="BG36" s="45">
        <v>13372</v>
      </c>
      <c r="BH36" s="39"/>
      <c r="BI36" s="39">
        <v>3464</v>
      </c>
      <c r="BJ36" s="88" t="e">
        <f t="shared" si="23"/>
        <v>#DIV/0!</v>
      </c>
      <c r="BK36" s="33">
        <f t="shared" si="24"/>
        <v>-0.74095124139994017</v>
      </c>
      <c r="BL36" s="13">
        <v>13857</v>
      </c>
      <c r="BM36" s="39"/>
      <c r="BN36" s="39">
        <v>2836</v>
      </c>
      <c r="BO36" s="88" t="e">
        <f t="shared" si="25"/>
        <v>#DIV/0!</v>
      </c>
      <c r="BP36" s="15">
        <f t="shared" si="26"/>
        <v>-0.79533809626903373</v>
      </c>
      <c r="BQ36" s="45">
        <v>10852</v>
      </c>
      <c r="BR36" s="39"/>
      <c r="BS36" s="39">
        <v>10176</v>
      </c>
      <c r="BT36" s="88" t="e">
        <f t="shared" si="27"/>
        <v>#DIV/0!</v>
      </c>
      <c r="BU36" s="15">
        <f t="shared" si="28"/>
        <v>-6.2292664946553611E-2</v>
      </c>
    </row>
    <row r="37" spans="2:73" ht="17.25" thickBot="1" x14ac:dyDescent="0.35">
      <c r="B37" s="406"/>
      <c r="C37" s="407" t="s">
        <v>42</v>
      </c>
      <c r="D37" s="408"/>
      <c r="E37" s="409"/>
      <c r="F37" s="123">
        <f>F29+F26</f>
        <v>6829880.9000000004</v>
      </c>
      <c r="G37" s="124">
        <f>G29+G26</f>
        <v>6632338</v>
      </c>
      <c r="H37" s="149">
        <f t="shared" si="2"/>
        <v>-2.8923330127176961E-2</v>
      </c>
      <c r="I37" s="125">
        <f>I29+I26</f>
        <v>6829880.9000000004</v>
      </c>
      <c r="J37" s="124">
        <f>J29+J26</f>
        <v>0</v>
      </c>
      <c r="K37" s="124">
        <f>K29+K26</f>
        <v>6624354</v>
      </c>
      <c r="L37" s="126" t="e">
        <f t="shared" si="3"/>
        <v>#DIV/0!</v>
      </c>
      <c r="M37" s="127">
        <f t="shared" si="4"/>
        <v>-3.0092310980122661E-2</v>
      </c>
      <c r="N37" s="125">
        <f>N29+N26</f>
        <v>815813.8</v>
      </c>
      <c r="O37" s="124">
        <f>O29+O26</f>
        <v>0</v>
      </c>
      <c r="P37" s="124">
        <f>P29+P26</f>
        <v>459076</v>
      </c>
      <c r="Q37" s="126" t="e">
        <f t="shared" si="5"/>
        <v>#DIV/0!</v>
      </c>
      <c r="R37" s="127">
        <f t="shared" si="6"/>
        <v>-0.43727845741270865</v>
      </c>
      <c r="S37" s="123">
        <f>S29+S26</f>
        <v>478866.6</v>
      </c>
      <c r="T37" s="124">
        <f>T29+T26</f>
        <v>0</v>
      </c>
      <c r="U37" s="124">
        <f>U29+U26</f>
        <v>707847</v>
      </c>
      <c r="V37" s="126" t="e">
        <f t="shared" si="7"/>
        <v>#DIV/0!</v>
      </c>
      <c r="W37" s="128">
        <f t="shared" si="8"/>
        <v>0.47817158264953119</v>
      </c>
      <c r="X37" s="125">
        <f>X29+X26</f>
        <v>725124.1</v>
      </c>
      <c r="Y37" s="124">
        <f>Y29+Y26</f>
        <v>0</v>
      </c>
      <c r="Z37" s="124">
        <f>Z29+Z26</f>
        <v>547583</v>
      </c>
      <c r="AA37" s="126" t="e">
        <f t="shared" si="9"/>
        <v>#DIV/0!</v>
      </c>
      <c r="AB37" s="127">
        <f t="shared" si="10"/>
        <v>-0.24484236560334982</v>
      </c>
      <c r="AC37" s="123">
        <f>AC29+AC26</f>
        <v>682863.4</v>
      </c>
      <c r="AD37" s="124">
        <f>AD29+AD26</f>
        <v>0</v>
      </c>
      <c r="AE37" s="124">
        <f>AE29+AE26</f>
        <v>567017</v>
      </c>
      <c r="AF37" s="126" t="e">
        <f t="shared" si="11"/>
        <v>#DIV/0!</v>
      </c>
      <c r="AG37" s="128">
        <f t="shared" si="12"/>
        <v>-0.16964798523394287</v>
      </c>
      <c r="AH37" s="125">
        <f>AH29+AH26</f>
        <v>603686</v>
      </c>
      <c r="AI37" s="124">
        <f>AI29+AI26</f>
        <v>0</v>
      </c>
      <c r="AJ37" s="124">
        <f>AJ29+AJ26</f>
        <v>607043</v>
      </c>
      <c r="AK37" s="126" t="e">
        <f t="shared" si="13"/>
        <v>#DIV/0!</v>
      </c>
      <c r="AL37" s="127">
        <f t="shared" si="14"/>
        <v>5.5608379190505985E-3</v>
      </c>
      <c r="AM37" s="123">
        <f>AM29+AM26</f>
        <v>626363</v>
      </c>
      <c r="AN37" s="124">
        <f>AN29+AN26</f>
        <v>0</v>
      </c>
      <c r="AO37" s="124">
        <f>AO29+AO26</f>
        <v>529516</v>
      </c>
      <c r="AP37" s="126" t="e">
        <f t="shared" si="15"/>
        <v>#DIV/0!</v>
      </c>
      <c r="AQ37" s="128">
        <f t="shared" si="16"/>
        <v>-0.15461800904587275</v>
      </c>
      <c r="AR37" s="125">
        <f>AR29+AR26</f>
        <v>424396</v>
      </c>
      <c r="AS37" s="124">
        <f>AS29+AS26</f>
        <v>0</v>
      </c>
      <c r="AT37" s="124">
        <f>AT29+AT26</f>
        <v>459900</v>
      </c>
      <c r="AU37" s="126" t="e">
        <f t="shared" si="17"/>
        <v>#DIV/0!</v>
      </c>
      <c r="AV37" s="127">
        <f t="shared" si="18"/>
        <v>8.3657715906841679E-2</v>
      </c>
      <c r="AW37" s="123">
        <f>AW29+AW26</f>
        <v>518116</v>
      </c>
      <c r="AX37" s="124">
        <f>AX29+AX26</f>
        <v>0</v>
      </c>
      <c r="AY37" s="124">
        <f>AY29+AY26</f>
        <v>496504</v>
      </c>
      <c r="AZ37" s="126" t="e">
        <f t="shared" si="19"/>
        <v>#DIV/0!</v>
      </c>
      <c r="BA37" s="128">
        <f t="shared" si="20"/>
        <v>-4.1712666661519848E-2</v>
      </c>
      <c r="BB37" s="125">
        <f>BB29+BB26</f>
        <v>404976</v>
      </c>
      <c r="BC37" s="124">
        <f>BC29+BC26</f>
        <v>0</v>
      </c>
      <c r="BD37" s="124">
        <f>BD29+BD26</f>
        <v>437819</v>
      </c>
      <c r="BE37" s="126" t="e">
        <f t="shared" si="21"/>
        <v>#DIV/0!</v>
      </c>
      <c r="BF37" s="127">
        <f t="shared" si="22"/>
        <v>8.1098633005412646E-2</v>
      </c>
      <c r="BG37" s="123">
        <f>BG29+BG26</f>
        <v>501492</v>
      </c>
      <c r="BH37" s="124">
        <f>BH29+BH26</f>
        <v>0</v>
      </c>
      <c r="BI37" s="124">
        <f>BI29+BI26</f>
        <v>692626</v>
      </c>
      <c r="BJ37" s="126" t="e">
        <f t="shared" si="23"/>
        <v>#DIV/0!</v>
      </c>
      <c r="BK37" s="128">
        <f t="shared" si="24"/>
        <v>0.38113070597337551</v>
      </c>
      <c r="BL37" s="125">
        <f>BL29+BL26</f>
        <v>571378</v>
      </c>
      <c r="BM37" s="124">
        <f>BM29+BM26</f>
        <v>0</v>
      </c>
      <c r="BN37" s="124">
        <f>BN29+BN26</f>
        <v>595303</v>
      </c>
      <c r="BO37" s="126" t="e">
        <f t="shared" si="25"/>
        <v>#DIV/0!</v>
      </c>
      <c r="BP37" s="127">
        <f t="shared" si="26"/>
        <v>4.1872455712330447E-2</v>
      </c>
      <c r="BQ37" s="123">
        <f>BQ29+BQ26</f>
        <v>476806</v>
      </c>
      <c r="BR37" s="124">
        <f>BR29+BR26</f>
        <v>0</v>
      </c>
      <c r="BS37" s="124">
        <f>BS29+BS26</f>
        <v>524120</v>
      </c>
      <c r="BT37" s="126" t="e">
        <f t="shared" si="27"/>
        <v>#DIV/0!</v>
      </c>
      <c r="BU37" s="127">
        <f t="shared" si="28"/>
        <v>9.923113383640314E-2</v>
      </c>
    </row>
    <row r="38" spans="2:73" x14ac:dyDescent="0.3">
      <c r="B38" s="379" t="s">
        <v>43</v>
      </c>
      <c r="C38" s="382" t="s">
        <v>13</v>
      </c>
      <c r="D38" s="368"/>
      <c r="E38" s="369"/>
      <c r="F38" s="52">
        <v>59089</v>
      </c>
      <c r="G38" s="38">
        <f t="shared" ref="G38:G43" si="66">K38</f>
        <v>75342</v>
      </c>
      <c r="H38" s="77">
        <f t="shared" si="2"/>
        <v>0.27505965577349412</v>
      </c>
      <c r="I38" s="131">
        <f t="shared" ref="I38:K39" si="67">N38+S38+X38+AC38+AH38+AM38+AR38+AW38+BB38+BG38+BL38+BQ38</f>
        <v>59201</v>
      </c>
      <c r="J38" s="132">
        <f t="shared" si="67"/>
        <v>58596</v>
      </c>
      <c r="K38" s="132">
        <f t="shared" si="67"/>
        <v>75342</v>
      </c>
      <c r="L38" s="115">
        <f t="shared" si="3"/>
        <v>0.28578742576285077</v>
      </c>
      <c r="M38" s="10">
        <f t="shared" si="4"/>
        <v>0.27264742149625842</v>
      </c>
      <c r="N38" s="8">
        <v>8458</v>
      </c>
      <c r="O38" s="9">
        <v>4883</v>
      </c>
      <c r="P38" s="9">
        <v>6107</v>
      </c>
      <c r="Q38" s="115">
        <f>P38/O38</f>
        <v>1.2506655744419415</v>
      </c>
      <c r="R38" s="10">
        <f t="shared" si="6"/>
        <v>-0.2779616930716482</v>
      </c>
      <c r="S38" s="52">
        <v>1311</v>
      </c>
      <c r="T38" s="9">
        <v>4883</v>
      </c>
      <c r="U38" s="9">
        <v>3002</v>
      </c>
      <c r="V38" s="115">
        <f>U38/T38</f>
        <v>0.61478599221789887</v>
      </c>
      <c r="W38" s="77">
        <f t="shared" si="8"/>
        <v>1.2898550724637681</v>
      </c>
      <c r="X38" s="8">
        <v>2614</v>
      </c>
      <c r="Y38" s="9">
        <v>4883</v>
      </c>
      <c r="Z38" s="9">
        <v>4364</v>
      </c>
      <c r="AA38" s="115">
        <f>Z38/Y38</f>
        <v>0.89371288142535321</v>
      </c>
      <c r="AB38" s="10">
        <f t="shared" si="10"/>
        <v>0.6694720734506503</v>
      </c>
      <c r="AC38" s="52">
        <v>2334</v>
      </c>
      <c r="AD38" s="9">
        <v>4883</v>
      </c>
      <c r="AE38" s="9">
        <v>5456</v>
      </c>
      <c r="AF38" s="115">
        <f>AE38/AD38</f>
        <v>1.1173458939176735</v>
      </c>
      <c r="AG38" s="77">
        <f t="shared" si="12"/>
        <v>1.3376178234790062</v>
      </c>
      <c r="AH38" s="8">
        <v>4633</v>
      </c>
      <c r="AI38" s="9">
        <v>4883</v>
      </c>
      <c r="AJ38" s="9">
        <v>4620</v>
      </c>
      <c r="AK38" s="115">
        <f>AJ38/AI38</f>
        <v>0.94613966823673967</v>
      </c>
      <c r="AL38" s="10">
        <f t="shared" si="14"/>
        <v>-2.8059572631125018E-3</v>
      </c>
      <c r="AM38" s="52">
        <v>6273</v>
      </c>
      <c r="AN38" s="9">
        <v>4883</v>
      </c>
      <c r="AO38" s="9">
        <v>7529</v>
      </c>
      <c r="AP38" s="115">
        <f>AO38/AN38</f>
        <v>1.5418799918083146</v>
      </c>
      <c r="AQ38" s="77">
        <f t="shared" si="16"/>
        <v>0.20022317870237516</v>
      </c>
      <c r="AR38" s="8">
        <f>3921+400</f>
        <v>4321</v>
      </c>
      <c r="AS38" s="9">
        <v>4883</v>
      </c>
      <c r="AT38" s="9">
        <v>5785</v>
      </c>
      <c r="AU38" s="115">
        <f>AT38/AS38</f>
        <v>1.1847225066557445</v>
      </c>
      <c r="AV38" s="10">
        <f t="shared" si="18"/>
        <v>0.3388104605415414</v>
      </c>
      <c r="AW38" s="52">
        <v>4488</v>
      </c>
      <c r="AX38" s="9">
        <v>4883</v>
      </c>
      <c r="AY38" s="9">
        <v>9572</v>
      </c>
      <c r="AZ38" s="115">
        <f>AY38/AX38</f>
        <v>1.9602703256194962</v>
      </c>
      <c r="BA38" s="77">
        <f t="shared" si="20"/>
        <v>1.1327985739750446</v>
      </c>
      <c r="BB38" s="8">
        <v>6363</v>
      </c>
      <c r="BC38" s="9">
        <v>4883</v>
      </c>
      <c r="BD38" s="9">
        <v>5844</v>
      </c>
      <c r="BE38" s="115">
        <f>BD38/BC38</f>
        <v>1.196805242678681</v>
      </c>
      <c r="BF38" s="10">
        <f t="shared" si="22"/>
        <v>-8.1565299387081569E-2</v>
      </c>
      <c r="BG38" s="52">
        <v>4899</v>
      </c>
      <c r="BH38" s="9">
        <v>4883</v>
      </c>
      <c r="BI38" s="9">
        <v>6880</v>
      </c>
      <c r="BJ38" s="115">
        <f>BI38/BH38</f>
        <v>1.4089698955560106</v>
      </c>
      <c r="BK38" s="77">
        <f t="shared" si="24"/>
        <v>0.40436823841600322</v>
      </c>
      <c r="BL38" s="8">
        <f>4230+3000</f>
        <v>7230</v>
      </c>
      <c r="BM38" s="9">
        <v>4883</v>
      </c>
      <c r="BN38" s="9">
        <v>11334</v>
      </c>
      <c r="BO38" s="115">
        <f>BN38/BM38</f>
        <v>2.3211140692197421</v>
      </c>
      <c r="BP38" s="10">
        <f t="shared" si="26"/>
        <v>0.56763485477178421</v>
      </c>
      <c r="BQ38" s="52">
        <v>6277</v>
      </c>
      <c r="BR38" s="9">
        <v>4883</v>
      </c>
      <c r="BS38" s="9">
        <v>4849</v>
      </c>
      <c r="BT38" s="115">
        <f>BS38/BR38</f>
        <v>0.99303706737661279</v>
      </c>
      <c r="BU38" s="10">
        <f t="shared" si="28"/>
        <v>-0.22749721204397</v>
      </c>
    </row>
    <row r="39" spans="2:73" x14ac:dyDescent="0.3">
      <c r="B39" s="380"/>
      <c r="C39" s="383" t="s">
        <v>14</v>
      </c>
      <c r="D39" s="356"/>
      <c r="E39" s="357"/>
      <c r="F39" s="45">
        <f>I39</f>
        <v>56642</v>
      </c>
      <c r="G39" s="39">
        <f t="shared" si="66"/>
        <v>77688</v>
      </c>
      <c r="H39" s="33">
        <f t="shared" si="2"/>
        <v>0.3715617386391723</v>
      </c>
      <c r="I39" s="105">
        <f t="shared" si="67"/>
        <v>56642</v>
      </c>
      <c r="J39" s="85">
        <f t="shared" si="67"/>
        <v>58596</v>
      </c>
      <c r="K39" s="85">
        <f t="shared" si="67"/>
        <v>77688</v>
      </c>
      <c r="L39" s="88">
        <f t="shared" si="3"/>
        <v>0.32582428834732746</v>
      </c>
      <c r="M39" s="15">
        <f t="shared" si="4"/>
        <v>0.3715617386391723</v>
      </c>
      <c r="N39" s="13">
        <v>8650</v>
      </c>
      <c r="O39" s="28">
        <v>4883</v>
      </c>
      <c r="P39" s="14">
        <v>8650</v>
      </c>
      <c r="Q39" s="88">
        <f>P39/O39</f>
        <v>1.7714519762441123</v>
      </c>
      <c r="R39" s="15">
        <f t="shared" si="6"/>
        <v>0</v>
      </c>
      <c r="S39" s="45">
        <v>1113</v>
      </c>
      <c r="T39" s="28">
        <v>4883</v>
      </c>
      <c r="U39" s="14">
        <v>2850</v>
      </c>
      <c r="V39" s="88">
        <f>U39/T39</f>
        <v>0.58365758754863817</v>
      </c>
      <c r="W39" s="33">
        <f t="shared" si="8"/>
        <v>1.5606469002695418</v>
      </c>
      <c r="X39" s="13">
        <v>2306</v>
      </c>
      <c r="Y39" s="28">
        <v>4883</v>
      </c>
      <c r="Z39" s="14">
        <v>6557</v>
      </c>
      <c r="AA39" s="88">
        <f>Z39/Y39</f>
        <v>1.3428220356338316</v>
      </c>
      <c r="AB39" s="15">
        <f t="shared" si="10"/>
        <v>1.8434518647007807</v>
      </c>
      <c r="AC39" s="45">
        <v>8178</v>
      </c>
      <c r="AD39" s="28">
        <v>4883</v>
      </c>
      <c r="AE39" s="14">
        <v>3260</v>
      </c>
      <c r="AF39" s="88">
        <f>AE39/AD39</f>
        <v>0.66762236330124924</v>
      </c>
      <c r="AG39" s="33">
        <f t="shared" si="12"/>
        <v>-0.60136952800195642</v>
      </c>
      <c r="AH39" s="13">
        <v>1588</v>
      </c>
      <c r="AI39" s="28">
        <v>4883</v>
      </c>
      <c r="AJ39" s="14">
        <v>5412</v>
      </c>
      <c r="AK39" s="88">
        <f>AJ39/AI39</f>
        <v>1.1083350399344665</v>
      </c>
      <c r="AL39" s="15">
        <f t="shared" si="14"/>
        <v>2.4080604534005037</v>
      </c>
      <c r="AM39" s="45">
        <v>4933</v>
      </c>
      <c r="AN39" s="28">
        <v>4883</v>
      </c>
      <c r="AO39" s="14">
        <v>5339</v>
      </c>
      <c r="AP39" s="88">
        <f>AO39/AN39</f>
        <v>1.093385214007782</v>
      </c>
      <c r="AQ39" s="33">
        <f t="shared" si="16"/>
        <v>8.2302858301236625E-2</v>
      </c>
      <c r="AR39" s="13">
        <v>4789</v>
      </c>
      <c r="AS39" s="28">
        <v>4883</v>
      </c>
      <c r="AT39" s="14">
        <v>7065</v>
      </c>
      <c r="AU39" s="88">
        <f>AT39/AS39</f>
        <v>1.4468564407126767</v>
      </c>
      <c r="AV39" s="15">
        <f t="shared" si="18"/>
        <v>0.47525579452912936</v>
      </c>
      <c r="AW39" s="45">
        <v>5126</v>
      </c>
      <c r="AX39" s="28">
        <v>4883</v>
      </c>
      <c r="AY39" s="14">
        <v>7581</v>
      </c>
      <c r="AZ39" s="88">
        <f>AY39/AX39</f>
        <v>1.5525291828793775</v>
      </c>
      <c r="BA39" s="33">
        <f t="shared" si="20"/>
        <v>0.47893094030433092</v>
      </c>
      <c r="BB39" s="13">
        <v>6064</v>
      </c>
      <c r="BC39" s="28">
        <v>4883</v>
      </c>
      <c r="BD39" s="14">
        <v>7313</v>
      </c>
      <c r="BE39" s="88">
        <f>BD39/BC39</f>
        <v>1.4976448904362072</v>
      </c>
      <c r="BF39" s="15">
        <f t="shared" si="22"/>
        <v>0.20596965699208436</v>
      </c>
      <c r="BG39" s="45">
        <v>4400</v>
      </c>
      <c r="BH39" s="28">
        <v>4883</v>
      </c>
      <c r="BI39" s="14">
        <v>7840</v>
      </c>
      <c r="BJ39" s="88">
        <f>BI39/BH39</f>
        <v>1.6055703460987099</v>
      </c>
      <c r="BK39" s="33">
        <f t="shared" si="24"/>
        <v>0.78181818181818175</v>
      </c>
      <c r="BL39" s="13">
        <v>4005</v>
      </c>
      <c r="BM39" s="28">
        <v>4883</v>
      </c>
      <c r="BN39" s="14">
        <v>12420</v>
      </c>
      <c r="BO39" s="88">
        <f>BN39/BM39</f>
        <v>2.5435183288961705</v>
      </c>
      <c r="BP39" s="15">
        <f t="shared" si="26"/>
        <v>2.101123595505618</v>
      </c>
      <c r="BQ39" s="45">
        <v>5490</v>
      </c>
      <c r="BR39" s="28">
        <v>4883</v>
      </c>
      <c r="BS39" s="14">
        <v>3401</v>
      </c>
      <c r="BT39" s="88">
        <f>BS39/BR39</f>
        <v>0.69649805447470814</v>
      </c>
      <c r="BU39" s="15">
        <f t="shared" si="28"/>
        <v>-0.38051001821493624</v>
      </c>
    </row>
    <row r="40" spans="2:73" ht="17.25" thickBot="1" x14ac:dyDescent="0.35">
      <c r="B40" s="381"/>
      <c r="C40" s="384" t="s">
        <v>15</v>
      </c>
      <c r="D40" s="358"/>
      <c r="E40" s="359"/>
      <c r="F40" s="47">
        <f>I40</f>
        <v>1159</v>
      </c>
      <c r="G40" s="43">
        <f t="shared" si="66"/>
        <v>3913</v>
      </c>
      <c r="H40" s="76">
        <f t="shared" si="2"/>
        <v>2.37618636755824</v>
      </c>
      <c r="I40" s="5">
        <f>N40</f>
        <v>1159</v>
      </c>
      <c r="J40" s="43"/>
      <c r="K40" s="43">
        <f>BS40</f>
        <v>3913</v>
      </c>
      <c r="L40" s="72" t="e">
        <f t="shared" si="3"/>
        <v>#DIV/0!</v>
      </c>
      <c r="M40" s="6">
        <f t="shared" si="4"/>
        <v>2.37618636755824</v>
      </c>
      <c r="N40" s="5">
        <v>1159</v>
      </c>
      <c r="O40" s="7"/>
      <c r="P40" s="7">
        <v>4110</v>
      </c>
      <c r="Q40" s="72"/>
      <c r="R40" s="6">
        <f t="shared" si="6"/>
        <v>2.546160483175151</v>
      </c>
      <c r="S40" s="47">
        <v>1159</v>
      </c>
      <c r="T40" s="7"/>
      <c r="U40" s="7">
        <v>3958</v>
      </c>
      <c r="V40" s="72"/>
      <c r="W40" s="76">
        <f t="shared" si="8"/>
        <v>2.4150129421915443</v>
      </c>
      <c r="X40" s="34">
        <v>842</v>
      </c>
      <c r="Y40" s="7"/>
      <c r="Z40" s="7">
        <v>6151</v>
      </c>
      <c r="AA40" s="72"/>
      <c r="AB40" s="6">
        <f t="shared" si="10"/>
        <v>6.3052256532066506</v>
      </c>
      <c r="AC40" s="20">
        <v>6721</v>
      </c>
      <c r="AD40" s="7"/>
      <c r="AE40" s="7">
        <v>3955</v>
      </c>
      <c r="AF40" s="72"/>
      <c r="AG40" s="76">
        <f t="shared" si="12"/>
        <v>-0.41154590090760301</v>
      </c>
      <c r="AH40" s="5">
        <v>3692</v>
      </c>
      <c r="AI40" s="7"/>
      <c r="AJ40" s="7">
        <v>4725</v>
      </c>
      <c r="AK40" s="72"/>
      <c r="AL40" s="6">
        <f t="shared" si="14"/>
        <v>0.2797941495124594</v>
      </c>
      <c r="AM40" s="47">
        <v>2352</v>
      </c>
      <c r="AN40" s="7"/>
      <c r="AO40" s="7"/>
      <c r="AP40" s="72"/>
      <c r="AQ40" s="76">
        <f t="shared" si="16"/>
        <v>-1</v>
      </c>
      <c r="AR40" s="5">
        <v>3316</v>
      </c>
      <c r="AS40" s="7"/>
      <c r="AT40" s="7">
        <v>3837</v>
      </c>
      <c r="AU40" s="72"/>
      <c r="AV40" s="6">
        <f t="shared" si="18"/>
        <v>0.15711700844390841</v>
      </c>
      <c r="AW40" s="47">
        <v>3954</v>
      </c>
      <c r="AX40" s="7"/>
      <c r="AY40" s="7">
        <v>1846</v>
      </c>
      <c r="AZ40" s="72"/>
      <c r="BA40" s="76">
        <f t="shared" si="20"/>
        <v>-0.53313100657561963</v>
      </c>
      <c r="BB40" s="5">
        <v>3656</v>
      </c>
      <c r="BC40" s="7"/>
      <c r="BD40" s="7">
        <v>3315</v>
      </c>
      <c r="BE40" s="72"/>
      <c r="BF40" s="6">
        <f t="shared" si="22"/>
        <v>-9.3271334792122573E-2</v>
      </c>
      <c r="BG40" s="47">
        <v>3069</v>
      </c>
      <c r="BH40" s="7"/>
      <c r="BI40" s="7">
        <v>4275</v>
      </c>
      <c r="BJ40" s="72"/>
      <c r="BK40" s="76">
        <f t="shared" si="24"/>
        <v>0.39296187683284467</v>
      </c>
      <c r="BL40" s="5">
        <v>1159</v>
      </c>
      <c r="BM40" s="7"/>
      <c r="BN40" s="7">
        <v>5361</v>
      </c>
      <c r="BO40" s="72"/>
      <c r="BP40" s="6">
        <f t="shared" si="26"/>
        <v>3.6255392579810177</v>
      </c>
      <c r="BQ40" s="47">
        <v>1159</v>
      </c>
      <c r="BR40" s="7"/>
      <c r="BS40" s="7">
        <v>3913</v>
      </c>
      <c r="BT40" s="72"/>
      <c r="BU40" s="6">
        <f t="shared" si="28"/>
        <v>2.37618636755824</v>
      </c>
    </row>
    <row r="41" spans="2:73" x14ac:dyDescent="0.3">
      <c r="B41" s="398" t="s">
        <v>44</v>
      </c>
      <c r="C41" s="399" t="s">
        <v>13</v>
      </c>
      <c r="D41" s="354"/>
      <c r="E41" s="355"/>
      <c r="F41" s="56">
        <v>3002564</v>
      </c>
      <c r="G41" s="41">
        <f t="shared" si="66"/>
        <v>3088164</v>
      </c>
      <c r="H41" s="81">
        <f t="shared" si="2"/>
        <v>2.8508967668965601E-2</v>
      </c>
      <c r="I41" s="129">
        <f t="shared" ref="I41:K42" si="68">N41+S41+X41+AC41+AH41+AM41+AR41+AW41+BB41+BG41+BL41+BQ41</f>
        <v>3002564</v>
      </c>
      <c r="J41" s="130">
        <f t="shared" si="68"/>
        <v>3159996</v>
      </c>
      <c r="K41" s="130">
        <f t="shared" si="68"/>
        <v>3088164</v>
      </c>
      <c r="L41" s="112">
        <f t="shared" si="3"/>
        <v>-2.2731674343891561E-2</v>
      </c>
      <c r="M41" s="23">
        <f t="shared" si="4"/>
        <v>2.8508967668965601E-2</v>
      </c>
      <c r="N41" s="21">
        <v>207084</v>
      </c>
      <c r="O41" s="22">
        <v>263333</v>
      </c>
      <c r="P41" s="22">
        <v>215260</v>
      </c>
      <c r="Q41" s="112">
        <f>P41/O41</f>
        <v>0.81744407271401609</v>
      </c>
      <c r="R41" s="23">
        <f t="shared" si="6"/>
        <v>3.9481563037221612E-2</v>
      </c>
      <c r="S41" s="56">
        <v>270848</v>
      </c>
      <c r="T41" s="22">
        <v>263333</v>
      </c>
      <c r="U41" s="22">
        <v>254736</v>
      </c>
      <c r="V41" s="112">
        <f>U41/T41</f>
        <v>0.96735312323180156</v>
      </c>
      <c r="W41" s="81">
        <f t="shared" si="8"/>
        <v>-5.9487240075614345E-2</v>
      </c>
      <c r="X41" s="21">
        <v>225752</v>
      </c>
      <c r="Y41" s="22">
        <v>263333</v>
      </c>
      <c r="Z41" s="22">
        <v>239960</v>
      </c>
      <c r="AA41" s="112">
        <f>Z41/Y41</f>
        <v>0.91124165979956939</v>
      </c>
      <c r="AB41" s="23">
        <f t="shared" si="10"/>
        <v>6.2936319501045501E-2</v>
      </c>
      <c r="AC41" s="56">
        <v>254360</v>
      </c>
      <c r="AD41" s="22">
        <v>263333</v>
      </c>
      <c r="AE41" s="22">
        <v>261964</v>
      </c>
      <c r="AF41" s="112">
        <f>AE41/AD41</f>
        <v>0.99480125924210028</v>
      </c>
      <c r="AG41" s="81">
        <f t="shared" si="12"/>
        <v>2.9894637521622913E-2</v>
      </c>
      <c r="AH41" s="21">
        <v>275784</v>
      </c>
      <c r="AI41" s="22">
        <v>263333</v>
      </c>
      <c r="AJ41" s="22">
        <v>311292</v>
      </c>
      <c r="AK41" s="112">
        <f>AJ41/AI41</f>
        <v>1.1821230153455891</v>
      </c>
      <c r="AL41" s="23">
        <f t="shared" si="14"/>
        <v>0.12875293708119395</v>
      </c>
      <c r="AM41" s="56">
        <v>251548</v>
      </c>
      <c r="AN41" s="22">
        <v>263333</v>
      </c>
      <c r="AO41" s="22">
        <v>250172</v>
      </c>
      <c r="AP41" s="112">
        <f>AO41/AN41</f>
        <v>0.95002145572336172</v>
      </c>
      <c r="AQ41" s="81">
        <f t="shared" si="16"/>
        <v>-5.4701289614705884E-3</v>
      </c>
      <c r="AR41" s="21">
        <v>246832</v>
      </c>
      <c r="AS41" s="22">
        <v>263333</v>
      </c>
      <c r="AT41" s="22">
        <v>289496</v>
      </c>
      <c r="AU41" s="112">
        <f>AT41/AS41</f>
        <v>1.0993532903206207</v>
      </c>
      <c r="AV41" s="23">
        <f t="shared" si="18"/>
        <v>0.17284630842030202</v>
      </c>
      <c r="AW41" s="56">
        <v>272448</v>
      </c>
      <c r="AX41" s="22">
        <v>263333</v>
      </c>
      <c r="AY41" s="22">
        <v>237912</v>
      </c>
      <c r="AZ41" s="112">
        <f>AY41/AX41</f>
        <v>0.90346443476510729</v>
      </c>
      <c r="BA41" s="81">
        <f t="shared" si="20"/>
        <v>-0.12676180408738547</v>
      </c>
      <c r="BB41" s="21">
        <v>199492</v>
      </c>
      <c r="BC41" s="22">
        <v>263333</v>
      </c>
      <c r="BD41" s="22">
        <v>237272</v>
      </c>
      <c r="BE41" s="112">
        <f>BD41/BC41</f>
        <v>0.90103405194183794</v>
      </c>
      <c r="BF41" s="23">
        <f t="shared" si="22"/>
        <v>0.18938102781063892</v>
      </c>
      <c r="BG41" s="56">
        <v>232732</v>
      </c>
      <c r="BH41" s="22">
        <v>263333</v>
      </c>
      <c r="BI41" s="22">
        <v>310220</v>
      </c>
      <c r="BJ41" s="112">
        <f>BI41/BH41</f>
        <v>1.1780521241166129</v>
      </c>
      <c r="BK41" s="81">
        <f t="shared" si="24"/>
        <v>0.33294948696354609</v>
      </c>
      <c r="BL41" s="21">
        <v>289136</v>
      </c>
      <c r="BM41" s="22">
        <v>263333</v>
      </c>
      <c r="BN41" s="22">
        <v>187992</v>
      </c>
      <c r="BO41" s="112">
        <f>BN41/BM41</f>
        <v>0.71389457455009442</v>
      </c>
      <c r="BP41" s="23">
        <f t="shared" si="26"/>
        <v>-0.34981462010956776</v>
      </c>
      <c r="BQ41" s="56">
        <v>276548</v>
      </c>
      <c r="BR41" s="22">
        <v>263333</v>
      </c>
      <c r="BS41" s="22">
        <v>291888</v>
      </c>
      <c r="BT41" s="112">
        <f>BS41/BR41</f>
        <v>1.10843684612259</v>
      </c>
      <c r="BU41" s="23">
        <f t="shared" si="28"/>
        <v>5.5469574902006213E-2</v>
      </c>
    </row>
    <row r="42" spans="2:73" x14ac:dyDescent="0.3">
      <c r="B42" s="380"/>
      <c r="C42" s="383" t="s">
        <v>14</v>
      </c>
      <c r="D42" s="356"/>
      <c r="E42" s="357"/>
      <c r="F42" s="45">
        <f>I42</f>
        <v>3008984</v>
      </c>
      <c r="G42" s="39">
        <f t="shared" si="66"/>
        <v>3030956</v>
      </c>
      <c r="H42" s="33">
        <f t="shared" si="2"/>
        <v>7.3021325470656873E-3</v>
      </c>
      <c r="I42" s="105">
        <f t="shared" si="68"/>
        <v>3008984</v>
      </c>
      <c r="J42" s="85">
        <f t="shared" si="68"/>
        <v>3159996</v>
      </c>
      <c r="K42" s="85">
        <f t="shared" si="68"/>
        <v>3030956</v>
      </c>
      <c r="L42" s="88">
        <f t="shared" si="3"/>
        <v>-4.0835494728474364E-2</v>
      </c>
      <c r="M42" s="15">
        <f t="shared" si="4"/>
        <v>7.3021325470656873E-3</v>
      </c>
      <c r="N42" s="13">
        <v>241420</v>
      </c>
      <c r="O42" s="28">
        <v>263333</v>
      </c>
      <c r="P42" s="14">
        <v>241420</v>
      </c>
      <c r="Q42" s="88">
        <f>P42/O42</f>
        <v>0.91678597061515266</v>
      </c>
      <c r="R42" s="15">
        <f t="shared" si="6"/>
        <v>0</v>
      </c>
      <c r="S42" s="45">
        <v>188856</v>
      </c>
      <c r="T42" s="28">
        <v>263333</v>
      </c>
      <c r="U42" s="14">
        <v>218496</v>
      </c>
      <c r="V42" s="88">
        <f>U42/T42</f>
        <v>0.82973269586417198</v>
      </c>
      <c r="W42" s="33">
        <f t="shared" si="8"/>
        <v>0.15694497394840523</v>
      </c>
      <c r="X42" s="13">
        <v>236916</v>
      </c>
      <c r="Y42" s="28">
        <v>263333</v>
      </c>
      <c r="Z42" s="14">
        <v>278780</v>
      </c>
      <c r="AA42" s="88">
        <f>Z42/Y42</f>
        <v>1.0586595679235038</v>
      </c>
      <c r="AB42" s="15">
        <f t="shared" si="10"/>
        <v>0.17670397946951666</v>
      </c>
      <c r="AC42" s="45">
        <v>278664</v>
      </c>
      <c r="AD42" s="28">
        <v>263333</v>
      </c>
      <c r="AE42" s="14">
        <v>266908</v>
      </c>
      <c r="AF42" s="88">
        <f>AE42/AD42</f>
        <v>1.0135759665518564</v>
      </c>
      <c r="AG42" s="33">
        <f t="shared" si="12"/>
        <v>-4.2187006574225583E-2</v>
      </c>
      <c r="AH42" s="13">
        <v>232776</v>
      </c>
      <c r="AI42" s="28">
        <v>263333</v>
      </c>
      <c r="AJ42" s="14">
        <v>274736</v>
      </c>
      <c r="AK42" s="88">
        <f>AJ42/AI42</f>
        <v>1.0433025864589702</v>
      </c>
      <c r="AL42" s="15">
        <f t="shared" si="14"/>
        <v>0.18025913324397713</v>
      </c>
      <c r="AM42" s="45">
        <v>234572</v>
      </c>
      <c r="AN42" s="28">
        <v>263333</v>
      </c>
      <c r="AO42" s="14">
        <v>235448</v>
      </c>
      <c r="AP42" s="88">
        <f>AO42/AN42</f>
        <v>0.89410746089552007</v>
      </c>
      <c r="AQ42" s="33">
        <f t="shared" si="16"/>
        <v>3.7344610609961748E-3</v>
      </c>
      <c r="AR42" s="13">
        <v>292332</v>
      </c>
      <c r="AS42" s="28">
        <v>263333</v>
      </c>
      <c r="AT42" s="14">
        <v>259380</v>
      </c>
      <c r="AU42" s="88">
        <f>AT42/AS42</f>
        <v>0.98498858859315008</v>
      </c>
      <c r="AV42" s="15">
        <f t="shared" si="18"/>
        <v>-0.11272115266204175</v>
      </c>
      <c r="AW42" s="45">
        <v>242940</v>
      </c>
      <c r="AX42" s="28">
        <v>263333</v>
      </c>
      <c r="AY42" s="14">
        <v>299272</v>
      </c>
      <c r="AZ42" s="88">
        <f>AY42/AX42</f>
        <v>1.1364773879460608</v>
      </c>
      <c r="BA42" s="33">
        <f t="shared" si="20"/>
        <v>0.23187618341977445</v>
      </c>
      <c r="BB42" s="13">
        <v>228852</v>
      </c>
      <c r="BC42" s="28">
        <v>263333</v>
      </c>
      <c r="BD42" s="14">
        <v>212528</v>
      </c>
      <c r="BE42" s="88">
        <f>BD42/BC42</f>
        <v>0.80706937603718487</v>
      </c>
      <c r="BF42" s="15">
        <f t="shared" si="22"/>
        <v>-7.1329942495586662E-2</v>
      </c>
      <c r="BG42" s="45">
        <v>225308</v>
      </c>
      <c r="BH42" s="28">
        <v>263333</v>
      </c>
      <c r="BI42" s="14">
        <v>256012</v>
      </c>
      <c r="BJ42" s="88">
        <f>BI42/BH42</f>
        <v>0.97219869898569489</v>
      </c>
      <c r="BK42" s="33">
        <f t="shared" si="24"/>
        <v>0.13627567596356993</v>
      </c>
      <c r="BL42" s="13">
        <v>295564</v>
      </c>
      <c r="BM42" s="28">
        <v>263333</v>
      </c>
      <c r="BN42" s="14">
        <v>290652</v>
      </c>
      <c r="BO42" s="88">
        <f>BN42/BM42</f>
        <v>1.1037431692951509</v>
      </c>
      <c r="BP42" s="15">
        <f t="shared" si="26"/>
        <v>-1.6619074041493542E-2</v>
      </c>
      <c r="BQ42" s="45">
        <v>310784</v>
      </c>
      <c r="BR42" s="28">
        <v>263333</v>
      </c>
      <c r="BS42" s="14">
        <v>197324</v>
      </c>
      <c r="BT42" s="88">
        <f>BS42/BR42</f>
        <v>0.74933259409189124</v>
      </c>
      <c r="BU42" s="15">
        <f t="shared" si="28"/>
        <v>-0.36507670922570012</v>
      </c>
    </row>
    <row r="43" spans="2:73" ht="17.25" thickBot="1" x14ac:dyDescent="0.35">
      <c r="B43" s="381"/>
      <c r="C43" s="384" t="s">
        <v>15</v>
      </c>
      <c r="D43" s="358"/>
      <c r="E43" s="359"/>
      <c r="F43" s="47">
        <f>I43</f>
        <v>178808</v>
      </c>
      <c r="G43" s="43">
        <f t="shared" si="66"/>
        <v>69780</v>
      </c>
      <c r="H43" s="76">
        <f t="shared" si="2"/>
        <v>-0.60974900451881342</v>
      </c>
      <c r="I43" s="5">
        <f>N43</f>
        <v>178808</v>
      </c>
      <c r="J43" s="43"/>
      <c r="K43" s="43">
        <f>BS43</f>
        <v>69780</v>
      </c>
      <c r="L43" s="72" t="e">
        <f t="shared" si="3"/>
        <v>#DIV/0!</v>
      </c>
      <c r="M43" s="6">
        <f t="shared" si="4"/>
        <v>-0.60974900451881342</v>
      </c>
      <c r="N43" s="5">
        <v>178808</v>
      </c>
      <c r="O43" s="7"/>
      <c r="P43" s="7">
        <v>149584</v>
      </c>
      <c r="Q43" s="72"/>
      <c r="R43" s="6">
        <f t="shared" si="6"/>
        <v>-0.16343787749988814</v>
      </c>
      <c r="S43" s="47">
        <v>178808</v>
      </c>
      <c r="T43" s="7"/>
      <c r="U43" s="7">
        <v>113344</v>
      </c>
      <c r="V43" s="72"/>
      <c r="W43" s="76">
        <f t="shared" si="8"/>
        <v>-0.36611337300344504</v>
      </c>
      <c r="X43" s="34">
        <v>103380</v>
      </c>
      <c r="Y43" s="7"/>
      <c r="Z43" s="7">
        <v>152164</v>
      </c>
      <c r="AA43" s="72"/>
      <c r="AB43" s="6">
        <f t="shared" si="10"/>
        <v>0.47189011414200044</v>
      </c>
      <c r="AC43" s="20">
        <v>134912</v>
      </c>
      <c r="AD43" s="7"/>
      <c r="AE43" s="7">
        <v>157180</v>
      </c>
      <c r="AF43" s="72"/>
      <c r="AG43" s="76">
        <f t="shared" si="12"/>
        <v>0.16505574003795065</v>
      </c>
      <c r="AH43" s="5">
        <v>91292</v>
      </c>
      <c r="AI43" s="7"/>
      <c r="AJ43" s="7">
        <v>120624</v>
      </c>
      <c r="AK43" s="72"/>
      <c r="AL43" s="6">
        <f t="shared" si="14"/>
        <v>0.32129868991806521</v>
      </c>
      <c r="AM43" s="47">
        <v>74316</v>
      </c>
      <c r="AN43" s="7"/>
      <c r="AO43" s="7">
        <v>105900</v>
      </c>
      <c r="AP43" s="72"/>
      <c r="AQ43" s="76">
        <f t="shared" si="16"/>
        <v>0.42499596318424038</v>
      </c>
      <c r="AR43" s="5">
        <v>129016</v>
      </c>
      <c r="AS43" s="7"/>
      <c r="AT43" s="7">
        <v>77448</v>
      </c>
      <c r="AU43" s="72"/>
      <c r="AV43" s="6">
        <f t="shared" si="18"/>
        <v>-0.39970236249767466</v>
      </c>
      <c r="AW43" s="47">
        <v>99496</v>
      </c>
      <c r="AX43" s="7"/>
      <c r="AY43" s="7">
        <v>138808</v>
      </c>
      <c r="AZ43" s="72"/>
      <c r="BA43" s="76">
        <f t="shared" si="20"/>
        <v>0.39511136126075419</v>
      </c>
      <c r="BB43" s="5">
        <v>129272</v>
      </c>
      <c r="BC43" s="7"/>
      <c r="BD43" s="7">
        <v>115832</v>
      </c>
      <c r="BE43" s="72"/>
      <c r="BF43" s="6">
        <f t="shared" si="22"/>
        <v>-0.10396682963054649</v>
      </c>
      <c r="BG43" s="47">
        <v>121848</v>
      </c>
      <c r="BH43" s="7"/>
      <c r="BI43" s="7">
        <v>61624</v>
      </c>
      <c r="BJ43" s="72"/>
      <c r="BK43" s="76">
        <f t="shared" si="24"/>
        <v>-0.49425513754842099</v>
      </c>
      <c r="BL43" s="5">
        <v>178808</v>
      </c>
      <c r="BM43" s="7"/>
      <c r="BN43" s="7">
        <v>164284</v>
      </c>
      <c r="BO43" s="72"/>
      <c r="BP43" s="6">
        <f t="shared" si="26"/>
        <v>-8.1226790747617517E-2</v>
      </c>
      <c r="BQ43" s="47">
        <v>178808</v>
      </c>
      <c r="BR43" s="7"/>
      <c r="BS43" s="7">
        <v>69780</v>
      </c>
      <c r="BT43" s="72"/>
      <c r="BU43" s="6">
        <f t="shared" si="28"/>
        <v>-0.60974900451881342</v>
      </c>
    </row>
    <row r="44" spans="2:73" x14ac:dyDescent="0.3">
      <c r="B44" s="58" t="s">
        <v>45</v>
      </c>
      <c r="C44" s="59"/>
      <c r="D44" s="59"/>
      <c r="E44" s="59"/>
      <c r="F44" s="26"/>
      <c r="G44" s="26"/>
      <c r="H44" s="27"/>
      <c r="I44" s="60"/>
      <c r="J44" s="26"/>
      <c r="K44" s="26"/>
      <c r="L44" s="27"/>
      <c r="M44" s="27"/>
      <c r="N44" s="26"/>
      <c r="O44" s="26"/>
      <c r="P44" s="26"/>
      <c r="Q44" s="27"/>
      <c r="R44" s="27"/>
      <c r="S44" s="26"/>
      <c r="T44" s="26"/>
      <c r="U44" s="26"/>
      <c r="V44" s="27"/>
      <c r="W44" s="27"/>
      <c r="X44" s="26"/>
      <c r="Y44" s="26"/>
      <c r="Z44" s="26"/>
      <c r="AA44" s="27"/>
      <c r="AB44" s="27"/>
      <c r="AC44" s="26"/>
      <c r="AD44" s="26"/>
      <c r="AE44" s="26"/>
      <c r="AF44" s="27"/>
      <c r="AG44" s="27"/>
      <c r="AH44" s="26"/>
      <c r="AI44" s="26"/>
      <c r="AJ44" s="26"/>
      <c r="AK44" s="27"/>
      <c r="AL44" s="27"/>
      <c r="AM44" s="26"/>
      <c r="AN44" s="26"/>
      <c r="AO44" s="26"/>
      <c r="AP44" s="27"/>
      <c r="AQ44" s="27"/>
      <c r="AR44" s="26"/>
      <c r="AS44" s="26"/>
      <c r="AT44" s="26"/>
      <c r="AU44" s="27"/>
      <c r="AV44" s="27"/>
      <c r="AW44" s="26"/>
      <c r="AX44" s="26"/>
      <c r="AY44" s="26"/>
      <c r="AZ44" s="27"/>
      <c r="BA44" s="27"/>
      <c r="BB44" s="26"/>
      <c r="BC44" s="26"/>
      <c r="BD44" s="26"/>
      <c r="BE44" s="27"/>
      <c r="BF44" s="27"/>
      <c r="BG44" s="26"/>
      <c r="BH44" s="26"/>
      <c r="BI44" s="26"/>
      <c r="BJ44" s="27"/>
      <c r="BK44" s="27"/>
      <c r="BL44" s="26"/>
      <c r="BM44" s="26"/>
      <c r="BN44" s="26"/>
      <c r="BO44" s="27"/>
      <c r="BP44" s="27"/>
      <c r="BQ44" s="26"/>
      <c r="BR44" s="26"/>
      <c r="BS44" s="26"/>
      <c r="BT44" s="27"/>
      <c r="BU44" s="27"/>
    </row>
    <row r="45" spans="2:73" x14ac:dyDescent="0.3">
      <c r="B45" s="58" t="s">
        <v>46</v>
      </c>
      <c r="C45" s="59"/>
      <c r="D45" s="59"/>
      <c r="E45" s="59"/>
      <c r="F45" s="26"/>
      <c r="G45" s="26"/>
      <c r="H45" s="27"/>
      <c r="I45" s="60"/>
      <c r="J45" s="26"/>
      <c r="K45" s="26"/>
      <c r="L45" s="27"/>
      <c r="M45" s="27"/>
      <c r="N45" s="26"/>
      <c r="O45" s="26"/>
      <c r="P45" s="26">
        <f>P26</f>
        <v>50064</v>
      </c>
      <c r="Q45" s="27"/>
      <c r="R45" s="27"/>
      <c r="S45" s="26"/>
      <c r="T45" s="26"/>
      <c r="U45" s="26">
        <f>U26</f>
        <v>74084</v>
      </c>
      <c r="V45" s="27"/>
      <c r="W45" s="27"/>
      <c r="X45" s="26"/>
      <c r="Y45" s="26"/>
      <c r="Z45" s="26">
        <f>Z26</f>
        <v>68072</v>
      </c>
      <c r="AA45" s="27"/>
      <c r="AB45" s="27"/>
      <c r="AC45" s="26"/>
      <c r="AD45" s="26"/>
      <c r="AE45" s="26">
        <f>AE26</f>
        <v>84535</v>
      </c>
      <c r="AF45" s="27"/>
      <c r="AG45" s="27"/>
      <c r="AH45" s="26"/>
      <c r="AI45" s="26"/>
      <c r="AJ45" s="26">
        <f>AJ26</f>
        <v>74509</v>
      </c>
      <c r="AK45" s="27"/>
      <c r="AL45" s="27"/>
      <c r="AM45" s="26"/>
      <c r="AN45" s="26"/>
      <c r="AO45" s="26">
        <f>AO26</f>
        <v>54213</v>
      </c>
      <c r="AP45" s="27"/>
      <c r="AQ45" s="27"/>
      <c r="AR45" s="26"/>
      <c r="AS45" s="26"/>
      <c r="AT45" s="26">
        <f>AT26</f>
        <v>72579</v>
      </c>
      <c r="AU45" s="27"/>
      <c r="AV45" s="27"/>
      <c r="AW45" s="26"/>
      <c r="AX45" s="26"/>
      <c r="AY45" s="26">
        <f>AY26</f>
        <v>66753</v>
      </c>
      <c r="AZ45" s="27"/>
      <c r="BA45" s="27"/>
      <c r="BB45" s="26"/>
      <c r="BC45" s="26"/>
      <c r="BD45" s="26">
        <f>BD26</f>
        <v>57761</v>
      </c>
      <c r="BE45" s="27"/>
      <c r="BF45" s="27"/>
      <c r="BG45" s="26"/>
      <c r="BH45" s="26"/>
      <c r="BI45" s="26">
        <f>BI26</f>
        <v>79856</v>
      </c>
      <c r="BJ45" s="27"/>
      <c r="BK45" s="27"/>
      <c r="BL45" s="26"/>
      <c r="BM45" s="26"/>
      <c r="BN45" s="26">
        <f>BN26</f>
        <v>86024</v>
      </c>
      <c r="BO45" s="27"/>
      <c r="BP45" s="27"/>
      <c r="BQ45" s="26"/>
      <c r="BR45" s="26"/>
      <c r="BS45" s="26">
        <f>BS26</f>
        <v>64554</v>
      </c>
      <c r="BT45" s="27"/>
      <c r="BU45" s="27"/>
    </row>
    <row r="46" spans="2:73" x14ac:dyDescent="0.3">
      <c r="B46" s="59"/>
      <c r="C46" s="59"/>
      <c r="D46" s="59"/>
      <c r="E46" s="61">
        <f>I46/1000</f>
        <v>0</v>
      </c>
      <c r="F46" s="26"/>
      <c r="G46" s="26"/>
      <c r="H46" s="27"/>
      <c r="I46" s="60"/>
      <c r="J46" s="26"/>
      <c r="K46" s="62"/>
      <c r="L46" s="27"/>
      <c r="M46" s="27"/>
      <c r="N46" s="26"/>
      <c r="O46" s="26"/>
      <c r="P46" s="26">
        <v>61769</v>
      </c>
      <c r="Q46" s="27"/>
      <c r="R46" s="27"/>
      <c r="S46" s="26"/>
      <c r="T46" s="26"/>
      <c r="U46" s="26">
        <v>61769</v>
      </c>
      <c r="V46" s="27"/>
      <c r="W46" s="27"/>
      <c r="X46" s="26"/>
      <c r="Y46" s="26"/>
      <c r="Z46" s="26">
        <v>61769</v>
      </c>
      <c r="AA46" s="27"/>
      <c r="AB46" s="27"/>
      <c r="AC46" s="26"/>
      <c r="AD46" s="26"/>
      <c r="AE46" s="26">
        <v>61769</v>
      </c>
      <c r="AF46" s="27"/>
      <c r="AG46" s="27"/>
      <c r="AH46" s="26"/>
      <c r="AI46" s="26"/>
      <c r="AJ46" s="26">
        <v>61769</v>
      </c>
      <c r="AK46" s="27"/>
      <c r="AL46" s="27"/>
      <c r="AM46" s="26"/>
      <c r="AN46" s="26"/>
      <c r="AO46" s="26">
        <v>61769</v>
      </c>
      <c r="AP46" s="27"/>
      <c r="AQ46" s="27"/>
      <c r="AR46" s="26"/>
      <c r="AS46" s="26"/>
      <c r="AT46" s="26">
        <v>61769</v>
      </c>
      <c r="AU46" s="27"/>
      <c r="AV46" s="27"/>
      <c r="AW46" s="26"/>
      <c r="AX46" s="26"/>
      <c r="AY46" s="26">
        <v>61769</v>
      </c>
      <c r="AZ46" s="27"/>
      <c r="BA46" s="27"/>
      <c r="BB46" s="26"/>
      <c r="BC46" s="26"/>
      <c r="BD46" s="26">
        <v>61769</v>
      </c>
      <c r="BE46" s="27"/>
      <c r="BF46" s="27"/>
      <c r="BG46" s="26"/>
      <c r="BH46" s="26"/>
      <c r="BI46" s="26">
        <v>61769</v>
      </c>
      <c r="BJ46" s="27"/>
      <c r="BK46" s="27"/>
      <c r="BL46" s="26"/>
      <c r="BM46" s="26"/>
      <c r="BN46" s="26">
        <v>61769</v>
      </c>
      <c r="BO46" s="27"/>
      <c r="BP46" s="27"/>
      <c r="BQ46" s="26"/>
      <c r="BR46" s="26"/>
      <c r="BS46" s="26">
        <v>61769</v>
      </c>
      <c r="BT46" s="27"/>
      <c r="BU46" s="27"/>
    </row>
    <row r="47" spans="2:73" ht="17.25" thickBot="1" x14ac:dyDescent="0.35">
      <c r="B47" s="37" t="s">
        <v>47</v>
      </c>
      <c r="E47" s="29"/>
      <c r="F47" s="29"/>
      <c r="G47" s="29"/>
      <c r="I47" s="63"/>
      <c r="J47" s="29"/>
      <c r="K47" s="29"/>
      <c r="N47" s="29"/>
      <c r="O47" s="29"/>
      <c r="P47" s="29"/>
      <c r="S47" s="29"/>
      <c r="T47" s="29"/>
      <c r="U47" s="29"/>
      <c r="X47" s="29"/>
      <c r="Y47" s="29"/>
      <c r="Z47" s="29"/>
      <c r="AC47" s="29"/>
      <c r="AD47" s="29"/>
      <c r="AE47" s="29"/>
      <c r="AH47" s="29"/>
      <c r="AI47" s="29"/>
      <c r="AJ47" s="29"/>
      <c r="AM47" s="29"/>
      <c r="AN47" s="29"/>
      <c r="AO47" s="29"/>
      <c r="AR47" s="29"/>
      <c r="AS47" s="29"/>
      <c r="AT47" s="29"/>
      <c r="AW47" s="29"/>
      <c r="AX47" s="29"/>
      <c r="AY47" s="29"/>
      <c r="BB47" s="29"/>
      <c r="BC47" s="29"/>
      <c r="BD47" s="29"/>
      <c r="BG47" s="29"/>
      <c r="BH47" s="29"/>
      <c r="BI47" s="29"/>
      <c r="BL47" s="29"/>
      <c r="BM47" s="29"/>
      <c r="BN47" s="29"/>
      <c r="BQ47" s="29"/>
      <c r="BR47" s="29"/>
      <c r="BS47" s="29"/>
    </row>
    <row r="48" spans="2:73" x14ac:dyDescent="0.3">
      <c r="B48" s="400" t="s">
        <v>0</v>
      </c>
      <c r="C48" s="402" t="s">
        <v>1</v>
      </c>
      <c r="D48" s="51"/>
      <c r="E48" s="327" t="s">
        <v>2</v>
      </c>
      <c r="F48" s="327" t="str">
        <f>F2</f>
        <v>2022년 실적</v>
      </c>
      <c r="G48" s="327" t="str">
        <f>G2</f>
        <v>2023년 실적</v>
      </c>
      <c r="H48" s="352" t="s">
        <v>5</v>
      </c>
      <c r="I48" s="329" t="str">
        <f>I2</f>
        <v>누적</v>
      </c>
      <c r="J48" s="327"/>
      <c r="K48" s="327"/>
      <c r="L48" s="327"/>
      <c r="M48" s="330"/>
      <c r="N48" s="326" t="str">
        <f>N2</f>
        <v>1월</v>
      </c>
      <c r="O48" s="327"/>
      <c r="P48" s="327"/>
      <c r="Q48" s="327"/>
      <c r="R48" s="328"/>
      <c r="S48" s="329" t="str">
        <f>S2</f>
        <v>2월</v>
      </c>
      <c r="T48" s="327"/>
      <c r="U48" s="327"/>
      <c r="V48" s="327"/>
      <c r="W48" s="330"/>
      <c r="X48" s="326" t="str">
        <f>X2</f>
        <v>3월</v>
      </c>
      <c r="Y48" s="327"/>
      <c r="Z48" s="327"/>
      <c r="AA48" s="327"/>
      <c r="AB48" s="328"/>
      <c r="AC48" s="329" t="str">
        <f>AC2</f>
        <v>4월</v>
      </c>
      <c r="AD48" s="327"/>
      <c r="AE48" s="327"/>
      <c r="AF48" s="327"/>
      <c r="AG48" s="330"/>
      <c r="AH48" s="326" t="str">
        <f>AH2</f>
        <v>5월</v>
      </c>
      <c r="AI48" s="327"/>
      <c r="AJ48" s="327"/>
      <c r="AK48" s="327"/>
      <c r="AL48" s="328"/>
      <c r="AM48" s="329" t="str">
        <f>AM2</f>
        <v>6월</v>
      </c>
      <c r="AN48" s="327"/>
      <c r="AO48" s="327"/>
      <c r="AP48" s="327"/>
      <c r="AQ48" s="330"/>
      <c r="AR48" s="326" t="str">
        <f>AR2</f>
        <v>7월</v>
      </c>
      <c r="AS48" s="327"/>
      <c r="AT48" s="327"/>
      <c r="AU48" s="327"/>
      <c r="AV48" s="328"/>
      <c r="AW48" s="329" t="str">
        <f>AW2</f>
        <v>8월</v>
      </c>
      <c r="AX48" s="327"/>
      <c r="AY48" s="327"/>
      <c r="AZ48" s="327"/>
      <c r="BA48" s="330"/>
      <c r="BB48" s="326" t="str">
        <f>BB2</f>
        <v>9월</v>
      </c>
      <c r="BC48" s="327"/>
      <c r="BD48" s="327"/>
      <c r="BE48" s="327"/>
      <c r="BF48" s="328"/>
      <c r="BG48" s="329" t="str">
        <f>BG2</f>
        <v>10월</v>
      </c>
      <c r="BH48" s="327"/>
      <c r="BI48" s="327"/>
      <c r="BJ48" s="327"/>
      <c r="BK48" s="330"/>
      <c r="BL48" s="326" t="str">
        <f>BL2</f>
        <v>11월</v>
      </c>
      <c r="BM48" s="327"/>
      <c r="BN48" s="327"/>
      <c r="BO48" s="327"/>
      <c r="BP48" s="328"/>
      <c r="BQ48" s="329" t="str">
        <f>BQ2</f>
        <v>12월</v>
      </c>
      <c r="BR48" s="327"/>
      <c r="BS48" s="327"/>
      <c r="BT48" s="327"/>
      <c r="BU48" s="328"/>
    </row>
    <row r="49" spans="2:73" ht="17.25" thickBot="1" x14ac:dyDescent="0.35">
      <c r="B49" s="401"/>
      <c r="C49" s="403"/>
      <c r="D49" s="95"/>
      <c r="E49" s="338"/>
      <c r="F49" s="338"/>
      <c r="G49" s="338"/>
      <c r="H49" s="353"/>
      <c r="I49" s="141" t="str">
        <f>I3</f>
        <v>2022년</v>
      </c>
      <c r="J49" s="96" t="str">
        <f>J3</f>
        <v>목표</v>
      </c>
      <c r="K49" s="96" t="str">
        <f>K3</f>
        <v>2023년</v>
      </c>
      <c r="L49" s="142" t="str">
        <f>L3</f>
        <v>달성율</v>
      </c>
      <c r="M49" s="143" t="str">
        <f>M3</f>
        <v>전년대비</v>
      </c>
      <c r="N49" s="104" t="str">
        <f>N3</f>
        <v>2022년</v>
      </c>
      <c r="O49" s="96" t="str">
        <f>O3</f>
        <v>목표</v>
      </c>
      <c r="P49" s="96" t="str">
        <f>P3</f>
        <v>2023년</v>
      </c>
      <c r="Q49" s="142" t="str">
        <f>Q3</f>
        <v>달성율</v>
      </c>
      <c r="R49" s="31" t="str">
        <f>R3</f>
        <v>전년대비</v>
      </c>
      <c r="S49" s="141" t="str">
        <f>S3</f>
        <v>2022년</v>
      </c>
      <c r="T49" s="96" t="str">
        <f>T3</f>
        <v>목표</v>
      </c>
      <c r="U49" s="96" t="str">
        <f>U3</f>
        <v>2023년</v>
      </c>
      <c r="V49" s="142" t="str">
        <f>V3</f>
        <v>달성율</v>
      </c>
      <c r="W49" s="143" t="str">
        <f>W3</f>
        <v>전년대비</v>
      </c>
      <c r="X49" s="104" t="str">
        <f>X3</f>
        <v>2022년</v>
      </c>
      <c r="Y49" s="96" t="str">
        <f>Y3</f>
        <v>목표</v>
      </c>
      <c r="Z49" s="96" t="str">
        <f>Z3</f>
        <v>2023년</v>
      </c>
      <c r="AA49" s="142" t="str">
        <f>AA3</f>
        <v>달성율</v>
      </c>
      <c r="AB49" s="31" t="str">
        <f>AB3</f>
        <v>전년대비</v>
      </c>
      <c r="AC49" s="141" t="str">
        <f>AC3</f>
        <v>2022년</v>
      </c>
      <c r="AD49" s="96" t="str">
        <f>AD3</f>
        <v>목표</v>
      </c>
      <c r="AE49" s="96" t="str">
        <f>AE3</f>
        <v>2023년</v>
      </c>
      <c r="AF49" s="142" t="str">
        <f>AF3</f>
        <v>달성율</v>
      </c>
      <c r="AG49" s="143" t="str">
        <f>AG3</f>
        <v>전년대비</v>
      </c>
      <c r="AH49" s="104" t="str">
        <f>AH3</f>
        <v>2022년</v>
      </c>
      <c r="AI49" s="96" t="str">
        <f>AI3</f>
        <v>목표</v>
      </c>
      <c r="AJ49" s="96" t="str">
        <f>AJ3</f>
        <v>2023년</v>
      </c>
      <c r="AK49" s="142" t="str">
        <f>AK3</f>
        <v>달성율</v>
      </c>
      <c r="AL49" s="31" t="str">
        <f>AL3</f>
        <v>전년대비</v>
      </c>
      <c r="AM49" s="141" t="str">
        <f>AM3</f>
        <v>2022년</v>
      </c>
      <c r="AN49" s="96" t="str">
        <f>AN3</f>
        <v>목표</v>
      </c>
      <c r="AO49" s="96" t="str">
        <f>AO3</f>
        <v>2023년</v>
      </c>
      <c r="AP49" s="142" t="str">
        <f>AP3</f>
        <v>달성율</v>
      </c>
      <c r="AQ49" s="143" t="str">
        <f>AQ3</f>
        <v>전년대비</v>
      </c>
      <c r="AR49" s="104" t="str">
        <f>AR3</f>
        <v>2022년</v>
      </c>
      <c r="AS49" s="96" t="str">
        <f>AS3</f>
        <v>목표</v>
      </c>
      <c r="AT49" s="96" t="str">
        <f>AT3</f>
        <v>2023년</v>
      </c>
      <c r="AU49" s="142" t="str">
        <f>AU3</f>
        <v>달성율</v>
      </c>
      <c r="AV49" s="31" t="str">
        <f>AV3</f>
        <v>전년대비</v>
      </c>
      <c r="AW49" s="141" t="str">
        <f>AW3</f>
        <v>2022년</v>
      </c>
      <c r="AX49" s="96" t="str">
        <f>AX3</f>
        <v>목표</v>
      </c>
      <c r="AY49" s="96" t="str">
        <f>AY3</f>
        <v>2023년</v>
      </c>
      <c r="AZ49" s="142" t="str">
        <f>AZ3</f>
        <v>달성율</v>
      </c>
      <c r="BA49" s="143" t="str">
        <f>BA3</f>
        <v>전년대비</v>
      </c>
      <c r="BB49" s="104" t="str">
        <f>BB3</f>
        <v>2022년</v>
      </c>
      <c r="BC49" s="96" t="str">
        <f>BC3</f>
        <v>목표</v>
      </c>
      <c r="BD49" s="96" t="str">
        <f>BD3</f>
        <v>2023년</v>
      </c>
      <c r="BE49" s="142" t="str">
        <f>BE3</f>
        <v>달성율</v>
      </c>
      <c r="BF49" s="31" t="str">
        <f>BF3</f>
        <v>전년대비</v>
      </c>
      <c r="BG49" s="141" t="str">
        <f>BG3</f>
        <v>2022년</v>
      </c>
      <c r="BH49" s="96" t="str">
        <f>BH3</f>
        <v>목표</v>
      </c>
      <c r="BI49" s="96" t="str">
        <f>BI3</f>
        <v>2023년</v>
      </c>
      <c r="BJ49" s="142" t="str">
        <f>BJ3</f>
        <v>달성율</v>
      </c>
      <c r="BK49" s="143" t="str">
        <f>BK3</f>
        <v>전년대비</v>
      </c>
      <c r="BL49" s="104" t="str">
        <f>BL3</f>
        <v>2022년</v>
      </c>
      <c r="BM49" s="96" t="str">
        <f>BM3</f>
        <v>목표</v>
      </c>
      <c r="BN49" s="96" t="str">
        <f>BN3</f>
        <v>2023년</v>
      </c>
      <c r="BO49" s="142" t="str">
        <f>BO3</f>
        <v>달성율</v>
      </c>
      <c r="BP49" s="31" t="str">
        <f>BP3</f>
        <v>전년대비</v>
      </c>
      <c r="BQ49" s="141" t="str">
        <f>BQ3</f>
        <v>2022년</v>
      </c>
      <c r="BR49" s="96" t="str">
        <f>BR3</f>
        <v>목표</v>
      </c>
      <c r="BS49" s="96" t="str">
        <f>BS3</f>
        <v>2023년</v>
      </c>
      <c r="BT49" s="142" t="str">
        <f>BT3</f>
        <v>달성율</v>
      </c>
      <c r="BU49" s="31" t="str">
        <f>BU3</f>
        <v>전년대비</v>
      </c>
    </row>
    <row r="50" spans="2:73" x14ac:dyDescent="0.3">
      <c r="B50" s="314" t="s">
        <v>48</v>
      </c>
      <c r="C50" s="69" t="s">
        <v>49</v>
      </c>
      <c r="D50" s="69"/>
      <c r="E50" s="71"/>
      <c r="F50" s="71">
        <f>SUM(F51:F54)</f>
        <v>13776845.9</v>
      </c>
      <c r="G50" s="71">
        <f>SUM(G51:G54)</f>
        <v>13820018</v>
      </c>
      <c r="H50" s="35">
        <f>G50/F50-1</f>
        <v>3.1336708208371533E-3</v>
      </c>
      <c r="I50" s="139">
        <f>SUM(I51:I54)</f>
        <v>13776957.9</v>
      </c>
      <c r="J50" s="71">
        <f>SUM(J51:J54)</f>
        <v>3218592</v>
      </c>
      <c r="K50" s="71">
        <f>SUM(K51:K54)</f>
        <v>13814354</v>
      </c>
      <c r="L50" s="140">
        <f t="shared" ref="L50:L55" si="69">K50/J50</f>
        <v>4.2920488213479686</v>
      </c>
      <c r="M50" s="36">
        <f t="shared" ref="M50:M59" si="70">K50/I50-1</f>
        <v>2.7143945906955569E-3</v>
      </c>
      <c r="N50" s="70">
        <f>SUM(N51:N54)</f>
        <v>1324544.8</v>
      </c>
      <c r="O50" s="71">
        <f>SUM(O51:O54)</f>
        <v>268216</v>
      </c>
      <c r="P50" s="71">
        <f>SUM(P51:P54)</f>
        <v>1035043</v>
      </c>
      <c r="Q50" s="140">
        <f t="shared" ref="Q50:Q55" si="71">P50/O50</f>
        <v>3.858990515107227</v>
      </c>
      <c r="R50" s="35">
        <f t="shared" ref="R50:R59" si="72">P50/N50-1</f>
        <v>-0.21856701260689715</v>
      </c>
      <c r="S50" s="139">
        <f>SUM(S51:S54)</f>
        <v>1024982.6</v>
      </c>
      <c r="T50" s="71">
        <f>SUM(T51:T54)</f>
        <v>268216</v>
      </c>
      <c r="U50" s="71">
        <f>SUM(U51:U54)</f>
        <v>1285371</v>
      </c>
      <c r="V50" s="140">
        <f t="shared" ref="V50:V55" si="73">U50/T50</f>
        <v>4.7922979986279719</v>
      </c>
      <c r="W50" s="36">
        <f t="shared" ref="W50:W59" si="74">U50/S50-1</f>
        <v>0.25404177592868415</v>
      </c>
      <c r="X50" s="70">
        <f>SUM(X51:X54)</f>
        <v>1374269.1</v>
      </c>
      <c r="Y50" s="71">
        <f>SUM(Y51:Y54)</f>
        <v>268216</v>
      </c>
      <c r="Z50" s="71">
        <f>SUM(Z51:Z54)</f>
        <v>1130584</v>
      </c>
      <c r="AA50" s="140">
        <f t="shared" ref="AA50:AA55" si="75">Z50/Y50</f>
        <v>4.2151996898022492</v>
      </c>
      <c r="AB50" s="35">
        <f t="shared" ref="AB50:AB59" si="76">Z50/X50-1</f>
        <v>-0.17731978402192128</v>
      </c>
      <c r="AC50" s="139">
        <f>SUM(AC51:AC54)</f>
        <v>1405241.4</v>
      </c>
      <c r="AD50" s="71">
        <f>SUM(AD51:AD54)</f>
        <v>268216</v>
      </c>
      <c r="AE50" s="71">
        <f>SUM(AE51:AE54)</f>
        <v>1101665</v>
      </c>
      <c r="AF50" s="140">
        <f t="shared" ref="AF50:AF55" si="77">AE50/AD50</f>
        <v>4.1073798729382291</v>
      </c>
      <c r="AG50" s="36">
        <f t="shared" ref="AG50:AG59" si="78">AE50/AC50-1</f>
        <v>-0.216031494659921</v>
      </c>
      <c r="AH50" s="70">
        <f>SUM(AH51:AH54)</f>
        <v>1295537</v>
      </c>
      <c r="AI50" s="71">
        <f>SUM(AI51:AI54)</f>
        <v>268216</v>
      </c>
      <c r="AJ50" s="71">
        <f>SUM(AJ51:AJ54)</f>
        <v>1235509</v>
      </c>
      <c r="AK50" s="140">
        <f t="shared" ref="AK50:AK55" si="79">AJ50/AI50</f>
        <v>4.6063955916127304</v>
      </c>
      <c r="AL50" s="35">
        <f t="shared" ref="AL50:AL59" si="80">AJ50/AH50-1</f>
        <v>-4.6334454361396049E-2</v>
      </c>
      <c r="AM50" s="139">
        <f>SUM(AM51:AM54)</f>
        <v>1114468</v>
      </c>
      <c r="AN50" s="71">
        <f>SUM(AN51:AN54)</f>
        <v>268216</v>
      </c>
      <c r="AO50" s="71">
        <f>SUM(AO51:AO54)</f>
        <v>1098735</v>
      </c>
      <c r="AP50" s="140">
        <f t="shared" ref="AP50:AP55" si="81">AO50/AN50</f>
        <v>4.096455841560533</v>
      </c>
      <c r="AQ50" s="36">
        <f t="shared" ref="AQ50:AQ59" si="82">AO50/AM50-1</f>
        <v>-1.4117049569839613E-2</v>
      </c>
      <c r="AR50" s="70">
        <f>SUM(AR51:AR54)</f>
        <v>909882</v>
      </c>
      <c r="AS50" s="71">
        <f>SUM(AS51:AS54)</f>
        <v>268216</v>
      </c>
      <c r="AT50" s="71">
        <f>SUM(AT51:AT54)</f>
        <v>1066915</v>
      </c>
      <c r="AU50" s="140">
        <f t="shared" ref="AU50:AU55" si="83">AT50/AS50</f>
        <v>3.9778201151310886</v>
      </c>
      <c r="AV50" s="35">
        <f t="shared" ref="AV50:AV59" si="84">AT50/AR50-1</f>
        <v>0.17258611556223769</v>
      </c>
      <c r="AW50" s="139">
        <f>SUM(AW51:AW54)</f>
        <v>795052</v>
      </c>
      <c r="AX50" s="71">
        <f>SUM(AX51:AX54)</f>
        <v>268216</v>
      </c>
      <c r="AY50" s="71">
        <f>SUM(AY51:AY54)</f>
        <v>1055722</v>
      </c>
      <c r="AZ50" s="140">
        <f t="shared" ref="AZ50:AZ55" si="85">AY50/AX50</f>
        <v>3.9360888239329497</v>
      </c>
      <c r="BA50" s="36">
        <f t="shared" ref="BA50:BA59" si="86">AY50/AW50-1</f>
        <v>0.32786534717226035</v>
      </c>
      <c r="BB50" s="70">
        <f>SUM(BB51:BB54)</f>
        <v>893797</v>
      </c>
      <c r="BC50" s="71">
        <f>SUM(BC51:BC54)</f>
        <v>268216</v>
      </c>
      <c r="BD50" s="71">
        <f>SUM(BD51:BD54)</f>
        <v>990677</v>
      </c>
      <c r="BE50" s="140">
        <f t="shared" ref="BE50:BE55" si="87">BD50/BC50</f>
        <v>3.6935790556864618</v>
      </c>
      <c r="BF50" s="35">
        <f t="shared" ref="BF50:BF59" si="88">BD50/BB50-1</f>
        <v>0.10839150276852583</v>
      </c>
      <c r="BG50" s="139">
        <f>SUM(BG51:BG54)</f>
        <v>1046912</v>
      </c>
      <c r="BH50" s="71">
        <f>SUM(BH51:BH54)</f>
        <v>268216</v>
      </c>
      <c r="BI50" s="71">
        <f>SUM(BI51:BI54)</f>
        <v>1448194</v>
      </c>
      <c r="BJ50" s="140">
        <f t="shared" ref="BJ50:BJ55" si="89">BI50/BH50</f>
        <v>5.3993572344677423</v>
      </c>
      <c r="BK50" s="36">
        <f t="shared" ref="BK50:BK59" si="90">BI50/BG50-1</f>
        <v>0.38330060215185235</v>
      </c>
      <c r="BL50" s="70">
        <f>SUM(BL51:BL54)</f>
        <v>1273347</v>
      </c>
      <c r="BM50" s="71">
        <f>SUM(BM51:BM54)</f>
        <v>268216</v>
      </c>
      <c r="BN50" s="71">
        <f>SUM(BN51:BN54)</f>
        <v>1187066</v>
      </c>
      <c r="BO50" s="140">
        <f t="shared" ref="BO50:BO55" si="91">BN50/BM50</f>
        <v>4.4257836967220445</v>
      </c>
      <c r="BP50" s="35">
        <f t="shared" ref="BP50:BP59" si="92">BN50/BL50-1</f>
        <v>-6.7759220385330998E-2</v>
      </c>
      <c r="BQ50" s="139">
        <f>SUM(BQ51:BQ54)</f>
        <v>1060131</v>
      </c>
      <c r="BR50" s="71">
        <f>SUM(BR51:BR54)</f>
        <v>268216</v>
      </c>
      <c r="BS50" s="71">
        <f>SUM(BS51:BS54)</f>
        <v>1171483</v>
      </c>
      <c r="BT50" s="140">
        <f t="shared" ref="BT50:BT55" si="93">BS50/BR50</f>
        <v>4.3676850001491339</v>
      </c>
      <c r="BU50" s="35">
        <f t="shared" ref="BU50:BU59" si="94">BS50/BQ50-1</f>
        <v>0.10503607573026352</v>
      </c>
    </row>
    <row r="51" spans="2:73" x14ac:dyDescent="0.3">
      <c r="B51" s="312"/>
      <c r="C51" s="65"/>
      <c r="D51" s="65"/>
      <c r="E51" s="65" t="s">
        <v>44</v>
      </c>
      <c r="F51" s="39">
        <f>F41</f>
        <v>3002564</v>
      </c>
      <c r="G51" s="39">
        <f>G41</f>
        <v>3088164</v>
      </c>
      <c r="H51" s="15">
        <f>H41</f>
        <v>2.8508967668965601E-2</v>
      </c>
      <c r="I51" s="136">
        <f>I41</f>
        <v>3002564</v>
      </c>
      <c r="J51" s="39">
        <f t="shared" ref="J51:P51" si="95">J41</f>
        <v>3159996</v>
      </c>
      <c r="K51" s="39">
        <f t="shared" si="95"/>
        <v>3088164</v>
      </c>
      <c r="L51" s="88">
        <f t="shared" si="69"/>
        <v>0.97726832565610844</v>
      </c>
      <c r="M51" s="33">
        <f t="shared" si="70"/>
        <v>2.8508967668965601E-2</v>
      </c>
      <c r="N51" s="13">
        <f>N41</f>
        <v>207084</v>
      </c>
      <c r="O51" s="39">
        <f t="shared" si="95"/>
        <v>263333</v>
      </c>
      <c r="P51" s="39">
        <f t="shared" si="95"/>
        <v>215260</v>
      </c>
      <c r="Q51" s="88">
        <f t="shared" si="71"/>
        <v>0.81744407271401609</v>
      </c>
      <c r="R51" s="15">
        <f t="shared" si="72"/>
        <v>3.9481563037221612E-2</v>
      </c>
      <c r="S51" s="45">
        <f>S41</f>
        <v>270848</v>
      </c>
      <c r="T51" s="39">
        <f>T41</f>
        <v>263333</v>
      </c>
      <c r="U51" s="39">
        <f>U41</f>
        <v>254736</v>
      </c>
      <c r="V51" s="88">
        <f t="shared" si="73"/>
        <v>0.96735312323180156</v>
      </c>
      <c r="W51" s="33">
        <f t="shared" si="74"/>
        <v>-5.9487240075614345E-2</v>
      </c>
      <c r="X51" s="13">
        <f>X41</f>
        <v>225752</v>
      </c>
      <c r="Y51" s="39">
        <f>Y41</f>
        <v>263333</v>
      </c>
      <c r="Z51" s="39">
        <f>Z41</f>
        <v>239960</v>
      </c>
      <c r="AA51" s="88">
        <f t="shared" si="75"/>
        <v>0.91124165979956939</v>
      </c>
      <c r="AB51" s="15">
        <f t="shared" si="76"/>
        <v>6.2936319501045501E-2</v>
      </c>
      <c r="AC51" s="45">
        <f>AC41</f>
        <v>254360</v>
      </c>
      <c r="AD51" s="39">
        <f>AD41</f>
        <v>263333</v>
      </c>
      <c r="AE51" s="39">
        <f>AE41</f>
        <v>261964</v>
      </c>
      <c r="AF51" s="88">
        <f t="shared" si="77"/>
        <v>0.99480125924210028</v>
      </c>
      <c r="AG51" s="33">
        <f t="shared" si="78"/>
        <v>2.9894637521622913E-2</v>
      </c>
      <c r="AH51" s="13">
        <f>AH41</f>
        <v>275784</v>
      </c>
      <c r="AI51" s="39">
        <f>AI41</f>
        <v>263333</v>
      </c>
      <c r="AJ51" s="39">
        <f>AJ41</f>
        <v>311292</v>
      </c>
      <c r="AK51" s="88">
        <f t="shared" si="79"/>
        <v>1.1821230153455891</v>
      </c>
      <c r="AL51" s="15">
        <f t="shared" si="80"/>
        <v>0.12875293708119395</v>
      </c>
      <c r="AM51" s="45">
        <f>AM41</f>
        <v>251548</v>
      </c>
      <c r="AN51" s="39">
        <f>AN41</f>
        <v>263333</v>
      </c>
      <c r="AO51" s="39">
        <f>AO41</f>
        <v>250172</v>
      </c>
      <c r="AP51" s="88">
        <f t="shared" si="81"/>
        <v>0.95002145572336172</v>
      </c>
      <c r="AQ51" s="33">
        <f t="shared" si="82"/>
        <v>-5.4701289614705884E-3</v>
      </c>
      <c r="AR51" s="13">
        <f>AR41</f>
        <v>246832</v>
      </c>
      <c r="AS51" s="39">
        <f>AS41</f>
        <v>263333</v>
      </c>
      <c r="AT51" s="39">
        <f>AT41</f>
        <v>289496</v>
      </c>
      <c r="AU51" s="88">
        <f t="shared" si="83"/>
        <v>1.0993532903206207</v>
      </c>
      <c r="AV51" s="15">
        <f t="shared" si="84"/>
        <v>0.17284630842030202</v>
      </c>
      <c r="AW51" s="45">
        <f>AW41</f>
        <v>272448</v>
      </c>
      <c r="AX51" s="39">
        <f>AX41</f>
        <v>263333</v>
      </c>
      <c r="AY51" s="39">
        <f>AY41</f>
        <v>237912</v>
      </c>
      <c r="AZ51" s="88">
        <f t="shared" si="85"/>
        <v>0.90346443476510729</v>
      </c>
      <c r="BA51" s="33">
        <f t="shared" si="86"/>
        <v>-0.12676180408738547</v>
      </c>
      <c r="BB51" s="13">
        <f>BB41</f>
        <v>199492</v>
      </c>
      <c r="BC51" s="39">
        <f>BC41</f>
        <v>263333</v>
      </c>
      <c r="BD51" s="39">
        <f>BD41</f>
        <v>237272</v>
      </c>
      <c r="BE51" s="88">
        <f t="shared" si="87"/>
        <v>0.90103405194183794</v>
      </c>
      <c r="BF51" s="15">
        <f t="shared" si="88"/>
        <v>0.18938102781063892</v>
      </c>
      <c r="BG51" s="45">
        <f>BG41</f>
        <v>232732</v>
      </c>
      <c r="BH51" s="39">
        <f>BH41</f>
        <v>263333</v>
      </c>
      <c r="BI51" s="39">
        <f>BI41</f>
        <v>310220</v>
      </c>
      <c r="BJ51" s="88">
        <f t="shared" si="89"/>
        <v>1.1780521241166129</v>
      </c>
      <c r="BK51" s="33">
        <f t="shared" si="90"/>
        <v>0.33294948696354609</v>
      </c>
      <c r="BL51" s="13">
        <f>BL41</f>
        <v>289136</v>
      </c>
      <c r="BM51" s="39">
        <f>BM41</f>
        <v>263333</v>
      </c>
      <c r="BN51" s="39">
        <f>BN41</f>
        <v>187992</v>
      </c>
      <c r="BO51" s="88">
        <f t="shared" si="91"/>
        <v>0.71389457455009442</v>
      </c>
      <c r="BP51" s="15">
        <f t="shared" si="92"/>
        <v>-0.34981462010956776</v>
      </c>
      <c r="BQ51" s="45">
        <f>BQ41</f>
        <v>276548</v>
      </c>
      <c r="BR51" s="39">
        <f>BR41</f>
        <v>263333</v>
      </c>
      <c r="BS51" s="39">
        <f>BS41</f>
        <v>291888</v>
      </c>
      <c r="BT51" s="88">
        <f t="shared" si="93"/>
        <v>1.10843684612259</v>
      </c>
      <c r="BU51" s="15">
        <f t="shared" si="94"/>
        <v>5.5469574902006213E-2</v>
      </c>
    </row>
    <row r="52" spans="2:73" x14ac:dyDescent="0.3">
      <c r="B52" s="312"/>
      <c r="C52" s="66"/>
      <c r="D52" s="66"/>
      <c r="E52" s="66" t="s">
        <v>43</v>
      </c>
      <c r="F52" s="40">
        <f>F38</f>
        <v>59089</v>
      </c>
      <c r="G52" s="40">
        <f>G38</f>
        <v>75342</v>
      </c>
      <c r="H52" s="17">
        <f>H38</f>
        <v>0.27505965577349412</v>
      </c>
      <c r="I52" s="137">
        <f>I38</f>
        <v>59201</v>
      </c>
      <c r="J52" s="40">
        <f t="shared" ref="J52:P52" si="96">J38</f>
        <v>58596</v>
      </c>
      <c r="K52" s="40">
        <f t="shared" si="96"/>
        <v>75342</v>
      </c>
      <c r="L52" s="88">
        <f t="shared" si="69"/>
        <v>1.2857874257628508</v>
      </c>
      <c r="M52" s="33">
        <f t="shared" si="70"/>
        <v>0.27264742149625842</v>
      </c>
      <c r="N52" s="16">
        <f>N38</f>
        <v>8458</v>
      </c>
      <c r="O52" s="40">
        <f t="shared" si="96"/>
        <v>4883</v>
      </c>
      <c r="P52" s="40">
        <f t="shared" si="96"/>
        <v>6107</v>
      </c>
      <c r="Q52" s="88">
        <f t="shared" si="71"/>
        <v>1.2506655744419415</v>
      </c>
      <c r="R52" s="15">
        <f t="shared" si="72"/>
        <v>-0.2779616930716482</v>
      </c>
      <c r="S52" s="46">
        <f>S38</f>
        <v>1311</v>
      </c>
      <c r="T52" s="40">
        <f>T38</f>
        <v>4883</v>
      </c>
      <c r="U52" s="40">
        <f>U38</f>
        <v>3002</v>
      </c>
      <c r="V52" s="88">
        <f t="shared" si="73"/>
        <v>0.61478599221789887</v>
      </c>
      <c r="W52" s="33">
        <f t="shared" si="74"/>
        <v>1.2898550724637681</v>
      </c>
      <c r="X52" s="16">
        <f>X38</f>
        <v>2614</v>
      </c>
      <c r="Y52" s="40">
        <f>Y38</f>
        <v>4883</v>
      </c>
      <c r="Z52" s="40">
        <f>Z38</f>
        <v>4364</v>
      </c>
      <c r="AA52" s="88">
        <f t="shared" si="75"/>
        <v>0.89371288142535321</v>
      </c>
      <c r="AB52" s="15">
        <f t="shared" si="76"/>
        <v>0.6694720734506503</v>
      </c>
      <c r="AC52" s="46">
        <f>AC38</f>
        <v>2334</v>
      </c>
      <c r="AD52" s="40">
        <f>AD38</f>
        <v>4883</v>
      </c>
      <c r="AE52" s="40">
        <f>AE38</f>
        <v>5456</v>
      </c>
      <c r="AF52" s="88">
        <f t="shared" si="77"/>
        <v>1.1173458939176735</v>
      </c>
      <c r="AG52" s="33">
        <f t="shared" si="78"/>
        <v>1.3376178234790062</v>
      </c>
      <c r="AH52" s="16">
        <f>AH38</f>
        <v>4633</v>
      </c>
      <c r="AI52" s="40">
        <f>AI38</f>
        <v>4883</v>
      </c>
      <c r="AJ52" s="40">
        <f>AJ38</f>
        <v>4620</v>
      </c>
      <c r="AK52" s="88">
        <f t="shared" si="79"/>
        <v>0.94613966823673967</v>
      </c>
      <c r="AL52" s="15">
        <f t="shared" si="80"/>
        <v>-2.8059572631125018E-3</v>
      </c>
      <c r="AM52" s="46">
        <f>AM38</f>
        <v>6273</v>
      </c>
      <c r="AN52" s="40">
        <f>AN38</f>
        <v>4883</v>
      </c>
      <c r="AO52" s="40">
        <f>AO38</f>
        <v>7529</v>
      </c>
      <c r="AP52" s="88">
        <f t="shared" si="81"/>
        <v>1.5418799918083146</v>
      </c>
      <c r="AQ52" s="33">
        <f t="shared" si="82"/>
        <v>0.20022317870237516</v>
      </c>
      <c r="AR52" s="16">
        <f>AR38</f>
        <v>4321</v>
      </c>
      <c r="AS52" s="40">
        <f>AS38</f>
        <v>4883</v>
      </c>
      <c r="AT52" s="40">
        <f>AT38</f>
        <v>5785</v>
      </c>
      <c r="AU52" s="88">
        <f t="shared" si="83"/>
        <v>1.1847225066557445</v>
      </c>
      <c r="AV52" s="15">
        <f t="shared" si="84"/>
        <v>0.3388104605415414</v>
      </c>
      <c r="AW52" s="46">
        <f>AW38</f>
        <v>4488</v>
      </c>
      <c r="AX52" s="40">
        <f>AX38</f>
        <v>4883</v>
      </c>
      <c r="AY52" s="40">
        <f>AY38</f>
        <v>9572</v>
      </c>
      <c r="AZ52" s="88">
        <f t="shared" si="85"/>
        <v>1.9602703256194962</v>
      </c>
      <c r="BA52" s="33">
        <f t="shared" si="86"/>
        <v>1.1327985739750446</v>
      </c>
      <c r="BB52" s="16">
        <f>BB38</f>
        <v>6363</v>
      </c>
      <c r="BC52" s="40">
        <f>BC38</f>
        <v>4883</v>
      </c>
      <c r="BD52" s="40">
        <f>BD38</f>
        <v>5844</v>
      </c>
      <c r="BE52" s="88">
        <f t="shared" si="87"/>
        <v>1.196805242678681</v>
      </c>
      <c r="BF52" s="15">
        <f t="shared" si="88"/>
        <v>-8.1565299387081569E-2</v>
      </c>
      <c r="BG52" s="46">
        <f>BG38</f>
        <v>4899</v>
      </c>
      <c r="BH52" s="40">
        <f>BH38</f>
        <v>4883</v>
      </c>
      <c r="BI52" s="40">
        <f>BI38</f>
        <v>6880</v>
      </c>
      <c r="BJ52" s="88">
        <f t="shared" si="89"/>
        <v>1.4089698955560106</v>
      </c>
      <c r="BK52" s="33">
        <f t="shared" si="90"/>
        <v>0.40436823841600322</v>
      </c>
      <c r="BL52" s="16">
        <f>BL38</f>
        <v>7230</v>
      </c>
      <c r="BM52" s="40">
        <f>BM38</f>
        <v>4883</v>
      </c>
      <c r="BN52" s="40">
        <f>BN38</f>
        <v>11334</v>
      </c>
      <c r="BO52" s="88">
        <f t="shared" si="91"/>
        <v>2.3211140692197421</v>
      </c>
      <c r="BP52" s="15">
        <f t="shared" si="92"/>
        <v>0.56763485477178421</v>
      </c>
      <c r="BQ52" s="46">
        <f>BQ38</f>
        <v>6277</v>
      </c>
      <c r="BR52" s="40">
        <f>BR38</f>
        <v>4883</v>
      </c>
      <c r="BS52" s="40">
        <f>BS38</f>
        <v>4849</v>
      </c>
      <c r="BT52" s="88">
        <f t="shared" si="93"/>
        <v>0.99303706737661279</v>
      </c>
      <c r="BU52" s="15">
        <f t="shared" si="94"/>
        <v>-0.22749721204397</v>
      </c>
    </row>
    <row r="53" spans="2:73" x14ac:dyDescent="0.3">
      <c r="B53" s="312"/>
      <c r="C53" s="65"/>
      <c r="D53" s="65"/>
      <c r="E53" s="39" t="s">
        <v>50</v>
      </c>
      <c r="F53" s="39">
        <f t="shared" ref="F53:K53" si="97">F9</f>
        <v>4648868</v>
      </c>
      <c r="G53" s="39">
        <f t="shared" si="97"/>
        <v>4859570</v>
      </c>
      <c r="H53" s="15">
        <f t="shared" si="97"/>
        <v>4.5323291605612326E-2</v>
      </c>
      <c r="I53" s="136">
        <f t="shared" si="97"/>
        <v>4648868</v>
      </c>
      <c r="J53" s="39">
        <f t="shared" si="97"/>
        <v>0</v>
      </c>
      <c r="K53" s="39">
        <f t="shared" si="97"/>
        <v>4859498</v>
      </c>
      <c r="L53" s="88" t="e">
        <f t="shared" si="69"/>
        <v>#DIV/0!</v>
      </c>
      <c r="M53" s="33">
        <f t="shared" si="70"/>
        <v>4.5307803964319993E-2</v>
      </c>
      <c r="N53" s="13">
        <f>N9</f>
        <v>350586</v>
      </c>
      <c r="O53" s="39">
        <f>O9</f>
        <v>0</v>
      </c>
      <c r="P53" s="39">
        <f>P9</f>
        <v>404664</v>
      </c>
      <c r="Q53" s="88" t="e">
        <f t="shared" si="71"/>
        <v>#DIV/0!</v>
      </c>
      <c r="R53" s="15">
        <f t="shared" si="72"/>
        <v>0.15425031233420605</v>
      </c>
      <c r="S53" s="45">
        <f>S9</f>
        <v>333225</v>
      </c>
      <c r="T53" s="39">
        <f>T9</f>
        <v>0</v>
      </c>
      <c r="U53" s="39">
        <f>U9</f>
        <v>393870</v>
      </c>
      <c r="V53" s="88" t="e">
        <f t="shared" si="73"/>
        <v>#DIV/0!</v>
      </c>
      <c r="W53" s="33">
        <f t="shared" si="74"/>
        <v>0.18199414809813197</v>
      </c>
      <c r="X53" s="13">
        <f>X9</f>
        <v>508246</v>
      </c>
      <c r="Y53" s="39">
        <f>Y9</f>
        <v>0</v>
      </c>
      <c r="Z53" s="39">
        <f>Z9</f>
        <v>406749</v>
      </c>
      <c r="AA53" s="88" t="e">
        <f t="shared" si="75"/>
        <v>#DIV/0!</v>
      </c>
      <c r="AB53" s="15">
        <f t="shared" si="76"/>
        <v>-0.19970053871550386</v>
      </c>
      <c r="AC53" s="45">
        <f>AC9</f>
        <v>523351</v>
      </c>
      <c r="AD53" s="39">
        <f>AD9</f>
        <v>0</v>
      </c>
      <c r="AE53" s="39">
        <f>AE9</f>
        <v>351763</v>
      </c>
      <c r="AF53" s="88" t="e">
        <f t="shared" si="77"/>
        <v>#DIV/0!</v>
      </c>
      <c r="AG53" s="33">
        <f t="shared" si="78"/>
        <v>-0.3278640912122075</v>
      </c>
      <c r="AH53" s="13">
        <f>AH9</f>
        <v>474371</v>
      </c>
      <c r="AI53" s="39">
        <f>AI9</f>
        <v>0</v>
      </c>
      <c r="AJ53" s="39">
        <f>AJ9</f>
        <v>387063</v>
      </c>
      <c r="AK53" s="88" t="e">
        <f t="shared" si="79"/>
        <v>#DIV/0!</v>
      </c>
      <c r="AL53" s="15">
        <f t="shared" si="80"/>
        <v>-0.18405003678555387</v>
      </c>
      <c r="AM53" s="45">
        <f>AM9</f>
        <v>281721</v>
      </c>
      <c r="AN53" s="39">
        <f>AN9</f>
        <v>0</v>
      </c>
      <c r="AO53" s="39">
        <f>AO9</f>
        <v>365731</v>
      </c>
      <c r="AP53" s="88" t="e">
        <f t="shared" si="81"/>
        <v>#DIV/0!</v>
      </c>
      <c r="AQ53" s="33">
        <f t="shared" si="82"/>
        <v>0.29820283187976759</v>
      </c>
      <c r="AR53" s="13">
        <f>AR9</f>
        <v>297243</v>
      </c>
      <c r="AS53" s="39">
        <f>AS9</f>
        <v>0</v>
      </c>
      <c r="AT53" s="39">
        <f>AT9</f>
        <v>384313</v>
      </c>
      <c r="AU53" s="88" t="e">
        <f t="shared" si="83"/>
        <v>#DIV/0!</v>
      </c>
      <c r="AV53" s="15">
        <f t="shared" si="84"/>
        <v>0.29292531699653135</v>
      </c>
      <c r="AW53" s="45">
        <f>AW9</f>
        <v>69669</v>
      </c>
      <c r="AX53" s="39">
        <f>AX9</f>
        <v>0</v>
      </c>
      <c r="AY53" s="39">
        <f>AY9</f>
        <v>378487</v>
      </c>
      <c r="AZ53" s="88" t="e">
        <f t="shared" si="85"/>
        <v>#DIV/0!</v>
      </c>
      <c r="BA53" s="33">
        <f t="shared" si="86"/>
        <v>4.4326457965522685</v>
      </c>
      <c r="BB53" s="13">
        <f>BB9</f>
        <v>341879</v>
      </c>
      <c r="BC53" s="39">
        <f>BC9</f>
        <v>0</v>
      </c>
      <c r="BD53" s="39">
        <f>BD9</f>
        <v>367503</v>
      </c>
      <c r="BE53" s="88" t="e">
        <f t="shared" si="87"/>
        <v>#DIV/0!</v>
      </c>
      <c r="BF53" s="15">
        <f t="shared" si="88"/>
        <v>7.4950494180689553E-2</v>
      </c>
      <c r="BG53" s="45">
        <f>BG9</f>
        <v>369782</v>
      </c>
      <c r="BH53" s="39">
        <f>BH9</f>
        <v>0</v>
      </c>
      <c r="BI53" s="39">
        <f>BI9</f>
        <v>518324</v>
      </c>
      <c r="BJ53" s="88" t="e">
        <f t="shared" si="89"/>
        <v>#DIV/0!</v>
      </c>
      <c r="BK53" s="33">
        <f t="shared" si="90"/>
        <v>0.40170154307132311</v>
      </c>
      <c r="BL53" s="13">
        <f>BL9</f>
        <v>472125</v>
      </c>
      <c r="BM53" s="39">
        <f>BM9</f>
        <v>0</v>
      </c>
      <c r="BN53" s="39">
        <f>BN9</f>
        <v>478461</v>
      </c>
      <c r="BO53" s="88" t="e">
        <f t="shared" si="91"/>
        <v>#DIV/0!</v>
      </c>
      <c r="BP53" s="15">
        <f t="shared" si="92"/>
        <v>1.3420174741858526E-2</v>
      </c>
      <c r="BQ53" s="45">
        <f>BQ9</f>
        <v>367876</v>
      </c>
      <c r="BR53" s="39">
        <f>BR9</f>
        <v>0</v>
      </c>
      <c r="BS53" s="39">
        <f>BS9</f>
        <v>415180</v>
      </c>
      <c r="BT53" s="88" t="e">
        <f t="shared" si="93"/>
        <v>#DIV/0!</v>
      </c>
      <c r="BU53" s="15">
        <f t="shared" si="94"/>
        <v>0.12858680642390374</v>
      </c>
    </row>
    <row r="54" spans="2:73" ht="17.25" thickBot="1" x14ac:dyDescent="0.35">
      <c r="B54" s="315"/>
      <c r="C54" s="144"/>
      <c r="D54" s="144"/>
      <c r="E54" s="42" t="s">
        <v>31</v>
      </c>
      <c r="F54" s="42">
        <f t="shared" ref="F54:K54" si="98">F29</f>
        <v>6066324.9000000004</v>
      </c>
      <c r="G54" s="42">
        <f t="shared" si="98"/>
        <v>5796942</v>
      </c>
      <c r="H54" s="25">
        <f t="shared" si="98"/>
        <v>-4.4406276360173247E-2</v>
      </c>
      <c r="I54" s="145">
        <f t="shared" si="98"/>
        <v>6066324.9000000004</v>
      </c>
      <c r="J54" s="42">
        <f t="shared" si="98"/>
        <v>0</v>
      </c>
      <c r="K54" s="42">
        <f t="shared" si="98"/>
        <v>5791350</v>
      </c>
      <c r="L54" s="146" t="e">
        <f t="shared" si="69"/>
        <v>#DIV/0!</v>
      </c>
      <c r="M54" s="82">
        <f t="shared" si="70"/>
        <v>-4.5328086532259504E-2</v>
      </c>
      <c r="N54" s="24">
        <f>N29</f>
        <v>758416.8</v>
      </c>
      <c r="O54" s="42">
        <f>O29</f>
        <v>0</v>
      </c>
      <c r="P54" s="42">
        <f>P29</f>
        <v>409012</v>
      </c>
      <c r="Q54" s="146" t="e">
        <f t="shared" si="71"/>
        <v>#DIV/0!</v>
      </c>
      <c r="R54" s="25">
        <f t="shared" si="72"/>
        <v>-0.46070287472534899</v>
      </c>
      <c r="S54" s="57">
        <f>S29</f>
        <v>419598.6</v>
      </c>
      <c r="T54" s="42">
        <f>T29</f>
        <v>0</v>
      </c>
      <c r="U54" s="42">
        <f>U29</f>
        <v>633763</v>
      </c>
      <c r="V54" s="146" t="e">
        <f t="shared" si="73"/>
        <v>#DIV/0!</v>
      </c>
      <c r="W54" s="82">
        <f t="shared" si="74"/>
        <v>0.5104030375697155</v>
      </c>
      <c r="X54" s="24">
        <f>X29</f>
        <v>637657.1</v>
      </c>
      <c r="Y54" s="42">
        <f>Y29</f>
        <v>0</v>
      </c>
      <c r="Z54" s="42">
        <f>Z29</f>
        <v>479511</v>
      </c>
      <c r="AA54" s="146" t="e">
        <f t="shared" si="75"/>
        <v>#DIV/0!</v>
      </c>
      <c r="AB54" s="25">
        <f t="shared" si="76"/>
        <v>-0.24801119598605581</v>
      </c>
      <c r="AC54" s="57">
        <f>AC29</f>
        <v>625196.4</v>
      </c>
      <c r="AD54" s="42">
        <f>AD29</f>
        <v>0</v>
      </c>
      <c r="AE54" s="42">
        <f>AE29</f>
        <v>482482</v>
      </c>
      <c r="AF54" s="146" t="e">
        <f t="shared" si="77"/>
        <v>#DIV/0!</v>
      </c>
      <c r="AG54" s="82">
        <f t="shared" si="78"/>
        <v>-0.22827130802416651</v>
      </c>
      <c r="AH54" s="24">
        <f>AH29</f>
        <v>540749</v>
      </c>
      <c r="AI54" s="42">
        <f>AI29</f>
        <v>0</v>
      </c>
      <c r="AJ54" s="42">
        <f>AJ29</f>
        <v>532534</v>
      </c>
      <c r="AK54" s="146" t="e">
        <f t="shared" si="79"/>
        <v>#DIV/0!</v>
      </c>
      <c r="AL54" s="25">
        <f t="shared" si="80"/>
        <v>-1.5191891247140488E-2</v>
      </c>
      <c r="AM54" s="57">
        <f>AM29</f>
        <v>574926</v>
      </c>
      <c r="AN54" s="42">
        <f>AN29</f>
        <v>0</v>
      </c>
      <c r="AO54" s="42">
        <f>AO29</f>
        <v>475303</v>
      </c>
      <c r="AP54" s="146" t="e">
        <f t="shared" si="81"/>
        <v>#DIV/0!</v>
      </c>
      <c r="AQ54" s="82">
        <f t="shared" si="82"/>
        <v>-0.17327969164727286</v>
      </c>
      <c r="AR54" s="24">
        <f>AR29</f>
        <v>361486</v>
      </c>
      <c r="AS54" s="42">
        <f>AS29</f>
        <v>0</v>
      </c>
      <c r="AT54" s="42">
        <f>AT29</f>
        <v>387321</v>
      </c>
      <c r="AU54" s="146" t="e">
        <f t="shared" si="83"/>
        <v>#DIV/0!</v>
      </c>
      <c r="AV54" s="25">
        <f t="shared" si="84"/>
        <v>7.1468881229148629E-2</v>
      </c>
      <c r="AW54" s="57">
        <f>AW29</f>
        <v>448447</v>
      </c>
      <c r="AX54" s="42">
        <f>AX29</f>
        <v>0</v>
      </c>
      <c r="AY54" s="42">
        <f>AY29</f>
        <v>429751</v>
      </c>
      <c r="AZ54" s="146" t="e">
        <f t="shared" si="85"/>
        <v>#DIV/0!</v>
      </c>
      <c r="BA54" s="82">
        <f t="shared" si="86"/>
        <v>-4.1690545371024901E-2</v>
      </c>
      <c r="BB54" s="24">
        <f>BB29</f>
        <v>346063</v>
      </c>
      <c r="BC54" s="42">
        <f>BC29</f>
        <v>0</v>
      </c>
      <c r="BD54" s="42">
        <f>BD29</f>
        <v>380058</v>
      </c>
      <c r="BE54" s="146" t="e">
        <f t="shared" si="87"/>
        <v>#DIV/0!</v>
      </c>
      <c r="BF54" s="25">
        <f t="shared" si="88"/>
        <v>9.8233558629498008E-2</v>
      </c>
      <c r="BG54" s="57">
        <f>BG29</f>
        <v>439499</v>
      </c>
      <c r="BH54" s="42">
        <f>BH29</f>
        <v>0</v>
      </c>
      <c r="BI54" s="42">
        <f>BI29</f>
        <v>612770</v>
      </c>
      <c r="BJ54" s="146" t="e">
        <f t="shared" si="89"/>
        <v>#DIV/0!</v>
      </c>
      <c r="BK54" s="82">
        <f t="shared" si="90"/>
        <v>0.39424663082282319</v>
      </c>
      <c r="BL54" s="24">
        <f>BL29</f>
        <v>504856</v>
      </c>
      <c r="BM54" s="42">
        <f>BM29</f>
        <v>0</v>
      </c>
      <c r="BN54" s="42">
        <f>BN29</f>
        <v>509279</v>
      </c>
      <c r="BO54" s="146" t="e">
        <f t="shared" si="91"/>
        <v>#DIV/0!</v>
      </c>
      <c r="BP54" s="25">
        <f t="shared" si="92"/>
        <v>8.7609140032010036E-3</v>
      </c>
      <c r="BQ54" s="57">
        <f>BQ29</f>
        <v>409430</v>
      </c>
      <c r="BR54" s="42">
        <f>BR29</f>
        <v>0</v>
      </c>
      <c r="BS54" s="42">
        <f>BS29</f>
        <v>459566</v>
      </c>
      <c r="BT54" s="146" t="e">
        <f t="shared" si="93"/>
        <v>#DIV/0!</v>
      </c>
      <c r="BU54" s="25">
        <f t="shared" si="94"/>
        <v>0.12245316659746486</v>
      </c>
    </row>
    <row r="55" spans="2:73" x14ac:dyDescent="0.3">
      <c r="B55" s="311" t="s">
        <v>51</v>
      </c>
      <c r="C55" s="64" t="s">
        <v>49</v>
      </c>
      <c r="D55" s="64"/>
      <c r="E55" s="44"/>
      <c r="F55" s="44">
        <f>SUM(F56:F59)</f>
        <v>13776845.9</v>
      </c>
      <c r="G55" s="44">
        <f>SUM(G56:G59)</f>
        <v>13820018</v>
      </c>
      <c r="H55" s="19">
        <f>G55/F55-1</f>
        <v>3.1336708208371533E-3</v>
      </c>
      <c r="I55" s="147">
        <f>SUM(I56:I59)</f>
        <v>13387033</v>
      </c>
      <c r="J55" s="44">
        <f>SUM(J56:J59)</f>
        <v>14918604</v>
      </c>
      <c r="K55" s="44">
        <f>SUM(K56:K59)</f>
        <v>13835379</v>
      </c>
      <c r="L55" s="148">
        <f t="shared" si="69"/>
        <v>0.92739099449251416</v>
      </c>
      <c r="M55" s="32">
        <f t="shared" si="70"/>
        <v>3.3491065570690592E-2</v>
      </c>
      <c r="N55" s="18">
        <f>SUM(N56:N59)</f>
        <v>1252090</v>
      </c>
      <c r="O55" s="44">
        <f>SUM(O56:O59)</f>
        <v>1277217</v>
      </c>
      <c r="P55" s="44">
        <f>SUM(P56:P59)</f>
        <v>1326352</v>
      </c>
      <c r="Q55" s="148">
        <f t="shared" si="71"/>
        <v>1.0384703617317965</v>
      </c>
      <c r="R55" s="19">
        <f t="shared" si="72"/>
        <v>5.9310432956097392E-2</v>
      </c>
      <c r="S55" s="147">
        <f>SUM(S56:S59)</f>
        <v>1126676</v>
      </c>
      <c r="T55" s="44">
        <f>SUM(T56:T59)</f>
        <v>1175217</v>
      </c>
      <c r="U55" s="44">
        <f>SUM(U56:U59)</f>
        <v>926691</v>
      </c>
      <c r="V55" s="148">
        <f t="shared" si="73"/>
        <v>0.78852756554746906</v>
      </c>
      <c r="W55" s="32">
        <f t="shared" si="74"/>
        <v>-0.17750000887566608</v>
      </c>
      <c r="X55" s="18">
        <f>SUM(X56:X59)</f>
        <v>1423437</v>
      </c>
      <c r="Y55" s="44">
        <f>SUM(Y56:Y59)</f>
        <v>1277217</v>
      </c>
      <c r="Z55" s="44">
        <f>SUM(Z56:Z59)</f>
        <v>1168464</v>
      </c>
      <c r="AA55" s="148">
        <f t="shared" si="75"/>
        <v>0.91485158747495532</v>
      </c>
      <c r="AB55" s="19">
        <f t="shared" si="76"/>
        <v>-0.17912489277713028</v>
      </c>
      <c r="AC55" s="147">
        <f>SUM(AC56:AC59)</f>
        <v>1406187</v>
      </c>
      <c r="AD55" s="44">
        <f>SUM(AD56:AD59)</f>
        <v>1277217</v>
      </c>
      <c r="AE55" s="44">
        <f>SUM(AE56:AE59)</f>
        <v>1218914</v>
      </c>
      <c r="AF55" s="148">
        <f t="shared" si="77"/>
        <v>0.9543515314938652</v>
      </c>
      <c r="AG55" s="32">
        <f t="shared" si="78"/>
        <v>-0.13317787748002219</v>
      </c>
      <c r="AH55" s="18">
        <f>SUM(AH56:AH59)</f>
        <v>1221697</v>
      </c>
      <c r="AI55" s="44">
        <f>SUM(AI56:AI59)</f>
        <v>1328217</v>
      </c>
      <c r="AJ55" s="44">
        <f>SUM(AJ56:AJ59)</f>
        <v>1231598</v>
      </c>
      <c r="AK55" s="148">
        <f t="shared" si="79"/>
        <v>0.92725661544762639</v>
      </c>
      <c r="AL55" s="19">
        <f t="shared" si="80"/>
        <v>8.1043008209074063E-3</v>
      </c>
      <c r="AM55" s="147">
        <f>SUM(AM56:AM59)</f>
        <v>1010271</v>
      </c>
      <c r="AN55" s="44">
        <f>SUM(AN56:AN59)</f>
        <v>1175217</v>
      </c>
      <c r="AO55" s="44">
        <f>SUM(AO56:AO59)</f>
        <v>922623</v>
      </c>
      <c r="AP55" s="148">
        <f t="shared" si="81"/>
        <v>0.78506607715851628</v>
      </c>
      <c r="AQ55" s="32">
        <f t="shared" si="82"/>
        <v>-8.6756919677987376E-2</v>
      </c>
      <c r="AR55" s="18">
        <f>SUM(AR56:AR59)</f>
        <v>830634</v>
      </c>
      <c r="AS55" s="44">
        <f>SUM(AS56:AS59)</f>
        <v>1124217</v>
      </c>
      <c r="AT55" s="44">
        <f>SUM(AT56:AT59)</f>
        <v>999306</v>
      </c>
      <c r="AU55" s="148">
        <f t="shared" si="83"/>
        <v>0.88889066790486182</v>
      </c>
      <c r="AV55" s="19">
        <f t="shared" si="84"/>
        <v>0.20306416544470851</v>
      </c>
      <c r="AW55" s="147">
        <f>SUM(AW56:AW59)</f>
        <v>813352</v>
      </c>
      <c r="AX55" s="44">
        <f>SUM(AX56:AX59)</f>
        <v>1175217</v>
      </c>
      <c r="AY55" s="44">
        <f>SUM(AY56:AY59)</f>
        <v>1082068</v>
      </c>
      <c r="AZ55" s="148">
        <f t="shared" si="85"/>
        <v>0.92073889332778547</v>
      </c>
      <c r="BA55" s="32">
        <f t="shared" si="86"/>
        <v>0.33038094207673918</v>
      </c>
      <c r="BB55" s="18">
        <f>SUM(BB56:BB59)</f>
        <v>927540</v>
      </c>
      <c r="BC55" s="44">
        <f>SUM(BC56:BC59)</f>
        <v>1226217</v>
      </c>
      <c r="BD55" s="44">
        <f>SUM(BD56:BD59)</f>
        <v>1066379</v>
      </c>
      <c r="BE55" s="148">
        <f t="shared" si="87"/>
        <v>0.86964949923219137</v>
      </c>
      <c r="BF55" s="19">
        <f t="shared" si="88"/>
        <v>0.14968518877892056</v>
      </c>
      <c r="BG55" s="147">
        <f>SUM(BG56:BG59)</f>
        <v>990486</v>
      </c>
      <c r="BH55" s="44">
        <f>SUM(BH56:BH59)</f>
        <v>1277217</v>
      </c>
      <c r="BI55" s="44">
        <f>SUM(BI56:BI59)</f>
        <v>1683219</v>
      </c>
      <c r="BJ55" s="148">
        <f t="shared" si="89"/>
        <v>1.3178802035989186</v>
      </c>
      <c r="BK55" s="32">
        <f t="shared" si="90"/>
        <v>0.69938696760984009</v>
      </c>
      <c r="BL55" s="18">
        <f>SUM(BL56:BL59)</f>
        <v>1403731</v>
      </c>
      <c r="BM55" s="44">
        <f>SUM(BM56:BM59)</f>
        <v>1328217</v>
      </c>
      <c r="BN55" s="44">
        <f>SUM(BN56:BN59)</f>
        <v>1219171</v>
      </c>
      <c r="BO55" s="148">
        <f t="shared" si="91"/>
        <v>0.91790046355377175</v>
      </c>
      <c r="BP55" s="19">
        <f t="shared" si="92"/>
        <v>-0.13147818207334594</v>
      </c>
      <c r="BQ55" s="147">
        <f>SUM(BQ56:BQ59)</f>
        <v>980932</v>
      </c>
      <c r="BR55" s="44">
        <f>SUM(BR56:BR59)</f>
        <v>1277217</v>
      </c>
      <c r="BS55" s="44">
        <f>SUM(BS56:BS59)</f>
        <v>990594</v>
      </c>
      <c r="BT55" s="148">
        <f t="shared" si="93"/>
        <v>0.77558786016784931</v>
      </c>
      <c r="BU55" s="19">
        <f t="shared" si="94"/>
        <v>9.8498162971540903E-3</v>
      </c>
    </row>
    <row r="56" spans="2:73" x14ac:dyDescent="0.3">
      <c r="B56" s="312"/>
      <c r="C56" s="65"/>
      <c r="D56" s="65"/>
      <c r="E56" s="65" t="s">
        <v>44</v>
      </c>
      <c r="F56" s="39">
        <f t="shared" ref="F56:G59" si="99">F51</f>
        <v>3002564</v>
      </c>
      <c r="G56" s="39">
        <f t="shared" si="99"/>
        <v>3088164</v>
      </c>
      <c r="H56" s="15">
        <f>H42</f>
        <v>7.3021325470656873E-3</v>
      </c>
      <c r="I56" s="136">
        <f>I42</f>
        <v>3008984</v>
      </c>
      <c r="J56" s="39">
        <f>J42</f>
        <v>3159996</v>
      </c>
      <c r="K56" s="39">
        <f>K42</f>
        <v>3030956</v>
      </c>
      <c r="L56" s="88">
        <f>L42</f>
        <v>-4.0835494728474364E-2</v>
      </c>
      <c r="M56" s="33">
        <f t="shared" si="70"/>
        <v>7.3021325470656873E-3</v>
      </c>
      <c r="N56" s="13">
        <f>N42</f>
        <v>241420</v>
      </c>
      <c r="O56" s="39">
        <f>O42</f>
        <v>263333</v>
      </c>
      <c r="P56" s="39">
        <f>P42</f>
        <v>241420</v>
      </c>
      <c r="Q56" s="88">
        <f>Q42</f>
        <v>0.91678597061515266</v>
      </c>
      <c r="R56" s="15">
        <f t="shared" si="72"/>
        <v>0</v>
      </c>
      <c r="S56" s="45">
        <f>S42</f>
        <v>188856</v>
      </c>
      <c r="T56" s="39">
        <f>T42</f>
        <v>263333</v>
      </c>
      <c r="U56" s="39">
        <f>U42</f>
        <v>218496</v>
      </c>
      <c r="V56" s="88">
        <f>V42</f>
        <v>0.82973269586417198</v>
      </c>
      <c r="W56" s="33">
        <f t="shared" si="74"/>
        <v>0.15694497394840523</v>
      </c>
      <c r="X56" s="13">
        <f>X42</f>
        <v>236916</v>
      </c>
      <c r="Y56" s="39">
        <f>Y42</f>
        <v>263333</v>
      </c>
      <c r="Z56" s="39">
        <f>Z42</f>
        <v>278780</v>
      </c>
      <c r="AA56" s="88">
        <f>AA42</f>
        <v>1.0586595679235038</v>
      </c>
      <c r="AB56" s="15">
        <f t="shared" si="76"/>
        <v>0.17670397946951666</v>
      </c>
      <c r="AC56" s="45">
        <f>AC42</f>
        <v>278664</v>
      </c>
      <c r="AD56" s="39">
        <f>AD42</f>
        <v>263333</v>
      </c>
      <c r="AE56" s="39">
        <f>AE42</f>
        <v>266908</v>
      </c>
      <c r="AF56" s="88">
        <f>AF42</f>
        <v>1.0135759665518564</v>
      </c>
      <c r="AG56" s="33">
        <f t="shared" si="78"/>
        <v>-4.2187006574225583E-2</v>
      </c>
      <c r="AH56" s="13">
        <f>AH42</f>
        <v>232776</v>
      </c>
      <c r="AI56" s="39">
        <f>AI42</f>
        <v>263333</v>
      </c>
      <c r="AJ56" s="39">
        <f>AJ42</f>
        <v>274736</v>
      </c>
      <c r="AK56" s="88">
        <f>AK42</f>
        <v>1.0433025864589702</v>
      </c>
      <c r="AL56" s="15">
        <f t="shared" si="80"/>
        <v>0.18025913324397713</v>
      </c>
      <c r="AM56" s="45">
        <f>AM42</f>
        <v>234572</v>
      </c>
      <c r="AN56" s="39">
        <f>AN42</f>
        <v>263333</v>
      </c>
      <c r="AO56" s="39">
        <f>AO42</f>
        <v>235448</v>
      </c>
      <c r="AP56" s="88">
        <f>AP42</f>
        <v>0.89410746089552007</v>
      </c>
      <c r="AQ56" s="33">
        <f t="shared" si="82"/>
        <v>3.7344610609961748E-3</v>
      </c>
      <c r="AR56" s="13">
        <f>AR42</f>
        <v>292332</v>
      </c>
      <c r="AS56" s="39">
        <f>AS42</f>
        <v>263333</v>
      </c>
      <c r="AT56" s="39">
        <f>AT42</f>
        <v>259380</v>
      </c>
      <c r="AU56" s="88">
        <f>AU42</f>
        <v>0.98498858859315008</v>
      </c>
      <c r="AV56" s="15">
        <f t="shared" si="84"/>
        <v>-0.11272115266204175</v>
      </c>
      <c r="AW56" s="45">
        <f>AW42</f>
        <v>242940</v>
      </c>
      <c r="AX56" s="39">
        <f>AX42</f>
        <v>263333</v>
      </c>
      <c r="AY56" s="39">
        <f>AY42</f>
        <v>299272</v>
      </c>
      <c r="AZ56" s="88">
        <f>AZ42</f>
        <v>1.1364773879460608</v>
      </c>
      <c r="BA56" s="33">
        <f t="shared" si="86"/>
        <v>0.23187618341977445</v>
      </c>
      <c r="BB56" s="13">
        <f>BB42</f>
        <v>228852</v>
      </c>
      <c r="BC56" s="39">
        <f>BC42</f>
        <v>263333</v>
      </c>
      <c r="BD56" s="39">
        <f>BD42</f>
        <v>212528</v>
      </c>
      <c r="BE56" s="88">
        <f>BE42</f>
        <v>0.80706937603718487</v>
      </c>
      <c r="BF56" s="15">
        <f t="shared" si="88"/>
        <v>-7.1329942495586662E-2</v>
      </c>
      <c r="BG56" s="45">
        <f>BG42</f>
        <v>225308</v>
      </c>
      <c r="BH56" s="39">
        <f>BH42</f>
        <v>263333</v>
      </c>
      <c r="BI56" s="39">
        <f>BI42</f>
        <v>256012</v>
      </c>
      <c r="BJ56" s="88">
        <f>BJ42</f>
        <v>0.97219869898569489</v>
      </c>
      <c r="BK56" s="33">
        <f t="shared" si="90"/>
        <v>0.13627567596356993</v>
      </c>
      <c r="BL56" s="13">
        <f>BL42</f>
        <v>295564</v>
      </c>
      <c r="BM56" s="39">
        <f>BM42</f>
        <v>263333</v>
      </c>
      <c r="BN56" s="39">
        <f>BN42</f>
        <v>290652</v>
      </c>
      <c r="BO56" s="88">
        <f>BO42</f>
        <v>1.1037431692951509</v>
      </c>
      <c r="BP56" s="15">
        <f t="shared" si="92"/>
        <v>-1.6619074041493542E-2</v>
      </c>
      <c r="BQ56" s="45">
        <f>BQ42</f>
        <v>310784</v>
      </c>
      <c r="BR56" s="39">
        <f>BR42</f>
        <v>263333</v>
      </c>
      <c r="BS56" s="39">
        <f>BS42</f>
        <v>197324</v>
      </c>
      <c r="BT56" s="88">
        <f>BT42</f>
        <v>0.74933259409189124</v>
      </c>
      <c r="BU56" s="15">
        <f t="shared" si="94"/>
        <v>-0.36507670922570012</v>
      </c>
    </row>
    <row r="57" spans="2:73" x14ac:dyDescent="0.3">
      <c r="B57" s="312"/>
      <c r="C57" s="66"/>
      <c r="D57" s="66"/>
      <c r="E57" s="66" t="s">
        <v>43</v>
      </c>
      <c r="F57" s="39">
        <f t="shared" si="99"/>
        <v>59089</v>
      </c>
      <c r="G57" s="39">
        <f t="shared" si="99"/>
        <v>75342</v>
      </c>
      <c r="H57" s="17">
        <f>H39</f>
        <v>0.3715617386391723</v>
      </c>
      <c r="I57" s="137">
        <f>I39</f>
        <v>56642</v>
      </c>
      <c r="J57" s="40">
        <f t="shared" ref="J57:P57" si="100">J39</f>
        <v>58596</v>
      </c>
      <c r="K57" s="40">
        <f t="shared" si="100"/>
        <v>77688</v>
      </c>
      <c r="L57" s="93">
        <f>L39</f>
        <v>0.32582428834732746</v>
      </c>
      <c r="M57" s="33">
        <f t="shared" si="70"/>
        <v>0.3715617386391723</v>
      </c>
      <c r="N57" s="16">
        <f>N39</f>
        <v>8650</v>
      </c>
      <c r="O57" s="40">
        <f t="shared" si="100"/>
        <v>4883</v>
      </c>
      <c r="P57" s="40">
        <f t="shared" si="100"/>
        <v>8650</v>
      </c>
      <c r="Q57" s="93">
        <f>Q39</f>
        <v>1.7714519762441123</v>
      </c>
      <c r="R57" s="15">
        <f t="shared" si="72"/>
        <v>0</v>
      </c>
      <c r="S57" s="46">
        <f>S39</f>
        <v>1113</v>
      </c>
      <c r="T57" s="40">
        <f>T39</f>
        <v>4883</v>
      </c>
      <c r="U57" s="40">
        <f>U39</f>
        <v>2850</v>
      </c>
      <c r="V57" s="93">
        <f>V39</f>
        <v>0.58365758754863817</v>
      </c>
      <c r="W57" s="33">
        <f t="shared" si="74"/>
        <v>1.5606469002695418</v>
      </c>
      <c r="X57" s="16">
        <f>X39</f>
        <v>2306</v>
      </c>
      <c r="Y57" s="40">
        <f>Y39</f>
        <v>4883</v>
      </c>
      <c r="Z57" s="40">
        <f>Z39</f>
        <v>6557</v>
      </c>
      <c r="AA57" s="93">
        <f>AA39</f>
        <v>1.3428220356338316</v>
      </c>
      <c r="AB57" s="15">
        <f t="shared" si="76"/>
        <v>1.8434518647007807</v>
      </c>
      <c r="AC57" s="46">
        <f>AC39</f>
        <v>8178</v>
      </c>
      <c r="AD57" s="40">
        <f>AD39</f>
        <v>4883</v>
      </c>
      <c r="AE57" s="40">
        <f>AE39</f>
        <v>3260</v>
      </c>
      <c r="AF57" s="93">
        <f>AF39</f>
        <v>0.66762236330124924</v>
      </c>
      <c r="AG57" s="33">
        <f t="shared" si="78"/>
        <v>-0.60136952800195642</v>
      </c>
      <c r="AH57" s="16">
        <f>AH39</f>
        <v>1588</v>
      </c>
      <c r="AI57" s="40">
        <f>AI39</f>
        <v>4883</v>
      </c>
      <c r="AJ57" s="40">
        <f>AJ39</f>
        <v>5412</v>
      </c>
      <c r="AK57" s="93">
        <f>AK39</f>
        <v>1.1083350399344665</v>
      </c>
      <c r="AL57" s="15">
        <f t="shared" si="80"/>
        <v>2.4080604534005037</v>
      </c>
      <c r="AM57" s="46">
        <f>AM39</f>
        <v>4933</v>
      </c>
      <c r="AN57" s="40">
        <f>AN39</f>
        <v>4883</v>
      </c>
      <c r="AO57" s="40">
        <f>AO39</f>
        <v>5339</v>
      </c>
      <c r="AP57" s="93">
        <f>AP39</f>
        <v>1.093385214007782</v>
      </c>
      <c r="AQ57" s="33">
        <f t="shared" si="82"/>
        <v>8.2302858301236625E-2</v>
      </c>
      <c r="AR57" s="16">
        <f>AR39</f>
        <v>4789</v>
      </c>
      <c r="AS57" s="40">
        <f>AS39</f>
        <v>4883</v>
      </c>
      <c r="AT57" s="40">
        <f>AT39</f>
        <v>7065</v>
      </c>
      <c r="AU57" s="93">
        <f>AU39</f>
        <v>1.4468564407126767</v>
      </c>
      <c r="AV57" s="15">
        <f t="shared" si="84"/>
        <v>0.47525579452912936</v>
      </c>
      <c r="AW57" s="46">
        <f>AW39</f>
        <v>5126</v>
      </c>
      <c r="AX57" s="40">
        <f>AX39</f>
        <v>4883</v>
      </c>
      <c r="AY57" s="40">
        <f>AY39</f>
        <v>7581</v>
      </c>
      <c r="AZ57" s="93">
        <f>AZ39</f>
        <v>1.5525291828793775</v>
      </c>
      <c r="BA57" s="33">
        <f t="shared" si="86"/>
        <v>0.47893094030433092</v>
      </c>
      <c r="BB57" s="16">
        <f>BB39</f>
        <v>6064</v>
      </c>
      <c r="BC57" s="40">
        <f>BC39</f>
        <v>4883</v>
      </c>
      <c r="BD57" s="40">
        <f>BD39</f>
        <v>7313</v>
      </c>
      <c r="BE57" s="93">
        <f>BE39</f>
        <v>1.4976448904362072</v>
      </c>
      <c r="BF57" s="15">
        <f t="shared" si="88"/>
        <v>0.20596965699208436</v>
      </c>
      <c r="BG57" s="46">
        <f>BG39</f>
        <v>4400</v>
      </c>
      <c r="BH57" s="40">
        <f>BH39</f>
        <v>4883</v>
      </c>
      <c r="BI57" s="40">
        <f>BI39</f>
        <v>7840</v>
      </c>
      <c r="BJ57" s="93">
        <f>BJ39</f>
        <v>1.6055703460987099</v>
      </c>
      <c r="BK57" s="33">
        <f t="shared" si="90"/>
        <v>0.78181818181818175</v>
      </c>
      <c r="BL57" s="16">
        <f>BL39</f>
        <v>4005</v>
      </c>
      <c r="BM57" s="40">
        <f>BM39</f>
        <v>4883</v>
      </c>
      <c r="BN57" s="40">
        <f>BN39</f>
        <v>12420</v>
      </c>
      <c r="BO57" s="93">
        <f>BO39</f>
        <v>2.5435183288961705</v>
      </c>
      <c r="BP57" s="15">
        <f t="shared" si="92"/>
        <v>2.101123595505618</v>
      </c>
      <c r="BQ57" s="46">
        <f>BQ39</f>
        <v>5490</v>
      </c>
      <c r="BR57" s="40">
        <f>BR39</f>
        <v>4883</v>
      </c>
      <c r="BS57" s="40">
        <f>BS39</f>
        <v>3401</v>
      </c>
      <c r="BT57" s="93">
        <f>BT39</f>
        <v>0.69649805447470814</v>
      </c>
      <c r="BU57" s="15">
        <f t="shared" si="94"/>
        <v>-0.38051001821493624</v>
      </c>
    </row>
    <row r="58" spans="2:73" x14ac:dyDescent="0.3">
      <c r="B58" s="312"/>
      <c r="C58" s="65"/>
      <c r="D58" s="65"/>
      <c r="E58" s="39" t="s">
        <v>50</v>
      </c>
      <c r="F58" s="39">
        <f t="shared" si="99"/>
        <v>4648868</v>
      </c>
      <c r="G58" s="39">
        <f t="shared" si="99"/>
        <v>4859570</v>
      </c>
      <c r="H58" s="15">
        <f>H8</f>
        <v>7.2171396617167538E-2</v>
      </c>
      <c r="I58" s="136">
        <f>I8</f>
        <v>4617314</v>
      </c>
      <c r="J58" s="39">
        <f>J8</f>
        <v>5100000</v>
      </c>
      <c r="K58" s="39">
        <f>K8</f>
        <v>4950552</v>
      </c>
      <c r="L58" s="88">
        <f>L8</f>
        <v>-2.9303529411764728E-2</v>
      </c>
      <c r="M58" s="33">
        <f t="shared" si="70"/>
        <v>7.2171396617167538E-2</v>
      </c>
      <c r="N58" s="13">
        <f>N8</f>
        <v>341668</v>
      </c>
      <c r="O58" s="39">
        <f>O8</f>
        <v>459000</v>
      </c>
      <c r="P58" s="39">
        <f>P8</f>
        <v>469678</v>
      </c>
      <c r="Q58" s="88">
        <f>Q8</f>
        <v>2.3263616557734235E-2</v>
      </c>
      <c r="R58" s="15">
        <f t="shared" si="72"/>
        <v>0.37466195253872181</v>
      </c>
      <c r="S58" s="45">
        <f>S8</f>
        <v>408701</v>
      </c>
      <c r="T58" s="39">
        <f>T8</f>
        <v>357000</v>
      </c>
      <c r="U58" s="39">
        <f>U8</f>
        <v>320358</v>
      </c>
      <c r="V58" s="88">
        <f>V8</f>
        <v>-0.10263865546218487</v>
      </c>
      <c r="W58" s="33">
        <f t="shared" si="74"/>
        <v>-0.21615557583661404</v>
      </c>
      <c r="X58" s="13">
        <f>X8</f>
        <v>578782</v>
      </c>
      <c r="Y58" s="39">
        <f>Y8</f>
        <v>459000</v>
      </c>
      <c r="Z58" s="39">
        <f>Z8</f>
        <v>432930</v>
      </c>
      <c r="AA58" s="88">
        <f>AA8</f>
        <v>-5.6797385620915075E-2</v>
      </c>
      <c r="AB58" s="15">
        <f t="shared" si="76"/>
        <v>-0.25199816165672051</v>
      </c>
      <c r="AC58" s="45">
        <f>AC8</f>
        <v>447066</v>
      </c>
      <c r="AD58" s="39">
        <f>AD8</f>
        <v>459000</v>
      </c>
      <c r="AE58" s="39">
        <f>AE8</f>
        <v>472323</v>
      </c>
      <c r="AF58" s="88">
        <f>AF8</f>
        <v>2.9026143790849668E-2</v>
      </c>
      <c r="AG58" s="33">
        <f t="shared" si="78"/>
        <v>5.6495014158983281E-2</v>
      </c>
      <c r="AH58" s="13">
        <f>AH8</f>
        <v>441837</v>
      </c>
      <c r="AI58" s="39">
        <f>AI8</f>
        <v>510000</v>
      </c>
      <c r="AJ58" s="39">
        <f>AJ8</f>
        <v>381307</v>
      </c>
      <c r="AK58" s="88">
        <f>AK8</f>
        <v>-0.25233921568627449</v>
      </c>
      <c r="AL58" s="15">
        <f t="shared" si="80"/>
        <v>-0.13699622258887323</v>
      </c>
      <c r="AM58" s="45">
        <f>AM8</f>
        <v>364497</v>
      </c>
      <c r="AN58" s="39">
        <f>AN8</f>
        <v>357000</v>
      </c>
      <c r="AO58" s="39">
        <f>AO8</f>
        <v>280280</v>
      </c>
      <c r="AP58" s="88">
        <f>AP8</f>
        <v>-0.21490196078431367</v>
      </c>
      <c r="AQ58" s="33">
        <f t="shared" si="82"/>
        <v>-0.2310499126193083</v>
      </c>
      <c r="AR58" s="13">
        <f>AR8</f>
        <v>265475</v>
      </c>
      <c r="AS58" s="39">
        <f>AS8</f>
        <v>306000</v>
      </c>
      <c r="AT58" s="39">
        <f>AT8</f>
        <v>395242</v>
      </c>
      <c r="AU58" s="88">
        <f>AU8</f>
        <v>0.29164052287581699</v>
      </c>
      <c r="AV58" s="15">
        <f t="shared" si="84"/>
        <v>0.48881062246915907</v>
      </c>
      <c r="AW58" s="45">
        <f>AW8</f>
        <v>262675</v>
      </c>
      <c r="AX58" s="39">
        <f>AX8</f>
        <v>357000</v>
      </c>
      <c r="AY58" s="39">
        <f>AY8</f>
        <v>360002</v>
      </c>
      <c r="AZ58" s="88">
        <f>AZ8</f>
        <v>8.4089635854340816E-3</v>
      </c>
      <c r="BA58" s="33">
        <f t="shared" si="86"/>
        <v>0.37052250880365478</v>
      </c>
      <c r="BB58" s="13">
        <f>BB8</f>
        <v>365147</v>
      </c>
      <c r="BC58" s="39">
        <f>BC8</f>
        <v>408000</v>
      </c>
      <c r="BD58" s="39">
        <f>BD8</f>
        <v>370856</v>
      </c>
      <c r="BE58" s="88">
        <f>BE8</f>
        <v>-9.1039215686274488E-2</v>
      </c>
      <c r="BF58" s="15">
        <f t="shared" si="88"/>
        <v>1.5634799135690658E-2</v>
      </c>
      <c r="BG58" s="45">
        <f>BG8</f>
        <v>329033</v>
      </c>
      <c r="BH58" s="39">
        <f>BH8</f>
        <v>459000</v>
      </c>
      <c r="BI58" s="39">
        <f>BI8</f>
        <v>611306</v>
      </c>
      <c r="BJ58" s="88">
        <f>BJ8</f>
        <v>0.33182135076252717</v>
      </c>
      <c r="BK58" s="33">
        <f t="shared" si="90"/>
        <v>0.85788659496159969</v>
      </c>
      <c r="BL58" s="13">
        <f>BL8</f>
        <v>506496</v>
      </c>
      <c r="BM58" s="39">
        <f>BM8</f>
        <v>510000</v>
      </c>
      <c r="BN58" s="39">
        <f>BN8</f>
        <v>423746</v>
      </c>
      <c r="BO58" s="88">
        <f>BO8</f>
        <v>-0.16912549019607848</v>
      </c>
      <c r="BP58" s="15">
        <f t="shared" si="92"/>
        <v>-0.16337740080869345</v>
      </c>
      <c r="BQ58" s="45">
        <f>BQ8</f>
        <v>305937</v>
      </c>
      <c r="BR58" s="39">
        <f>BR8</f>
        <v>459000</v>
      </c>
      <c r="BS58" s="39">
        <f>BS8</f>
        <v>432524</v>
      </c>
      <c r="BT58" s="88">
        <f>BT8</f>
        <v>-5.7681917211328981E-2</v>
      </c>
      <c r="BU58" s="15">
        <f t="shared" si="94"/>
        <v>0.4137681941053224</v>
      </c>
    </row>
    <row r="59" spans="2:73" ht="17.25" thickBot="1" x14ac:dyDescent="0.35">
      <c r="B59" s="313"/>
      <c r="C59" s="68"/>
      <c r="D59" s="68"/>
      <c r="E59" s="43" t="s">
        <v>31</v>
      </c>
      <c r="F59" s="43">
        <f t="shared" si="99"/>
        <v>6066324.9000000004</v>
      </c>
      <c r="G59" s="43">
        <f t="shared" si="99"/>
        <v>5796942</v>
      </c>
      <c r="H59" s="6">
        <f>H28</f>
        <v>0</v>
      </c>
      <c r="I59" s="138">
        <f>I28</f>
        <v>5704093</v>
      </c>
      <c r="J59" s="43">
        <f>J28</f>
        <v>6600012</v>
      </c>
      <c r="K59" s="43">
        <f>K28</f>
        <v>5776183</v>
      </c>
      <c r="L59" s="72">
        <f>L28</f>
        <v>-0.1248223488078507</v>
      </c>
      <c r="M59" s="76">
        <f t="shared" si="70"/>
        <v>1.2638293239608744E-2</v>
      </c>
      <c r="N59" s="5">
        <f>N28</f>
        <v>660352</v>
      </c>
      <c r="O59" s="43">
        <f>O28</f>
        <v>550001</v>
      </c>
      <c r="P59" s="43">
        <f>P28</f>
        <v>606604</v>
      </c>
      <c r="Q59" s="72">
        <f>Q28</f>
        <v>0.10291435833753027</v>
      </c>
      <c r="R59" s="6">
        <f t="shared" si="72"/>
        <v>-8.1392954060864553E-2</v>
      </c>
      <c r="S59" s="47">
        <f>S28</f>
        <v>528006</v>
      </c>
      <c r="T59" s="43">
        <f>T28</f>
        <v>550001</v>
      </c>
      <c r="U59" s="43">
        <f>U28</f>
        <v>384987</v>
      </c>
      <c r="V59" s="72">
        <f>V28</f>
        <v>-0.30002490904561996</v>
      </c>
      <c r="W59" s="76">
        <f t="shared" si="74"/>
        <v>-0.27086624015636185</v>
      </c>
      <c r="X59" s="5">
        <f>X28</f>
        <v>605433</v>
      </c>
      <c r="Y59" s="43">
        <f>Y28</f>
        <v>550001</v>
      </c>
      <c r="Z59" s="43">
        <f>Z28</f>
        <v>450197</v>
      </c>
      <c r="AA59" s="72">
        <f>AA28</f>
        <v>-0.1814614882518395</v>
      </c>
      <c r="AB59" s="6">
        <f t="shared" si="76"/>
        <v>-0.25640492011502514</v>
      </c>
      <c r="AC59" s="47">
        <f>AC28</f>
        <v>672279</v>
      </c>
      <c r="AD59" s="43">
        <f>AD28</f>
        <v>550001</v>
      </c>
      <c r="AE59" s="43">
        <f>AE28</f>
        <v>476423</v>
      </c>
      <c r="AF59" s="72">
        <f>AF28</f>
        <v>-0.13377793858556619</v>
      </c>
      <c r="AG59" s="76">
        <f t="shared" si="78"/>
        <v>-0.29133142638696141</v>
      </c>
      <c r="AH59" s="5">
        <f>AH28</f>
        <v>545496</v>
      </c>
      <c r="AI59" s="43">
        <f>AI28</f>
        <v>550001</v>
      </c>
      <c r="AJ59" s="43">
        <f>AJ28</f>
        <v>570143</v>
      </c>
      <c r="AK59" s="72">
        <f>AK28</f>
        <v>3.6621751596815244E-2</v>
      </c>
      <c r="AL59" s="6">
        <f t="shared" si="80"/>
        <v>4.5182732778975554E-2</v>
      </c>
      <c r="AM59" s="47">
        <f>AM28</f>
        <v>406269</v>
      </c>
      <c r="AN59" s="43">
        <f>AN28</f>
        <v>550001</v>
      </c>
      <c r="AO59" s="43">
        <f>AO28</f>
        <v>401556</v>
      </c>
      <c r="AP59" s="72">
        <f>AP28</f>
        <v>-0.2698995092736195</v>
      </c>
      <c r="AQ59" s="76">
        <f t="shared" si="82"/>
        <v>-1.1600688213966648E-2</v>
      </c>
      <c r="AR59" s="5">
        <f>AR28</f>
        <v>268038</v>
      </c>
      <c r="AS59" s="43">
        <f>AS28</f>
        <v>550001</v>
      </c>
      <c r="AT59" s="43">
        <f>AT28</f>
        <v>337619</v>
      </c>
      <c r="AU59" s="72">
        <f>AU28</f>
        <v>-0.38614838882111124</v>
      </c>
      <c r="AV59" s="6">
        <f t="shared" si="84"/>
        <v>0.2595937889403741</v>
      </c>
      <c r="AW59" s="47">
        <f>AW28</f>
        <v>302611</v>
      </c>
      <c r="AX59" s="43">
        <f>AX28</f>
        <v>550001</v>
      </c>
      <c r="AY59" s="43">
        <f>AY28</f>
        <v>415213</v>
      </c>
      <c r="AZ59" s="72">
        <f>AZ28</f>
        <v>-0.24506864532973571</v>
      </c>
      <c r="BA59" s="76">
        <f t="shared" si="86"/>
        <v>0.37210147681346672</v>
      </c>
      <c r="BB59" s="5">
        <f>BB28</f>
        <v>327477</v>
      </c>
      <c r="BC59" s="43">
        <f>BC28</f>
        <v>550001</v>
      </c>
      <c r="BD59" s="43">
        <f>BD28</f>
        <v>475682</v>
      </c>
      <c r="BE59" s="72">
        <f>BE28</f>
        <v>-0.13512520886325663</v>
      </c>
      <c r="BF59" s="6">
        <f t="shared" si="88"/>
        <v>0.45256613441554672</v>
      </c>
      <c r="BG59" s="47">
        <f>BG28</f>
        <v>431745</v>
      </c>
      <c r="BH59" s="43">
        <f>BH28</f>
        <v>550001</v>
      </c>
      <c r="BI59" s="43">
        <f>BI28</f>
        <v>808061</v>
      </c>
      <c r="BJ59" s="72">
        <f>BJ28</f>
        <v>0.46919914691064202</v>
      </c>
      <c r="BK59" s="76">
        <f t="shared" si="90"/>
        <v>0.87161634761259532</v>
      </c>
      <c r="BL59" s="5">
        <f>BL28</f>
        <v>597666</v>
      </c>
      <c r="BM59" s="43">
        <f>BM28</f>
        <v>550001</v>
      </c>
      <c r="BN59" s="43">
        <f>BN28</f>
        <v>492353</v>
      </c>
      <c r="BO59" s="72">
        <f>BO28</f>
        <v>-0.10481435488299107</v>
      </c>
      <c r="BP59" s="6">
        <f t="shared" si="92"/>
        <v>-0.1762071123336445</v>
      </c>
      <c r="BQ59" s="47">
        <f>BQ28</f>
        <v>358721</v>
      </c>
      <c r="BR59" s="43">
        <f>BR28</f>
        <v>550001</v>
      </c>
      <c r="BS59" s="43">
        <f>BS28</f>
        <v>357345</v>
      </c>
      <c r="BT59" s="72">
        <f>BT28</f>
        <v>-0.35028299948545549</v>
      </c>
      <c r="BU59" s="6">
        <f t="shared" si="94"/>
        <v>-3.8358501453775729E-3</v>
      </c>
    </row>
    <row r="70" spans="2:73" ht="17.25" thickBot="1" x14ac:dyDescent="0.35"/>
    <row r="71" spans="2:73" x14ac:dyDescent="0.3">
      <c r="B71" s="374" t="s">
        <v>0</v>
      </c>
      <c r="C71" s="376" t="s">
        <v>1</v>
      </c>
      <c r="D71" s="327" t="s">
        <v>2</v>
      </c>
      <c r="E71" s="328"/>
      <c r="F71" s="329" t="s">
        <v>69</v>
      </c>
      <c r="G71" s="327" t="s">
        <v>3</v>
      </c>
      <c r="H71" s="339" t="s">
        <v>5</v>
      </c>
      <c r="I71" s="326" t="s">
        <v>6</v>
      </c>
      <c r="J71" s="327"/>
      <c r="K71" s="327"/>
      <c r="L71" s="327"/>
      <c r="M71" s="328"/>
      <c r="N71" s="326" t="s">
        <v>7</v>
      </c>
      <c r="O71" s="327"/>
      <c r="P71" s="327"/>
      <c r="Q71" s="327"/>
      <c r="R71" s="328"/>
      <c r="S71" s="329" t="s">
        <v>58</v>
      </c>
      <c r="T71" s="327"/>
      <c r="U71" s="327"/>
      <c r="V71" s="327"/>
      <c r="W71" s="330"/>
      <c r="X71" s="326" t="s">
        <v>59</v>
      </c>
      <c r="Y71" s="327"/>
      <c r="Z71" s="327"/>
      <c r="AA71" s="327"/>
      <c r="AB71" s="328"/>
      <c r="AC71" s="329" t="s">
        <v>60</v>
      </c>
      <c r="AD71" s="327"/>
      <c r="AE71" s="327"/>
      <c r="AF71" s="327"/>
      <c r="AG71" s="330"/>
      <c r="AH71" s="326" t="s">
        <v>61</v>
      </c>
      <c r="AI71" s="327"/>
      <c r="AJ71" s="327"/>
      <c r="AK71" s="327"/>
      <c r="AL71" s="328"/>
      <c r="AM71" s="329" t="s">
        <v>62</v>
      </c>
      <c r="AN71" s="327"/>
      <c r="AO71" s="327"/>
      <c r="AP71" s="327"/>
      <c r="AQ71" s="330"/>
      <c r="AR71" s="326" t="s">
        <v>63</v>
      </c>
      <c r="AS71" s="327"/>
      <c r="AT71" s="327"/>
      <c r="AU71" s="327"/>
      <c r="AV71" s="328"/>
      <c r="AW71" s="329" t="s">
        <v>64</v>
      </c>
      <c r="AX71" s="327"/>
      <c r="AY71" s="327"/>
      <c r="AZ71" s="327"/>
      <c r="BA71" s="330"/>
      <c r="BB71" s="326" t="s">
        <v>65</v>
      </c>
      <c r="BC71" s="327"/>
      <c r="BD71" s="327"/>
      <c r="BE71" s="327"/>
      <c r="BF71" s="328"/>
      <c r="BG71" s="329" t="s">
        <v>66</v>
      </c>
      <c r="BH71" s="327"/>
      <c r="BI71" s="327"/>
      <c r="BJ71" s="327"/>
      <c r="BK71" s="330"/>
      <c r="BL71" s="326" t="s">
        <v>67</v>
      </c>
      <c r="BM71" s="327"/>
      <c r="BN71" s="327"/>
      <c r="BO71" s="327"/>
      <c r="BP71" s="328"/>
      <c r="BQ71" s="329" t="s">
        <v>68</v>
      </c>
      <c r="BR71" s="327"/>
      <c r="BS71" s="327"/>
      <c r="BT71" s="327"/>
      <c r="BU71" s="328"/>
    </row>
    <row r="72" spans="2:73" ht="17.25" thickBot="1" x14ac:dyDescent="0.35">
      <c r="B72" s="375"/>
      <c r="C72" s="377"/>
      <c r="D72" s="338"/>
      <c r="E72" s="378"/>
      <c r="F72" s="337"/>
      <c r="G72" s="338"/>
      <c r="H72" s="340"/>
      <c r="I72" s="104" t="s">
        <v>70</v>
      </c>
      <c r="J72" s="97" t="s">
        <v>9</v>
      </c>
      <c r="K72" s="97" t="s">
        <v>8</v>
      </c>
      <c r="L72" s="98" t="s">
        <v>11</v>
      </c>
      <c r="M72" s="99" t="s">
        <v>12</v>
      </c>
      <c r="N72" s="111" t="str">
        <f t="shared" ref="N72" si="101">I72</f>
        <v>2022년</v>
      </c>
      <c r="O72" s="97" t="str">
        <f t="shared" ref="O72" si="102">J72</f>
        <v>목표</v>
      </c>
      <c r="P72" s="97" t="str">
        <f t="shared" ref="P72" si="103">K72</f>
        <v>2023년</v>
      </c>
      <c r="Q72" s="98" t="str">
        <f t="shared" ref="Q72" si="104">L72</f>
        <v>달성율</v>
      </c>
      <c r="R72" s="99" t="str">
        <f t="shared" ref="R72" si="105">M72</f>
        <v>전년대비</v>
      </c>
      <c r="S72" s="103" t="str">
        <f t="shared" ref="S72" si="106">N72</f>
        <v>2022년</v>
      </c>
      <c r="T72" s="97" t="str">
        <f t="shared" ref="T72" si="107">O72</f>
        <v>목표</v>
      </c>
      <c r="U72" s="97" t="str">
        <f t="shared" ref="U72" si="108">P72</f>
        <v>2023년</v>
      </c>
      <c r="V72" s="98" t="str">
        <f t="shared" ref="V72" si="109">Q72</f>
        <v>달성율</v>
      </c>
      <c r="W72" s="109" t="str">
        <f t="shared" ref="W72" si="110">R72</f>
        <v>전년대비</v>
      </c>
      <c r="X72" s="111" t="str">
        <f t="shared" ref="X72" si="111">S72</f>
        <v>2022년</v>
      </c>
      <c r="Y72" s="97" t="str">
        <f t="shared" ref="Y72" si="112">T72</f>
        <v>목표</v>
      </c>
      <c r="Z72" s="97" t="str">
        <f t="shared" ref="Z72" si="113">U72</f>
        <v>2023년</v>
      </c>
      <c r="AA72" s="98" t="str">
        <f t="shared" ref="AA72" si="114">V72</f>
        <v>달성율</v>
      </c>
      <c r="AB72" s="99" t="str">
        <f t="shared" ref="AB72" si="115">W72</f>
        <v>전년대비</v>
      </c>
      <c r="AC72" s="103" t="str">
        <f t="shared" ref="AC72" si="116">X72</f>
        <v>2022년</v>
      </c>
      <c r="AD72" s="97" t="str">
        <f t="shared" ref="AD72" si="117">Y72</f>
        <v>목표</v>
      </c>
      <c r="AE72" s="97" t="str">
        <f t="shared" ref="AE72" si="118">Z72</f>
        <v>2023년</v>
      </c>
      <c r="AF72" s="98" t="str">
        <f t="shared" ref="AF72" si="119">AA72</f>
        <v>달성율</v>
      </c>
      <c r="AG72" s="109" t="str">
        <f t="shared" ref="AG72" si="120">AB72</f>
        <v>전년대비</v>
      </c>
      <c r="AH72" s="111" t="str">
        <f t="shared" ref="AH72" si="121">AC72</f>
        <v>2022년</v>
      </c>
      <c r="AI72" s="97" t="str">
        <f t="shared" ref="AI72" si="122">AD72</f>
        <v>목표</v>
      </c>
      <c r="AJ72" s="97" t="str">
        <f t="shared" ref="AJ72" si="123">AE72</f>
        <v>2023년</v>
      </c>
      <c r="AK72" s="98" t="str">
        <f t="shared" ref="AK72" si="124">AF72</f>
        <v>달성율</v>
      </c>
      <c r="AL72" s="99" t="str">
        <f t="shared" ref="AL72" si="125">AG72</f>
        <v>전년대비</v>
      </c>
      <c r="AM72" s="103" t="str">
        <f t="shared" ref="AM72" si="126">AH72</f>
        <v>2022년</v>
      </c>
      <c r="AN72" s="97" t="str">
        <f t="shared" ref="AN72" si="127">AI72</f>
        <v>목표</v>
      </c>
      <c r="AO72" s="97" t="str">
        <f t="shared" ref="AO72" si="128">AJ72</f>
        <v>2023년</v>
      </c>
      <c r="AP72" s="98" t="str">
        <f t="shared" ref="AP72" si="129">AK72</f>
        <v>달성율</v>
      </c>
      <c r="AQ72" s="109" t="str">
        <f t="shared" ref="AQ72" si="130">AL72</f>
        <v>전년대비</v>
      </c>
      <c r="AR72" s="111" t="str">
        <f t="shared" ref="AR72" si="131">AM72</f>
        <v>2022년</v>
      </c>
      <c r="AS72" s="97" t="str">
        <f t="shared" ref="AS72" si="132">AN72</f>
        <v>목표</v>
      </c>
      <c r="AT72" s="97" t="str">
        <f t="shared" ref="AT72" si="133">AO72</f>
        <v>2023년</v>
      </c>
      <c r="AU72" s="98" t="str">
        <f t="shared" ref="AU72" si="134">AP72</f>
        <v>달성율</v>
      </c>
      <c r="AV72" s="99" t="str">
        <f t="shared" ref="AV72" si="135">AQ72</f>
        <v>전년대비</v>
      </c>
      <c r="AW72" s="103" t="str">
        <f t="shared" ref="AW72" si="136">AR72</f>
        <v>2022년</v>
      </c>
      <c r="AX72" s="97" t="str">
        <f t="shared" ref="AX72" si="137">AS72</f>
        <v>목표</v>
      </c>
      <c r="AY72" s="97" t="str">
        <f t="shared" ref="AY72" si="138">AT72</f>
        <v>2023년</v>
      </c>
      <c r="AZ72" s="98" t="str">
        <f t="shared" ref="AZ72" si="139">AU72</f>
        <v>달성율</v>
      </c>
      <c r="BA72" s="109" t="str">
        <f t="shared" ref="BA72" si="140">AV72</f>
        <v>전년대비</v>
      </c>
      <c r="BB72" s="111" t="str">
        <f t="shared" ref="BB72" si="141">AW72</f>
        <v>2022년</v>
      </c>
      <c r="BC72" s="97" t="str">
        <f t="shared" ref="BC72" si="142">AX72</f>
        <v>목표</v>
      </c>
      <c r="BD72" s="97" t="str">
        <f t="shared" ref="BD72" si="143">AY72</f>
        <v>2023년</v>
      </c>
      <c r="BE72" s="98" t="str">
        <f t="shared" ref="BE72" si="144">AZ72</f>
        <v>달성율</v>
      </c>
      <c r="BF72" s="99" t="str">
        <f t="shared" ref="BF72" si="145">BA72</f>
        <v>전년대비</v>
      </c>
      <c r="BG72" s="103" t="str">
        <f t="shared" ref="BG72" si="146">BB72</f>
        <v>2022년</v>
      </c>
      <c r="BH72" s="97" t="str">
        <f t="shared" ref="BH72" si="147">BC72</f>
        <v>목표</v>
      </c>
      <c r="BI72" s="97" t="str">
        <f t="shared" ref="BI72" si="148">BD72</f>
        <v>2023년</v>
      </c>
      <c r="BJ72" s="98" t="str">
        <f t="shared" ref="BJ72" si="149">BE72</f>
        <v>달성율</v>
      </c>
      <c r="BK72" s="109" t="str">
        <f t="shared" ref="BK72" si="150">BF72</f>
        <v>전년대비</v>
      </c>
      <c r="BL72" s="111" t="str">
        <f t="shared" ref="BL72" si="151">BG72</f>
        <v>2022년</v>
      </c>
      <c r="BM72" s="97" t="str">
        <f t="shared" ref="BM72" si="152">BH72</f>
        <v>목표</v>
      </c>
      <c r="BN72" s="97" t="str">
        <f t="shared" ref="BN72" si="153">BI72</f>
        <v>2023년</v>
      </c>
      <c r="BO72" s="98" t="str">
        <f t="shared" ref="BO72" si="154">BJ72</f>
        <v>달성율</v>
      </c>
      <c r="BP72" s="99" t="str">
        <f t="shared" ref="BP72" si="155">BK72</f>
        <v>전년대비</v>
      </c>
      <c r="BQ72" s="103" t="str">
        <f t="shared" ref="BQ72" si="156">BL72</f>
        <v>2022년</v>
      </c>
      <c r="BR72" s="97" t="str">
        <f t="shared" ref="BR72" si="157">BM72</f>
        <v>목표</v>
      </c>
      <c r="BS72" s="97" t="str">
        <f t="shared" ref="BS72" si="158">BN72</f>
        <v>2023년</v>
      </c>
      <c r="BT72" s="98" t="str">
        <f t="shared" ref="BT72" si="159">BO72</f>
        <v>달성율</v>
      </c>
      <c r="BU72" s="99" t="str">
        <f t="shared" ref="BU72" si="160">BP72</f>
        <v>전년대비</v>
      </c>
    </row>
    <row r="73" spans="2:73" x14ac:dyDescent="0.3">
      <c r="B73" s="387" t="s">
        <v>57</v>
      </c>
      <c r="C73" s="388" t="s">
        <v>13</v>
      </c>
      <c r="D73" s="389"/>
      <c r="E73" s="390"/>
      <c r="F73" s="83">
        <f>F78+F97</f>
        <v>11895992.9</v>
      </c>
      <c r="G73" s="113">
        <f>G78+G97</f>
        <v>12003856</v>
      </c>
      <c r="H73" s="74">
        <f>G73/F73-1</f>
        <v>9.0671792515948368E-3</v>
      </c>
      <c r="I73" s="1">
        <f>I78+I97</f>
        <v>11895992.9</v>
      </c>
      <c r="J73" s="113">
        <f>J78+J97</f>
        <v>0</v>
      </c>
      <c r="K73" s="113">
        <f>K78+K97</f>
        <v>12003784</v>
      </c>
      <c r="L73" s="114" t="e">
        <f>K73/J73-1</f>
        <v>#DIV/0!</v>
      </c>
      <c r="M73" s="2">
        <f>K73/I73-1</f>
        <v>9.0611267933760065E-3</v>
      </c>
      <c r="N73" s="1">
        <f>N78+N97</f>
        <v>1217717.8</v>
      </c>
      <c r="O73" s="113">
        <f>O78+O97</f>
        <v>0</v>
      </c>
      <c r="P73" s="113">
        <f>P78+P97</f>
        <v>892391</v>
      </c>
      <c r="Q73" s="114" t="e">
        <f>P73/O73-1</f>
        <v>#DIV/0!</v>
      </c>
      <c r="R73" s="2">
        <f>P73/N73-1</f>
        <v>-0.26716107787863497</v>
      </c>
      <c r="S73" s="83">
        <f>S78+S97</f>
        <v>864990.6</v>
      </c>
      <c r="T73" s="113">
        <f>T78+T97</f>
        <v>0</v>
      </c>
      <c r="U73" s="113">
        <f>U78+U97</f>
        <v>1137930</v>
      </c>
      <c r="V73" s="114" t="e">
        <f>U73/T73-1</f>
        <v>#DIV/0!</v>
      </c>
      <c r="W73" s="74">
        <f>U73/S73-1</f>
        <v>0.31554030760565488</v>
      </c>
      <c r="X73" s="1">
        <f>X78+X97</f>
        <v>1289039.1000000001</v>
      </c>
      <c r="Y73" s="113">
        <f>Y78+Y97</f>
        <v>0</v>
      </c>
      <c r="Z73" s="113">
        <f>Z78+Z97</f>
        <v>983736</v>
      </c>
      <c r="AA73" s="114" t="e">
        <f>Z73/Y73-1</f>
        <v>#DIV/0!</v>
      </c>
      <c r="AB73" s="2">
        <f>Z73/X73-1</f>
        <v>-0.23684549211889694</v>
      </c>
      <c r="AC73" s="83">
        <f>AC78+AC97</f>
        <v>1236648.3999999999</v>
      </c>
      <c r="AD73" s="113">
        <f>AD78+AD97</f>
        <v>0</v>
      </c>
      <c r="AE73" s="113">
        <f>AE78+AE97</f>
        <v>955870</v>
      </c>
      <c r="AF73" s="114" t="e">
        <f>AE73/AD73-1</f>
        <v>#DIV/0!</v>
      </c>
      <c r="AG73" s="74">
        <f>AE73/AC73-1</f>
        <v>-0.22704788200106019</v>
      </c>
      <c r="AH73" s="1">
        <f>AH78+AH97</f>
        <v>1089345</v>
      </c>
      <c r="AI73" s="113">
        <f>AI78+AI97</f>
        <v>0</v>
      </c>
      <c r="AJ73" s="113">
        <f>AJ78+AJ97</f>
        <v>1034777</v>
      </c>
      <c r="AK73" s="114" t="e">
        <f>AJ73/AI73-1</f>
        <v>#DIV/0!</v>
      </c>
      <c r="AL73" s="2">
        <f>AJ73/AH73-1</f>
        <v>-5.0092486769572564E-2</v>
      </c>
      <c r="AM73" s="83">
        <f>AM78+AM97</f>
        <v>932087</v>
      </c>
      <c r="AN73" s="113">
        <f>AN78+AN97</f>
        <v>0</v>
      </c>
      <c r="AO73" s="113">
        <f>AO78+AO97</f>
        <v>945385</v>
      </c>
      <c r="AP73" s="114" t="e">
        <f>AO73/AN73-1</f>
        <v>#DIV/0!</v>
      </c>
      <c r="AQ73" s="74">
        <f>AO73/AM73-1</f>
        <v>1.4266908561110681E-2</v>
      </c>
      <c r="AR73" s="1">
        <f>AR78+AR97</f>
        <v>747600</v>
      </c>
      <c r="AS73" s="113">
        <f>AS78+AS97</f>
        <v>0</v>
      </c>
      <c r="AT73" s="113">
        <f>AT78+AT97</f>
        <v>903311</v>
      </c>
      <c r="AU73" s="114" t="e">
        <f>AT73/AS73-1</f>
        <v>#DIV/0!</v>
      </c>
      <c r="AV73" s="2">
        <f>AT73/AR73-1</f>
        <v>0.20828116639914396</v>
      </c>
      <c r="AW73" s="83">
        <f>AW78+AW97</f>
        <v>628180</v>
      </c>
      <c r="AX73" s="113">
        <f>AX78+AX97</f>
        <v>0</v>
      </c>
      <c r="AY73" s="113">
        <f>AY78+AY97</f>
        <v>921043</v>
      </c>
      <c r="AZ73" s="114" t="e">
        <f>AY73/AX73-1</f>
        <v>#DIV/0!</v>
      </c>
      <c r="BA73" s="74">
        <f>AY73/AW73-1</f>
        <v>0.46620872998185225</v>
      </c>
      <c r="BB73" s="1">
        <f>BB78+BB97</f>
        <v>776428</v>
      </c>
      <c r="BC73" s="113">
        <f>BC78+BC97</f>
        <v>0</v>
      </c>
      <c r="BD73" s="113">
        <f>BD78+BD97</f>
        <v>850293</v>
      </c>
      <c r="BE73" s="114" t="e">
        <f>BD73/BC73-1</f>
        <v>#DIV/0!</v>
      </c>
      <c r="BF73" s="2">
        <f>BD73/BB73-1</f>
        <v>9.5134384643521308E-2</v>
      </c>
      <c r="BG73" s="83">
        <f>BG78+BG97</f>
        <v>902869</v>
      </c>
      <c r="BH73" s="113">
        <f>BH78+BH97</f>
        <v>0</v>
      </c>
      <c r="BI73" s="113">
        <f>BI78+BI97</f>
        <v>1251882</v>
      </c>
      <c r="BJ73" s="114" t="e">
        <f>BI73/BH73-1</f>
        <v>#DIV/0!</v>
      </c>
      <c r="BK73" s="74">
        <f>BI73/BG73-1</f>
        <v>0.38655995498793283</v>
      </c>
      <c r="BL73" s="1">
        <f>BL78+BL97</f>
        <v>1075497</v>
      </c>
      <c r="BM73" s="113">
        <f>BM78+BM97</f>
        <v>0</v>
      </c>
      <c r="BN73" s="113">
        <f>BN78+BN97</f>
        <v>1131283</v>
      </c>
      <c r="BO73" s="114" t="e">
        <f>BN73/BM73-1</f>
        <v>#DIV/0!</v>
      </c>
      <c r="BP73" s="2">
        <f>BN73/BL73-1</f>
        <v>5.1869972673099118E-2</v>
      </c>
      <c r="BQ73" s="83">
        <f>BQ78+BQ97</f>
        <v>876797</v>
      </c>
      <c r="BR73" s="113">
        <f>BR78+BR97</f>
        <v>0</v>
      </c>
      <c r="BS73" s="113">
        <f>BS78+BS97</f>
        <v>988493</v>
      </c>
      <c r="BT73" s="114" t="e">
        <f>BS73/BR73-1</f>
        <v>#DIV/0!</v>
      </c>
      <c r="BU73" s="2">
        <f>BS73/BQ73-1</f>
        <v>0.12739094682121399</v>
      </c>
    </row>
    <row r="74" spans="2:73" x14ac:dyDescent="0.3">
      <c r="B74" s="380"/>
      <c r="C74" s="383" t="s">
        <v>14</v>
      </c>
      <c r="D74" s="356"/>
      <c r="E74" s="357"/>
      <c r="F74" s="84">
        <f>F77+F96</f>
        <v>10321407</v>
      </c>
      <c r="G74" s="62">
        <f>G77+G96</f>
        <v>10505446</v>
      </c>
      <c r="H74" s="75">
        <f t="shared" ref="H74:H111" si="161">G74/F74-1</f>
        <v>1.7830805431856334E-2</v>
      </c>
      <c r="I74" s="3">
        <f>I77+I96</f>
        <v>10321407</v>
      </c>
      <c r="J74" s="62">
        <f>J77+J96</f>
        <v>11700012</v>
      </c>
      <c r="K74" s="62">
        <f>K77+K96</f>
        <v>10628708</v>
      </c>
      <c r="L74" s="86">
        <f t="shared" ref="L74:L111" si="162">K74/J74-1</f>
        <v>-9.1564350532290062E-2</v>
      </c>
      <c r="M74" s="4">
        <f t="shared" ref="M74:M111" si="163">K74/I74-1</f>
        <v>2.9773169491329909E-2</v>
      </c>
      <c r="N74" s="3">
        <f>N77+N96</f>
        <v>1002020</v>
      </c>
      <c r="O74" s="62">
        <f>O77+O96</f>
        <v>1009001</v>
      </c>
      <c r="P74" s="62">
        <f>P77+P96</f>
        <v>984675</v>
      </c>
      <c r="Q74" s="86">
        <f t="shared" ref="Q74:Q79" si="164">P74/O74-1</f>
        <v>-2.4108994936575923E-2</v>
      </c>
      <c r="R74" s="4">
        <f t="shared" ref="R74:R79" si="165">P74/N74-1</f>
        <v>-1.7310033731861685E-2</v>
      </c>
      <c r="S74" s="84">
        <f>S77+S96</f>
        <v>936707</v>
      </c>
      <c r="T74" s="62">
        <f>T77+T96</f>
        <v>907001</v>
      </c>
      <c r="U74" s="62">
        <f>U77+U96</f>
        <v>705345</v>
      </c>
      <c r="V74" s="86">
        <f t="shared" ref="V74:V105" si="166">U74/T74-1</f>
        <v>-0.22233272069159793</v>
      </c>
      <c r="W74" s="75">
        <f t="shared" ref="W74:W111" si="167">U74/S74-1</f>
        <v>-0.24699505821991297</v>
      </c>
      <c r="X74" s="3">
        <f>X77+X96</f>
        <v>1184215</v>
      </c>
      <c r="Y74" s="62">
        <f>Y77+Y96</f>
        <v>1009001</v>
      </c>
      <c r="Z74" s="62">
        <f>Z77+Z96</f>
        <v>883127</v>
      </c>
      <c r="AA74" s="86">
        <f t="shared" ref="AA74:AA105" si="168">Z74/Y74-1</f>
        <v>-0.12475111521197702</v>
      </c>
      <c r="AB74" s="4">
        <f t="shared" ref="AB74:AB111" si="169">Z74/X74-1</f>
        <v>-0.25425112838462616</v>
      </c>
      <c r="AC74" s="84">
        <f>AC77+AC96</f>
        <v>1119345</v>
      </c>
      <c r="AD74" s="62">
        <f>AD77+AD96</f>
        <v>1009001</v>
      </c>
      <c r="AE74" s="62">
        <f>AE77+AE96</f>
        <v>948745</v>
      </c>
      <c r="AF74" s="86">
        <f t="shared" ref="AF74:AF105" si="170">AE74/AD74-1</f>
        <v>-5.9718474015387546E-2</v>
      </c>
      <c r="AG74" s="75">
        <f t="shared" ref="AG74:AG111" si="171">AE74/AC74-1</f>
        <v>-0.1524105615337541</v>
      </c>
      <c r="AH74" s="3">
        <f>AH77+AH96</f>
        <v>987333</v>
      </c>
      <c r="AI74" s="62">
        <f>AI77+AI96</f>
        <v>1060001</v>
      </c>
      <c r="AJ74" s="62">
        <f>AJ77+AJ96</f>
        <v>951450</v>
      </c>
      <c r="AK74" s="86">
        <f t="shared" ref="AK74:AK105" si="172">AJ74/AI74-1</f>
        <v>-0.1024065071636725</v>
      </c>
      <c r="AL74" s="4">
        <f t="shared" ref="AL74:AL111" si="173">AJ74/AH74-1</f>
        <v>-3.6343361358325943E-2</v>
      </c>
      <c r="AM74" s="84">
        <f>AM77+AM96</f>
        <v>770766</v>
      </c>
      <c r="AN74" s="62">
        <f>AN77+AN96</f>
        <v>907001</v>
      </c>
      <c r="AO74" s="62">
        <f>AO77+AO96</f>
        <v>681836</v>
      </c>
      <c r="AP74" s="86">
        <f t="shared" ref="AP74:AP105" si="174">AO74/AN74-1</f>
        <v>-0.24825220699866923</v>
      </c>
      <c r="AQ74" s="75">
        <f t="shared" ref="AQ74:AQ111" si="175">AO74/AM74-1</f>
        <v>-0.1153787271363812</v>
      </c>
      <c r="AR74" s="3">
        <f>AR77+AR96</f>
        <v>533513</v>
      </c>
      <c r="AS74" s="62">
        <f>AS77+AS96</f>
        <v>856001</v>
      </c>
      <c r="AT74" s="62">
        <f>AT77+AT96</f>
        <v>729901</v>
      </c>
      <c r="AU74" s="86">
        <f t="shared" ref="AU74:AU105" si="176">AT74/AS74-1</f>
        <v>-0.1473129120176262</v>
      </c>
      <c r="AV74" s="4">
        <f t="shared" ref="AV74:AV111" si="177">AT74/AR74-1</f>
        <v>0.36810349513507634</v>
      </c>
      <c r="AW74" s="84">
        <f>AW77+AW96</f>
        <v>565286</v>
      </c>
      <c r="AX74" s="62">
        <f>AX77+AX96</f>
        <v>907001</v>
      </c>
      <c r="AY74" s="62">
        <f>AY77+AY96</f>
        <v>770531</v>
      </c>
      <c r="AZ74" s="86">
        <f t="shared" ref="AZ74:AZ87" si="178">AY74/AX74-1</f>
        <v>-0.15046289915887634</v>
      </c>
      <c r="BA74" s="75">
        <f t="shared" ref="BA74:BA111" si="179">AY74/AW74-1</f>
        <v>0.3630816966986623</v>
      </c>
      <c r="BB74" s="3">
        <f>BB77+BB96</f>
        <v>692624</v>
      </c>
      <c r="BC74" s="62">
        <f>BC77+BC96</f>
        <v>958001</v>
      </c>
      <c r="BD74" s="62">
        <f>BD77+BD96</f>
        <v>846538</v>
      </c>
      <c r="BE74" s="86">
        <f t="shared" ref="BE74:BE105" si="180">BD74/BC74-1</f>
        <v>-0.11634956539711339</v>
      </c>
      <c r="BF74" s="4">
        <f t="shared" ref="BF74:BF111" si="181">BD74/BB74-1</f>
        <v>0.22221869297050056</v>
      </c>
      <c r="BG74" s="84">
        <f>BG77+BG96</f>
        <v>760778</v>
      </c>
      <c r="BH74" s="62">
        <f>BH77+BH96</f>
        <v>1009001</v>
      </c>
      <c r="BI74" s="62">
        <f>BI77+BI96</f>
        <v>1419367</v>
      </c>
      <c r="BJ74" s="86">
        <f t="shared" ref="BJ74:BJ105" si="182">BI74/BH74-1</f>
        <v>0.40670524608003356</v>
      </c>
      <c r="BK74" s="75">
        <f t="shared" ref="BK74:BK111" si="183">BI74/BG74-1</f>
        <v>0.86567829248479855</v>
      </c>
      <c r="BL74" s="3">
        <f>BL77+BL96</f>
        <v>1104162</v>
      </c>
      <c r="BM74" s="62">
        <f>BM77+BM96</f>
        <v>1060001</v>
      </c>
      <c r="BN74" s="62">
        <f>BN77+BN96</f>
        <v>916099</v>
      </c>
      <c r="BO74" s="86">
        <f t="shared" ref="BO74:BO105" si="184">BN74/BM74-1</f>
        <v>-0.13575647570143801</v>
      </c>
      <c r="BP74" s="4">
        <f t="shared" ref="BP74:BP111" si="185">BN74/BL74-1</f>
        <v>-0.17032192739833463</v>
      </c>
      <c r="BQ74" s="84">
        <f>BQ77+BQ96</f>
        <v>664658</v>
      </c>
      <c r="BR74" s="62">
        <f>BR77+BR96</f>
        <v>1009001</v>
      </c>
      <c r="BS74" s="62">
        <f>BS77+BS96</f>
        <v>791094</v>
      </c>
      <c r="BT74" s="86">
        <f t="shared" ref="BT74:BT105" si="186">BS74/BR74-1</f>
        <v>-0.21596311599294749</v>
      </c>
      <c r="BU74" s="4">
        <f t="shared" ref="BU74:BU111" si="187">BS74/BQ74-1</f>
        <v>0.19022715441625615</v>
      </c>
    </row>
    <row r="75" spans="2:73" ht="17.25" thickBot="1" x14ac:dyDescent="0.35">
      <c r="B75" s="381"/>
      <c r="C75" s="384" t="s">
        <v>15</v>
      </c>
      <c r="D75" s="358"/>
      <c r="E75" s="359"/>
      <c r="F75" s="47">
        <f>F76+F95</f>
        <v>702313</v>
      </c>
      <c r="G75" s="43">
        <f>G76+G95</f>
        <v>733630</v>
      </c>
      <c r="H75" s="76">
        <f t="shared" si="161"/>
        <v>4.4591229266722987E-2</v>
      </c>
      <c r="I75" s="5">
        <f>I76+I95</f>
        <v>840057</v>
      </c>
      <c r="J75" s="43">
        <f>J76+J95</f>
        <v>0</v>
      </c>
      <c r="K75" s="43">
        <f>K76+K95</f>
        <v>791094</v>
      </c>
      <c r="L75" s="72" t="e">
        <f t="shared" si="162"/>
        <v>#DIV/0!</v>
      </c>
      <c r="M75" s="6">
        <f t="shared" si="163"/>
        <v>-5.8285330638278121E-2</v>
      </c>
      <c r="N75" s="5">
        <f>N76+N95</f>
        <v>840057</v>
      </c>
      <c r="O75" s="43">
        <f>O76+O95</f>
        <v>0</v>
      </c>
      <c r="P75" s="43">
        <f>P76+P95</f>
        <v>900864</v>
      </c>
      <c r="Q75" s="72" t="e">
        <f t="shared" si="164"/>
        <v>#DIV/0!</v>
      </c>
      <c r="R75" s="6">
        <f t="shared" si="165"/>
        <v>7.2384373917484091E-2</v>
      </c>
      <c r="S75" s="47">
        <f>S76+S95</f>
        <v>803184</v>
      </c>
      <c r="T75" s="43">
        <f>T76+T95</f>
        <v>0</v>
      </c>
      <c r="U75" s="43">
        <f>U76+U95</f>
        <v>608969</v>
      </c>
      <c r="V75" s="72" t="e">
        <f t="shared" si="166"/>
        <v>#DIV/0!</v>
      </c>
      <c r="W75" s="76">
        <f t="shared" si="167"/>
        <v>-0.24180636068447581</v>
      </c>
      <c r="X75" s="5">
        <f>X76+X95</f>
        <v>970407</v>
      </c>
      <c r="Y75" s="43">
        <f>Y76+Y95</f>
        <v>0</v>
      </c>
      <c r="Z75" s="43">
        <f>Z76+Z95</f>
        <v>618968</v>
      </c>
      <c r="AA75" s="72" t="e">
        <f t="shared" si="168"/>
        <v>#DIV/0!</v>
      </c>
      <c r="AB75" s="6">
        <f t="shared" si="169"/>
        <v>-0.36215629112320913</v>
      </c>
      <c r="AC75" s="47">
        <f>AC76+AC95</f>
        <v>1134835</v>
      </c>
      <c r="AD75" s="43">
        <f>AD76+AD95</f>
        <v>0</v>
      </c>
      <c r="AE75" s="43">
        <f>AE76+AE95</f>
        <v>703696</v>
      </c>
      <c r="AF75" s="72" t="e">
        <f t="shared" si="170"/>
        <v>#DIV/0!</v>
      </c>
      <c r="AG75" s="76">
        <f t="shared" si="171"/>
        <v>-0.37991337947807391</v>
      </c>
      <c r="AH75" s="5">
        <f>AH76+AH95</f>
        <v>1114942</v>
      </c>
      <c r="AI75" s="43">
        <f>AI76+AI95</f>
        <v>0</v>
      </c>
      <c r="AJ75" s="43">
        <f>AJ76+AJ95</f>
        <v>739260</v>
      </c>
      <c r="AK75" s="72" t="e">
        <f t="shared" si="172"/>
        <v>#DIV/0!</v>
      </c>
      <c r="AL75" s="6">
        <f t="shared" si="173"/>
        <v>-0.33695205669891348</v>
      </c>
      <c r="AM75" s="47">
        <f>AM76+AM95</f>
        <v>1056958</v>
      </c>
      <c r="AN75" s="43">
        <f>AN76+AN95</f>
        <v>0</v>
      </c>
      <c r="AO75" s="43">
        <f>AO76+AO95</f>
        <v>900864</v>
      </c>
      <c r="AP75" s="72" t="e">
        <f t="shared" si="174"/>
        <v>#DIV/0!</v>
      </c>
      <c r="AQ75" s="76">
        <f t="shared" si="175"/>
        <v>-0.14768231093383088</v>
      </c>
      <c r="AR75" s="5">
        <f>AR76+AR95</f>
        <v>929745</v>
      </c>
      <c r="AS75" s="43">
        <f>AS76+AS95</f>
        <v>0</v>
      </c>
      <c r="AT75" s="43">
        <f>AT76+AT95</f>
        <v>564752</v>
      </c>
      <c r="AU75" s="72" t="e">
        <f t="shared" si="176"/>
        <v>#DIV/0!</v>
      </c>
      <c r="AV75" s="6">
        <f t="shared" si="177"/>
        <v>-0.3925732324454555</v>
      </c>
      <c r="AW75" s="47">
        <f>AW76+AW95</f>
        <v>715762</v>
      </c>
      <c r="AX75" s="43">
        <f>AX76+AX95</f>
        <v>0</v>
      </c>
      <c r="AY75" s="43">
        <f>AY76+AY95</f>
        <v>513105</v>
      </c>
      <c r="AZ75" s="72" t="e">
        <f t="shared" si="178"/>
        <v>#DIV/0!</v>
      </c>
      <c r="BA75" s="76">
        <f t="shared" si="179"/>
        <v>-0.28313461737281387</v>
      </c>
      <c r="BB75" s="5">
        <f>BB76+BB95</f>
        <v>710044</v>
      </c>
      <c r="BC75" s="43">
        <f>BC76+BC95</f>
        <v>0</v>
      </c>
      <c r="BD75" s="43">
        <f>BD76+BD95</f>
        <v>616909</v>
      </c>
      <c r="BE75" s="72" t="e">
        <f t="shared" si="180"/>
        <v>#DIV/0!</v>
      </c>
      <c r="BF75" s="6">
        <f t="shared" si="181"/>
        <v>-0.13116792762138685</v>
      </c>
      <c r="BG75" s="47">
        <f>BG76+BG95</f>
        <v>665587</v>
      </c>
      <c r="BH75" s="43">
        <f>BH76+BH95</f>
        <v>0</v>
      </c>
      <c r="BI75" s="43">
        <f>BI76+BI95</f>
        <v>911497</v>
      </c>
      <c r="BJ75" s="72" t="e">
        <f t="shared" si="182"/>
        <v>#DIV/0!</v>
      </c>
      <c r="BK75" s="76">
        <f t="shared" si="183"/>
        <v>0.36946334588866669</v>
      </c>
      <c r="BL75" s="5">
        <f>BL76+BL95</f>
        <v>810426</v>
      </c>
      <c r="BM75" s="43">
        <f>BM76+BM95</f>
        <v>0</v>
      </c>
      <c r="BN75" s="43">
        <f>BN76+BN95</f>
        <v>775102</v>
      </c>
      <c r="BO75" s="72" t="e">
        <f t="shared" si="184"/>
        <v>#DIV/0!</v>
      </c>
      <c r="BP75" s="6">
        <f t="shared" si="185"/>
        <v>-4.3586953034576825E-2</v>
      </c>
      <c r="BQ75" s="47">
        <f>BQ76+BQ95</f>
        <v>761457</v>
      </c>
      <c r="BR75" s="43">
        <f>BR76+BR95</f>
        <v>0</v>
      </c>
      <c r="BS75" s="43">
        <f>BS76+BS95</f>
        <v>715478</v>
      </c>
      <c r="BT75" s="72" t="e">
        <f t="shared" si="186"/>
        <v>#DIV/0!</v>
      </c>
      <c r="BU75" s="6">
        <f t="shared" si="187"/>
        <v>-6.038292378952459E-2</v>
      </c>
    </row>
    <row r="76" spans="2:73" x14ac:dyDescent="0.3">
      <c r="B76" s="398" t="s">
        <v>16</v>
      </c>
      <c r="C76" s="404" t="s">
        <v>17</v>
      </c>
      <c r="D76" s="303" t="s">
        <v>15</v>
      </c>
      <c r="E76" s="304"/>
      <c r="F76" s="52">
        <f>BQ76</f>
        <v>343592</v>
      </c>
      <c r="G76" s="38">
        <f>BS76</f>
        <v>374909</v>
      </c>
      <c r="H76" s="77">
        <f t="shared" si="161"/>
        <v>9.114589396726358E-2</v>
      </c>
      <c r="I76" s="8">
        <f>N76</f>
        <v>343592</v>
      </c>
      <c r="J76" s="38"/>
      <c r="K76" s="38">
        <f>BS77</f>
        <v>433364</v>
      </c>
      <c r="L76" s="115" t="e">
        <f t="shared" si="162"/>
        <v>#DIV/0!</v>
      </c>
      <c r="M76" s="10">
        <f t="shared" si="163"/>
        <v>0.26127500058208564</v>
      </c>
      <c r="N76" s="8">
        <v>343592</v>
      </c>
      <c r="O76" s="38"/>
      <c r="P76" s="38">
        <v>269436</v>
      </c>
      <c r="Q76" s="115" t="e">
        <f t="shared" si="164"/>
        <v>#DIV/0!</v>
      </c>
      <c r="R76" s="10">
        <f t="shared" si="165"/>
        <v>-0.21582574681599109</v>
      </c>
      <c r="S76" s="52">
        <v>343592</v>
      </c>
      <c r="T76" s="38"/>
      <c r="U76" s="38">
        <v>252179</v>
      </c>
      <c r="V76" s="115" t="e">
        <f t="shared" si="166"/>
        <v>#DIV/0!</v>
      </c>
      <c r="W76" s="77">
        <f t="shared" si="167"/>
        <v>-0.26605101399334097</v>
      </c>
      <c r="X76" s="8">
        <v>425856</v>
      </c>
      <c r="Y76" s="38"/>
      <c r="Z76" s="38">
        <v>275989</v>
      </c>
      <c r="AA76" s="115" t="e">
        <f t="shared" si="168"/>
        <v>#DIV/0!</v>
      </c>
      <c r="AB76" s="10">
        <f t="shared" si="169"/>
        <v>-0.35191942816351063</v>
      </c>
      <c r="AC76" s="52">
        <v>356455</v>
      </c>
      <c r="AD76" s="38"/>
      <c r="AE76" s="38">
        <v>394563</v>
      </c>
      <c r="AF76" s="115" t="e">
        <f t="shared" si="170"/>
        <v>#DIV/0!</v>
      </c>
      <c r="AG76" s="77">
        <f t="shared" si="171"/>
        <v>0.106908305396193</v>
      </c>
      <c r="AH76" s="8">
        <v>331299</v>
      </c>
      <c r="AI76" s="38"/>
      <c r="AJ76" s="38">
        <v>389318</v>
      </c>
      <c r="AK76" s="115" t="e">
        <f t="shared" si="172"/>
        <v>#DIV/0!</v>
      </c>
      <c r="AL76" s="10">
        <f t="shared" si="173"/>
        <v>0.17512579271292705</v>
      </c>
      <c r="AM76" s="52">
        <v>417629</v>
      </c>
      <c r="AN76" s="38"/>
      <c r="AO76" s="38">
        <v>269436</v>
      </c>
      <c r="AP76" s="115" t="e">
        <f t="shared" si="174"/>
        <v>#DIV/0!</v>
      </c>
      <c r="AQ76" s="77">
        <f t="shared" si="175"/>
        <v>-0.35484365309880306</v>
      </c>
      <c r="AR76" s="8">
        <v>384231</v>
      </c>
      <c r="AS76" s="38"/>
      <c r="AT76" s="38">
        <v>312564</v>
      </c>
      <c r="AU76" s="115" t="e">
        <f t="shared" si="176"/>
        <v>#DIV/0!</v>
      </c>
      <c r="AV76" s="10">
        <f t="shared" si="177"/>
        <v>-0.18652060869633114</v>
      </c>
      <c r="AW76" s="52">
        <v>316121</v>
      </c>
      <c r="AX76" s="38"/>
      <c r="AY76" s="38">
        <v>280926</v>
      </c>
      <c r="AZ76" s="115" t="e">
        <f t="shared" si="178"/>
        <v>#DIV/0!</v>
      </c>
      <c r="BA76" s="77">
        <f t="shared" si="179"/>
        <v>-0.11133395124018963</v>
      </c>
      <c r="BB76" s="8">
        <v>334369</v>
      </c>
      <c r="BC76" s="38"/>
      <c r="BD76" s="38">
        <v>288915</v>
      </c>
      <c r="BE76" s="115" t="e">
        <f t="shared" si="180"/>
        <v>#DIV/0!</v>
      </c>
      <c r="BF76" s="10">
        <f t="shared" si="181"/>
        <v>-0.1359396355523389</v>
      </c>
      <c r="BG76" s="52">
        <v>290364</v>
      </c>
      <c r="BH76" s="38"/>
      <c r="BI76" s="38">
        <v>381965</v>
      </c>
      <c r="BJ76" s="115" t="e">
        <f t="shared" si="182"/>
        <v>#DIV/0!</v>
      </c>
      <c r="BK76" s="77">
        <f t="shared" si="183"/>
        <v>0.31546954856662679</v>
      </c>
      <c r="BL76" s="8">
        <v>343592</v>
      </c>
      <c r="BM76" s="38"/>
      <c r="BN76" s="38">
        <v>327586</v>
      </c>
      <c r="BO76" s="115" t="e">
        <f t="shared" si="184"/>
        <v>#DIV/0!</v>
      </c>
      <c r="BP76" s="10">
        <f t="shared" si="185"/>
        <v>-4.6584320938787838E-2</v>
      </c>
      <c r="BQ76" s="52">
        <v>343592</v>
      </c>
      <c r="BR76" s="38"/>
      <c r="BS76" s="38">
        <v>374909</v>
      </c>
      <c r="BT76" s="115" t="e">
        <f t="shared" si="186"/>
        <v>#DIV/0!</v>
      </c>
      <c r="BU76" s="10">
        <f t="shared" si="187"/>
        <v>9.114589396726358E-2</v>
      </c>
    </row>
    <row r="77" spans="2:73" x14ac:dyDescent="0.3">
      <c r="B77" s="380"/>
      <c r="C77" s="405"/>
      <c r="D77" s="385" t="s">
        <v>14</v>
      </c>
      <c r="E77" s="386"/>
      <c r="F77" s="84">
        <v>4617314</v>
      </c>
      <c r="G77" s="62">
        <f>K77</f>
        <v>4801353</v>
      </c>
      <c r="H77" s="33">
        <f t="shared" si="161"/>
        <v>3.9858454504068774E-2</v>
      </c>
      <c r="I77" s="105">
        <f>N77+S77+X77+AC77+AH77+AM77+AR77+AW77+BB77+BG77+BL77+BQ77</f>
        <v>4617314</v>
      </c>
      <c r="J77" s="85">
        <f>O77+T77+Y77+AD77+AI77+AN77+AS77+AX77+BC77+BH77+BM77+BR77</f>
        <v>5100000</v>
      </c>
      <c r="K77" s="85">
        <f>P77+U77+Z77+AE77+AJ77+AO77+AT77+AY77+BD77+BI77+BN77+BS77</f>
        <v>4801353</v>
      </c>
      <c r="L77" s="86">
        <f t="shared" si="162"/>
        <v>-5.8558235294117633E-2</v>
      </c>
      <c r="M77" s="4">
        <f t="shared" si="163"/>
        <v>3.9858454504068774E-2</v>
      </c>
      <c r="N77" s="3">
        <v>341668</v>
      </c>
      <c r="O77" s="62">
        <v>459000</v>
      </c>
      <c r="P77" s="62">
        <v>324323</v>
      </c>
      <c r="Q77" s="86">
        <f t="shared" si="164"/>
        <v>-0.29341394335511983</v>
      </c>
      <c r="R77" s="4">
        <f t="shared" si="165"/>
        <v>-5.0765655548661304E-2</v>
      </c>
      <c r="S77" s="84">
        <v>408701</v>
      </c>
      <c r="T77" s="62">
        <v>357000</v>
      </c>
      <c r="U77" s="62">
        <v>320358</v>
      </c>
      <c r="V77" s="86">
        <f t="shared" si="166"/>
        <v>-0.10263865546218487</v>
      </c>
      <c r="W77" s="75">
        <f t="shared" si="167"/>
        <v>-0.21615557583661404</v>
      </c>
      <c r="X77" s="3">
        <v>578782</v>
      </c>
      <c r="Y77" s="62">
        <v>459000</v>
      </c>
      <c r="Z77" s="62">
        <v>432930</v>
      </c>
      <c r="AA77" s="86">
        <f t="shared" si="168"/>
        <v>-5.6797385620915075E-2</v>
      </c>
      <c r="AB77" s="4">
        <f t="shared" si="169"/>
        <v>-0.25199816165672051</v>
      </c>
      <c r="AC77" s="84">
        <v>447066</v>
      </c>
      <c r="AD77" s="62">
        <v>459000</v>
      </c>
      <c r="AE77" s="62">
        <v>472323</v>
      </c>
      <c r="AF77" s="86">
        <f t="shared" si="170"/>
        <v>2.9026143790849668E-2</v>
      </c>
      <c r="AG77" s="75">
        <f t="shared" si="171"/>
        <v>5.6495014158983281E-2</v>
      </c>
      <c r="AH77" s="3">
        <v>441837</v>
      </c>
      <c r="AI77" s="62">
        <v>510000</v>
      </c>
      <c r="AJ77" s="62">
        <v>381307</v>
      </c>
      <c r="AK77" s="86">
        <f t="shared" si="172"/>
        <v>-0.25233921568627449</v>
      </c>
      <c r="AL77" s="4">
        <f t="shared" si="173"/>
        <v>-0.13699622258887323</v>
      </c>
      <c r="AM77" s="84">
        <v>364497</v>
      </c>
      <c r="AN77" s="62">
        <v>357000</v>
      </c>
      <c r="AO77" s="62">
        <v>280280</v>
      </c>
      <c r="AP77" s="86">
        <f t="shared" si="174"/>
        <v>-0.21490196078431367</v>
      </c>
      <c r="AQ77" s="75">
        <f t="shared" si="175"/>
        <v>-0.2310499126193083</v>
      </c>
      <c r="AR77" s="3">
        <v>265475</v>
      </c>
      <c r="AS77" s="62">
        <v>306000</v>
      </c>
      <c r="AT77" s="62">
        <v>395242</v>
      </c>
      <c r="AU77" s="86">
        <f t="shared" si="176"/>
        <v>0.29164052287581699</v>
      </c>
      <c r="AV77" s="4">
        <f t="shared" si="177"/>
        <v>0.48881062246915907</v>
      </c>
      <c r="AW77" s="84">
        <v>262675</v>
      </c>
      <c r="AX77" s="62">
        <v>357000</v>
      </c>
      <c r="AY77" s="62">
        <v>355318</v>
      </c>
      <c r="AZ77" s="86">
        <f t="shared" si="178"/>
        <v>-4.7114845938375227E-3</v>
      </c>
      <c r="BA77" s="75">
        <f t="shared" si="179"/>
        <v>0.35269058722756252</v>
      </c>
      <c r="BB77" s="3">
        <v>365147</v>
      </c>
      <c r="BC77" s="62">
        <v>408000</v>
      </c>
      <c r="BD77" s="62">
        <v>370856</v>
      </c>
      <c r="BE77" s="86">
        <f t="shared" si="180"/>
        <v>-9.1039215686274488E-2</v>
      </c>
      <c r="BF77" s="4">
        <f t="shared" si="181"/>
        <v>1.5634799135690658E-2</v>
      </c>
      <c r="BG77" s="84">
        <v>329033</v>
      </c>
      <c r="BH77" s="62">
        <v>459000</v>
      </c>
      <c r="BI77" s="62">
        <v>611306</v>
      </c>
      <c r="BJ77" s="86">
        <f t="shared" si="182"/>
        <v>0.33182135076252717</v>
      </c>
      <c r="BK77" s="75">
        <f t="shared" si="183"/>
        <v>0.85788659496159969</v>
      </c>
      <c r="BL77" s="3">
        <v>506496</v>
      </c>
      <c r="BM77" s="62">
        <v>510000</v>
      </c>
      <c r="BN77" s="62">
        <v>423746</v>
      </c>
      <c r="BO77" s="86">
        <f t="shared" si="184"/>
        <v>-0.16912549019607848</v>
      </c>
      <c r="BP77" s="4">
        <f t="shared" si="185"/>
        <v>-0.16337740080869345</v>
      </c>
      <c r="BQ77" s="84">
        <v>305937</v>
      </c>
      <c r="BR77" s="62">
        <v>459000</v>
      </c>
      <c r="BS77" s="62">
        <v>433364</v>
      </c>
      <c r="BT77" s="86">
        <f t="shared" si="186"/>
        <v>-5.5851851851851819E-2</v>
      </c>
      <c r="BU77" s="4">
        <f t="shared" si="187"/>
        <v>0.41651385742816327</v>
      </c>
    </row>
    <row r="78" spans="2:73" ht="17.25" thickBot="1" x14ac:dyDescent="0.35">
      <c r="B78" s="380"/>
      <c r="C78" s="405"/>
      <c r="D78" s="393" t="s">
        <v>18</v>
      </c>
      <c r="E78" s="394"/>
      <c r="F78" s="116">
        <f>F79+F94</f>
        <v>4648868</v>
      </c>
      <c r="G78" s="117">
        <f>G79+G94</f>
        <v>4859570</v>
      </c>
      <c r="H78" s="121">
        <f t="shared" si="161"/>
        <v>4.5323291605612326E-2</v>
      </c>
      <c r="I78" s="118">
        <f>I79+I94</f>
        <v>4648868</v>
      </c>
      <c r="J78" s="117">
        <f>J79+J94</f>
        <v>0</v>
      </c>
      <c r="K78" s="117">
        <f>K79+K94</f>
        <v>4859498</v>
      </c>
      <c r="L78" s="119" t="e">
        <f t="shared" si="162"/>
        <v>#DIV/0!</v>
      </c>
      <c r="M78" s="120">
        <f t="shared" si="163"/>
        <v>4.5307803964319993E-2</v>
      </c>
      <c r="N78" s="118">
        <f>N79+N94</f>
        <v>350586</v>
      </c>
      <c r="O78" s="117">
        <f>O79+O94</f>
        <v>0</v>
      </c>
      <c r="P78" s="117">
        <f>P79+P94</f>
        <v>404664</v>
      </c>
      <c r="Q78" s="119" t="e">
        <f t="shared" si="164"/>
        <v>#DIV/0!</v>
      </c>
      <c r="R78" s="120">
        <f t="shared" si="165"/>
        <v>0.15425031233420605</v>
      </c>
      <c r="S78" s="116">
        <f>S79+S94</f>
        <v>333225</v>
      </c>
      <c r="T78" s="117">
        <f>T79+T94</f>
        <v>0</v>
      </c>
      <c r="U78" s="117">
        <f>U79+U94</f>
        <v>393870</v>
      </c>
      <c r="V78" s="119" t="e">
        <f t="shared" si="166"/>
        <v>#DIV/0!</v>
      </c>
      <c r="W78" s="121">
        <f t="shared" si="167"/>
        <v>0.18199414809813197</v>
      </c>
      <c r="X78" s="118">
        <f>X79+X94</f>
        <v>508246</v>
      </c>
      <c r="Y78" s="117">
        <f>Y79+Y94</f>
        <v>0</v>
      </c>
      <c r="Z78" s="117">
        <f>Z79+Z94</f>
        <v>406749</v>
      </c>
      <c r="AA78" s="119" t="e">
        <f t="shared" si="168"/>
        <v>#DIV/0!</v>
      </c>
      <c r="AB78" s="120">
        <f t="shared" si="169"/>
        <v>-0.19970053871550386</v>
      </c>
      <c r="AC78" s="116">
        <f>AC79+AC94</f>
        <v>523351</v>
      </c>
      <c r="AD78" s="117">
        <f>AD79+AD94</f>
        <v>0</v>
      </c>
      <c r="AE78" s="117">
        <f>AE79+AE94</f>
        <v>351763</v>
      </c>
      <c r="AF78" s="119" t="e">
        <f t="shared" si="170"/>
        <v>#DIV/0!</v>
      </c>
      <c r="AG78" s="121">
        <f t="shared" si="171"/>
        <v>-0.3278640912122075</v>
      </c>
      <c r="AH78" s="118">
        <f>AH79+AH94</f>
        <v>474371</v>
      </c>
      <c r="AI78" s="117">
        <f>AI79+AI94</f>
        <v>0</v>
      </c>
      <c r="AJ78" s="117">
        <f>AJ79+AJ94</f>
        <v>387063</v>
      </c>
      <c r="AK78" s="119" t="e">
        <f t="shared" si="172"/>
        <v>#DIV/0!</v>
      </c>
      <c r="AL78" s="120">
        <f t="shared" si="173"/>
        <v>-0.18405003678555387</v>
      </c>
      <c r="AM78" s="116">
        <f>AM79+AM94</f>
        <v>281721</v>
      </c>
      <c r="AN78" s="117">
        <f>AN79+AN94</f>
        <v>0</v>
      </c>
      <c r="AO78" s="117">
        <f>AO79+AO94</f>
        <v>365731</v>
      </c>
      <c r="AP78" s="119" t="e">
        <f t="shared" si="174"/>
        <v>#DIV/0!</v>
      </c>
      <c r="AQ78" s="121">
        <f t="shared" si="175"/>
        <v>0.29820283187976759</v>
      </c>
      <c r="AR78" s="118">
        <f>AR79+AR94</f>
        <v>297243</v>
      </c>
      <c r="AS78" s="117">
        <f>AS79+AS94</f>
        <v>0</v>
      </c>
      <c r="AT78" s="117">
        <f>AT79+AT94</f>
        <v>384313</v>
      </c>
      <c r="AU78" s="119" t="e">
        <f t="shared" si="176"/>
        <v>#DIV/0!</v>
      </c>
      <c r="AV78" s="120">
        <f t="shared" si="177"/>
        <v>0.29292531699653135</v>
      </c>
      <c r="AW78" s="116">
        <f>AW79+AW94</f>
        <v>69669</v>
      </c>
      <c r="AX78" s="117">
        <f>AX79+AX94</f>
        <v>0</v>
      </c>
      <c r="AY78" s="117">
        <f>AY79+AY94</f>
        <v>378487</v>
      </c>
      <c r="AZ78" s="119" t="e">
        <f t="shared" si="178"/>
        <v>#DIV/0!</v>
      </c>
      <c r="BA78" s="121">
        <f t="shared" si="179"/>
        <v>4.4326457965522685</v>
      </c>
      <c r="BB78" s="118">
        <f>BB79+BB94</f>
        <v>341879</v>
      </c>
      <c r="BC78" s="117">
        <f>BC79+BC94</f>
        <v>0</v>
      </c>
      <c r="BD78" s="117">
        <f>BD79+BD94</f>
        <v>367503</v>
      </c>
      <c r="BE78" s="119" t="e">
        <f t="shared" si="180"/>
        <v>#DIV/0!</v>
      </c>
      <c r="BF78" s="120">
        <f t="shared" si="181"/>
        <v>7.4950494180689553E-2</v>
      </c>
      <c r="BG78" s="116">
        <f>BG79+BG94</f>
        <v>369782</v>
      </c>
      <c r="BH78" s="117">
        <f>BH79+BH94</f>
        <v>0</v>
      </c>
      <c r="BI78" s="117">
        <f>BI79+BI94</f>
        <v>518324</v>
      </c>
      <c r="BJ78" s="119" t="e">
        <f t="shared" si="182"/>
        <v>#DIV/0!</v>
      </c>
      <c r="BK78" s="121">
        <f t="shared" si="183"/>
        <v>0.40170154307132311</v>
      </c>
      <c r="BL78" s="118">
        <f>BL79+BL94</f>
        <v>472125</v>
      </c>
      <c r="BM78" s="117">
        <f>BM79+BM94</f>
        <v>0</v>
      </c>
      <c r="BN78" s="117">
        <f>BN79+BN94</f>
        <v>478461</v>
      </c>
      <c r="BO78" s="119" t="e">
        <f t="shared" si="184"/>
        <v>#DIV/0!</v>
      </c>
      <c r="BP78" s="120">
        <f t="shared" si="185"/>
        <v>1.3420174741858526E-2</v>
      </c>
      <c r="BQ78" s="116">
        <f>BQ79+BQ94</f>
        <v>367876</v>
      </c>
      <c r="BR78" s="117">
        <f>BR79+BR94</f>
        <v>0</v>
      </c>
      <c r="BS78" s="117">
        <f>BS79+BS94</f>
        <v>415180</v>
      </c>
      <c r="BT78" s="119" t="e">
        <f t="shared" si="186"/>
        <v>#DIV/0!</v>
      </c>
      <c r="BU78" s="120">
        <f t="shared" si="187"/>
        <v>0.12858680642390374</v>
      </c>
    </row>
    <row r="79" spans="2:73" x14ac:dyDescent="0.3">
      <c r="B79" s="380"/>
      <c r="C79" s="405"/>
      <c r="D79" s="395" t="s">
        <v>19</v>
      </c>
      <c r="E79" s="396"/>
      <c r="F79" s="53">
        <f>F83+F88+F91+F92+F93</f>
        <v>3885312</v>
      </c>
      <c r="G79" s="54">
        <f>G83+G88+G91+G92+G93</f>
        <v>4024174</v>
      </c>
      <c r="H79" s="78">
        <f t="shared" si="161"/>
        <v>3.5740244284114153E-2</v>
      </c>
      <c r="I79" s="11">
        <f>I83+I88+I91+I92+I93</f>
        <v>3885312</v>
      </c>
      <c r="J79" s="54">
        <f>J83+J88+J91+J92+J93</f>
        <v>0</v>
      </c>
      <c r="K79" s="54">
        <f>K83+K88+K91+K92+K93</f>
        <v>4026494</v>
      </c>
      <c r="L79" s="133" t="e">
        <f t="shared" si="162"/>
        <v>#DIV/0!</v>
      </c>
      <c r="M79" s="12">
        <f t="shared" si="163"/>
        <v>3.6337364927192528E-2</v>
      </c>
      <c r="N79" s="11">
        <f>N83+N88+N91+N92+N93</f>
        <v>293189</v>
      </c>
      <c r="O79" s="54">
        <f>O83+O88+O91+O92+O93</f>
        <v>0</v>
      </c>
      <c r="P79" s="54">
        <f>P83+P88+P91+P92+P93</f>
        <v>354600</v>
      </c>
      <c r="Q79" s="133" t="e">
        <f t="shared" si="164"/>
        <v>#DIV/0!</v>
      </c>
      <c r="R79" s="12">
        <f t="shared" si="165"/>
        <v>0.20945874504159434</v>
      </c>
      <c r="S79" s="53">
        <f>S83+S88+S91+S92+S93</f>
        <v>273957</v>
      </c>
      <c r="T79" s="54">
        <f>T83+T88+T91+T92+T93</f>
        <v>0</v>
      </c>
      <c r="U79" s="54">
        <f>U83+U88+U91+U92+U93</f>
        <v>319786</v>
      </c>
      <c r="V79" s="133" t="e">
        <f t="shared" si="166"/>
        <v>#DIV/0!</v>
      </c>
      <c r="W79" s="78">
        <f t="shared" si="167"/>
        <v>0.16728537690221468</v>
      </c>
      <c r="X79" s="11">
        <f>X83+X88+X91+X92+X93</f>
        <v>420779</v>
      </c>
      <c r="Y79" s="54">
        <f>Y83+Y88+Y91+Y92+Y93</f>
        <v>0</v>
      </c>
      <c r="Z79" s="54">
        <f>Z83+Z88+Z91+Z92+Z93</f>
        <v>338677</v>
      </c>
      <c r="AA79" s="133" t="e">
        <f t="shared" si="168"/>
        <v>#DIV/0!</v>
      </c>
      <c r="AB79" s="12">
        <f t="shared" si="169"/>
        <v>-0.19511905299456489</v>
      </c>
      <c r="AC79" s="53">
        <f>AC83+AC88+AC91+AC92+AC93</f>
        <v>465684</v>
      </c>
      <c r="AD79" s="54">
        <f>AD83+AD88+AD91+AD92+AD93</f>
        <v>0</v>
      </c>
      <c r="AE79" s="54">
        <f>AE83+AE88+AE91+AE92+AE93</f>
        <v>267228</v>
      </c>
      <c r="AF79" s="133" t="e">
        <f t="shared" si="170"/>
        <v>#DIV/0!</v>
      </c>
      <c r="AG79" s="78">
        <f t="shared" si="171"/>
        <v>-0.42616022882469662</v>
      </c>
      <c r="AH79" s="11">
        <f>AH83+AH88+AH91+AH92+AH93</f>
        <v>411434</v>
      </c>
      <c r="AI79" s="54">
        <f>AI83+AI88+AI91+AI92+AI93</f>
        <v>0</v>
      </c>
      <c r="AJ79" s="54">
        <f>AJ83+AJ88+AJ91+AJ92+AJ93</f>
        <v>312554</v>
      </c>
      <c r="AK79" s="133" t="e">
        <f t="shared" si="172"/>
        <v>#DIV/0!</v>
      </c>
      <c r="AL79" s="12">
        <f t="shared" si="173"/>
        <v>-0.24033016231035842</v>
      </c>
      <c r="AM79" s="53">
        <f>AM83+AM88+AM91+AM92+AM93</f>
        <v>230284</v>
      </c>
      <c r="AN79" s="54">
        <f>AN83+AN88+AN91+AN92+AN93</f>
        <v>0</v>
      </c>
      <c r="AO79" s="54">
        <f>AO83+AO88+AO91+AO92+AO93</f>
        <v>311518</v>
      </c>
      <c r="AP79" s="133" t="e">
        <f t="shared" si="174"/>
        <v>#DIV/0!</v>
      </c>
      <c r="AQ79" s="78">
        <f t="shared" si="175"/>
        <v>0.35275572771013186</v>
      </c>
      <c r="AR79" s="11">
        <f>AR83+AR88+AR91+AR92+AR93</f>
        <v>234333</v>
      </c>
      <c r="AS79" s="54">
        <f>AS83+AS88+AS91+AS92+AS93</f>
        <v>0</v>
      </c>
      <c r="AT79" s="54">
        <f>AT83+AT88+AT91+AT92+AT93</f>
        <v>311734</v>
      </c>
      <c r="AU79" s="133" t="e">
        <f t="shared" si="176"/>
        <v>#DIV/0!</v>
      </c>
      <c r="AV79" s="12">
        <f t="shared" si="177"/>
        <v>0.33030345704616937</v>
      </c>
      <c r="AW79" s="53">
        <v>0</v>
      </c>
      <c r="AX79" s="54">
        <v>0</v>
      </c>
      <c r="AY79" s="54">
        <v>311734</v>
      </c>
      <c r="AZ79" s="133" t="e">
        <f t="shared" si="178"/>
        <v>#DIV/0!</v>
      </c>
      <c r="BA79" s="78" t="e">
        <f t="shared" si="179"/>
        <v>#DIV/0!</v>
      </c>
      <c r="BB79" s="11">
        <f>BB83+BB88+BB91+BB92+BB93</f>
        <v>282966</v>
      </c>
      <c r="BC79" s="54">
        <f>BC83+BC88+BC91+BC92+BC93</f>
        <v>0</v>
      </c>
      <c r="BD79" s="54">
        <f>BD83+BD88+BD91+BD92+BD93</f>
        <v>309742</v>
      </c>
      <c r="BE79" s="133" t="e">
        <f t="shared" si="180"/>
        <v>#DIV/0!</v>
      </c>
      <c r="BF79" s="12">
        <f t="shared" si="181"/>
        <v>9.4626209509269588E-2</v>
      </c>
      <c r="BG79" s="53">
        <f>BG83+BG88+BG91+BG92+BG93</f>
        <v>307789</v>
      </c>
      <c r="BH79" s="54">
        <f>BH83+BH88+BH91+BH92+BH93</f>
        <v>0</v>
      </c>
      <c r="BI79" s="54">
        <f>BI83+BI88+BI91+BI92+BI93</f>
        <v>438468</v>
      </c>
      <c r="BJ79" s="133" t="e">
        <f t="shared" si="182"/>
        <v>#DIV/0!</v>
      </c>
      <c r="BK79" s="78">
        <f t="shared" si="183"/>
        <v>0.42457332783172896</v>
      </c>
      <c r="BL79" s="11">
        <f>BL83+BL88+BL91+BL92+BL93</f>
        <v>405603</v>
      </c>
      <c r="BM79" s="54">
        <f>BM83+BM88+BM91+BM92+BM93</f>
        <v>0</v>
      </c>
      <c r="BN79" s="54">
        <f>BN83+BN88+BN91+BN92+BN93</f>
        <v>392437</v>
      </c>
      <c r="BO79" s="133" t="e">
        <f t="shared" si="184"/>
        <v>#DIV/0!</v>
      </c>
      <c r="BP79" s="12">
        <f t="shared" si="185"/>
        <v>-3.2460312177178152E-2</v>
      </c>
      <c r="BQ79" s="53">
        <f>BQ83+BQ88+BQ91+BQ92+BQ93</f>
        <v>300500</v>
      </c>
      <c r="BR79" s="54">
        <f>BR83+BR88+BR91+BR92+BR93</f>
        <v>0</v>
      </c>
      <c r="BS79" s="54">
        <f>BS83+BS88+BS91+BS92+BS93</f>
        <v>350626</v>
      </c>
      <c r="BT79" s="133" t="e">
        <f t="shared" si="186"/>
        <v>#DIV/0!</v>
      </c>
      <c r="BU79" s="12">
        <f t="shared" si="187"/>
        <v>0.16680865224625618</v>
      </c>
    </row>
    <row r="80" spans="2:73" x14ac:dyDescent="0.3">
      <c r="B80" s="380"/>
      <c r="C80" s="405"/>
      <c r="D80" s="312" t="s">
        <v>52</v>
      </c>
      <c r="E80" s="67" t="s">
        <v>20</v>
      </c>
      <c r="F80" s="45">
        <v>274504</v>
      </c>
      <c r="G80" s="39">
        <v>321951</v>
      </c>
      <c r="H80" s="33">
        <f t="shared" si="161"/>
        <v>0.17284629732171486</v>
      </c>
      <c r="I80" s="107">
        <f t="shared" ref="I80:I82" si="188">N80+S80+X80+AC80+AH80+AM80+AR80+AW80+BB80+BG80+BL80+BQ80</f>
        <v>274504</v>
      </c>
      <c r="J80" s="87">
        <f t="shared" ref="J80:J82" si="189">O80+T80+Y80+AD80+AI80+AN80+AS80+AX80+BC80+BH80+BM80+BR80</f>
        <v>0</v>
      </c>
      <c r="K80" s="87">
        <f t="shared" ref="K80:K82" si="190">P80+U80+Z80+AE80+AJ80+AO80+AT80+AY80+BD80+BI80+BN80+BS80</f>
        <v>321951</v>
      </c>
      <c r="L80" s="88" t="e">
        <f t="shared" si="162"/>
        <v>#DIV/0!</v>
      </c>
      <c r="M80" s="15">
        <f t="shared" si="163"/>
        <v>0.17284629732171486</v>
      </c>
      <c r="N80" s="13">
        <v>24877</v>
      </c>
      <c r="O80" s="39"/>
      <c r="P80" s="39">
        <v>22882</v>
      </c>
      <c r="Q80" s="88" t="e">
        <f>P80/O80-1</f>
        <v>#DIV/0!</v>
      </c>
      <c r="R80" s="15">
        <f>P80/N80-1</f>
        <v>-8.0194557221529905E-2</v>
      </c>
      <c r="S80" s="45">
        <v>17597</v>
      </c>
      <c r="T80" s="39"/>
      <c r="U80" s="39">
        <v>25581</v>
      </c>
      <c r="V80" s="88" t="e">
        <f t="shared" si="166"/>
        <v>#DIV/0!</v>
      </c>
      <c r="W80" s="33">
        <f t="shared" si="167"/>
        <v>0.45371370119906795</v>
      </c>
      <c r="X80" s="13">
        <v>23450</v>
      </c>
      <c r="Y80" s="39"/>
      <c r="Z80" s="39">
        <v>21966</v>
      </c>
      <c r="AA80" s="88" t="e">
        <f t="shared" si="168"/>
        <v>#DIV/0!</v>
      </c>
      <c r="AB80" s="15">
        <f t="shared" si="169"/>
        <v>-6.3283582089552204E-2</v>
      </c>
      <c r="AC80" s="45">
        <v>32858</v>
      </c>
      <c r="AD80" s="39"/>
      <c r="AE80" s="39">
        <v>23867</v>
      </c>
      <c r="AF80" s="88" t="e">
        <f t="shared" si="170"/>
        <v>#DIV/0!</v>
      </c>
      <c r="AG80" s="33">
        <f t="shared" si="171"/>
        <v>-0.27363199220889889</v>
      </c>
      <c r="AH80" s="13">
        <v>22262</v>
      </c>
      <c r="AI80" s="39"/>
      <c r="AJ80" s="39">
        <v>26277</v>
      </c>
      <c r="AK80" s="88" t="e">
        <f t="shared" si="172"/>
        <v>#DIV/0!</v>
      </c>
      <c r="AL80" s="15">
        <f t="shared" si="173"/>
        <v>0.18035216961638656</v>
      </c>
      <c r="AM80" s="45">
        <v>18482</v>
      </c>
      <c r="AN80" s="39"/>
      <c r="AO80" s="39">
        <v>28344</v>
      </c>
      <c r="AP80" s="88" t="e">
        <f t="shared" si="174"/>
        <v>#DIV/0!</v>
      </c>
      <c r="AQ80" s="33">
        <f t="shared" si="175"/>
        <v>0.5336002597121523</v>
      </c>
      <c r="AR80" s="13">
        <v>18058</v>
      </c>
      <c r="AS80" s="39"/>
      <c r="AT80" s="39">
        <v>24918</v>
      </c>
      <c r="AU80" s="88" t="e">
        <f t="shared" si="176"/>
        <v>#DIV/0!</v>
      </c>
      <c r="AV80" s="15">
        <f t="shared" si="177"/>
        <v>0.37988703067892349</v>
      </c>
      <c r="AW80" s="45">
        <v>19249</v>
      </c>
      <c r="AX80" s="39"/>
      <c r="AY80" s="39">
        <v>24874</v>
      </c>
      <c r="AZ80" s="88" t="e">
        <f t="shared" si="178"/>
        <v>#DIV/0!</v>
      </c>
      <c r="BA80" s="33">
        <f t="shared" si="179"/>
        <v>0.29222297262195429</v>
      </c>
      <c r="BB80" s="13">
        <v>19847</v>
      </c>
      <c r="BC80" s="39"/>
      <c r="BD80" s="39">
        <v>27144</v>
      </c>
      <c r="BE80" s="88" t="e">
        <f t="shared" si="180"/>
        <v>#DIV/0!</v>
      </c>
      <c r="BF80" s="15">
        <f t="shared" si="181"/>
        <v>0.36766261903562247</v>
      </c>
      <c r="BG80" s="45">
        <v>22206</v>
      </c>
      <c r="BH80" s="39"/>
      <c r="BI80" s="39">
        <v>30214</v>
      </c>
      <c r="BJ80" s="88" t="e">
        <f t="shared" si="182"/>
        <v>#DIV/0!</v>
      </c>
      <c r="BK80" s="33">
        <f t="shared" si="183"/>
        <v>0.36062325497613257</v>
      </c>
      <c r="BL80" s="13">
        <v>24695</v>
      </c>
      <c r="BM80" s="39"/>
      <c r="BN80" s="39">
        <v>34230</v>
      </c>
      <c r="BO80" s="88" t="e">
        <f t="shared" si="184"/>
        <v>#DIV/0!</v>
      </c>
      <c r="BP80" s="15">
        <f t="shared" si="185"/>
        <v>0.38611054869406769</v>
      </c>
      <c r="BQ80" s="45">
        <v>30923</v>
      </c>
      <c r="BR80" s="39"/>
      <c r="BS80" s="39">
        <v>31654</v>
      </c>
      <c r="BT80" s="88" t="e">
        <f t="shared" si="186"/>
        <v>#DIV/0!</v>
      </c>
      <c r="BU80" s="15">
        <f t="shared" si="187"/>
        <v>2.3639362286970833E-2</v>
      </c>
    </row>
    <row r="81" spans="2:73" x14ac:dyDescent="0.3">
      <c r="B81" s="380"/>
      <c r="C81" s="405"/>
      <c r="D81" s="312"/>
      <c r="E81" s="67" t="s">
        <v>21</v>
      </c>
      <c r="F81" s="45">
        <v>394629</v>
      </c>
      <c r="G81" s="39">
        <v>419768</v>
      </c>
      <c r="H81" s="33">
        <f t="shared" si="161"/>
        <v>6.3702870290830216E-2</v>
      </c>
      <c r="I81" s="107">
        <f t="shared" si="188"/>
        <v>394629</v>
      </c>
      <c r="J81" s="87">
        <f t="shared" si="189"/>
        <v>0</v>
      </c>
      <c r="K81" s="87">
        <f t="shared" si="190"/>
        <v>419768</v>
      </c>
      <c r="L81" s="88" t="e">
        <f t="shared" si="162"/>
        <v>#DIV/0!</v>
      </c>
      <c r="M81" s="15">
        <f t="shared" si="163"/>
        <v>6.3702870290830216E-2</v>
      </c>
      <c r="N81" s="13">
        <v>30440</v>
      </c>
      <c r="O81" s="39"/>
      <c r="P81" s="39">
        <v>24520</v>
      </c>
      <c r="Q81" s="88" t="e">
        <f>P81/O81-1</f>
        <v>#DIV/0!</v>
      </c>
      <c r="R81" s="15">
        <f>P81/N81-1</f>
        <v>-0.19448094612352174</v>
      </c>
      <c r="S81" s="45">
        <v>24473</v>
      </c>
      <c r="T81" s="39"/>
      <c r="U81" s="39">
        <v>42820</v>
      </c>
      <c r="V81" s="88" t="e">
        <f t="shared" si="166"/>
        <v>#DIV/0!</v>
      </c>
      <c r="W81" s="33">
        <f t="shared" si="167"/>
        <v>0.74968332448003916</v>
      </c>
      <c r="X81" s="13">
        <v>43692</v>
      </c>
      <c r="Y81" s="39"/>
      <c r="Z81" s="39">
        <v>27988</v>
      </c>
      <c r="AA81" s="88" t="e">
        <f t="shared" si="168"/>
        <v>#DIV/0!</v>
      </c>
      <c r="AB81" s="15">
        <f t="shared" si="169"/>
        <v>-0.35942506637370686</v>
      </c>
      <c r="AC81" s="45">
        <v>53084</v>
      </c>
      <c r="AD81" s="39"/>
      <c r="AE81" s="39">
        <v>27340</v>
      </c>
      <c r="AF81" s="88" t="e">
        <f t="shared" si="170"/>
        <v>#DIV/0!</v>
      </c>
      <c r="AG81" s="33">
        <f t="shared" si="171"/>
        <v>-0.48496722176173612</v>
      </c>
      <c r="AH81" s="13">
        <v>22470</v>
      </c>
      <c r="AI81" s="39"/>
      <c r="AJ81" s="39">
        <v>29937</v>
      </c>
      <c r="AK81" s="88" t="e">
        <f t="shared" si="172"/>
        <v>#DIV/0!</v>
      </c>
      <c r="AL81" s="15">
        <f t="shared" si="173"/>
        <v>0.3323097463284379</v>
      </c>
      <c r="AM81" s="45">
        <v>31510</v>
      </c>
      <c r="AN81" s="39"/>
      <c r="AO81" s="39">
        <v>31700</v>
      </c>
      <c r="AP81" s="88" t="e">
        <f t="shared" si="174"/>
        <v>#DIV/0!</v>
      </c>
      <c r="AQ81" s="33">
        <f t="shared" si="175"/>
        <v>6.0298317994287309E-3</v>
      </c>
      <c r="AR81" s="13">
        <v>30462</v>
      </c>
      <c r="AS81" s="39"/>
      <c r="AT81" s="39">
        <v>33415</v>
      </c>
      <c r="AU81" s="88" t="e">
        <f t="shared" si="176"/>
        <v>#DIV/0!</v>
      </c>
      <c r="AV81" s="15">
        <f t="shared" si="177"/>
        <v>9.6940450397216216E-2</v>
      </c>
      <c r="AW81" s="45">
        <v>22756</v>
      </c>
      <c r="AX81" s="39"/>
      <c r="AY81" s="39">
        <v>33368</v>
      </c>
      <c r="AZ81" s="88" t="e">
        <f t="shared" si="178"/>
        <v>#DIV/0!</v>
      </c>
      <c r="BA81" s="33">
        <f t="shared" si="179"/>
        <v>0.46633854807523289</v>
      </c>
      <c r="BB81" s="13">
        <v>49249</v>
      </c>
      <c r="BC81" s="39"/>
      <c r="BD81" s="39">
        <v>32470</v>
      </c>
      <c r="BE81" s="88" t="e">
        <f t="shared" si="180"/>
        <v>#DIV/0!</v>
      </c>
      <c r="BF81" s="15">
        <f t="shared" si="181"/>
        <v>-0.340697273041077</v>
      </c>
      <c r="BG81" s="45">
        <v>24698</v>
      </c>
      <c r="BH81" s="39"/>
      <c r="BI81" s="39">
        <v>39064</v>
      </c>
      <c r="BJ81" s="88" t="e">
        <f t="shared" si="182"/>
        <v>#DIV/0!</v>
      </c>
      <c r="BK81" s="33">
        <f t="shared" si="183"/>
        <v>0.58166653170297189</v>
      </c>
      <c r="BL81" s="13">
        <v>35259</v>
      </c>
      <c r="BM81" s="39"/>
      <c r="BN81" s="39">
        <v>62218</v>
      </c>
      <c r="BO81" s="88" t="e">
        <f t="shared" si="184"/>
        <v>#DIV/0!</v>
      </c>
      <c r="BP81" s="15">
        <f t="shared" si="185"/>
        <v>0.7645991094472333</v>
      </c>
      <c r="BQ81" s="45">
        <v>26536</v>
      </c>
      <c r="BR81" s="39"/>
      <c r="BS81" s="39">
        <v>34928</v>
      </c>
      <c r="BT81" s="88" t="e">
        <f t="shared" si="186"/>
        <v>#DIV/0!</v>
      </c>
      <c r="BU81" s="15">
        <f t="shared" si="187"/>
        <v>0.31624962315345195</v>
      </c>
    </row>
    <row r="82" spans="2:73" x14ac:dyDescent="0.3">
      <c r="B82" s="380"/>
      <c r="C82" s="405"/>
      <c r="D82" s="312"/>
      <c r="E82" s="67" t="s">
        <v>27</v>
      </c>
      <c r="F82" s="45">
        <v>398047</v>
      </c>
      <c r="G82" s="39">
        <v>207830</v>
      </c>
      <c r="H82" s="33">
        <f t="shared" si="161"/>
        <v>-0.47787572824314717</v>
      </c>
      <c r="I82" s="107">
        <f t="shared" si="188"/>
        <v>398047</v>
      </c>
      <c r="J82" s="87">
        <f t="shared" si="189"/>
        <v>0</v>
      </c>
      <c r="K82" s="87">
        <f t="shared" si="190"/>
        <v>210150</v>
      </c>
      <c r="L82" s="88" t="e">
        <f t="shared" si="162"/>
        <v>#DIV/0!</v>
      </c>
      <c r="M82" s="15">
        <f t="shared" si="163"/>
        <v>-0.47204727079967945</v>
      </c>
      <c r="N82" s="13">
        <v>9372</v>
      </c>
      <c r="O82" s="39"/>
      <c r="P82" s="39">
        <v>24502</v>
      </c>
      <c r="Q82" s="88" t="e">
        <f>P82/O82-1</f>
        <v>#DIV/0!</v>
      </c>
      <c r="R82" s="15">
        <f>P82/N82-1</f>
        <v>1.6143832693128468</v>
      </c>
      <c r="S82" s="45">
        <v>13207</v>
      </c>
      <c r="T82" s="39"/>
      <c r="U82" s="39">
        <v>24132</v>
      </c>
      <c r="V82" s="88" t="e">
        <f t="shared" si="166"/>
        <v>#DIV/0!</v>
      </c>
      <c r="W82" s="33">
        <f t="shared" si="167"/>
        <v>0.82721284167486941</v>
      </c>
      <c r="X82" s="13">
        <v>26896</v>
      </c>
      <c r="Y82" s="39"/>
      <c r="Z82" s="39">
        <v>30839</v>
      </c>
      <c r="AA82" s="88" t="e">
        <f t="shared" si="168"/>
        <v>#DIV/0!</v>
      </c>
      <c r="AB82" s="15">
        <f t="shared" si="169"/>
        <v>0.14660172516359316</v>
      </c>
      <c r="AC82" s="45">
        <v>35288</v>
      </c>
      <c r="AD82" s="39"/>
      <c r="AE82" s="39">
        <v>12990</v>
      </c>
      <c r="AF82" s="88" t="e">
        <f t="shared" si="170"/>
        <v>#DIV/0!</v>
      </c>
      <c r="AG82" s="33">
        <f t="shared" si="171"/>
        <v>-0.6318861936068918</v>
      </c>
      <c r="AH82" s="13">
        <v>18930</v>
      </c>
      <c r="AI82" s="39"/>
      <c r="AJ82" s="39">
        <v>18058</v>
      </c>
      <c r="AK82" s="88" t="e">
        <f t="shared" si="172"/>
        <v>#DIV/0!</v>
      </c>
      <c r="AL82" s="15">
        <f t="shared" si="173"/>
        <v>-4.6064447966191246E-2</v>
      </c>
      <c r="AM82" s="45">
        <v>43636</v>
      </c>
      <c r="AN82" s="39"/>
      <c r="AO82" s="39">
        <v>15305</v>
      </c>
      <c r="AP82" s="88" t="e">
        <f t="shared" si="174"/>
        <v>#DIV/0!</v>
      </c>
      <c r="AQ82" s="33">
        <f t="shared" si="175"/>
        <v>-0.64925749381244846</v>
      </c>
      <c r="AR82" s="13">
        <v>40134</v>
      </c>
      <c r="AS82" s="39"/>
      <c r="AT82" s="39">
        <v>20578</v>
      </c>
      <c r="AU82" s="88" t="e">
        <f t="shared" si="176"/>
        <v>#DIV/0!</v>
      </c>
      <c r="AV82" s="15">
        <f t="shared" si="177"/>
        <v>-0.48726765336123989</v>
      </c>
      <c r="AW82" s="45">
        <v>23970</v>
      </c>
      <c r="AX82" s="39"/>
      <c r="AY82" s="39">
        <v>7942</v>
      </c>
      <c r="AZ82" s="88" t="e">
        <f t="shared" si="178"/>
        <v>#DIV/0!</v>
      </c>
      <c r="BA82" s="33">
        <f t="shared" si="179"/>
        <v>-0.66866916979557778</v>
      </c>
      <c r="BB82" s="13">
        <v>28234</v>
      </c>
      <c r="BC82" s="39"/>
      <c r="BD82" s="39">
        <v>11650</v>
      </c>
      <c r="BE82" s="88" t="e">
        <f t="shared" si="180"/>
        <v>#DIV/0!</v>
      </c>
      <c r="BF82" s="15">
        <f t="shared" si="181"/>
        <v>-0.58737692144223275</v>
      </c>
      <c r="BG82" s="45">
        <v>52510</v>
      </c>
      <c r="BH82" s="39"/>
      <c r="BI82" s="39">
        <v>6298</v>
      </c>
      <c r="BJ82" s="88" t="e">
        <f t="shared" si="182"/>
        <v>#DIV/0!</v>
      </c>
      <c r="BK82" s="33">
        <f t="shared" si="183"/>
        <v>-0.88006094077318608</v>
      </c>
      <c r="BL82" s="13">
        <v>71824</v>
      </c>
      <c r="BM82" s="39"/>
      <c r="BN82" s="39">
        <v>21384</v>
      </c>
      <c r="BO82" s="88" t="e">
        <f t="shared" si="184"/>
        <v>#DIV/0!</v>
      </c>
      <c r="BP82" s="15">
        <f t="shared" si="185"/>
        <v>-0.70227222098462905</v>
      </c>
      <c r="BQ82" s="45">
        <v>34046</v>
      </c>
      <c r="BR82" s="39"/>
      <c r="BS82" s="39">
        <v>16472</v>
      </c>
      <c r="BT82" s="88" t="e">
        <f t="shared" si="186"/>
        <v>#DIV/0!</v>
      </c>
      <c r="BU82" s="15">
        <f t="shared" si="187"/>
        <v>-0.51618398637137997</v>
      </c>
    </row>
    <row r="83" spans="2:73" x14ac:dyDescent="0.3">
      <c r="B83" s="380"/>
      <c r="C83" s="405"/>
      <c r="D83" s="312"/>
      <c r="E83" s="101" t="s">
        <v>53</v>
      </c>
      <c r="F83" s="55">
        <f>SUM(F80:F82)</f>
        <v>1067180</v>
      </c>
      <c r="G83" s="50">
        <f>SUM(G80:G82)</f>
        <v>949549</v>
      </c>
      <c r="H83" s="79">
        <f t="shared" si="161"/>
        <v>-0.11022601622968942</v>
      </c>
      <c r="I83" s="48">
        <f t="shared" ref="I83:K83" si="191">SUM(I80:I82)</f>
        <v>1067180</v>
      </c>
      <c r="J83" s="50">
        <f t="shared" si="191"/>
        <v>0</v>
      </c>
      <c r="K83" s="50">
        <f t="shared" si="191"/>
        <v>951869</v>
      </c>
      <c r="L83" s="91" t="e">
        <f t="shared" si="162"/>
        <v>#DIV/0!</v>
      </c>
      <c r="M83" s="49">
        <f t="shared" si="163"/>
        <v>-0.10805206244494836</v>
      </c>
      <c r="N83" s="48">
        <f t="shared" ref="N83:O83" si="192">SUM(N80:N82)</f>
        <v>64689</v>
      </c>
      <c r="O83" s="50">
        <f t="shared" si="192"/>
        <v>0</v>
      </c>
      <c r="P83" s="50">
        <f>SUM(P80:P82)</f>
        <v>71904</v>
      </c>
      <c r="Q83" s="91" t="e">
        <f t="shared" ref="Q83:Q105" si="193">P83/O83-1</f>
        <v>#DIV/0!</v>
      </c>
      <c r="R83" s="49">
        <f t="shared" ref="R83:R111" si="194">P83/N83-1</f>
        <v>0.11153364559662382</v>
      </c>
      <c r="S83" s="55">
        <f>SUM(S80:S82)</f>
        <v>55277</v>
      </c>
      <c r="T83" s="50">
        <f>SUM(T80:T82)</f>
        <v>0</v>
      </c>
      <c r="U83" s="50">
        <f>SUM(U80:U82)</f>
        <v>92533</v>
      </c>
      <c r="V83" s="91" t="e">
        <f t="shared" si="166"/>
        <v>#DIV/0!</v>
      </c>
      <c r="W83" s="79">
        <f t="shared" si="167"/>
        <v>0.67398737268665077</v>
      </c>
      <c r="X83" s="48">
        <f>SUM(X80:X82)</f>
        <v>94038</v>
      </c>
      <c r="Y83" s="50">
        <f>SUM(Y80:Y82)</f>
        <v>0</v>
      </c>
      <c r="Z83" s="50">
        <f>SUM(Z80:Z82)</f>
        <v>80793</v>
      </c>
      <c r="AA83" s="91" t="e">
        <f t="shared" si="168"/>
        <v>#DIV/0!</v>
      </c>
      <c r="AB83" s="49">
        <f t="shared" si="169"/>
        <v>-0.14084731704204678</v>
      </c>
      <c r="AC83" s="55">
        <f>SUM(AC80:AC82)</f>
        <v>121230</v>
      </c>
      <c r="AD83" s="50">
        <f>SUM(AD80:AD82)</f>
        <v>0</v>
      </c>
      <c r="AE83" s="50">
        <f>SUM(AE80:AE82)</f>
        <v>64197</v>
      </c>
      <c r="AF83" s="91" t="e">
        <f t="shared" si="170"/>
        <v>#DIV/0!</v>
      </c>
      <c r="AG83" s="79">
        <f t="shared" si="171"/>
        <v>-0.47045285820341498</v>
      </c>
      <c r="AH83" s="48">
        <f>SUM(AH80:AH82)</f>
        <v>63662</v>
      </c>
      <c r="AI83" s="50">
        <f>SUM(AI80:AI82)</f>
        <v>0</v>
      </c>
      <c r="AJ83" s="50">
        <f>SUM(AJ80:AJ82)</f>
        <v>74272</v>
      </c>
      <c r="AK83" s="91" t="e">
        <f t="shared" si="172"/>
        <v>#DIV/0!</v>
      </c>
      <c r="AL83" s="49">
        <f t="shared" si="173"/>
        <v>0.16666143068078298</v>
      </c>
      <c r="AM83" s="55">
        <f>SUM(AM80:AM82)</f>
        <v>93628</v>
      </c>
      <c r="AN83" s="50">
        <f>SUM(AN80:AN82)</f>
        <v>0</v>
      </c>
      <c r="AO83" s="50">
        <f>SUM(AO80:AO82)</f>
        <v>75349</v>
      </c>
      <c r="AP83" s="91" t="e">
        <f t="shared" si="174"/>
        <v>#DIV/0!</v>
      </c>
      <c r="AQ83" s="79">
        <f t="shared" si="175"/>
        <v>-0.195230059383945</v>
      </c>
      <c r="AR83" s="48">
        <f>SUM(AR80:AR82)</f>
        <v>88654</v>
      </c>
      <c r="AS83" s="50">
        <f>SUM(AS80:AS82)</f>
        <v>0</v>
      </c>
      <c r="AT83" s="50">
        <f>SUM(AT80:AT82)</f>
        <v>78911</v>
      </c>
      <c r="AU83" s="91" t="e">
        <f t="shared" si="176"/>
        <v>#DIV/0!</v>
      </c>
      <c r="AV83" s="49">
        <f t="shared" si="177"/>
        <v>-0.10989915852640608</v>
      </c>
      <c r="AW83" s="55">
        <f>SUM(AW80:AW82)</f>
        <v>65975</v>
      </c>
      <c r="AX83" s="50">
        <f>SUM(AX80:AX82)</f>
        <v>0</v>
      </c>
      <c r="AY83" s="50">
        <f>SUM(AY80:AY82)</f>
        <v>66184</v>
      </c>
      <c r="AZ83" s="91" t="e">
        <f t="shared" si="178"/>
        <v>#DIV/0!</v>
      </c>
      <c r="BA83" s="79">
        <f t="shared" si="179"/>
        <v>3.1678666161425451E-3</v>
      </c>
      <c r="BB83" s="48">
        <f>SUM(BB80:BB82)</f>
        <v>97330</v>
      </c>
      <c r="BC83" s="50">
        <f>SUM(BC80:BC82)</f>
        <v>0</v>
      </c>
      <c r="BD83" s="50">
        <f>SUM(BD80:BD82)</f>
        <v>71264</v>
      </c>
      <c r="BE83" s="91" t="e">
        <f t="shared" si="180"/>
        <v>#DIV/0!</v>
      </c>
      <c r="BF83" s="49">
        <f t="shared" si="181"/>
        <v>-0.2678105414568992</v>
      </c>
      <c r="BG83" s="55">
        <f>SUM(BG80:BG82)</f>
        <v>99414</v>
      </c>
      <c r="BH83" s="50">
        <f>SUM(BH80:BH82)</f>
        <v>0</v>
      </c>
      <c r="BI83" s="50">
        <f>SUM(BI80:BI82)</f>
        <v>75576</v>
      </c>
      <c r="BJ83" s="91" t="e">
        <f t="shared" si="182"/>
        <v>#DIV/0!</v>
      </c>
      <c r="BK83" s="79">
        <f t="shared" si="183"/>
        <v>-0.23978514092582537</v>
      </c>
      <c r="BL83" s="48">
        <f>SUM(BL80:BL82)</f>
        <v>131778</v>
      </c>
      <c r="BM83" s="50">
        <f>SUM(BM80:BM82)</f>
        <v>0</v>
      </c>
      <c r="BN83" s="50">
        <f>SUM(BN80:BN82)</f>
        <v>117832</v>
      </c>
      <c r="BO83" s="91" t="e">
        <f t="shared" si="184"/>
        <v>#DIV/0!</v>
      </c>
      <c r="BP83" s="49">
        <f t="shared" si="185"/>
        <v>-0.10582950113068945</v>
      </c>
      <c r="BQ83" s="55">
        <f>SUM(BQ80:BQ82)</f>
        <v>91505</v>
      </c>
      <c r="BR83" s="50">
        <f>SUM(BR80:BR82)</f>
        <v>0</v>
      </c>
      <c r="BS83" s="50">
        <f>SUM(BS80:BS82)</f>
        <v>83054</v>
      </c>
      <c r="BT83" s="91" t="e">
        <f t="shared" si="186"/>
        <v>#DIV/0!</v>
      </c>
      <c r="BU83" s="49">
        <f t="shared" si="187"/>
        <v>-9.2355608983115678E-2</v>
      </c>
    </row>
    <row r="84" spans="2:73" x14ac:dyDescent="0.3">
      <c r="B84" s="380"/>
      <c r="C84" s="405"/>
      <c r="D84" s="312" t="s">
        <v>54</v>
      </c>
      <c r="E84" s="67" t="s">
        <v>22</v>
      </c>
      <c r="F84" s="45">
        <v>255674</v>
      </c>
      <c r="G84" s="39">
        <v>265892</v>
      </c>
      <c r="H84" s="33">
        <f t="shared" si="161"/>
        <v>3.9964955372857602E-2</v>
      </c>
      <c r="I84" s="107">
        <f t="shared" ref="I84:I87" si="195">N84+S84+X84+AC84+AH84+AM84+AR84+AW84+BB84+BG84+BL84+BQ84</f>
        <v>255674</v>
      </c>
      <c r="J84" s="87">
        <f t="shared" ref="J84:J87" si="196">O84+T84+Y84+AD84+AI84+AN84+AS84+AX84+BC84+BH84+BM84+BR84</f>
        <v>0</v>
      </c>
      <c r="K84" s="87">
        <f t="shared" ref="K84:K87" si="197">P84+U84+Z84+AE84+AJ84+AO84+AT84+AY84+BD84+BI84+BN84+BS84</f>
        <v>294977</v>
      </c>
      <c r="L84" s="88" t="e">
        <f t="shared" si="162"/>
        <v>#DIV/0!</v>
      </c>
      <c r="M84" s="15">
        <f t="shared" si="163"/>
        <v>0.15372310051080662</v>
      </c>
      <c r="N84" s="13">
        <v>13456</v>
      </c>
      <c r="O84" s="39"/>
      <c r="P84" s="39">
        <v>19273</v>
      </c>
      <c r="Q84" s="88" t="e">
        <f t="shared" si="193"/>
        <v>#DIV/0!</v>
      </c>
      <c r="R84" s="15">
        <f t="shared" si="194"/>
        <v>0.43229785969084422</v>
      </c>
      <c r="S84" s="45">
        <v>13406</v>
      </c>
      <c r="T84" s="39"/>
      <c r="U84" s="39">
        <v>32026</v>
      </c>
      <c r="V84" s="88" t="e">
        <f t="shared" si="166"/>
        <v>#DIV/0!</v>
      </c>
      <c r="W84" s="33">
        <f t="shared" si="167"/>
        <v>1.3889303297031179</v>
      </c>
      <c r="X84" s="13">
        <v>19872</v>
      </c>
      <c r="Y84" s="39"/>
      <c r="Z84" s="39">
        <v>19043</v>
      </c>
      <c r="AA84" s="88" t="e">
        <f t="shared" si="168"/>
        <v>#DIV/0!</v>
      </c>
      <c r="AB84" s="15">
        <f t="shared" si="169"/>
        <v>-4.171698872785834E-2</v>
      </c>
      <c r="AC84" s="45">
        <v>28255</v>
      </c>
      <c r="AD84" s="39"/>
      <c r="AE84" s="39">
        <v>20732</v>
      </c>
      <c r="AF84" s="88" t="e">
        <f t="shared" si="170"/>
        <v>#DIV/0!</v>
      </c>
      <c r="AG84" s="33">
        <f t="shared" si="171"/>
        <v>-0.26625376039639004</v>
      </c>
      <c r="AH84" s="13">
        <v>18478</v>
      </c>
      <c r="AI84" s="39"/>
      <c r="AJ84" s="39">
        <v>23468</v>
      </c>
      <c r="AK84" s="88" t="e">
        <f t="shared" si="172"/>
        <v>#DIV/0!</v>
      </c>
      <c r="AL84" s="15">
        <f t="shared" si="173"/>
        <v>0.27005087130641847</v>
      </c>
      <c r="AM84" s="45">
        <v>22304</v>
      </c>
      <c r="AN84" s="39"/>
      <c r="AO84" s="39">
        <v>24188</v>
      </c>
      <c r="AP84" s="88" t="e">
        <f t="shared" si="174"/>
        <v>#DIV/0!</v>
      </c>
      <c r="AQ84" s="33">
        <f t="shared" si="175"/>
        <v>8.4469153515064566E-2</v>
      </c>
      <c r="AR84" s="13">
        <v>25024</v>
      </c>
      <c r="AS84" s="39"/>
      <c r="AT84" s="39">
        <v>22316</v>
      </c>
      <c r="AU84" s="88" t="e">
        <f t="shared" si="176"/>
        <v>#DIV/0!</v>
      </c>
      <c r="AV84" s="15">
        <f t="shared" si="177"/>
        <v>-0.10821611253196928</v>
      </c>
      <c r="AW84" s="45">
        <v>24412</v>
      </c>
      <c r="AX84" s="39"/>
      <c r="AY84" s="39">
        <v>25544</v>
      </c>
      <c r="AZ84" s="88" t="e">
        <f t="shared" si="178"/>
        <v>#DIV/0!</v>
      </c>
      <c r="BA84" s="33">
        <f t="shared" si="179"/>
        <v>4.6370637391446756E-2</v>
      </c>
      <c r="BB84" s="13">
        <v>19277</v>
      </c>
      <c r="BC84" s="39"/>
      <c r="BD84" s="39">
        <v>24514</v>
      </c>
      <c r="BE84" s="88" t="e">
        <f t="shared" si="180"/>
        <v>#DIV/0!</v>
      </c>
      <c r="BF84" s="15">
        <f t="shared" si="181"/>
        <v>0.27167090314883025</v>
      </c>
      <c r="BG84" s="45">
        <v>22102</v>
      </c>
      <c r="BH84" s="39"/>
      <c r="BI84" s="39">
        <v>27828</v>
      </c>
      <c r="BJ84" s="88" t="e">
        <f t="shared" si="182"/>
        <v>#DIV/0!</v>
      </c>
      <c r="BK84" s="33">
        <f t="shared" si="183"/>
        <v>0.25907157723282959</v>
      </c>
      <c r="BL84" s="13">
        <v>19326</v>
      </c>
      <c r="BM84" s="39"/>
      <c r="BN84" s="39">
        <v>30920</v>
      </c>
      <c r="BO84" s="88" t="e">
        <f t="shared" si="184"/>
        <v>#DIV/0!</v>
      </c>
      <c r="BP84" s="15">
        <f t="shared" si="185"/>
        <v>0.5999172099761978</v>
      </c>
      <c r="BQ84" s="45">
        <v>29762</v>
      </c>
      <c r="BR84" s="39"/>
      <c r="BS84" s="39">
        <v>25125</v>
      </c>
      <c r="BT84" s="88" t="e">
        <f t="shared" si="186"/>
        <v>#DIV/0!</v>
      </c>
      <c r="BU84" s="15">
        <f t="shared" si="187"/>
        <v>-0.15580270143135544</v>
      </c>
    </row>
    <row r="85" spans="2:73" x14ac:dyDescent="0.3">
      <c r="B85" s="380"/>
      <c r="C85" s="405"/>
      <c r="D85" s="312"/>
      <c r="E85" s="67" t="s">
        <v>23</v>
      </c>
      <c r="F85" s="45">
        <v>583012</v>
      </c>
      <c r="G85" s="39">
        <v>554782</v>
      </c>
      <c r="H85" s="33">
        <f t="shared" si="161"/>
        <v>-4.8420958745274523E-2</v>
      </c>
      <c r="I85" s="107">
        <f t="shared" si="195"/>
        <v>583012</v>
      </c>
      <c r="J85" s="87">
        <f t="shared" si="196"/>
        <v>0</v>
      </c>
      <c r="K85" s="87">
        <f t="shared" si="197"/>
        <v>611068</v>
      </c>
      <c r="L85" s="88" t="e">
        <f t="shared" si="162"/>
        <v>#DIV/0!</v>
      </c>
      <c r="M85" s="15">
        <f t="shared" si="163"/>
        <v>4.8122508627609806E-2</v>
      </c>
      <c r="N85" s="13">
        <v>46717</v>
      </c>
      <c r="O85" s="39"/>
      <c r="P85" s="39">
        <v>50990</v>
      </c>
      <c r="Q85" s="88" t="e">
        <f t="shared" si="193"/>
        <v>#DIV/0!</v>
      </c>
      <c r="R85" s="15">
        <f t="shared" si="194"/>
        <v>9.1465633495301457E-2</v>
      </c>
      <c r="S85" s="45">
        <v>37474</v>
      </c>
      <c r="T85" s="39"/>
      <c r="U85" s="39">
        <v>45016</v>
      </c>
      <c r="V85" s="88" t="e">
        <f t="shared" si="166"/>
        <v>#DIV/0!</v>
      </c>
      <c r="W85" s="33">
        <f t="shared" si="167"/>
        <v>0.20125953994769707</v>
      </c>
      <c r="X85" s="13">
        <v>53427</v>
      </c>
      <c r="Y85" s="39"/>
      <c r="Z85" s="39">
        <v>75300</v>
      </c>
      <c r="AA85" s="88" t="e">
        <f t="shared" si="168"/>
        <v>#DIV/0!</v>
      </c>
      <c r="AB85" s="15">
        <f t="shared" si="169"/>
        <v>0.40939974170363302</v>
      </c>
      <c r="AC85" s="45">
        <v>65838</v>
      </c>
      <c r="AD85" s="39"/>
      <c r="AE85" s="39">
        <v>37975</v>
      </c>
      <c r="AF85" s="88" t="e">
        <f t="shared" si="170"/>
        <v>#DIV/0!</v>
      </c>
      <c r="AG85" s="33">
        <f t="shared" si="171"/>
        <v>-0.42320544366475288</v>
      </c>
      <c r="AH85" s="13">
        <v>119602</v>
      </c>
      <c r="AI85" s="39"/>
      <c r="AJ85" s="39">
        <v>44598</v>
      </c>
      <c r="AK85" s="88" t="e">
        <f t="shared" si="172"/>
        <v>#DIV/0!</v>
      </c>
      <c r="AL85" s="15">
        <f t="shared" si="173"/>
        <v>-0.62711325897560244</v>
      </c>
      <c r="AM85" s="45">
        <v>29144</v>
      </c>
      <c r="AN85" s="39"/>
      <c r="AO85" s="39">
        <v>50986</v>
      </c>
      <c r="AP85" s="88" t="e">
        <f t="shared" si="174"/>
        <v>#DIV/0!</v>
      </c>
      <c r="AQ85" s="33">
        <f t="shared" si="175"/>
        <v>0.74945100192149328</v>
      </c>
      <c r="AR85" s="13">
        <v>25040</v>
      </c>
      <c r="AS85" s="39"/>
      <c r="AT85" s="39">
        <v>48452</v>
      </c>
      <c r="AU85" s="88" t="e">
        <f t="shared" si="176"/>
        <v>#DIV/0!</v>
      </c>
      <c r="AV85" s="15">
        <f t="shared" si="177"/>
        <v>0.93498402555910554</v>
      </c>
      <c r="AW85" s="45">
        <v>29302</v>
      </c>
      <c r="AX85" s="39"/>
      <c r="AY85" s="39">
        <v>45980</v>
      </c>
      <c r="AZ85" s="88" t="e">
        <f t="shared" si="178"/>
        <v>#DIV/0!</v>
      </c>
      <c r="BA85" s="33">
        <f t="shared" si="179"/>
        <v>0.56917616544945737</v>
      </c>
      <c r="BB85" s="13">
        <v>32685</v>
      </c>
      <c r="BC85" s="39"/>
      <c r="BD85" s="39">
        <v>47436</v>
      </c>
      <c r="BE85" s="88" t="e">
        <f t="shared" si="180"/>
        <v>#DIV/0!</v>
      </c>
      <c r="BF85" s="15">
        <f t="shared" si="181"/>
        <v>0.45130793942175318</v>
      </c>
      <c r="BG85" s="45">
        <v>41336</v>
      </c>
      <c r="BH85" s="39"/>
      <c r="BI85" s="39">
        <v>54452</v>
      </c>
      <c r="BJ85" s="88" t="e">
        <f t="shared" si="182"/>
        <v>#DIV/0!</v>
      </c>
      <c r="BK85" s="33">
        <f t="shared" si="183"/>
        <v>0.31730210954131999</v>
      </c>
      <c r="BL85" s="13">
        <v>55946</v>
      </c>
      <c r="BM85" s="39"/>
      <c r="BN85" s="39">
        <v>64781</v>
      </c>
      <c r="BO85" s="88" t="e">
        <f t="shared" si="184"/>
        <v>#DIV/0!</v>
      </c>
      <c r="BP85" s="15">
        <f t="shared" si="185"/>
        <v>0.15792013727522969</v>
      </c>
      <c r="BQ85" s="45">
        <v>46501</v>
      </c>
      <c r="BR85" s="39"/>
      <c r="BS85" s="39">
        <v>45102</v>
      </c>
      <c r="BT85" s="88" t="e">
        <f t="shared" si="186"/>
        <v>#DIV/0!</v>
      </c>
      <c r="BU85" s="15">
        <f t="shared" si="187"/>
        <v>-3.0085374508075136E-2</v>
      </c>
    </row>
    <row r="86" spans="2:73" x14ac:dyDescent="0.3">
      <c r="B86" s="380"/>
      <c r="C86" s="405"/>
      <c r="D86" s="312"/>
      <c r="E86" s="67" t="s">
        <v>24</v>
      </c>
      <c r="F86" s="45">
        <v>255841</v>
      </c>
      <c r="G86" s="39">
        <v>316827</v>
      </c>
      <c r="H86" s="33">
        <f t="shared" si="161"/>
        <v>0.23837461548383576</v>
      </c>
      <c r="I86" s="107">
        <f t="shared" si="195"/>
        <v>255841</v>
      </c>
      <c r="J86" s="87">
        <f t="shared" si="196"/>
        <v>0</v>
      </c>
      <c r="K86" s="87">
        <f t="shared" si="197"/>
        <v>231456</v>
      </c>
      <c r="L86" s="88" t="e">
        <f t="shared" si="162"/>
        <v>#DIV/0!</v>
      </c>
      <c r="M86" s="15">
        <f t="shared" si="163"/>
        <v>-9.5313104623574785E-2</v>
      </c>
      <c r="N86" s="13">
        <v>21906</v>
      </c>
      <c r="O86" s="39"/>
      <c r="P86" s="39">
        <v>19114</v>
      </c>
      <c r="Q86" s="88" t="e">
        <f t="shared" si="193"/>
        <v>#DIV/0!</v>
      </c>
      <c r="R86" s="15">
        <f t="shared" si="194"/>
        <v>-0.12745366566237559</v>
      </c>
      <c r="S86" s="45">
        <v>17822</v>
      </c>
      <c r="T86" s="39"/>
      <c r="U86" s="39">
        <v>23518</v>
      </c>
      <c r="V86" s="88" t="e">
        <f t="shared" si="166"/>
        <v>#DIV/0!</v>
      </c>
      <c r="W86" s="33">
        <f t="shared" si="167"/>
        <v>0.31960498260576808</v>
      </c>
      <c r="X86" s="13">
        <v>29316</v>
      </c>
      <c r="Y86" s="39"/>
      <c r="Z86" s="39">
        <v>18054</v>
      </c>
      <c r="AA86" s="88" t="e">
        <f t="shared" si="168"/>
        <v>#DIV/0!</v>
      </c>
      <c r="AB86" s="15">
        <f t="shared" si="169"/>
        <v>-0.38415882112157185</v>
      </c>
      <c r="AC86" s="45">
        <v>41791</v>
      </c>
      <c r="AD86" s="39"/>
      <c r="AE86" s="39">
        <v>15328</v>
      </c>
      <c r="AF86" s="88" t="e">
        <f t="shared" si="170"/>
        <v>#DIV/0!</v>
      </c>
      <c r="AG86" s="33">
        <f t="shared" si="171"/>
        <v>-0.63322246416692596</v>
      </c>
      <c r="AH86" s="13">
        <v>18291</v>
      </c>
      <c r="AI86" s="39"/>
      <c r="AJ86" s="39">
        <v>17800</v>
      </c>
      <c r="AK86" s="88" t="e">
        <f t="shared" si="172"/>
        <v>#DIV/0!</v>
      </c>
      <c r="AL86" s="15">
        <f t="shared" si="173"/>
        <v>-2.6843802963205987E-2</v>
      </c>
      <c r="AM86" s="45">
        <v>15616</v>
      </c>
      <c r="AN86" s="39"/>
      <c r="AO86" s="39">
        <v>20036</v>
      </c>
      <c r="AP86" s="88" t="e">
        <f t="shared" si="174"/>
        <v>#DIV/0!</v>
      </c>
      <c r="AQ86" s="33">
        <f t="shared" si="175"/>
        <v>0.28304303278688514</v>
      </c>
      <c r="AR86" s="13">
        <v>15627</v>
      </c>
      <c r="AS86" s="39"/>
      <c r="AT86" s="39">
        <v>19118</v>
      </c>
      <c r="AU86" s="88" t="e">
        <f t="shared" si="176"/>
        <v>#DIV/0!</v>
      </c>
      <c r="AV86" s="15">
        <f t="shared" si="177"/>
        <v>0.22339540538811042</v>
      </c>
      <c r="AW86" s="45">
        <v>17292</v>
      </c>
      <c r="AX86" s="39"/>
      <c r="AY86" s="39">
        <v>17860</v>
      </c>
      <c r="AZ86" s="88" t="e">
        <f t="shared" si="178"/>
        <v>#DIV/0!</v>
      </c>
      <c r="BA86" s="33">
        <f t="shared" si="179"/>
        <v>3.2847559565116757E-2</v>
      </c>
      <c r="BB86" s="13">
        <v>19092</v>
      </c>
      <c r="BC86" s="39"/>
      <c r="BD86" s="39">
        <v>17672</v>
      </c>
      <c r="BE86" s="88" t="e">
        <f t="shared" si="180"/>
        <v>#DIV/0!</v>
      </c>
      <c r="BF86" s="15">
        <f t="shared" si="181"/>
        <v>-7.4376702283678986E-2</v>
      </c>
      <c r="BG86" s="45">
        <v>18636</v>
      </c>
      <c r="BH86" s="39"/>
      <c r="BI86" s="39">
        <v>21934</v>
      </c>
      <c r="BJ86" s="88" t="e">
        <f t="shared" si="182"/>
        <v>#DIV/0!</v>
      </c>
      <c r="BK86" s="33">
        <f t="shared" si="183"/>
        <v>0.1769693067181799</v>
      </c>
      <c r="BL86" s="13">
        <v>20534</v>
      </c>
      <c r="BM86" s="39"/>
      <c r="BN86" s="39">
        <v>23514</v>
      </c>
      <c r="BO86" s="88" t="e">
        <f t="shared" si="184"/>
        <v>#DIV/0!</v>
      </c>
      <c r="BP86" s="15">
        <f t="shared" si="185"/>
        <v>0.14512515827408201</v>
      </c>
      <c r="BQ86" s="45">
        <v>19918</v>
      </c>
      <c r="BR86" s="39"/>
      <c r="BS86" s="39">
        <v>17508</v>
      </c>
      <c r="BT86" s="88" t="e">
        <f t="shared" si="186"/>
        <v>#DIV/0!</v>
      </c>
      <c r="BU86" s="15">
        <f t="shared" si="187"/>
        <v>-0.12099608394417105</v>
      </c>
    </row>
    <row r="87" spans="2:73" x14ac:dyDescent="0.3">
      <c r="B87" s="380"/>
      <c r="C87" s="405"/>
      <c r="D87" s="312"/>
      <c r="E87" s="67" t="s">
        <v>27</v>
      </c>
      <c r="F87" s="45">
        <v>621242</v>
      </c>
      <c r="G87" s="39">
        <v>666952</v>
      </c>
      <c r="H87" s="33">
        <f t="shared" si="161"/>
        <v>7.3578412277341299E-2</v>
      </c>
      <c r="I87" s="107">
        <f t="shared" si="195"/>
        <v>621242</v>
      </c>
      <c r="J87" s="87">
        <f t="shared" si="196"/>
        <v>0</v>
      </c>
      <c r="K87" s="87">
        <f t="shared" si="197"/>
        <v>666952</v>
      </c>
      <c r="L87" s="88" t="e">
        <f t="shared" si="162"/>
        <v>#DIV/0!</v>
      </c>
      <c r="M87" s="15">
        <f t="shared" si="163"/>
        <v>7.3578412277341299E-2</v>
      </c>
      <c r="N87" s="13">
        <v>52045</v>
      </c>
      <c r="O87" s="39"/>
      <c r="P87" s="39">
        <v>69905</v>
      </c>
      <c r="Q87" s="88" t="e">
        <f t="shared" si="193"/>
        <v>#DIV/0!</v>
      </c>
      <c r="R87" s="15">
        <f t="shared" si="194"/>
        <v>0.34316456912287441</v>
      </c>
      <c r="S87" s="45">
        <v>59846</v>
      </c>
      <c r="T87" s="39"/>
      <c r="U87" s="39">
        <v>38673</v>
      </c>
      <c r="V87" s="88" t="e">
        <f t="shared" si="166"/>
        <v>#DIV/0!</v>
      </c>
      <c r="W87" s="33">
        <f t="shared" si="167"/>
        <v>-0.35379139792133141</v>
      </c>
      <c r="X87" s="13">
        <v>96432</v>
      </c>
      <c r="Y87" s="39"/>
      <c r="Z87" s="39">
        <v>51187</v>
      </c>
      <c r="AA87" s="88" t="e">
        <f t="shared" si="168"/>
        <v>#DIV/0!</v>
      </c>
      <c r="AB87" s="15">
        <f t="shared" si="169"/>
        <v>-0.46919072507051596</v>
      </c>
      <c r="AC87" s="45">
        <v>63557</v>
      </c>
      <c r="AD87" s="39"/>
      <c r="AE87" s="39">
        <v>43489</v>
      </c>
      <c r="AF87" s="88" t="e">
        <f t="shared" si="170"/>
        <v>#DIV/0!</v>
      </c>
      <c r="AG87" s="33">
        <f t="shared" si="171"/>
        <v>-0.31574806866277516</v>
      </c>
      <c r="AH87" s="13">
        <v>76455</v>
      </c>
      <c r="AI87" s="39"/>
      <c r="AJ87" s="39">
        <v>48780</v>
      </c>
      <c r="AK87" s="88" t="e">
        <f t="shared" si="172"/>
        <v>#DIV/0!</v>
      </c>
      <c r="AL87" s="15">
        <f t="shared" si="173"/>
        <v>-0.36197763390229543</v>
      </c>
      <c r="AM87" s="45">
        <v>28158</v>
      </c>
      <c r="AN87" s="39"/>
      <c r="AO87" s="39">
        <v>54835</v>
      </c>
      <c r="AP87" s="88" t="e">
        <f t="shared" si="174"/>
        <v>#DIV/0!</v>
      </c>
      <c r="AQ87" s="33">
        <f t="shared" si="175"/>
        <v>0.94740393493856101</v>
      </c>
      <c r="AR87" s="13">
        <v>17348</v>
      </c>
      <c r="AS87" s="39"/>
      <c r="AT87" s="39">
        <v>44913</v>
      </c>
      <c r="AU87" s="88" t="e">
        <f t="shared" si="176"/>
        <v>#DIV/0!</v>
      </c>
      <c r="AV87" s="15">
        <f t="shared" si="177"/>
        <v>1.5889439704865116</v>
      </c>
      <c r="AW87" s="45">
        <v>44873</v>
      </c>
      <c r="AX87" s="39"/>
      <c r="AY87" s="39">
        <v>59304</v>
      </c>
      <c r="AZ87" s="88" t="e">
        <f t="shared" si="178"/>
        <v>#DIV/0!</v>
      </c>
      <c r="BA87" s="33">
        <f t="shared" si="179"/>
        <v>0.32159650569384701</v>
      </c>
      <c r="BB87" s="13">
        <v>32150</v>
      </c>
      <c r="BC87" s="39"/>
      <c r="BD87" s="39">
        <v>51388</v>
      </c>
      <c r="BE87" s="88" t="e">
        <f t="shared" si="180"/>
        <v>#DIV/0!</v>
      </c>
      <c r="BF87" s="15">
        <f t="shared" si="181"/>
        <v>0.59838258164852265</v>
      </c>
      <c r="BG87" s="45">
        <v>48497</v>
      </c>
      <c r="BH87" s="39"/>
      <c r="BI87" s="39">
        <v>89119</v>
      </c>
      <c r="BJ87" s="88" t="e">
        <f t="shared" si="182"/>
        <v>#DIV/0!</v>
      </c>
      <c r="BK87" s="33">
        <f t="shared" si="183"/>
        <v>0.83761882178279068</v>
      </c>
      <c r="BL87" s="13">
        <v>54079</v>
      </c>
      <c r="BM87" s="39"/>
      <c r="BN87" s="39">
        <v>54183</v>
      </c>
      <c r="BO87" s="88" t="e">
        <f t="shared" si="184"/>
        <v>#DIV/0!</v>
      </c>
      <c r="BP87" s="15">
        <f t="shared" si="185"/>
        <v>1.9231124835887847E-3</v>
      </c>
      <c r="BQ87" s="45">
        <v>47802</v>
      </c>
      <c r="BR87" s="39"/>
      <c r="BS87" s="39">
        <v>61176</v>
      </c>
      <c r="BT87" s="88" t="e">
        <f t="shared" si="186"/>
        <v>#DIV/0!</v>
      </c>
      <c r="BU87" s="15">
        <f t="shared" si="187"/>
        <v>0.27977908874105695</v>
      </c>
    </row>
    <row r="88" spans="2:73" x14ac:dyDescent="0.3">
      <c r="B88" s="380"/>
      <c r="C88" s="405"/>
      <c r="D88" s="312"/>
      <c r="E88" s="101" t="s">
        <v>53</v>
      </c>
      <c r="F88" s="55">
        <f>SUM(F84:F87)</f>
        <v>1715769</v>
      </c>
      <c r="G88" s="50">
        <f>SUM(G84:G87)</f>
        <v>1804453</v>
      </c>
      <c r="H88" s="79">
        <f t="shared" si="161"/>
        <v>5.1687610628237346E-2</v>
      </c>
      <c r="I88" s="48">
        <f t="shared" ref="I88:K88" si="198">SUM(I84:I87)</f>
        <v>1715769</v>
      </c>
      <c r="J88" s="50">
        <f t="shared" si="198"/>
        <v>0</v>
      </c>
      <c r="K88" s="50">
        <f t="shared" si="198"/>
        <v>1804453</v>
      </c>
      <c r="L88" s="91" t="e">
        <f t="shared" si="162"/>
        <v>#DIV/0!</v>
      </c>
      <c r="M88" s="49">
        <f t="shared" si="163"/>
        <v>5.1687610628237346E-2</v>
      </c>
      <c r="N88" s="48">
        <f t="shared" ref="N88:P88" si="199">SUM(N84:N87)</f>
        <v>134124</v>
      </c>
      <c r="O88" s="50">
        <f t="shared" si="199"/>
        <v>0</v>
      </c>
      <c r="P88" s="50">
        <f t="shared" si="199"/>
        <v>159282</v>
      </c>
      <c r="Q88" s="91" t="e">
        <f t="shared" si="193"/>
        <v>#DIV/0!</v>
      </c>
      <c r="R88" s="49">
        <f t="shared" si="194"/>
        <v>0.18757269392502463</v>
      </c>
      <c r="S88" s="55">
        <f>SUM(S84:S87)</f>
        <v>128548</v>
      </c>
      <c r="T88" s="50">
        <f>SUM(T84:T87)</f>
        <v>0</v>
      </c>
      <c r="U88" s="50">
        <f>SUM(U84:U87)</f>
        <v>139233</v>
      </c>
      <c r="V88" s="91" t="e">
        <f t="shared" si="166"/>
        <v>#DIV/0!</v>
      </c>
      <c r="W88" s="79">
        <f t="shared" si="167"/>
        <v>8.3120701994585655E-2</v>
      </c>
      <c r="X88" s="48">
        <f>SUM(X84:X87)</f>
        <v>199047</v>
      </c>
      <c r="Y88" s="50">
        <f>SUM(Y84:Y87)</f>
        <v>0</v>
      </c>
      <c r="Z88" s="50">
        <f>SUM(Z84:Z87)</f>
        <v>163584</v>
      </c>
      <c r="AA88" s="91" t="e">
        <f t="shared" si="168"/>
        <v>#DIV/0!</v>
      </c>
      <c r="AB88" s="49">
        <f t="shared" si="169"/>
        <v>-0.17816395122759954</v>
      </c>
      <c r="AC88" s="55">
        <f>SUM(AC84:AC87)</f>
        <v>199441</v>
      </c>
      <c r="AD88" s="50">
        <f>SUM(AD84:AD87)</f>
        <v>0</v>
      </c>
      <c r="AE88" s="50">
        <f>SUM(AE84:AE87)</f>
        <v>117524</v>
      </c>
      <c r="AF88" s="91" t="e">
        <f t="shared" si="170"/>
        <v>#DIV/0!</v>
      </c>
      <c r="AG88" s="79">
        <f t="shared" si="171"/>
        <v>-0.41073299873145441</v>
      </c>
      <c r="AH88" s="48">
        <f>SUM(AH84:AH87)</f>
        <v>232826</v>
      </c>
      <c r="AI88" s="50">
        <f>SUM(AI84:AI87)</f>
        <v>0</v>
      </c>
      <c r="AJ88" s="50">
        <f>SUM(AJ84:AJ87)</f>
        <v>134646</v>
      </c>
      <c r="AK88" s="91" t="e">
        <f t="shared" si="172"/>
        <v>#DIV/0!</v>
      </c>
      <c r="AL88" s="49">
        <f t="shared" si="173"/>
        <v>-0.4216882994167318</v>
      </c>
      <c r="AM88" s="55">
        <f>SUM(AM84:AM87)</f>
        <v>95222</v>
      </c>
      <c r="AN88" s="50">
        <f>SUM(AN84:AN87)</f>
        <v>0</v>
      </c>
      <c r="AO88" s="50">
        <f>SUM(AO84:AO87)</f>
        <v>150045</v>
      </c>
      <c r="AP88" s="91" t="e">
        <f t="shared" si="174"/>
        <v>#DIV/0!</v>
      </c>
      <c r="AQ88" s="79">
        <f t="shared" si="175"/>
        <v>0.57573879985717591</v>
      </c>
      <c r="AR88" s="48">
        <f>SUM(AR84:AR87)</f>
        <v>83039</v>
      </c>
      <c r="AS88" s="50">
        <f>SUM(AS84:AS87)</f>
        <v>0</v>
      </c>
      <c r="AT88" s="50">
        <f>SUM(AT84:AT87)</f>
        <v>134799</v>
      </c>
      <c r="AU88" s="91" t="e">
        <f t="shared" si="176"/>
        <v>#DIV/0!</v>
      </c>
      <c r="AV88" s="49">
        <f t="shared" si="177"/>
        <v>0.62332157179156789</v>
      </c>
      <c r="AW88" s="55">
        <f>SUM(AW84:AW87)</f>
        <v>115879</v>
      </c>
      <c r="AX88" s="50">
        <f>SUM(AX84:AX87)</f>
        <v>0</v>
      </c>
      <c r="AY88" s="50">
        <f>SUM(AY84:AY87)</f>
        <v>148688</v>
      </c>
      <c r="AZ88" s="91" t="e">
        <f>AY88/AX88-1</f>
        <v>#DIV/0!</v>
      </c>
      <c r="BA88" s="79">
        <f t="shared" si="179"/>
        <v>0.28313154238472893</v>
      </c>
      <c r="BB88" s="48">
        <f>SUM(BB84:BB87)</f>
        <v>103204</v>
      </c>
      <c r="BC88" s="50">
        <f>SUM(BC84:BC87)</f>
        <v>0</v>
      </c>
      <c r="BD88" s="50">
        <f>SUM(BD84:BD87)</f>
        <v>141010</v>
      </c>
      <c r="BE88" s="91" t="e">
        <f t="shared" si="180"/>
        <v>#DIV/0!</v>
      </c>
      <c r="BF88" s="49">
        <f t="shared" si="181"/>
        <v>0.36632301073601803</v>
      </c>
      <c r="BG88" s="55">
        <f>SUM(BG84:BG87)</f>
        <v>130571</v>
      </c>
      <c r="BH88" s="50">
        <f>SUM(BH84:BH87)</f>
        <v>0</v>
      </c>
      <c r="BI88" s="50">
        <f>SUM(BI84:BI87)</f>
        <v>193333</v>
      </c>
      <c r="BJ88" s="91" t="e">
        <f t="shared" si="182"/>
        <v>#DIV/0!</v>
      </c>
      <c r="BK88" s="79">
        <f t="shared" si="183"/>
        <v>0.48067335013134627</v>
      </c>
      <c r="BL88" s="48">
        <f>SUM(BL84:BL87)</f>
        <v>149885</v>
      </c>
      <c r="BM88" s="50">
        <f>SUM(BM84:BM87)</f>
        <v>0</v>
      </c>
      <c r="BN88" s="50">
        <f>SUM(BN84:BN87)</f>
        <v>173398</v>
      </c>
      <c r="BO88" s="91" t="e">
        <f t="shared" si="184"/>
        <v>#DIV/0!</v>
      </c>
      <c r="BP88" s="49">
        <f t="shared" si="185"/>
        <v>0.15687360309570675</v>
      </c>
      <c r="BQ88" s="55">
        <f>SUM(BQ84:BQ87)</f>
        <v>143983</v>
      </c>
      <c r="BR88" s="50">
        <f>SUM(BR84:BR87)</f>
        <v>0</v>
      </c>
      <c r="BS88" s="50">
        <f>SUM(BS84:BS87)</f>
        <v>148911</v>
      </c>
      <c r="BT88" s="91" t="e">
        <f t="shared" si="186"/>
        <v>#DIV/0!</v>
      </c>
      <c r="BU88" s="49">
        <f t="shared" si="187"/>
        <v>3.4226262822694364E-2</v>
      </c>
    </row>
    <row r="89" spans="2:73" x14ac:dyDescent="0.3">
      <c r="B89" s="380"/>
      <c r="C89" s="405"/>
      <c r="D89" s="312" t="s">
        <v>55</v>
      </c>
      <c r="E89" s="67" t="s">
        <v>25</v>
      </c>
      <c r="F89" s="45">
        <v>492921</v>
      </c>
      <c r="G89" s="39">
        <v>567346</v>
      </c>
      <c r="H89" s="33">
        <f t="shared" si="161"/>
        <v>0.15098768362475945</v>
      </c>
      <c r="I89" s="107">
        <f t="shared" ref="I89:I90" si="200">N89+S89+X89+AC89+AH89+AM89+AR89+AW89+BB89+BG89+BL89+BQ89</f>
        <v>492921</v>
      </c>
      <c r="J89" s="87">
        <f t="shared" ref="J89:J90" si="201">O89+T89+Y89+AD89+AI89+AN89+AS89+AX89+BC89+BH89+BM89+BR89</f>
        <v>0</v>
      </c>
      <c r="K89" s="87">
        <f t="shared" ref="K89:K90" si="202">P89+U89+Z89+AE89+AJ89+AO89+AT89+AY89+BD89+BI89+BN89+BS89</f>
        <v>567346</v>
      </c>
      <c r="L89" s="88" t="e">
        <f t="shared" si="162"/>
        <v>#DIV/0!</v>
      </c>
      <c r="M89" s="15">
        <f t="shared" si="163"/>
        <v>0.15098768362475945</v>
      </c>
      <c r="N89" s="13">
        <v>39582</v>
      </c>
      <c r="O89" s="39"/>
      <c r="P89" s="39">
        <v>34826</v>
      </c>
      <c r="Q89" s="88" t="e">
        <f t="shared" si="193"/>
        <v>#DIV/0!</v>
      </c>
      <c r="R89" s="15">
        <f t="shared" si="194"/>
        <v>-0.12015562629478049</v>
      </c>
      <c r="S89" s="45">
        <v>36022</v>
      </c>
      <c r="T89" s="39"/>
      <c r="U89" s="39">
        <v>64908</v>
      </c>
      <c r="V89" s="88" t="e">
        <f t="shared" si="166"/>
        <v>#DIV/0!</v>
      </c>
      <c r="W89" s="33">
        <f t="shared" si="167"/>
        <v>0.80189883959802333</v>
      </c>
      <c r="X89" s="13">
        <v>38950</v>
      </c>
      <c r="Y89" s="39"/>
      <c r="Z89" s="39">
        <v>35386</v>
      </c>
      <c r="AA89" s="88" t="e">
        <f t="shared" si="168"/>
        <v>#DIV/0!</v>
      </c>
      <c r="AB89" s="15">
        <f t="shared" si="169"/>
        <v>-9.1501925545571239E-2</v>
      </c>
      <c r="AC89" s="45">
        <v>78124</v>
      </c>
      <c r="AD89" s="39"/>
      <c r="AE89" s="39">
        <v>36862</v>
      </c>
      <c r="AF89" s="88" t="e">
        <f t="shared" si="170"/>
        <v>#DIV/0!</v>
      </c>
      <c r="AG89" s="33">
        <f t="shared" si="171"/>
        <v>-0.52816036045261372</v>
      </c>
      <c r="AH89" s="13">
        <v>43580</v>
      </c>
      <c r="AI89" s="39"/>
      <c r="AJ89" s="39">
        <v>40524</v>
      </c>
      <c r="AK89" s="88" t="e">
        <f t="shared" si="172"/>
        <v>#DIV/0!</v>
      </c>
      <c r="AL89" s="15">
        <f t="shared" si="173"/>
        <v>-7.0123910050481908E-2</v>
      </c>
      <c r="AM89" s="45">
        <v>25436</v>
      </c>
      <c r="AN89" s="39"/>
      <c r="AO89" s="39">
        <v>43794</v>
      </c>
      <c r="AP89" s="88" t="e">
        <f t="shared" si="174"/>
        <v>#DIV/0!</v>
      </c>
      <c r="AQ89" s="33">
        <f t="shared" si="175"/>
        <v>0.72173297688315774</v>
      </c>
      <c r="AR89" s="13">
        <v>34699</v>
      </c>
      <c r="AS89" s="39"/>
      <c r="AT89" s="39">
        <v>48814</v>
      </c>
      <c r="AU89" s="88" t="e">
        <f t="shared" si="176"/>
        <v>#DIV/0!</v>
      </c>
      <c r="AV89" s="15">
        <f t="shared" si="177"/>
        <v>0.40678405717744037</v>
      </c>
      <c r="AW89" s="45">
        <v>28158</v>
      </c>
      <c r="AX89" s="39"/>
      <c r="AY89" s="39">
        <v>45134</v>
      </c>
      <c r="AZ89" s="88" t="e">
        <f t="shared" ref="AZ89:AZ105" si="203">AY89/AX89-1</f>
        <v>#DIV/0!</v>
      </c>
      <c r="BA89" s="33">
        <f t="shared" si="179"/>
        <v>0.60288372753746722</v>
      </c>
      <c r="BB89" s="13">
        <v>38676</v>
      </c>
      <c r="BC89" s="39"/>
      <c r="BD89" s="39">
        <v>42492</v>
      </c>
      <c r="BE89" s="88" t="e">
        <f t="shared" si="180"/>
        <v>#DIV/0!</v>
      </c>
      <c r="BF89" s="15">
        <f t="shared" si="181"/>
        <v>9.8665839280173806E-2</v>
      </c>
      <c r="BG89" s="45">
        <v>40226</v>
      </c>
      <c r="BH89" s="39"/>
      <c r="BI89" s="39">
        <v>50076</v>
      </c>
      <c r="BJ89" s="88" t="e">
        <f t="shared" si="182"/>
        <v>#DIV/0!</v>
      </c>
      <c r="BK89" s="33">
        <f t="shared" si="183"/>
        <v>0.24486650425098189</v>
      </c>
      <c r="BL89" s="13">
        <v>45070</v>
      </c>
      <c r="BM89" s="39"/>
      <c r="BN89" s="39">
        <v>82518</v>
      </c>
      <c r="BO89" s="88" t="e">
        <f t="shared" si="184"/>
        <v>#DIV/0!</v>
      </c>
      <c r="BP89" s="15">
        <f t="shared" si="185"/>
        <v>0.83088528954958951</v>
      </c>
      <c r="BQ89" s="45">
        <v>44398</v>
      </c>
      <c r="BR89" s="39"/>
      <c r="BS89" s="39">
        <v>42012</v>
      </c>
      <c r="BT89" s="88" t="e">
        <f t="shared" si="186"/>
        <v>#DIV/0!</v>
      </c>
      <c r="BU89" s="15">
        <f t="shared" si="187"/>
        <v>-5.3741159511689673E-2</v>
      </c>
    </row>
    <row r="90" spans="2:73" x14ac:dyDescent="0.3">
      <c r="B90" s="380"/>
      <c r="C90" s="405"/>
      <c r="D90" s="312"/>
      <c r="E90" s="67" t="s">
        <v>27</v>
      </c>
      <c r="F90" s="45">
        <v>7464</v>
      </c>
      <c r="G90" s="39">
        <v>12804</v>
      </c>
      <c r="H90" s="33">
        <f t="shared" si="161"/>
        <v>0.71543408360128624</v>
      </c>
      <c r="I90" s="107">
        <f t="shared" si="200"/>
        <v>7464</v>
      </c>
      <c r="J90" s="87">
        <f t="shared" si="201"/>
        <v>0</v>
      </c>
      <c r="K90" s="87">
        <f t="shared" si="202"/>
        <v>12804</v>
      </c>
      <c r="L90" s="88" t="e">
        <f t="shared" si="162"/>
        <v>#DIV/0!</v>
      </c>
      <c r="M90" s="15">
        <f t="shared" si="163"/>
        <v>0.71543408360128624</v>
      </c>
      <c r="N90" s="13">
        <v>120</v>
      </c>
      <c r="O90" s="39"/>
      <c r="P90" s="39">
        <v>2260</v>
      </c>
      <c r="Q90" s="88" t="e">
        <f t="shared" si="193"/>
        <v>#DIV/0!</v>
      </c>
      <c r="R90" s="15">
        <f t="shared" si="194"/>
        <v>17.833333333333332</v>
      </c>
      <c r="S90" s="45">
        <v>2024</v>
      </c>
      <c r="T90" s="39"/>
      <c r="U90" s="39">
        <v>400</v>
      </c>
      <c r="V90" s="88" t="e">
        <f t="shared" si="166"/>
        <v>#DIV/0!</v>
      </c>
      <c r="W90" s="33">
        <f t="shared" si="167"/>
        <v>-0.80237154150197632</v>
      </c>
      <c r="X90" s="13">
        <v>1304</v>
      </c>
      <c r="Y90" s="39"/>
      <c r="Z90" s="39"/>
      <c r="AA90" s="88" t="e">
        <f t="shared" si="168"/>
        <v>#DIV/0!</v>
      </c>
      <c r="AB90" s="15">
        <f t="shared" si="169"/>
        <v>-1</v>
      </c>
      <c r="AC90" s="45">
        <v>272</v>
      </c>
      <c r="AD90" s="39"/>
      <c r="AE90" s="39">
        <v>1584</v>
      </c>
      <c r="AF90" s="88" t="e">
        <f t="shared" si="170"/>
        <v>#DIV/0!</v>
      </c>
      <c r="AG90" s="33">
        <f t="shared" si="171"/>
        <v>4.8235294117647056</v>
      </c>
      <c r="AH90" s="13">
        <v>976</v>
      </c>
      <c r="AI90" s="39"/>
      <c r="AJ90" s="39">
        <v>440</v>
      </c>
      <c r="AK90" s="88" t="e">
        <f t="shared" si="172"/>
        <v>#DIV/0!</v>
      </c>
      <c r="AL90" s="15">
        <f t="shared" si="173"/>
        <v>-0.54918032786885251</v>
      </c>
      <c r="AM90" s="45">
        <v>120</v>
      </c>
      <c r="AN90" s="39"/>
      <c r="AO90" s="39">
        <v>120</v>
      </c>
      <c r="AP90" s="88" t="e">
        <f t="shared" si="174"/>
        <v>#DIV/0!</v>
      </c>
      <c r="AQ90" s="33">
        <f t="shared" si="175"/>
        <v>0</v>
      </c>
      <c r="AR90" s="13">
        <v>200</v>
      </c>
      <c r="AS90" s="39"/>
      <c r="AT90" s="39">
        <v>120</v>
      </c>
      <c r="AU90" s="88" t="e">
        <f t="shared" si="176"/>
        <v>#DIV/0!</v>
      </c>
      <c r="AV90" s="15">
        <f t="shared" si="177"/>
        <v>-0.4</v>
      </c>
      <c r="AW90" s="45">
        <v>60</v>
      </c>
      <c r="AX90" s="39"/>
      <c r="AY90" s="39">
        <v>2340</v>
      </c>
      <c r="AZ90" s="88" t="e">
        <f t="shared" si="203"/>
        <v>#DIV/0!</v>
      </c>
      <c r="BA90" s="33">
        <f t="shared" si="179"/>
        <v>38</v>
      </c>
      <c r="BB90" s="13">
        <v>120</v>
      </c>
      <c r="BC90" s="39"/>
      <c r="BD90" s="39">
        <v>1084</v>
      </c>
      <c r="BE90" s="88" t="e">
        <f t="shared" si="180"/>
        <v>#DIV/0!</v>
      </c>
      <c r="BF90" s="15">
        <f t="shared" si="181"/>
        <v>8.0333333333333332</v>
      </c>
      <c r="BG90" s="45">
        <v>120</v>
      </c>
      <c r="BH90" s="39"/>
      <c r="BI90" s="39">
        <v>2372</v>
      </c>
      <c r="BJ90" s="88" t="e">
        <f t="shared" si="182"/>
        <v>#DIV/0!</v>
      </c>
      <c r="BK90" s="33">
        <f t="shared" si="183"/>
        <v>18.766666666666666</v>
      </c>
      <c r="BL90" s="13">
        <v>200</v>
      </c>
      <c r="BM90" s="39"/>
      <c r="BN90" s="39">
        <v>256</v>
      </c>
      <c r="BO90" s="88" t="e">
        <f t="shared" si="184"/>
        <v>#DIV/0!</v>
      </c>
      <c r="BP90" s="15">
        <f t="shared" si="185"/>
        <v>0.28000000000000003</v>
      </c>
      <c r="BQ90" s="45">
        <v>1948</v>
      </c>
      <c r="BR90" s="39"/>
      <c r="BS90" s="39">
        <v>1828</v>
      </c>
      <c r="BT90" s="88" t="e">
        <f t="shared" si="186"/>
        <v>#DIV/0!</v>
      </c>
      <c r="BU90" s="15">
        <f t="shared" si="187"/>
        <v>-6.1601642710472304E-2</v>
      </c>
    </row>
    <row r="91" spans="2:73" x14ac:dyDescent="0.3">
      <c r="B91" s="380"/>
      <c r="C91" s="405"/>
      <c r="D91" s="312"/>
      <c r="E91" s="101" t="s">
        <v>53</v>
      </c>
      <c r="F91" s="55">
        <f>SUM(F89:F90)</f>
        <v>500385</v>
      </c>
      <c r="G91" s="50">
        <f>SUM(G89:G90)</f>
        <v>580150</v>
      </c>
      <c r="H91" s="79">
        <f t="shared" si="161"/>
        <v>0.15940725641256237</v>
      </c>
      <c r="I91" s="48">
        <f t="shared" ref="I91:K91" si="204">SUM(I89:I90)</f>
        <v>500385</v>
      </c>
      <c r="J91" s="50">
        <f t="shared" si="204"/>
        <v>0</v>
      </c>
      <c r="K91" s="50">
        <f t="shared" si="204"/>
        <v>580150</v>
      </c>
      <c r="L91" s="91" t="e">
        <f t="shared" si="162"/>
        <v>#DIV/0!</v>
      </c>
      <c r="M91" s="49">
        <f t="shared" si="163"/>
        <v>0.15940725641256237</v>
      </c>
      <c r="N91" s="48">
        <f t="shared" ref="N91:P91" si="205">SUM(N89:N90)</f>
        <v>39702</v>
      </c>
      <c r="O91" s="50">
        <f t="shared" si="205"/>
        <v>0</v>
      </c>
      <c r="P91" s="50">
        <f t="shared" si="205"/>
        <v>37086</v>
      </c>
      <c r="Q91" s="91" t="e">
        <f t="shared" si="193"/>
        <v>#DIV/0!</v>
      </c>
      <c r="R91" s="49">
        <f t="shared" si="194"/>
        <v>-6.5890887108961738E-2</v>
      </c>
      <c r="S91" s="55">
        <f>SUM(S89:S90)</f>
        <v>38046</v>
      </c>
      <c r="T91" s="50">
        <f>SUM(T89:T90)</f>
        <v>0</v>
      </c>
      <c r="U91" s="50">
        <f>SUM(U89:U90)</f>
        <v>65308</v>
      </c>
      <c r="V91" s="91" t="e">
        <f t="shared" si="166"/>
        <v>#DIV/0!</v>
      </c>
      <c r="W91" s="79">
        <f t="shared" si="167"/>
        <v>0.71655364558692103</v>
      </c>
      <c r="X91" s="48">
        <f>SUM(X89:X90)</f>
        <v>40254</v>
      </c>
      <c r="Y91" s="50">
        <f>SUM(Y89:Y90)</f>
        <v>0</v>
      </c>
      <c r="Z91" s="50">
        <f>SUM(Z89:Z90)</f>
        <v>35386</v>
      </c>
      <c r="AA91" s="91" t="e">
        <f t="shared" si="168"/>
        <v>#DIV/0!</v>
      </c>
      <c r="AB91" s="49">
        <f t="shared" si="169"/>
        <v>-0.12093208128384758</v>
      </c>
      <c r="AC91" s="55">
        <f>SUM(AC89:AC90)</f>
        <v>78396</v>
      </c>
      <c r="AD91" s="50">
        <f>SUM(AD89:AD90)</f>
        <v>0</v>
      </c>
      <c r="AE91" s="50">
        <f>SUM(AE89:AE90)</f>
        <v>38446</v>
      </c>
      <c r="AF91" s="91" t="e">
        <f t="shared" si="170"/>
        <v>#DIV/0!</v>
      </c>
      <c r="AG91" s="79">
        <f t="shared" si="171"/>
        <v>-0.50959232613908867</v>
      </c>
      <c r="AH91" s="48">
        <f>SUM(AH89:AH90)</f>
        <v>44556</v>
      </c>
      <c r="AI91" s="50">
        <f>SUM(AI89:AI90)</f>
        <v>0</v>
      </c>
      <c r="AJ91" s="50">
        <f>SUM(AJ89:AJ90)</f>
        <v>40964</v>
      </c>
      <c r="AK91" s="91" t="e">
        <f t="shared" si="172"/>
        <v>#DIV/0!</v>
      </c>
      <c r="AL91" s="49">
        <f t="shared" si="173"/>
        <v>-8.061764969925489E-2</v>
      </c>
      <c r="AM91" s="55">
        <f>SUM(AM89:AM90)</f>
        <v>25556</v>
      </c>
      <c r="AN91" s="50">
        <f>SUM(AN89:AN90)</f>
        <v>0</v>
      </c>
      <c r="AO91" s="50">
        <f>SUM(AO89:AO90)</f>
        <v>43914</v>
      </c>
      <c r="AP91" s="91" t="e">
        <f t="shared" si="174"/>
        <v>#DIV/0!</v>
      </c>
      <c r="AQ91" s="79">
        <f t="shared" si="175"/>
        <v>0.7183440287994991</v>
      </c>
      <c r="AR91" s="48">
        <f>SUM(AR89:AR90)</f>
        <v>34899</v>
      </c>
      <c r="AS91" s="50">
        <f>SUM(AS89:AS90)</f>
        <v>0</v>
      </c>
      <c r="AT91" s="50">
        <f>SUM(AT89:AT90)</f>
        <v>48934</v>
      </c>
      <c r="AU91" s="91" t="e">
        <f t="shared" si="176"/>
        <v>#DIV/0!</v>
      </c>
      <c r="AV91" s="49">
        <f t="shared" si="177"/>
        <v>0.4021605203587495</v>
      </c>
      <c r="AW91" s="55">
        <f>SUM(AW89:AW90)</f>
        <v>28218</v>
      </c>
      <c r="AX91" s="50">
        <f>SUM(AX89:AX90)</f>
        <v>0</v>
      </c>
      <c r="AY91" s="50">
        <f>SUM(AY89:AY90)</f>
        <v>47474</v>
      </c>
      <c r="AZ91" s="91" t="e">
        <f t="shared" si="203"/>
        <v>#DIV/0!</v>
      </c>
      <c r="BA91" s="79">
        <f t="shared" si="179"/>
        <v>0.68240130413211419</v>
      </c>
      <c r="BB91" s="48">
        <f>SUM(BB89:BB90)</f>
        <v>38796</v>
      </c>
      <c r="BC91" s="50">
        <f>SUM(BC89:BC90)</f>
        <v>0</v>
      </c>
      <c r="BD91" s="50">
        <f>SUM(BD89:BD90)</f>
        <v>43576</v>
      </c>
      <c r="BE91" s="91" t="e">
        <f t="shared" si="180"/>
        <v>#DIV/0!</v>
      </c>
      <c r="BF91" s="49">
        <f t="shared" si="181"/>
        <v>0.12320857820393849</v>
      </c>
      <c r="BG91" s="55">
        <f>SUM(BG89:BG90)</f>
        <v>40346</v>
      </c>
      <c r="BH91" s="50">
        <f>SUM(BH89:BH90)</f>
        <v>0</v>
      </c>
      <c r="BI91" s="50">
        <f>SUM(BI89:BI90)</f>
        <v>52448</v>
      </c>
      <c r="BJ91" s="91" t="e">
        <f t="shared" si="182"/>
        <v>#DIV/0!</v>
      </c>
      <c r="BK91" s="79">
        <f t="shared" si="183"/>
        <v>0.29995538591186244</v>
      </c>
      <c r="BL91" s="48">
        <f>SUM(BL89:BL90)</f>
        <v>45270</v>
      </c>
      <c r="BM91" s="50">
        <f>SUM(BM89:BM90)</f>
        <v>0</v>
      </c>
      <c r="BN91" s="50">
        <f>SUM(BN89:BN90)</f>
        <v>82774</v>
      </c>
      <c r="BO91" s="91" t="e">
        <f t="shared" si="184"/>
        <v>#DIV/0!</v>
      </c>
      <c r="BP91" s="49">
        <f t="shared" si="185"/>
        <v>0.82845151314336207</v>
      </c>
      <c r="BQ91" s="55">
        <f>SUM(BQ89:BQ90)</f>
        <v>46346</v>
      </c>
      <c r="BR91" s="50">
        <f>SUM(BR89:BR90)</f>
        <v>0</v>
      </c>
      <c r="BS91" s="50">
        <f>SUM(BS89:BS90)</f>
        <v>43840</v>
      </c>
      <c r="BT91" s="91" t="e">
        <f t="shared" si="186"/>
        <v>#DIV/0!</v>
      </c>
      <c r="BU91" s="49">
        <f t="shared" si="187"/>
        <v>-5.4071548785224133E-2</v>
      </c>
    </row>
    <row r="92" spans="2:73" x14ac:dyDescent="0.3">
      <c r="B92" s="380"/>
      <c r="C92" s="405"/>
      <c r="D92" s="122" t="s">
        <v>56</v>
      </c>
      <c r="E92" s="102" t="s">
        <v>26</v>
      </c>
      <c r="F92" s="46">
        <v>63204</v>
      </c>
      <c r="G92" s="40">
        <v>79851</v>
      </c>
      <c r="H92" s="80">
        <f t="shared" si="161"/>
        <v>0.26338522878298831</v>
      </c>
      <c r="I92" s="108">
        <f t="shared" ref="I92:I94" si="206">N92+S92+X92+AC92+AH92+AM92+AR92+AW92+BB92+BG92+BL92+BQ92</f>
        <v>63204</v>
      </c>
      <c r="J92" s="92">
        <f t="shared" ref="J92:J94" si="207">O92+T92+Y92+AD92+AI92+AN92+AS92+AX92+BC92+BH92+BM92+BR92</f>
        <v>0</v>
      </c>
      <c r="K92" s="92">
        <f t="shared" ref="K92:K94" si="208">P92+U92+Z92+AE92+AJ92+AO92+AT92+AY92+BD92+BI92+BN92+BS92</f>
        <v>79851</v>
      </c>
      <c r="L92" s="93" t="e">
        <f t="shared" si="162"/>
        <v>#DIV/0!</v>
      </c>
      <c r="M92" s="17">
        <f t="shared" si="163"/>
        <v>0.26338522878298831</v>
      </c>
      <c r="N92" s="16">
        <v>5370</v>
      </c>
      <c r="O92" s="40"/>
      <c r="P92" s="40">
        <v>4644</v>
      </c>
      <c r="Q92" s="93" t="e">
        <f t="shared" si="193"/>
        <v>#DIV/0!</v>
      </c>
      <c r="R92" s="17">
        <f t="shared" si="194"/>
        <v>-0.13519553072625701</v>
      </c>
      <c r="S92" s="46">
        <v>4110</v>
      </c>
      <c r="T92" s="40"/>
      <c r="U92" s="40">
        <v>5468</v>
      </c>
      <c r="V92" s="93" t="e">
        <f t="shared" si="166"/>
        <v>#DIV/0!</v>
      </c>
      <c r="W92" s="80">
        <f t="shared" si="167"/>
        <v>0.33041362530413632</v>
      </c>
      <c r="X92" s="16">
        <v>6816</v>
      </c>
      <c r="Y92" s="40"/>
      <c r="Z92" s="40">
        <v>5318</v>
      </c>
      <c r="AA92" s="93" t="e">
        <f t="shared" si="168"/>
        <v>#DIV/0!</v>
      </c>
      <c r="AB92" s="17">
        <f t="shared" si="169"/>
        <v>-0.21977699530516437</v>
      </c>
      <c r="AC92" s="46">
        <v>14386</v>
      </c>
      <c r="AD92" s="40"/>
      <c r="AE92" s="40">
        <v>5171</v>
      </c>
      <c r="AF92" s="93" t="e">
        <f t="shared" si="170"/>
        <v>#DIV/0!</v>
      </c>
      <c r="AG92" s="80">
        <f t="shared" si="171"/>
        <v>-0.64055331572362018</v>
      </c>
      <c r="AH92" s="16">
        <v>3022</v>
      </c>
      <c r="AI92" s="40"/>
      <c r="AJ92" s="40">
        <v>8324</v>
      </c>
      <c r="AK92" s="93" t="e">
        <f t="shared" si="172"/>
        <v>#DIV/0!</v>
      </c>
      <c r="AL92" s="17">
        <f t="shared" si="173"/>
        <v>1.7544672402382528</v>
      </c>
      <c r="AM92" s="46">
        <v>3670</v>
      </c>
      <c r="AN92" s="40"/>
      <c r="AO92" s="40">
        <v>5546</v>
      </c>
      <c r="AP92" s="93" t="e">
        <f t="shared" si="174"/>
        <v>#DIV/0!</v>
      </c>
      <c r="AQ92" s="80">
        <f t="shared" si="175"/>
        <v>0.5111716621253406</v>
      </c>
      <c r="AR92" s="16">
        <v>3104</v>
      </c>
      <c r="AS92" s="40"/>
      <c r="AT92" s="40">
        <v>7534</v>
      </c>
      <c r="AU92" s="93" t="e">
        <f t="shared" si="176"/>
        <v>#DIV/0!</v>
      </c>
      <c r="AV92" s="17">
        <f t="shared" si="177"/>
        <v>1.4271907216494846</v>
      </c>
      <c r="AW92" s="46">
        <v>3510</v>
      </c>
      <c r="AX92" s="40"/>
      <c r="AY92" s="40">
        <v>6522</v>
      </c>
      <c r="AZ92" s="93" t="e">
        <f t="shared" si="203"/>
        <v>#DIV/0!</v>
      </c>
      <c r="BA92" s="80">
        <f t="shared" si="179"/>
        <v>0.85811965811965818</v>
      </c>
      <c r="BB92" s="16">
        <v>4004</v>
      </c>
      <c r="BC92" s="40"/>
      <c r="BD92" s="40">
        <v>7472</v>
      </c>
      <c r="BE92" s="93" t="e">
        <f t="shared" si="180"/>
        <v>#DIV/0!</v>
      </c>
      <c r="BF92" s="17">
        <f t="shared" si="181"/>
        <v>0.86613386613386623</v>
      </c>
      <c r="BG92" s="46">
        <v>3980</v>
      </c>
      <c r="BH92" s="40"/>
      <c r="BI92" s="40">
        <v>6844</v>
      </c>
      <c r="BJ92" s="93" t="e">
        <f t="shared" si="182"/>
        <v>#DIV/0!</v>
      </c>
      <c r="BK92" s="80">
        <f t="shared" si="183"/>
        <v>0.71959798994974866</v>
      </c>
      <c r="BL92" s="16">
        <v>5838</v>
      </c>
      <c r="BM92" s="40"/>
      <c r="BN92" s="40">
        <v>10654</v>
      </c>
      <c r="BO92" s="93" t="e">
        <f t="shared" si="184"/>
        <v>#DIV/0!</v>
      </c>
      <c r="BP92" s="17">
        <f t="shared" si="185"/>
        <v>0.82494004796163067</v>
      </c>
      <c r="BQ92" s="46">
        <v>5394</v>
      </c>
      <c r="BR92" s="40"/>
      <c r="BS92" s="40">
        <v>6354</v>
      </c>
      <c r="BT92" s="93" t="e">
        <f t="shared" si="186"/>
        <v>#DIV/0!</v>
      </c>
      <c r="BU92" s="17">
        <f t="shared" si="187"/>
        <v>0.17797552836484987</v>
      </c>
    </row>
    <row r="93" spans="2:73" x14ac:dyDescent="0.3">
      <c r="B93" s="380"/>
      <c r="C93" s="405"/>
      <c r="D93" s="122" t="s">
        <v>28</v>
      </c>
      <c r="E93" s="102" t="s">
        <v>28</v>
      </c>
      <c r="F93" s="46">
        <v>538774</v>
      </c>
      <c r="G93" s="40">
        <v>610171</v>
      </c>
      <c r="H93" s="80">
        <f t="shared" si="161"/>
        <v>0.1325175305415629</v>
      </c>
      <c r="I93" s="108">
        <f t="shared" si="206"/>
        <v>538774</v>
      </c>
      <c r="J93" s="92">
        <f t="shared" si="207"/>
        <v>0</v>
      </c>
      <c r="K93" s="92">
        <f t="shared" si="208"/>
        <v>610171</v>
      </c>
      <c r="L93" s="93" t="e">
        <f t="shared" si="162"/>
        <v>#DIV/0!</v>
      </c>
      <c r="M93" s="17">
        <f t="shared" si="163"/>
        <v>0.1325175305415629</v>
      </c>
      <c r="N93" s="16">
        <v>49304</v>
      </c>
      <c r="O93" s="40"/>
      <c r="P93" s="40">
        <v>81684</v>
      </c>
      <c r="Q93" s="93" t="e">
        <f t="shared" si="193"/>
        <v>#DIV/0!</v>
      </c>
      <c r="R93" s="17">
        <f t="shared" si="194"/>
        <v>0.65674184650332634</v>
      </c>
      <c r="S93" s="46">
        <v>47976</v>
      </c>
      <c r="T93" s="40"/>
      <c r="U93" s="40">
        <v>17244</v>
      </c>
      <c r="V93" s="93" t="e">
        <f t="shared" si="166"/>
        <v>#DIV/0!</v>
      </c>
      <c r="W93" s="80">
        <f t="shared" si="167"/>
        <v>-0.64057028514257131</v>
      </c>
      <c r="X93" s="16">
        <v>80624</v>
      </c>
      <c r="Y93" s="40"/>
      <c r="Z93" s="40">
        <v>53596</v>
      </c>
      <c r="AA93" s="93" t="e">
        <f t="shared" si="168"/>
        <v>#DIV/0!</v>
      </c>
      <c r="AB93" s="17">
        <f t="shared" si="169"/>
        <v>-0.33523516570748169</v>
      </c>
      <c r="AC93" s="46">
        <v>52231</v>
      </c>
      <c r="AD93" s="40"/>
      <c r="AE93" s="40">
        <v>41890</v>
      </c>
      <c r="AF93" s="93" t="e">
        <f t="shared" si="170"/>
        <v>#DIV/0!</v>
      </c>
      <c r="AG93" s="80">
        <f t="shared" si="171"/>
        <v>-0.19798587046007166</v>
      </c>
      <c r="AH93" s="16">
        <v>67368</v>
      </c>
      <c r="AI93" s="40"/>
      <c r="AJ93" s="40">
        <v>54348</v>
      </c>
      <c r="AK93" s="93" t="e">
        <f t="shared" si="172"/>
        <v>#DIV/0!</v>
      </c>
      <c r="AL93" s="17">
        <f t="shared" si="173"/>
        <v>-0.19326683291770574</v>
      </c>
      <c r="AM93" s="46">
        <v>12208</v>
      </c>
      <c r="AN93" s="40"/>
      <c r="AO93" s="40">
        <v>36664</v>
      </c>
      <c r="AP93" s="93" t="e">
        <f t="shared" si="174"/>
        <v>#DIV/0!</v>
      </c>
      <c r="AQ93" s="80">
        <f t="shared" si="175"/>
        <v>2.0032765399737875</v>
      </c>
      <c r="AR93" s="16">
        <v>24637</v>
      </c>
      <c r="AS93" s="40"/>
      <c r="AT93" s="40">
        <v>41556</v>
      </c>
      <c r="AU93" s="93" t="e">
        <f t="shared" si="176"/>
        <v>#DIV/0!</v>
      </c>
      <c r="AV93" s="17">
        <f t="shared" si="177"/>
        <v>0.68673133904290284</v>
      </c>
      <c r="AW93" s="46">
        <v>45212</v>
      </c>
      <c r="AX93" s="40"/>
      <c r="AY93" s="40">
        <v>50256</v>
      </c>
      <c r="AZ93" s="93" t="e">
        <f t="shared" si="203"/>
        <v>#DIV/0!</v>
      </c>
      <c r="BA93" s="80">
        <f t="shared" si="179"/>
        <v>0.11156330177828888</v>
      </c>
      <c r="BB93" s="16">
        <v>39632</v>
      </c>
      <c r="BC93" s="40"/>
      <c r="BD93" s="40">
        <v>46420</v>
      </c>
      <c r="BE93" s="93" t="e">
        <f t="shared" si="180"/>
        <v>#DIV/0!</v>
      </c>
      <c r="BF93" s="17">
        <f t="shared" si="181"/>
        <v>0.17127573677836083</v>
      </c>
      <c r="BG93" s="46">
        <v>33478</v>
      </c>
      <c r="BH93" s="40"/>
      <c r="BI93" s="40">
        <v>110267</v>
      </c>
      <c r="BJ93" s="93" t="e">
        <f t="shared" si="182"/>
        <v>#DIV/0!</v>
      </c>
      <c r="BK93" s="80">
        <f t="shared" si="183"/>
        <v>2.2937152757034469</v>
      </c>
      <c r="BL93" s="16">
        <v>72832</v>
      </c>
      <c r="BM93" s="40"/>
      <c r="BN93" s="40">
        <v>7779</v>
      </c>
      <c r="BO93" s="93" t="e">
        <f t="shared" si="184"/>
        <v>#DIV/0!</v>
      </c>
      <c r="BP93" s="17">
        <f t="shared" si="185"/>
        <v>-0.89319255272407738</v>
      </c>
      <c r="BQ93" s="46">
        <v>13272</v>
      </c>
      <c r="BR93" s="40"/>
      <c r="BS93" s="40">
        <v>68467</v>
      </c>
      <c r="BT93" s="93" t="e">
        <f t="shared" si="186"/>
        <v>#DIV/0!</v>
      </c>
      <c r="BU93" s="17">
        <f t="shared" si="187"/>
        <v>4.158755274261603</v>
      </c>
    </row>
    <row r="94" spans="2:73" ht="17.25" thickBot="1" x14ac:dyDescent="0.35">
      <c r="B94" s="380" t="s">
        <v>29</v>
      </c>
      <c r="C94" s="405"/>
      <c r="D94" s="397" t="s">
        <v>30</v>
      </c>
      <c r="E94" s="378"/>
      <c r="F94" s="103">
        <v>763556</v>
      </c>
      <c r="G94" s="97">
        <v>835396</v>
      </c>
      <c r="H94" s="109">
        <f t="shared" si="161"/>
        <v>9.4086091917292336E-2</v>
      </c>
      <c r="I94" s="134">
        <f t="shared" si="206"/>
        <v>763556</v>
      </c>
      <c r="J94" s="135">
        <f t="shared" si="207"/>
        <v>0</v>
      </c>
      <c r="K94" s="135">
        <f t="shared" si="208"/>
        <v>833004</v>
      </c>
      <c r="L94" s="98" t="e">
        <f t="shared" si="162"/>
        <v>#DIV/0!</v>
      </c>
      <c r="M94" s="99">
        <f t="shared" si="163"/>
        <v>9.0953381284411439E-2</v>
      </c>
      <c r="N94" s="111">
        <v>57397</v>
      </c>
      <c r="O94" s="97"/>
      <c r="P94" s="97">
        <v>50064</v>
      </c>
      <c r="Q94" s="98" t="e">
        <f t="shared" si="193"/>
        <v>#DIV/0!</v>
      </c>
      <c r="R94" s="99">
        <f t="shared" si="194"/>
        <v>-0.12775929055525548</v>
      </c>
      <c r="S94" s="103">
        <v>59268</v>
      </c>
      <c r="T94" s="97"/>
      <c r="U94" s="97">
        <v>74084</v>
      </c>
      <c r="V94" s="98" t="e">
        <f t="shared" si="166"/>
        <v>#DIV/0!</v>
      </c>
      <c r="W94" s="109">
        <f t="shared" si="167"/>
        <v>0.24998312748869544</v>
      </c>
      <c r="X94" s="111">
        <v>87467</v>
      </c>
      <c r="Y94" s="97"/>
      <c r="Z94" s="97">
        <v>68072</v>
      </c>
      <c r="AA94" s="98" t="e">
        <f t="shared" si="168"/>
        <v>#DIV/0!</v>
      </c>
      <c r="AB94" s="99">
        <f t="shared" si="169"/>
        <v>-0.22174077080498933</v>
      </c>
      <c r="AC94" s="103">
        <v>57667</v>
      </c>
      <c r="AD94" s="97"/>
      <c r="AE94" s="97">
        <v>84535</v>
      </c>
      <c r="AF94" s="98" t="e">
        <f t="shared" si="170"/>
        <v>#DIV/0!</v>
      </c>
      <c r="AG94" s="109">
        <f t="shared" si="171"/>
        <v>0.46591638198623131</v>
      </c>
      <c r="AH94" s="111">
        <v>62937</v>
      </c>
      <c r="AI94" s="97"/>
      <c r="AJ94" s="97">
        <v>74509</v>
      </c>
      <c r="AK94" s="98" t="e">
        <f t="shared" si="172"/>
        <v>#DIV/0!</v>
      </c>
      <c r="AL94" s="99">
        <f t="shared" si="173"/>
        <v>0.18386640608862836</v>
      </c>
      <c r="AM94" s="103">
        <v>51437</v>
      </c>
      <c r="AN94" s="97"/>
      <c r="AO94" s="97">
        <v>54213</v>
      </c>
      <c r="AP94" s="98" t="e">
        <f t="shared" si="174"/>
        <v>#DIV/0!</v>
      </c>
      <c r="AQ94" s="109">
        <f t="shared" si="175"/>
        <v>5.3968932869335351E-2</v>
      </c>
      <c r="AR94" s="111">
        <v>62910</v>
      </c>
      <c r="AS94" s="97"/>
      <c r="AT94" s="97">
        <v>72579</v>
      </c>
      <c r="AU94" s="98" t="e">
        <f t="shared" si="176"/>
        <v>#DIV/0!</v>
      </c>
      <c r="AV94" s="99">
        <f t="shared" si="177"/>
        <v>0.15369575584167849</v>
      </c>
      <c r="AW94" s="103">
        <v>69669</v>
      </c>
      <c r="AX94" s="97"/>
      <c r="AY94" s="97">
        <v>66753</v>
      </c>
      <c r="AZ94" s="98" t="e">
        <f t="shared" si="203"/>
        <v>#DIV/0!</v>
      </c>
      <c r="BA94" s="109">
        <f t="shared" si="179"/>
        <v>-4.1855057486112957E-2</v>
      </c>
      <c r="BB94" s="111">
        <v>58913</v>
      </c>
      <c r="BC94" s="97"/>
      <c r="BD94" s="97">
        <v>57761</v>
      </c>
      <c r="BE94" s="98" t="e">
        <f t="shared" si="180"/>
        <v>#DIV/0!</v>
      </c>
      <c r="BF94" s="99">
        <f t="shared" si="181"/>
        <v>-1.9554257973622091E-2</v>
      </c>
      <c r="BG94" s="103">
        <v>61993</v>
      </c>
      <c r="BH94" s="97"/>
      <c r="BI94" s="97">
        <v>79856</v>
      </c>
      <c r="BJ94" s="98" t="e">
        <f t="shared" si="182"/>
        <v>#DIV/0!</v>
      </c>
      <c r="BK94" s="109">
        <f t="shared" si="183"/>
        <v>0.28814543577500684</v>
      </c>
      <c r="BL94" s="111">
        <v>66522</v>
      </c>
      <c r="BM94" s="97"/>
      <c r="BN94" s="97">
        <v>86024</v>
      </c>
      <c r="BO94" s="98" t="e">
        <f t="shared" si="184"/>
        <v>#DIV/0!</v>
      </c>
      <c r="BP94" s="99">
        <f t="shared" si="185"/>
        <v>0.29316617059018069</v>
      </c>
      <c r="BQ94" s="103">
        <v>67376</v>
      </c>
      <c r="BR94" s="97"/>
      <c r="BS94" s="97">
        <v>64554</v>
      </c>
      <c r="BT94" s="98" t="e">
        <f t="shared" si="186"/>
        <v>#DIV/0!</v>
      </c>
      <c r="BU94" s="99">
        <f t="shared" si="187"/>
        <v>-4.1884350510567603E-2</v>
      </c>
    </row>
    <row r="95" spans="2:73" x14ac:dyDescent="0.3">
      <c r="B95" s="380"/>
      <c r="C95" s="405" t="s">
        <v>31</v>
      </c>
      <c r="D95" s="321" t="s">
        <v>32</v>
      </c>
      <c r="E95" s="322"/>
      <c r="F95" s="56">
        <v>358721</v>
      </c>
      <c r="G95" s="41">
        <v>358721</v>
      </c>
      <c r="H95" s="81">
        <f t="shared" si="161"/>
        <v>0</v>
      </c>
      <c r="I95" s="21">
        <f>N95</f>
        <v>496465</v>
      </c>
      <c r="J95" s="41"/>
      <c r="K95" s="41">
        <f>BS96</f>
        <v>357730</v>
      </c>
      <c r="L95" s="112" t="e">
        <f t="shared" si="162"/>
        <v>#DIV/0!</v>
      </c>
      <c r="M95" s="23">
        <f t="shared" si="163"/>
        <v>-0.27944568096441846</v>
      </c>
      <c r="N95" s="21">
        <v>496465</v>
      </c>
      <c r="O95" s="41"/>
      <c r="P95" s="41">
        <v>631428</v>
      </c>
      <c r="Q95" s="112" t="e">
        <f t="shared" si="193"/>
        <v>#DIV/0!</v>
      </c>
      <c r="R95" s="23">
        <f t="shared" si="194"/>
        <v>0.27184796511335141</v>
      </c>
      <c r="S95" s="56">
        <v>459592</v>
      </c>
      <c r="T95" s="41"/>
      <c r="U95" s="41">
        <v>356790</v>
      </c>
      <c r="V95" s="112" t="e">
        <f t="shared" si="166"/>
        <v>#DIV/0!</v>
      </c>
      <c r="W95" s="81">
        <f t="shared" si="167"/>
        <v>-0.2236810040209577</v>
      </c>
      <c r="X95" s="21">
        <v>544551</v>
      </c>
      <c r="Y95" s="41"/>
      <c r="Z95" s="41">
        <v>342979</v>
      </c>
      <c r="AA95" s="112" t="e">
        <f t="shared" si="168"/>
        <v>#DIV/0!</v>
      </c>
      <c r="AB95" s="23">
        <f t="shared" si="169"/>
        <v>-0.37016183975421957</v>
      </c>
      <c r="AC95" s="56">
        <v>778380</v>
      </c>
      <c r="AD95" s="41"/>
      <c r="AE95" s="41">
        <v>309133</v>
      </c>
      <c r="AF95" s="112" t="e">
        <f t="shared" si="170"/>
        <v>#DIV/0!</v>
      </c>
      <c r="AG95" s="81">
        <f t="shared" si="171"/>
        <v>-0.60285079267195973</v>
      </c>
      <c r="AH95" s="21">
        <v>783643</v>
      </c>
      <c r="AI95" s="41"/>
      <c r="AJ95" s="41">
        <v>349942</v>
      </c>
      <c r="AK95" s="112" t="e">
        <f t="shared" si="172"/>
        <v>#DIV/0!</v>
      </c>
      <c r="AL95" s="23">
        <f t="shared" si="173"/>
        <v>-0.55344206481778047</v>
      </c>
      <c r="AM95" s="56">
        <v>639329</v>
      </c>
      <c r="AN95" s="41"/>
      <c r="AO95" s="41">
        <v>631428</v>
      </c>
      <c r="AP95" s="112" t="e">
        <f t="shared" si="174"/>
        <v>#DIV/0!</v>
      </c>
      <c r="AQ95" s="81">
        <f t="shared" si="175"/>
        <v>-1.2358269373045849E-2</v>
      </c>
      <c r="AR95" s="21">
        <v>545514</v>
      </c>
      <c r="AS95" s="41"/>
      <c r="AT95" s="41">
        <v>252188</v>
      </c>
      <c r="AU95" s="112" t="e">
        <f t="shared" si="176"/>
        <v>#DIV/0!</v>
      </c>
      <c r="AV95" s="23">
        <f t="shared" si="177"/>
        <v>-0.53770572340948175</v>
      </c>
      <c r="AW95" s="56">
        <v>399641</v>
      </c>
      <c r="AX95" s="41"/>
      <c r="AY95" s="41">
        <v>232179</v>
      </c>
      <c r="AZ95" s="112" t="e">
        <f t="shared" si="203"/>
        <v>#DIV/0!</v>
      </c>
      <c r="BA95" s="81">
        <f t="shared" si="179"/>
        <v>-0.4190310803946542</v>
      </c>
      <c r="BB95" s="21">
        <v>375675</v>
      </c>
      <c r="BC95" s="41"/>
      <c r="BD95" s="41">
        <v>327994</v>
      </c>
      <c r="BE95" s="112" t="e">
        <f t="shared" si="180"/>
        <v>#DIV/0!</v>
      </c>
      <c r="BF95" s="23">
        <f t="shared" si="181"/>
        <v>-0.12692087575697075</v>
      </c>
      <c r="BG95" s="56">
        <v>375223</v>
      </c>
      <c r="BH95" s="41"/>
      <c r="BI95" s="41">
        <v>529532</v>
      </c>
      <c r="BJ95" s="112" t="e">
        <f t="shared" si="182"/>
        <v>#DIV/0!</v>
      </c>
      <c r="BK95" s="81">
        <f t="shared" si="183"/>
        <v>0.41124611231187846</v>
      </c>
      <c r="BL95" s="21">
        <v>466834</v>
      </c>
      <c r="BM95" s="41"/>
      <c r="BN95" s="41">
        <v>447516</v>
      </c>
      <c r="BO95" s="112" t="e">
        <f t="shared" si="184"/>
        <v>#DIV/0!</v>
      </c>
      <c r="BP95" s="23">
        <f t="shared" si="185"/>
        <v>-4.1380876285788903E-2</v>
      </c>
      <c r="BQ95" s="56">
        <v>417865</v>
      </c>
      <c r="BR95" s="41"/>
      <c r="BS95" s="41">
        <v>340569</v>
      </c>
      <c r="BT95" s="112" t="e">
        <f t="shared" si="186"/>
        <v>#DIV/0!</v>
      </c>
      <c r="BU95" s="23">
        <f t="shared" si="187"/>
        <v>-0.18497840211551575</v>
      </c>
    </row>
    <row r="96" spans="2:73" x14ac:dyDescent="0.3">
      <c r="B96" s="380"/>
      <c r="C96" s="405"/>
      <c r="D96" s="385" t="s">
        <v>33</v>
      </c>
      <c r="E96" s="386"/>
      <c r="F96" s="84">
        <v>5704093</v>
      </c>
      <c r="G96" s="62">
        <v>5704093</v>
      </c>
      <c r="H96" s="75">
        <f t="shared" si="161"/>
        <v>0</v>
      </c>
      <c r="I96" s="105">
        <f>N96+S96+X96+AC96+AH96+AM96+AR96+AW96+BB96+BG96+BL96+BQ96</f>
        <v>5704093</v>
      </c>
      <c r="J96" s="85">
        <f>O96+T96+Y96+AD96+AI96+AN96+AS96+AX96+BC96+BH96+BM96+BR96</f>
        <v>6600012</v>
      </c>
      <c r="K96" s="85">
        <f>P96+U96+Z96+AE96+AJ96+AO96+AT96+AY96+BD96+BI96+BN96+BS96</f>
        <v>5827355</v>
      </c>
      <c r="L96" s="86">
        <f t="shared" si="162"/>
        <v>-0.11706902957146137</v>
      </c>
      <c r="M96" s="15">
        <f t="shared" si="163"/>
        <v>2.1609395218486149E-2</v>
      </c>
      <c r="N96" s="13">
        <v>660352</v>
      </c>
      <c r="O96" s="62">
        <v>550001</v>
      </c>
      <c r="P96" s="62">
        <v>660352</v>
      </c>
      <c r="Q96" s="86">
        <f t="shared" si="193"/>
        <v>0.20063781702215078</v>
      </c>
      <c r="R96" s="15">
        <f t="shared" si="194"/>
        <v>0</v>
      </c>
      <c r="S96" s="45">
        <v>528006</v>
      </c>
      <c r="T96" s="62">
        <v>550001</v>
      </c>
      <c r="U96" s="62">
        <v>384987</v>
      </c>
      <c r="V96" s="86">
        <f t="shared" si="166"/>
        <v>-0.30002490904561996</v>
      </c>
      <c r="W96" s="33">
        <f t="shared" si="167"/>
        <v>-0.27086624015636185</v>
      </c>
      <c r="X96" s="13">
        <v>605433</v>
      </c>
      <c r="Y96" s="62">
        <v>550001</v>
      </c>
      <c r="Z96" s="62">
        <v>450197</v>
      </c>
      <c r="AA96" s="86">
        <f t="shared" si="168"/>
        <v>-0.1814614882518395</v>
      </c>
      <c r="AB96" s="15">
        <f t="shared" si="169"/>
        <v>-0.25640492011502514</v>
      </c>
      <c r="AC96" s="45">
        <v>672279</v>
      </c>
      <c r="AD96" s="62">
        <v>550001</v>
      </c>
      <c r="AE96" s="62">
        <v>476422</v>
      </c>
      <c r="AF96" s="86">
        <f t="shared" si="170"/>
        <v>-0.13377975676407861</v>
      </c>
      <c r="AG96" s="33">
        <f t="shared" si="171"/>
        <v>-0.29133291386463056</v>
      </c>
      <c r="AH96" s="13">
        <v>545496</v>
      </c>
      <c r="AI96" s="62">
        <v>550001</v>
      </c>
      <c r="AJ96" s="62">
        <v>570143</v>
      </c>
      <c r="AK96" s="86">
        <f t="shared" si="172"/>
        <v>3.6621751596815244E-2</v>
      </c>
      <c r="AL96" s="15">
        <f t="shared" si="173"/>
        <v>4.5182732778975554E-2</v>
      </c>
      <c r="AM96" s="45">
        <v>406269</v>
      </c>
      <c r="AN96" s="62">
        <v>550001</v>
      </c>
      <c r="AO96" s="62">
        <v>401556</v>
      </c>
      <c r="AP96" s="86">
        <f t="shared" si="174"/>
        <v>-0.2698995092736195</v>
      </c>
      <c r="AQ96" s="33">
        <f t="shared" si="175"/>
        <v>-1.1600688213966648E-2</v>
      </c>
      <c r="AR96" s="13">
        <v>268038</v>
      </c>
      <c r="AS96" s="62">
        <v>550001</v>
      </c>
      <c r="AT96" s="62">
        <v>334659</v>
      </c>
      <c r="AU96" s="86">
        <f t="shared" si="176"/>
        <v>-0.39153019721782323</v>
      </c>
      <c r="AV96" s="15">
        <f t="shared" si="177"/>
        <v>0.24855057864929608</v>
      </c>
      <c r="AW96" s="45">
        <v>302611</v>
      </c>
      <c r="AX96" s="62">
        <v>550001</v>
      </c>
      <c r="AY96" s="62">
        <v>415213</v>
      </c>
      <c r="AZ96" s="86">
        <f t="shared" si="203"/>
        <v>-0.24506864532973571</v>
      </c>
      <c r="BA96" s="33">
        <f t="shared" si="179"/>
        <v>0.37210147681346672</v>
      </c>
      <c r="BB96" s="13">
        <v>327477</v>
      </c>
      <c r="BC96" s="62">
        <v>550001</v>
      </c>
      <c r="BD96" s="62">
        <v>475682</v>
      </c>
      <c r="BE96" s="86">
        <f t="shared" si="180"/>
        <v>-0.13512520886325663</v>
      </c>
      <c r="BF96" s="15">
        <f t="shared" si="181"/>
        <v>0.45256613441554672</v>
      </c>
      <c r="BG96" s="45">
        <v>431745</v>
      </c>
      <c r="BH96" s="62">
        <v>550001</v>
      </c>
      <c r="BI96" s="62">
        <v>808061</v>
      </c>
      <c r="BJ96" s="86">
        <f t="shared" si="182"/>
        <v>0.46919914691064202</v>
      </c>
      <c r="BK96" s="33">
        <f t="shared" si="183"/>
        <v>0.87161634761259532</v>
      </c>
      <c r="BL96" s="13">
        <v>597666</v>
      </c>
      <c r="BM96" s="62">
        <v>550001</v>
      </c>
      <c r="BN96" s="62">
        <v>492353</v>
      </c>
      <c r="BO96" s="86">
        <f t="shared" si="184"/>
        <v>-0.10481435488299107</v>
      </c>
      <c r="BP96" s="15">
        <f t="shared" si="185"/>
        <v>-0.1762071123336445</v>
      </c>
      <c r="BQ96" s="45">
        <v>358721</v>
      </c>
      <c r="BR96" s="62">
        <v>550001</v>
      </c>
      <c r="BS96" s="62">
        <v>357730</v>
      </c>
      <c r="BT96" s="86">
        <f t="shared" si="186"/>
        <v>-0.34958300075818038</v>
      </c>
      <c r="BU96" s="15">
        <f t="shared" si="187"/>
        <v>-2.7625926555735481E-3</v>
      </c>
    </row>
    <row r="97" spans="2:73" x14ac:dyDescent="0.3">
      <c r="B97" s="380"/>
      <c r="C97" s="405"/>
      <c r="D97" s="410" t="s">
        <v>34</v>
      </c>
      <c r="E97" s="411"/>
      <c r="F97" s="100">
        <f>SUM(F98:F104)</f>
        <v>7247124.9000000004</v>
      </c>
      <c r="G97" s="89">
        <f>SUM(G98:G104)</f>
        <v>7144286</v>
      </c>
      <c r="H97" s="110">
        <f t="shared" si="161"/>
        <v>-1.4190303247015978E-2</v>
      </c>
      <c r="I97" s="106">
        <f>SUM(I98:I104)</f>
        <v>7247124.9000000004</v>
      </c>
      <c r="J97" s="89">
        <f>SUM(J98:J104)</f>
        <v>0</v>
      </c>
      <c r="K97" s="89">
        <f>SUM(K98:K104)</f>
        <v>7144286</v>
      </c>
      <c r="L97" s="90" t="e">
        <f t="shared" si="162"/>
        <v>#DIV/0!</v>
      </c>
      <c r="M97" s="94">
        <f t="shared" si="163"/>
        <v>-1.4190303247015978E-2</v>
      </c>
      <c r="N97" s="89">
        <f t="shared" ref="N97:O97" si="209">SUM(N98:N104)</f>
        <v>867131.8</v>
      </c>
      <c r="O97" s="89">
        <f t="shared" si="209"/>
        <v>0</v>
      </c>
      <c r="P97" s="89">
        <f>SUM(P98:P104)</f>
        <v>487727</v>
      </c>
      <c r="Q97" s="90" t="e">
        <f t="shared" si="193"/>
        <v>#DIV/0!</v>
      </c>
      <c r="R97" s="94">
        <f t="shared" si="194"/>
        <v>-0.43753994490802905</v>
      </c>
      <c r="S97" s="89">
        <f t="shared" ref="S97:T97" si="210">SUM(S98:S104)</f>
        <v>531765.6</v>
      </c>
      <c r="T97" s="89">
        <f t="shared" si="210"/>
        <v>0</v>
      </c>
      <c r="U97" s="89">
        <f>SUM(U98:U104)</f>
        <v>744060</v>
      </c>
      <c r="V97" s="90" t="e">
        <f t="shared" si="166"/>
        <v>#DIV/0!</v>
      </c>
      <c r="W97" s="110">
        <f t="shared" si="167"/>
        <v>0.39922552342611106</v>
      </c>
      <c r="X97" s="89">
        <f t="shared" ref="X97:Y97" si="211">SUM(X98:X104)</f>
        <v>780793.1</v>
      </c>
      <c r="Y97" s="89">
        <f t="shared" si="211"/>
        <v>0</v>
      </c>
      <c r="Z97" s="89">
        <f>SUM(Z98:Z104)</f>
        <v>576987</v>
      </c>
      <c r="AA97" s="90" t="e">
        <f t="shared" si="168"/>
        <v>#DIV/0!</v>
      </c>
      <c r="AB97" s="94">
        <f t="shared" si="169"/>
        <v>-0.26102446345901364</v>
      </c>
      <c r="AC97" s="89">
        <f t="shared" ref="AC97" si="212">SUM(AC98:AC104)</f>
        <v>713297.39999999991</v>
      </c>
      <c r="AD97" s="89">
        <f>SUM(AD98:AD104)</f>
        <v>0</v>
      </c>
      <c r="AE97" s="89">
        <f>SUM(AE98:AE104)</f>
        <v>604107</v>
      </c>
      <c r="AF97" s="90" t="e">
        <f t="shared" si="170"/>
        <v>#DIV/0!</v>
      </c>
      <c r="AG97" s="110">
        <f t="shared" si="171"/>
        <v>-0.15307836534943198</v>
      </c>
      <c r="AH97" s="89">
        <f t="shared" ref="AH97" si="213">SUM(AH98:AH104)</f>
        <v>614974</v>
      </c>
      <c r="AI97" s="89">
        <f>SUM(AI98:AI104)</f>
        <v>0</v>
      </c>
      <c r="AJ97" s="89">
        <f>SUM(AJ98:AJ104)</f>
        <v>647714</v>
      </c>
      <c r="AK97" s="90" t="e">
        <f t="shared" si="172"/>
        <v>#DIV/0!</v>
      </c>
      <c r="AL97" s="94">
        <f t="shared" si="173"/>
        <v>5.3238023070893981E-2</v>
      </c>
      <c r="AM97" s="89">
        <f t="shared" ref="AM97" si="214">SUM(AM98:AM104)</f>
        <v>650366</v>
      </c>
      <c r="AN97" s="89">
        <f>SUM(AN98:AN104)</f>
        <v>0</v>
      </c>
      <c r="AO97" s="89">
        <f>SUM(AO98:AO104)</f>
        <v>579654</v>
      </c>
      <c r="AP97" s="90" t="e">
        <f t="shared" si="174"/>
        <v>#DIV/0!</v>
      </c>
      <c r="AQ97" s="110">
        <f t="shared" si="175"/>
        <v>-0.10872647094097787</v>
      </c>
      <c r="AR97" s="89">
        <f t="shared" ref="AR97" si="215">SUM(AR98:AR104)</f>
        <v>450357</v>
      </c>
      <c r="AS97" s="89">
        <f>SUM(AS98:AS104)</f>
        <v>0</v>
      </c>
      <c r="AT97" s="89">
        <f>SUM(AT98:AT104)</f>
        <v>518998</v>
      </c>
      <c r="AU97" s="90" t="e">
        <f t="shared" si="176"/>
        <v>#DIV/0!</v>
      </c>
      <c r="AV97" s="94">
        <f t="shared" si="177"/>
        <v>0.1524146399412023</v>
      </c>
      <c r="AW97" s="89">
        <f t="shared" ref="AW97" si="216">SUM(AW98:AW104)</f>
        <v>558511</v>
      </c>
      <c r="AX97" s="89">
        <f>SUM(AX98:AX104)</f>
        <v>0</v>
      </c>
      <c r="AY97" s="89">
        <f>SUM(AY98:AY104)</f>
        <v>542556</v>
      </c>
      <c r="AZ97" s="90" t="e">
        <f t="shared" si="203"/>
        <v>#DIV/0!</v>
      </c>
      <c r="BA97" s="110">
        <f t="shared" si="179"/>
        <v>-2.8567029118495402E-2</v>
      </c>
      <c r="BB97" s="89">
        <f t="shared" ref="BB97" si="217">SUM(BB98:BB104)</f>
        <v>434549</v>
      </c>
      <c r="BC97" s="89">
        <f>SUM(BC98:BC104)</f>
        <v>0</v>
      </c>
      <c r="BD97" s="89">
        <f>SUM(BD98:BD104)</f>
        <v>482790</v>
      </c>
      <c r="BE97" s="90" t="e">
        <f t="shared" si="180"/>
        <v>#DIV/0!</v>
      </c>
      <c r="BF97" s="94">
        <f t="shared" si="181"/>
        <v>0.11101394779414986</v>
      </c>
      <c r="BG97" s="89">
        <f t="shared" ref="BG97" si="218">SUM(BG98:BG104)</f>
        <v>533087</v>
      </c>
      <c r="BH97" s="89">
        <f>SUM(BH98:BH104)</f>
        <v>0</v>
      </c>
      <c r="BI97" s="89">
        <f>SUM(BI98:BI104)</f>
        <v>733558</v>
      </c>
      <c r="BJ97" s="90" t="e">
        <f t="shared" si="182"/>
        <v>#DIV/0!</v>
      </c>
      <c r="BK97" s="110">
        <f t="shared" si="183"/>
        <v>0.37605681624200171</v>
      </c>
      <c r="BL97" s="89">
        <f t="shared" ref="BL97" si="219">SUM(BL98:BL104)</f>
        <v>603372</v>
      </c>
      <c r="BM97" s="89">
        <f>SUM(BM98:BM104)</f>
        <v>0</v>
      </c>
      <c r="BN97" s="89">
        <f>SUM(BN98:BN104)</f>
        <v>652822</v>
      </c>
      <c r="BO97" s="90" t="e">
        <f t="shared" si="184"/>
        <v>#DIV/0!</v>
      </c>
      <c r="BP97" s="94">
        <f t="shared" si="185"/>
        <v>8.1956073533408835E-2</v>
      </c>
      <c r="BQ97" s="89">
        <f t="shared" ref="BQ97" si="220">SUM(BQ98:BQ104)</f>
        <v>508921</v>
      </c>
      <c r="BR97" s="89">
        <f>SUM(BR98:BR104)</f>
        <v>0</v>
      </c>
      <c r="BS97" s="89">
        <f>SUM(BS98:BS104)</f>
        <v>573313</v>
      </c>
      <c r="BT97" s="90" t="e">
        <f t="shared" si="186"/>
        <v>#DIV/0!</v>
      </c>
      <c r="BU97" s="94">
        <f t="shared" si="187"/>
        <v>0.12652651393831271</v>
      </c>
    </row>
    <row r="98" spans="2:73" x14ac:dyDescent="0.3">
      <c r="B98" s="380"/>
      <c r="C98" s="405"/>
      <c r="D98" s="284" t="s">
        <v>35</v>
      </c>
      <c r="E98" s="285"/>
      <c r="F98" s="45">
        <v>1353342</v>
      </c>
      <c r="G98" s="39">
        <f>K98</f>
        <v>1326210</v>
      </c>
      <c r="H98" s="33">
        <f t="shared" si="161"/>
        <v>-2.0048147474917677E-2</v>
      </c>
      <c r="I98" s="107">
        <f>N98+S98+X98+AC98+AH98+AM98+AR98+AW98+BB98+BG98+BL98+BQ98</f>
        <v>1350314</v>
      </c>
      <c r="J98" s="87">
        <f t="shared" ref="J98:J103" si="221">O98+T98+Y98+AD98+AI98+AN98+AS98+AX98+BC98+BH98+BM98+BR98</f>
        <v>0</v>
      </c>
      <c r="K98" s="87">
        <f t="shared" ref="K98:K103" si="222">P98+U98+Z98+AE98+AJ98+AO98+AT98+AY98+BD98+BI98+BN98+BS98</f>
        <v>1326210</v>
      </c>
      <c r="L98" s="88" t="e">
        <f t="shared" si="162"/>
        <v>#DIV/0!</v>
      </c>
      <c r="M98" s="15">
        <f t="shared" si="163"/>
        <v>-1.7850662882855417E-2</v>
      </c>
      <c r="N98" s="13">
        <v>412515</v>
      </c>
      <c r="O98" s="39"/>
      <c r="P98" s="39">
        <v>76068</v>
      </c>
      <c r="Q98" s="88" t="e">
        <f t="shared" si="193"/>
        <v>#DIV/0!</v>
      </c>
      <c r="R98" s="15">
        <f t="shared" si="194"/>
        <v>-0.81559943274790014</v>
      </c>
      <c r="S98" s="45">
        <v>80556</v>
      </c>
      <c r="T98" s="39"/>
      <c r="U98" s="39">
        <v>363330</v>
      </c>
      <c r="V98" s="88" t="e">
        <f t="shared" si="166"/>
        <v>#DIV/0!</v>
      </c>
      <c r="W98" s="33">
        <f t="shared" si="167"/>
        <v>3.5102785639803367</v>
      </c>
      <c r="X98" s="13">
        <v>77382</v>
      </c>
      <c r="Y98" s="39"/>
      <c r="Z98" s="39">
        <v>105164</v>
      </c>
      <c r="AA98" s="88" t="e">
        <f t="shared" si="168"/>
        <v>#DIV/0!</v>
      </c>
      <c r="AB98" s="15">
        <f t="shared" si="169"/>
        <v>0.35902406244346241</v>
      </c>
      <c r="AC98" s="45">
        <v>71724</v>
      </c>
      <c r="AD98" s="39"/>
      <c r="AE98" s="39">
        <v>85232</v>
      </c>
      <c r="AF98" s="88" t="e">
        <f t="shared" si="170"/>
        <v>#DIV/0!</v>
      </c>
      <c r="AG98" s="33">
        <f t="shared" si="171"/>
        <v>0.18833305448664328</v>
      </c>
      <c r="AH98" s="13">
        <v>80556</v>
      </c>
      <c r="AI98" s="39"/>
      <c r="AJ98" s="39">
        <v>64334</v>
      </c>
      <c r="AK98" s="88" t="e">
        <f t="shared" si="172"/>
        <v>#DIV/0!</v>
      </c>
      <c r="AL98" s="15">
        <f t="shared" si="173"/>
        <v>-0.20137544068722379</v>
      </c>
      <c r="AM98" s="45">
        <v>201658</v>
      </c>
      <c r="AN98" s="39"/>
      <c r="AO98" s="39">
        <v>88553</v>
      </c>
      <c r="AP98" s="88" t="e">
        <f t="shared" si="174"/>
        <v>#DIV/0!</v>
      </c>
      <c r="AQ98" s="33">
        <f t="shared" si="175"/>
        <v>-0.56087534340318757</v>
      </c>
      <c r="AR98" s="13">
        <v>66739</v>
      </c>
      <c r="AS98" s="39"/>
      <c r="AT98" s="39">
        <v>61108</v>
      </c>
      <c r="AU98" s="88" t="e">
        <f t="shared" si="176"/>
        <v>#DIV/0!</v>
      </c>
      <c r="AV98" s="15">
        <f t="shared" si="177"/>
        <v>-8.4373454801540348E-2</v>
      </c>
      <c r="AW98" s="45">
        <v>94446</v>
      </c>
      <c r="AX98" s="39"/>
      <c r="AY98" s="39">
        <v>62670</v>
      </c>
      <c r="AZ98" s="88" t="e">
        <f t="shared" si="203"/>
        <v>#DIV/0!</v>
      </c>
      <c r="BA98" s="33">
        <f t="shared" si="179"/>
        <v>-0.33644622323867612</v>
      </c>
      <c r="BB98" s="13">
        <v>77646</v>
      </c>
      <c r="BC98" s="39"/>
      <c r="BD98" s="39">
        <v>51833</v>
      </c>
      <c r="BE98" s="88" t="e">
        <f t="shared" si="180"/>
        <v>#DIV/0!</v>
      </c>
      <c r="BF98" s="15">
        <f t="shared" si="181"/>
        <v>-0.33244468485176315</v>
      </c>
      <c r="BG98" s="45">
        <v>48534</v>
      </c>
      <c r="BH98" s="39"/>
      <c r="BI98" s="39">
        <v>129938</v>
      </c>
      <c r="BJ98" s="88" t="e">
        <f t="shared" si="182"/>
        <v>#DIV/0!</v>
      </c>
      <c r="BK98" s="33">
        <f t="shared" si="183"/>
        <v>1.6772571805332346</v>
      </c>
      <c r="BL98" s="13">
        <v>67973</v>
      </c>
      <c r="BM98" s="39"/>
      <c r="BN98" s="39">
        <v>155213</v>
      </c>
      <c r="BO98" s="88" t="e">
        <f t="shared" si="184"/>
        <v>#DIV/0!</v>
      </c>
      <c r="BP98" s="15">
        <f t="shared" si="185"/>
        <v>1.2834507819281185</v>
      </c>
      <c r="BQ98" s="45">
        <v>70585</v>
      </c>
      <c r="BR98" s="39"/>
      <c r="BS98" s="39">
        <v>82767</v>
      </c>
      <c r="BT98" s="88" t="e">
        <f t="shared" si="186"/>
        <v>#DIV/0!</v>
      </c>
      <c r="BU98" s="15">
        <f t="shared" si="187"/>
        <v>0.17258624353616203</v>
      </c>
    </row>
    <row r="99" spans="2:73" x14ac:dyDescent="0.3">
      <c r="B99" s="380"/>
      <c r="C99" s="405"/>
      <c r="D99" s="284" t="s">
        <v>36</v>
      </c>
      <c r="E99" s="285"/>
      <c r="F99" s="45">
        <v>2591261</v>
      </c>
      <c r="G99" s="39">
        <f t="shared" ref="G99:G103" si="223">K99</f>
        <v>2250544</v>
      </c>
      <c r="H99" s="33">
        <f t="shared" si="161"/>
        <v>-0.1314869478605204</v>
      </c>
      <c r="I99" s="107">
        <f t="shared" ref="I99:I103" si="224">N99+S99+X99+AC99+AH99+AM99+AR99+AW99+BB99+BG99+BL99+BQ99</f>
        <v>2591261</v>
      </c>
      <c r="J99" s="87">
        <f t="shared" si="221"/>
        <v>0</v>
      </c>
      <c r="K99" s="87">
        <f t="shared" si="222"/>
        <v>2250544</v>
      </c>
      <c r="L99" s="88" t="e">
        <f t="shared" si="162"/>
        <v>#DIV/0!</v>
      </c>
      <c r="M99" s="15">
        <f t="shared" si="163"/>
        <v>-0.1314869478605204</v>
      </c>
      <c r="N99" s="13">
        <v>242856</v>
      </c>
      <c r="O99" s="39"/>
      <c r="P99" s="39">
        <v>158374</v>
      </c>
      <c r="Q99" s="88" t="e">
        <f t="shared" si="193"/>
        <v>#DIV/0!</v>
      </c>
      <c r="R99" s="15">
        <f t="shared" si="194"/>
        <v>-0.34786869585268632</v>
      </c>
      <c r="S99" s="45">
        <v>229989</v>
      </c>
      <c r="T99" s="39"/>
      <c r="U99" s="39">
        <v>165054</v>
      </c>
      <c r="V99" s="88" t="e">
        <f t="shared" si="166"/>
        <v>#DIV/0!</v>
      </c>
      <c r="W99" s="33">
        <f t="shared" si="167"/>
        <v>-0.28233959015431176</v>
      </c>
      <c r="X99" s="13">
        <v>378291</v>
      </c>
      <c r="Y99" s="39"/>
      <c r="Z99" s="39">
        <v>183672</v>
      </c>
      <c r="AA99" s="88" t="e">
        <f t="shared" si="168"/>
        <v>#DIV/0!</v>
      </c>
      <c r="AB99" s="15">
        <f t="shared" si="169"/>
        <v>-0.51446901988151983</v>
      </c>
      <c r="AC99" s="45">
        <v>214861</v>
      </c>
      <c r="AD99" s="39"/>
      <c r="AE99" s="39">
        <v>209776</v>
      </c>
      <c r="AF99" s="88" t="e">
        <f t="shared" si="170"/>
        <v>#DIV/0!</v>
      </c>
      <c r="AG99" s="33">
        <f t="shared" si="171"/>
        <v>-2.3666463434499518E-2</v>
      </c>
      <c r="AH99" s="13">
        <v>195632</v>
      </c>
      <c r="AI99" s="39"/>
      <c r="AJ99" s="39">
        <v>239161</v>
      </c>
      <c r="AK99" s="88" t="e">
        <f t="shared" si="172"/>
        <v>#DIV/0!</v>
      </c>
      <c r="AL99" s="15">
        <f t="shared" si="173"/>
        <v>0.22250449824159646</v>
      </c>
      <c r="AM99" s="45">
        <v>134827</v>
      </c>
      <c r="AN99" s="39"/>
      <c r="AO99" s="39">
        <v>208643</v>
      </c>
      <c r="AP99" s="88" t="e">
        <f t="shared" si="174"/>
        <v>#DIV/0!</v>
      </c>
      <c r="AQ99" s="33">
        <f t="shared" si="175"/>
        <v>0.54748677935428369</v>
      </c>
      <c r="AR99" s="13">
        <v>148627</v>
      </c>
      <c r="AS99" s="39"/>
      <c r="AT99" s="39">
        <v>159982</v>
      </c>
      <c r="AU99" s="88" t="e">
        <f t="shared" si="176"/>
        <v>#DIV/0!</v>
      </c>
      <c r="AV99" s="15">
        <f t="shared" si="177"/>
        <v>7.6399308335632243E-2</v>
      </c>
      <c r="AW99" s="45">
        <v>189944</v>
      </c>
      <c r="AX99" s="39"/>
      <c r="AY99" s="39">
        <v>164230</v>
      </c>
      <c r="AZ99" s="88" t="e">
        <f t="shared" si="203"/>
        <v>#DIV/0!</v>
      </c>
      <c r="BA99" s="33">
        <f t="shared" si="179"/>
        <v>-0.13537674261887711</v>
      </c>
      <c r="BB99" s="13">
        <v>143768</v>
      </c>
      <c r="BC99" s="39"/>
      <c r="BD99" s="39">
        <v>144069</v>
      </c>
      <c r="BE99" s="88" t="e">
        <f t="shared" si="180"/>
        <v>#DIV/0!</v>
      </c>
      <c r="BF99" s="15">
        <f t="shared" si="181"/>
        <v>2.0936508819764388E-3</v>
      </c>
      <c r="BG99" s="45">
        <v>270671</v>
      </c>
      <c r="BH99" s="39"/>
      <c r="BI99" s="39">
        <v>272519</v>
      </c>
      <c r="BJ99" s="88" t="e">
        <f t="shared" si="182"/>
        <v>#DIV/0!</v>
      </c>
      <c r="BK99" s="33">
        <f t="shared" si="183"/>
        <v>6.8274769000002955E-3</v>
      </c>
      <c r="BL99" s="13">
        <v>252616</v>
      </c>
      <c r="BM99" s="39"/>
      <c r="BN99" s="39">
        <v>188466</v>
      </c>
      <c r="BO99" s="88" t="e">
        <f t="shared" si="184"/>
        <v>#DIV/0!</v>
      </c>
      <c r="BP99" s="15">
        <f t="shared" si="185"/>
        <v>-0.25394274313582665</v>
      </c>
      <c r="BQ99" s="45">
        <v>189179</v>
      </c>
      <c r="BR99" s="39"/>
      <c r="BS99" s="39">
        <v>156598</v>
      </c>
      <c r="BT99" s="88" t="e">
        <f t="shared" si="186"/>
        <v>#DIV/0!</v>
      </c>
      <c r="BU99" s="15">
        <f t="shared" si="187"/>
        <v>-0.17222313258871225</v>
      </c>
    </row>
    <row r="100" spans="2:73" x14ac:dyDescent="0.3">
      <c r="B100" s="380"/>
      <c r="C100" s="405"/>
      <c r="D100" s="284" t="s">
        <v>37</v>
      </c>
      <c r="E100" s="285"/>
      <c r="F100" s="45">
        <v>611472</v>
      </c>
      <c r="G100" s="39">
        <f t="shared" si="223"/>
        <v>646705</v>
      </c>
      <c r="H100" s="33">
        <f t="shared" si="161"/>
        <v>5.7619972786979723E-2</v>
      </c>
      <c r="I100" s="107">
        <f t="shared" si="224"/>
        <v>614700</v>
      </c>
      <c r="J100" s="87">
        <f t="shared" si="221"/>
        <v>0</v>
      </c>
      <c r="K100" s="87">
        <f t="shared" si="222"/>
        <v>646705</v>
      </c>
      <c r="L100" s="88" t="e">
        <f t="shared" si="162"/>
        <v>#DIV/0!</v>
      </c>
      <c r="M100" s="15">
        <f t="shared" si="163"/>
        <v>5.2066048478932814E-2</v>
      </c>
      <c r="N100" s="13">
        <v>23949</v>
      </c>
      <c r="O100" s="39"/>
      <c r="P100" s="39">
        <v>74738</v>
      </c>
      <c r="Q100" s="88" t="e">
        <f t="shared" si="193"/>
        <v>#DIV/0!</v>
      </c>
      <c r="R100" s="15">
        <f t="shared" si="194"/>
        <v>2.1207148523946722</v>
      </c>
      <c r="S100" s="45">
        <v>27955</v>
      </c>
      <c r="T100" s="39"/>
      <c r="U100" s="39">
        <v>32744</v>
      </c>
      <c r="V100" s="88" t="e">
        <f t="shared" si="166"/>
        <v>#DIV/0!</v>
      </c>
      <c r="W100" s="33">
        <f t="shared" si="167"/>
        <v>0.17131103559291727</v>
      </c>
      <c r="X100" s="13">
        <v>69980</v>
      </c>
      <c r="Y100" s="39"/>
      <c r="Z100" s="39">
        <v>86411</v>
      </c>
      <c r="AA100" s="88" t="e">
        <f t="shared" si="168"/>
        <v>#DIV/0!</v>
      </c>
      <c r="AB100" s="15">
        <f t="shared" si="169"/>
        <v>0.23479565590168616</v>
      </c>
      <c r="AC100" s="45">
        <v>105539</v>
      </c>
      <c r="AD100" s="39"/>
      <c r="AE100" s="39">
        <v>66876</v>
      </c>
      <c r="AF100" s="88" t="e">
        <f t="shared" si="170"/>
        <v>#DIV/0!</v>
      </c>
      <c r="AG100" s="33">
        <f t="shared" si="171"/>
        <v>-0.36633850993471606</v>
      </c>
      <c r="AH100" s="13">
        <v>63731</v>
      </c>
      <c r="AI100" s="39"/>
      <c r="AJ100" s="39">
        <v>51856</v>
      </c>
      <c r="AK100" s="88" t="e">
        <f t="shared" si="172"/>
        <v>#DIV/0!</v>
      </c>
      <c r="AL100" s="15">
        <f t="shared" si="173"/>
        <v>-0.18633004346393434</v>
      </c>
      <c r="AM100" s="45">
        <v>88442</v>
      </c>
      <c r="AN100" s="39"/>
      <c r="AO100" s="39">
        <v>36605</v>
      </c>
      <c r="AP100" s="88" t="e">
        <f t="shared" si="174"/>
        <v>#DIV/0!</v>
      </c>
      <c r="AQ100" s="33">
        <f t="shared" si="175"/>
        <v>-0.58611293276949872</v>
      </c>
      <c r="AR100" s="13">
        <v>51240</v>
      </c>
      <c r="AS100" s="39"/>
      <c r="AT100" s="39">
        <v>39928</v>
      </c>
      <c r="AU100" s="88" t="e">
        <f t="shared" si="176"/>
        <v>#DIV/0!</v>
      </c>
      <c r="AV100" s="15">
        <f t="shared" si="177"/>
        <v>-0.22076502732240433</v>
      </c>
      <c r="AW100" s="45">
        <v>28029</v>
      </c>
      <c r="AX100" s="39"/>
      <c r="AY100" s="39">
        <v>33534</v>
      </c>
      <c r="AZ100" s="88" t="e">
        <f t="shared" si="203"/>
        <v>#DIV/0!</v>
      </c>
      <c r="BA100" s="33">
        <f t="shared" si="179"/>
        <v>0.19640372471368939</v>
      </c>
      <c r="BB100" s="13">
        <v>33504</v>
      </c>
      <c r="BC100" s="39"/>
      <c r="BD100" s="39">
        <v>36838</v>
      </c>
      <c r="BE100" s="88" t="e">
        <f t="shared" si="180"/>
        <v>#DIV/0!</v>
      </c>
      <c r="BF100" s="15">
        <f t="shared" si="181"/>
        <v>9.9510506208214E-2</v>
      </c>
      <c r="BG100" s="45">
        <v>38735</v>
      </c>
      <c r="BH100" s="39"/>
      <c r="BI100" s="39">
        <v>34948</v>
      </c>
      <c r="BJ100" s="88" t="e">
        <f t="shared" si="182"/>
        <v>#DIV/0!</v>
      </c>
      <c r="BK100" s="33">
        <f t="shared" si="183"/>
        <v>-9.776687750096813E-2</v>
      </c>
      <c r="BL100" s="13">
        <v>41483</v>
      </c>
      <c r="BM100" s="39"/>
      <c r="BN100" s="39">
        <v>61613</v>
      </c>
      <c r="BO100" s="88" t="e">
        <f t="shared" si="184"/>
        <v>#DIV/0!</v>
      </c>
      <c r="BP100" s="15">
        <f t="shared" si="185"/>
        <v>0.4852590217679531</v>
      </c>
      <c r="BQ100" s="45">
        <v>42113</v>
      </c>
      <c r="BR100" s="39"/>
      <c r="BS100" s="39">
        <v>90614</v>
      </c>
      <c r="BT100" s="88" t="e">
        <f t="shared" si="186"/>
        <v>#DIV/0!</v>
      </c>
      <c r="BU100" s="15">
        <f t="shared" si="187"/>
        <v>1.1516871274903235</v>
      </c>
    </row>
    <row r="101" spans="2:73" x14ac:dyDescent="0.3">
      <c r="B101" s="380"/>
      <c r="C101" s="405"/>
      <c r="D101" s="284" t="s">
        <v>38</v>
      </c>
      <c r="E101" s="285"/>
      <c r="F101" s="45">
        <v>366503</v>
      </c>
      <c r="G101" s="39">
        <f t="shared" si="223"/>
        <v>448798</v>
      </c>
      <c r="H101" s="33">
        <f t="shared" si="161"/>
        <v>0.2245411360889269</v>
      </c>
      <c r="I101" s="107">
        <f t="shared" si="224"/>
        <v>366303</v>
      </c>
      <c r="J101" s="87">
        <f t="shared" si="221"/>
        <v>0</v>
      </c>
      <c r="K101" s="87">
        <f t="shared" si="222"/>
        <v>448798</v>
      </c>
      <c r="L101" s="88" t="e">
        <f t="shared" si="162"/>
        <v>#DIV/0!</v>
      </c>
      <c r="M101" s="15">
        <f t="shared" si="163"/>
        <v>0.22520973074203599</v>
      </c>
      <c r="N101" s="13">
        <v>28580</v>
      </c>
      <c r="O101" s="39"/>
      <c r="P101" s="39">
        <v>31656</v>
      </c>
      <c r="Q101" s="88" t="e">
        <f t="shared" si="193"/>
        <v>#DIV/0!</v>
      </c>
      <c r="R101" s="15">
        <f t="shared" si="194"/>
        <v>0.1076277116864941</v>
      </c>
      <c r="S101" s="45">
        <v>18352</v>
      </c>
      <c r="T101" s="39"/>
      <c r="U101" s="39">
        <v>31010</v>
      </c>
      <c r="V101" s="88" t="e">
        <f t="shared" si="166"/>
        <v>#DIV/0!</v>
      </c>
      <c r="W101" s="33">
        <f t="shared" si="167"/>
        <v>0.68973408892763732</v>
      </c>
      <c r="X101" s="13">
        <v>52297</v>
      </c>
      <c r="Y101" s="39"/>
      <c r="Z101" s="39">
        <v>45307</v>
      </c>
      <c r="AA101" s="88" t="e">
        <f t="shared" si="168"/>
        <v>#DIV/0!</v>
      </c>
      <c r="AB101" s="15">
        <f t="shared" si="169"/>
        <v>-0.13365967455112149</v>
      </c>
      <c r="AC101" s="45">
        <v>29839</v>
      </c>
      <c r="AD101" s="39"/>
      <c r="AE101" s="39">
        <v>26657</v>
      </c>
      <c r="AF101" s="88" t="e">
        <f t="shared" si="170"/>
        <v>#DIV/0!</v>
      </c>
      <c r="AG101" s="33">
        <f t="shared" si="171"/>
        <v>-0.10663896243171689</v>
      </c>
      <c r="AH101" s="13">
        <v>36544</v>
      </c>
      <c r="AI101" s="39"/>
      <c r="AJ101" s="39">
        <v>74601</v>
      </c>
      <c r="AK101" s="88" t="e">
        <f t="shared" si="172"/>
        <v>#DIV/0!</v>
      </c>
      <c r="AL101" s="15">
        <f t="shared" si="173"/>
        <v>1.0414021453590192</v>
      </c>
      <c r="AM101" s="45">
        <v>27047</v>
      </c>
      <c r="AN101" s="39"/>
      <c r="AO101" s="39">
        <v>29149</v>
      </c>
      <c r="AP101" s="88" t="e">
        <f t="shared" si="174"/>
        <v>#DIV/0!</v>
      </c>
      <c r="AQ101" s="33">
        <f t="shared" si="175"/>
        <v>7.7716567456649566E-2</v>
      </c>
      <c r="AR101" s="13">
        <v>29626</v>
      </c>
      <c r="AS101" s="39"/>
      <c r="AT101" s="39">
        <v>33566</v>
      </c>
      <c r="AU101" s="88" t="e">
        <f t="shared" si="176"/>
        <v>#DIV/0!</v>
      </c>
      <c r="AV101" s="15">
        <f t="shared" si="177"/>
        <v>0.13299129143320054</v>
      </c>
      <c r="AW101" s="45">
        <v>27123</v>
      </c>
      <c r="AX101" s="39"/>
      <c r="AY101" s="39">
        <v>33377</v>
      </c>
      <c r="AZ101" s="88" t="e">
        <f t="shared" si="203"/>
        <v>#DIV/0!</v>
      </c>
      <c r="BA101" s="33">
        <f t="shared" si="179"/>
        <v>0.23057921321387753</v>
      </c>
      <c r="BB101" s="13">
        <v>26060</v>
      </c>
      <c r="BC101" s="39"/>
      <c r="BD101" s="39">
        <v>39909</v>
      </c>
      <c r="BE101" s="88" t="e">
        <f t="shared" si="180"/>
        <v>#DIV/0!</v>
      </c>
      <c r="BF101" s="15">
        <f t="shared" si="181"/>
        <v>0.53142747505755938</v>
      </c>
      <c r="BG101" s="45">
        <v>30842</v>
      </c>
      <c r="BH101" s="39"/>
      <c r="BI101" s="39">
        <v>29119</v>
      </c>
      <c r="BJ101" s="88" t="e">
        <f t="shared" si="182"/>
        <v>#DIV/0!</v>
      </c>
      <c r="BK101" s="33">
        <f t="shared" si="183"/>
        <v>-5.5865378380130948E-2</v>
      </c>
      <c r="BL101" s="13">
        <v>31824</v>
      </c>
      <c r="BM101" s="39"/>
      <c r="BN101" s="39">
        <v>35105</v>
      </c>
      <c r="BO101" s="88" t="e">
        <f t="shared" si="184"/>
        <v>#DIV/0!</v>
      </c>
      <c r="BP101" s="15">
        <f t="shared" si="185"/>
        <v>0.10309829059829068</v>
      </c>
      <c r="BQ101" s="45">
        <v>28169</v>
      </c>
      <c r="BR101" s="39"/>
      <c r="BS101" s="39">
        <v>39342</v>
      </c>
      <c r="BT101" s="88" t="e">
        <f t="shared" si="186"/>
        <v>#DIV/0!</v>
      </c>
      <c r="BU101" s="15">
        <f t="shared" si="187"/>
        <v>0.39664169832084917</v>
      </c>
    </row>
    <row r="102" spans="2:73" x14ac:dyDescent="0.3">
      <c r="B102" s="380"/>
      <c r="C102" s="405"/>
      <c r="D102" s="284" t="s">
        <v>39</v>
      </c>
      <c r="E102" s="285"/>
      <c r="F102" s="45">
        <v>1914925.7000000004</v>
      </c>
      <c r="G102" s="39">
        <f t="shared" si="223"/>
        <v>1823088</v>
      </c>
      <c r="H102" s="33">
        <f t="shared" si="161"/>
        <v>-4.7958884253316181E-2</v>
      </c>
      <c r="I102" s="107">
        <f t="shared" si="224"/>
        <v>1914925.7</v>
      </c>
      <c r="J102" s="87">
        <f t="shared" si="221"/>
        <v>0</v>
      </c>
      <c r="K102" s="87">
        <f t="shared" si="222"/>
        <v>1823088</v>
      </c>
      <c r="L102" s="88" t="e">
        <f t="shared" si="162"/>
        <v>#DIV/0!</v>
      </c>
      <c r="M102" s="15">
        <f t="shared" si="163"/>
        <v>-4.7958884253315959E-2</v>
      </c>
      <c r="N102" s="13">
        <v>134587.29999999999</v>
      </c>
      <c r="O102" s="39"/>
      <c r="P102" s="39">
        <v>112118</v>
      </c>
      <c r="Q102" s="88" t="e">
        <f t="shared" si="193"/>
        <v>#DIV/0!</v>
      </c>
      <c r="R102" s="15">
        <f t="shared" si="194"/>
        <v>-0.1669496304629039</v>
      </c>
      <c r="S102" s="45">
        <v>142024.09999999998</v>
      </c>
      <c r="T102" s="39"/>
      <c r="U102" s="39">
        <v>120772</v>
      </c>
      <c r="V102" s="88" t="e">
        <f t="shared" si="166"/>
        <v>#DIV/0!</v>
      </c>
      <c r="W102" s="33">
        <f t="shared" si="167"/>
        <v>-0.14963727987010644</v>
      </c>
      <c r="X102" s="13">
        <v>165794.4</v>
      </c>
      <c r="Y102" s="39"/>
      <c r="Z102" s="39">
        <v>124667</v>
      </c>
      <c r="AA102" s="88" t="e">
        <f t="shared" si="168"/>
        <v>#DIV/0!</v>
      </c>
      <c r="AB102" s="15">
        <f t="shared" si="169"/>
        <v>-0.24806266074125538</v>
      </c>
      <c r="AC102" s="45">
        <v>260169.89999999997</v>
      </c>
      <c r="AD102" s="39"/>
      <c r="AE102" s="39">
        <v>171103</v>
      </c>
      <c r="AF102" s="88" t="e">
        <f t="shared" si="170"/>
        <v>#DIV/0!</v>
      </c>
      <c r="AG102" s="33">
        <f t="shared" si="171"/>
        <v>-0.34234129313191097</v>
      </c>
      <c r="AH102" s="13">
        <v>186752</v>
      </c>
      <c r="AI102" s="39"/>
      <c r="AJ102" s="39">
        <v>149552</v>
      </c>
      <c r="AK102" s="88" t="e">
        <f t="shared" si="172"/>
        <v>#DIV/0!</v>
      </c>
      <c r="AL102" s="15">
        <f t="shared" si="173"/>
        <v>-0.19919465387251545</v>
      </c>
      <c r="AM102" s="45">
        <v>168231</v>
      </c>
      <c r="AN102" s="39"/>
      <c r="AO102" s="39">
        <v>160153</v>
      </c>
      <c r="AP102" s="88" t="e">
        <f t="shared" si="174"/>
        <v>#DIV/0!</v>
      </c>
      <c r="AQ102" s="33">
        <f t="shared" si="175"/>
        <v>-4.8017309532725871E-2</v>
      </c>
      <c r="AR102" s="13">
        <v>117356</v>
      </c>
      <c r="AS102" s="39"/>
      <c r="AT102" s="39">
        <v>182333</v>
      </c>
      <c r="AU102" s="88" t="e">
        <f t="shared" si="176"/>
        <v>#DIV/0!</v>
      </c>
      <c r="AV102" s="15">
        <f t="shared" si="177"/>
        <v>0.55367429019393977</v>
      </c>
      <c r="AW102" s="45">
        <v>197384</v>
      </c>
      <c r="AX102" s="39"/>
      <c r="AY102" s="39">
        <v>161455</v>
      </c>
      <c r="AZ102" s="88" t="e">
        <f t="shared" si="203"/>
        <v>#DIV/0!</v>
      </c>
      <c r="BA102" s="33">
        <f t="shared" si="179"/>
        <v>-0.18202589875572484</v>
      </c>
      <c r="BB102" s="13">
        <v>123705</v>
      </c>
      <c r="BC102" s="39"/>
      <c r="BD102" s="39">
        <v>144563</v>
      </c>
      <c r="BE102" s="88" t="e">
        <f t="shared" si="180"/>
        <v>#DIV/0!</v>
      </c>
      <c r="BF102" s="15">
        <f t="shared" si="181"/>
        <v>0.16861080797057526</v>
      </c>
      <c r="BG102" s="45">
        <v>118413</v>
      </c>
      <c r="BH102" s="39"/>
      <c r="BI102" s="39">
        <v>174863</v>
      </c>
      <c r="BJ102" s="88" t="e">
        <f t="shared" si="182"/>
        <v>#DIV/0!</v>
      </c>
      <c r="BK102" s="33">
        <f t="shared" si="183"/>
        <v>0.47672130593769269</v>
      </c>
      <c r="BL102" s="13">
        <v>159551</v>
      </c>
      <c r="BM102" s="39"/>
      <c r="BN102" s="39">
        <v>160592</v>
      </c>
      <c r="BO102" s="88" t="e">
        <f t="shared" si="184"/>
        <v>#DIV/0!</v>
      </c>
      <c r="BP102" s="15">
        <f t="shared" si="185"/>
        <v>6.5245595452236849E-3</v>
      </c>
      <c r="BQ102" s="45">
        <v>140958</v>
      </c>
      <c r="BR102" s="39"/>
      <c r="BS102" s="39">
        <v>160917</v>
      </c>
      <c r="BT102" s="88" t="e">
        <f t="shared" si="186"/>
        <v>#DIV/0!</v>
      </c>
      <c r="BU102" s="15">
        <f t="shared" si="187"/>
        <v>0.1415953688332694</v>
      </c>
    </row>
    <row r="103" spans="2:73" x14ac:dyDescent="0.3">
      <c r="B103" s="380"/>
      <c r="C103" s="405"/>
      <c r="D103" s="284" t="s">
        <v>40</v>
      </c>
      <c r="E103" s="285"/>
      <c r="F103" s="45">
        <v>409621.2</v>
      </c>
      <c r="G103" s="39">
        <f t="shared" si="223"/>
        <v>648941</v>
      </c>
      <c r="H103" s="33">
        <f t="shared" si="161"/>
        <v>0.58424661614193796</v>
      </c>
      <c r="I103" s="107">
        <f t="shared" si="224"/>
        <v>409621.2</v>
      </c>
      <c r="J103" s="87">
        <f t="shared" si="221"/>
        <v>0</v>
      </c>
      <c r="K103" s="87">
        <f t="shared" si="222"/>
        <v>648941</v>
      </c>
      <c r="L103" s="88" t="e">
        <f t="shared" si="162"/>
        <v>#DIV/0!</v>
      </c>
      <c r="M103" s="15">
        <f t="shared" si="163"/>
        <v>0.58424661614193796</v>
      </c>
      <c r="N103" s="13">
        <v>24644.500000000004</v>
      </c>
      <c r="O103" s="39"/>
      <c r="P103" s="39">
        <v>34773</v>
      </c>
      <c r="Q103" s="88" t="e">
        <f t="shared" si="193"/>
        <v>#DIV/0!</v>
      </c>
      <c r="R103" s="15">
        <f t="shared" si="194"/>
        <v>0.41098419525654784</v>
      </c>
      <c r="S103" s="45">
        <v>32889.5</v>
      </c>
      <c r="T103" s="39"/>
      <c r="U103" s="39">
        <v>31150</v>
      </c>
      <c r="V103" s="88" t="e">
        <f t="shared" si="166"/>
        <v>#DIV/0!</v>
      </c>
      <c r="W103" s="33">
        <f t="shared" si="167"/>
        <v>-5.2889219963818235E-2</v>
      </c>
      <c r="X103" s="13">
        <v>37048.700000000004</v>
      </c>
      <c r="Y103" s="39"/>
      <c r="Z103" s="39">
        <v>31766</v>
      </c>
      <c r="AA103" s="88" t="e">
        <f t="shared" si="168"/>
        <v>#DIV/0!</v>
      </c>
      <c r="AB103" s="15">
        <f t="shared" si="169"/>
        <v>-0.14258799903910269</v>
      </c>
      <c r="AC103" s="45">
        <v>31164.500000000004</v>
      </c>
      <c r="AD103" s="39"/>
      <c r="AE103" s="39">
        <v>44463</v>
      </c>
      <c r="AF103" s="88" t="e">
        <f t="shared" si="170"/>
        <v>#DIV/0!</v>
      </c>
      <c r="AG103" s="33">
        <f t="shared" si="171"/>
        <v>0.42671950456448826</v>
      </c>
      <c r="AH103" s="13">
        <v>51759</v>
      </c>
      <c r="AI103" s="39"/>
      <c r="AJ103" s="39">
        <v>68210</v>
      </c>
      <c r="AK103" s="88" t="e">
        <f t="shared" si="172"/>
        <v>#DIV/0!</v>
      </c>
      <c r="AL103" s="15">
        <f t="shared" si="173"/>
        <v>0.31783844355571023</v>
      </c>
      <c r="AM103" s="45">
        <v>30161</v>
      </c>
      <c r="AN103" s="39"/>
      <c r="AO103" s="39">
        <v>56551</v>
      </c>
      <c r="AP103" s="88" t="e">
        <f t="shared" si="174"/>
        <v>#DIV/0!</v>
      </c>
      <c r="AQ103" s="33">
        <f t="shared" si="175"/>
        <v>0.87497098902556281</v>
      </c>
      <c r="AR103" s="13">
        <v>36769</v>
      </c>
      <c r="AS103" s="39"/>
      <c r="AT103" s="39">
        <v>42081</v>
      </c>
      <c r="AU103" s="88" t="e">
        <f t="shared" si="176"/>
        <v>#DIV/0!</v>
      </c>
      <c r="AV103" s="15">
        <f t="shared" si="177"/>
        <v>0.14446952595936802</v>
      </c>
      <c r="AW103" s="45">
        <v>21585</v>
      </c>
      <c r="AX103" s="39"/>
      <c r="AY103" s="39">
        <v>87290</v>
      </c>
      <c r="AZ103" s="88" t="e">
        <f t="shared" si="203"/>
        <v>#DIV/0!</v>
      </c>
      <c r="BA103" s="33">
        <f t="shared" si="179"/>
        <v>3.0440120454018995</v>
      </c>
      <c r="BB103" s="13">
        <v>29866</v>
      </c>
      <c r="BC103" s="39"/>
      <c r="BD103" s="39">
        <v>65578</v>
      </c>
      <c r="BE103" s="88" t="e">
        <f t="shared" si="180"/>
        <v>#DIV/0!</v>
      </c>
      <c r="BF103" s="15">
        <f t="shared" si="181"/>
        <v>1.1957409763610793</v>
      </c>
      <c r="BG103" s="45">
        <v>25892</v>
      </c>
      <c r="BH103" s="39"/>
      <c r="BI103" s="39">
        <v>92171</v>
      </c>
      <c r="BJ103" s="88" t="e">
        <f t="shared" si="182"/>
        <v>#DIV/0!</v>
      </c>
      <c r="BK103" s="33">
        <f t="shared" si="183"/>
        <v>2.5598254287038467</v>
      </c>
      <c r="BL103" s="13">
        <v>49925</v>
      </c>
      <c r="BM103" s="39"/>
      <c r="BN103" s="39">
        <v>51833</v>
      </c>
      <c r="BO103" s="88" t="e">
        <f t="shared" si="184"/>
        <v>#DIV/0!</v>
      </c>
      <c r="BP103" s="15">
        <f t="shared" si="185"/>
        <v>3.821732598898353E-2</v>
      </c>
      <c r="BQ103" s="45">
        <v>37917</v>
      </c>
      <c r="BR103" s="39"/>
      <c r="BS103" s="39">
        <v>43075</v>
      </c>
      <c r="BT103" s="88" t="e">
        <f t="shared" si="186"/>
        <v>#DIV/0!</v>
      </c>
      <c r="BU103" s="15">
        <f t="shared" si="187"/>
        <v>0.13603396893214126</v>
      </c>
    </row>
    <row r="104" spans="2:73" ht="17.25" thickBot="1" x14ac:dyDescent="0.35">
      <c r="B104" s="380"/>
      <c r="C104" s="405"/>
      <c r="D104" s="286" t="s">
        <v>41</v>
      </c>
      <c r="E104" s="287"/>
      <c r="F104" s="45"/>
      <c r="G104" s="39"/>
      <c r="H104" s="33"/>
      <c r="I104" s="107"/>
      <c r="J104" s="87"/>
      <c r="K104" s="87"/>
      <c r="L104" s="88"/>
      <c r="M104" s="15"/>
      <c r="N104" s="13"/>
      <c r="O104" s="39"/>
      <c r="P104" s="39"/>
      <c r="Q104" s="88"/>
      <c r="R104" s="15"/>
      <c r="S104" s="45"/>
      <c r="T104" s="39"/>
      <c r="U104" s="39"/>
      <c r="V104" s="88"/>
      <c r="W104" s="33"/>
      <c r="X104" s="13"/>
      <c r="Y104" s="39"/>
      <c r="Z104" s="39"/>
      <c r="AA104" s="88"/>
      <c r="AB104" s="15"/>
      <c r="AC104" s="45"/>
      <c r="AD104" s="39"/>
      <c r="AE104" s="39"/>
      <c r="AF104" s="88"/>
      <c r="AG104" s="33"/>
      <c r="AH104" s="13"/>
      <c r="AI104" s="39"/>
      <c r="AJ104" s="39"/>
      <c r="AK104" s="88"/>
      <c r="AL104" s="15"/>
      <c r="AM104" s="45"/>
      <c r="AN104" s="39"/>
      <c r="AO104" s="39"/>
      <c r="AP104" s="88"/>
      <c r="AQ104" s="33"/>
      <c r="AR104" s="13"/>
      <c r="AS104" s="39"/>
      <c r="AT104" s="39"/>
      <c r="AU104" s="88"/>
      <c r="AV104" s="15"/>
      <c r="AW104" s="45"/>
      <c r="AX104" s="39"/>
      <c r="AY104" s="39"/>
      <c r="AZ104" s="88"/>
      <c r="BA104" s="33"/>
      <c r="BB104" s="13"/>
      <c r="BC104" s="39"/>
      <c r="BD104" s="39"/>
      <c r="BE104" s="88"/>
      <c r="BF104" s="15"/>
      <c r="BG104" s="45"/>
      <c r="BH104" s="39"/>
      <c r="BI104" s="39"/>
      <c r="BJ104" s="88"/>
      <c r="BK104" s="33"/>
      <c r="BL104" s="13"/>
      <c r="BM104" s="39"/>
      <c r="BN104" s="39"/>
      <c r="BO104" s="88"/>
      <c r="BP104" s="15"/>
      <c r="BQ104" s="45"/>
      <c r="BR104" s="39"/>
      <c r="BS104" s="39"/>
      <c r="BT104" s="88"/>
      <c r="BU104" s="15"/>
    </row>
    <row r="105" spans="2:73" ht="17.25" thickBot="1" x14ac:dyDescent="0.35">
      <c r="B105" s="406"/>
      <c r="C105" s="407" t="s">
        <v>42</v>
      </c>
      <c r="D105" s="408"/>
      <c r="E105" s="409"/>
      <c r="F105" s="123">
        <f>F97+F94</f>
        <v>8010680.9000000004</v>
      </c>
      <c r="G105" s="124">
        <f>G97+G94</f>
        <v>7979682</v>
      </c>
      <c r="H105" s="149">
        <f t="shared" si="161"/>
        <v>-3.8696960204719355E-3</v>
      </c>
      <c r="I105" s="125">
        <f>I97+I94</f>
        <v>8010680.9000000004</v>
      </c>
      <c r="J105" s="124">
        <f>J97+J94</f>
        <v>0</v>
      </c>
      <c r="K105" s="124">
        <f>K97+K94</f>
        <v>7977290</v>
      </c>
      <c r="L105" s="126" t="e">
        <f t="shared" si="162"/>
        <v>#DIV/0!</v>
      </c>
      <c r="M105" s="127">
        <f t="shared" si="163"/>
        <v>-4.1682973540988488E-3</v>
      </c>
      <c r="N105" s="125">
        <f>N97+N94</f>
        <v>924528.8</v>
      </c>
      <c r="O105" s="124">
        <f>O97+O94</f>
        <v>0</v>
      </c>
      <c r="P105" s="124">
        <f>P97+P94</f>
        <v>537791</v>
      </c>
      <c r="Q105" s="126" t="e">
        <f t="shared" si="193"/>
        <v>#DIV/0!</v>
      </c>
      <c r="R105" s="127">
        <f t="shared" si="194"/>
        <v>-0.41830800727895123</v>
      </c>
      <c r="S105" s="123">
        <f>S97+S94</f>
        <v>591033.59999999998</v>
      </c>
      <c r="T105" s="124">
        <f>T97+T94</f>
        <v>0</v>
      </c>
      <c r="U105" s="124">
        <f>U97+U94</f>
        <v>818144</v>
      </c>
      <c r="V105" s="126" t="e">
        <f t="shared" si="166"/>
        <v>#DIV/0!</v>
      </c>
      <c r="W105" s="128">
        <f t="shared" si="167"/>
        <v>0.38425971044624196</v>
      </c>
      <c r="X105" s="125">
        <f>X97+X94</f>
        <v>868260.1</v>
      </c>
      <c r="Y105" s="124">
        <f>Y97+Y94</f>
        <v>0</v>
      </c>
      <c r="Z105" s="124">
        <f>Z97+Z94</f>
        <v>645059</v>
      </c>
      <c r="AA105" s="126" t="e">
        <f t="shared" si="168"/>
        <v>#DIV/0!</v>
      </c>
      <c r="AB105" s="127">
        <f t="shared" si="169"/>
        <v>-0.25706709314409359</v>
      </c>
      <c r="AC105" s="123">
        <f>AC97+AC94</f>
        <v>770964.39999999991</v>
      </c>
      <c r="AD105" s="124">
        <f>AD97+AD94</f>
        <v>0</v>
      </c>
      <c r="AE105" s="124">
        <f>AE97+AE94</f>
        <v>688642</v>
      </c>
      <c r="AF105" s="126" t="e">
        <f t="shared" si="170"/>
        <v>#DIV/0!</v>
      </c>
      <c r="AG105" s="128">
        <f t="shared" si="171"/>
        <v>-0.10677847122383333</v>
      </c>
      <c r="AH105" s="125">
        <f>AH97+AH94</f>
        <v>677911</v>
      </c>
      <c r="AI105" s="124">
        <f>AI97+AI94</f>
        <v>0</v>
      </c>
      <c r="AJ105" s="124">
        <f>AJ97+AJ94</f>
        <v>722223</v>
      </c>
      <c r="AK105" s="126" t="e">
        <f t="shared" si="172"/>
        <v>#DIV/0!</v>
      </c>
      <c r="AL105" s="127">
        <f t="shared" si="173"/>
        <v>6.5365512582035157E-2</v>
      </c>
      <c r="AM105" s="123">
        <f>AM97+AM94</f>
        <v>701803</v>
      </c>
      <c r="AN105" s="124">
        <f>AN97+AN94</f>
        <v>0</v>
      </c>
      <c r="AO105" s="124">
        <f>AO97+AO94</f>
        <v>633867</v>
      </c>
      <c r="AP105" s="126" t="e">
        <f t="shared" si="174"/>
        <v>#DIV/0!</v>
      </c>
      <c r="AQ105" s="128">
        <f t="shared" si="175"/>
        <v>-9.6802094034935782E-2</v>
      </c>
      <c r="AR105" s="125">
        <f>AR97+AR94</f>
        <v>513267</v>
      </c>
      <c r="AS105" s="124">
        <f>AS97+AS94</f>
        <v>0</v>
      </c>
      <c r="AT105" s="124">
        <f>AT97+AT94</f>
        <v>591577</v>
      </c>
      <c r="AU105" s="126" t="e">
        <f t="shared" si="176"/>
        <v>#DIV/0!</v>
      </c>
      <c r="AV105" s="127">
        <f t="shared" si="177"/>
        <v>0.15257166348119</v>
      </c>
      <c r="AW105" s="123">
        <f>AW97+AW94</f>
        <v>628180</v>
      </c>
      <c r="AX105" s="124">
        <f>AX97+AX94</f>
        <v>0</v>
      </c>
      <c r="AY105" s="124">
        <f>AY97+AY94</f>
        <v>609309</v>
      </c>
      <c r="AZ105" s="126" t="e">
        <f t="shared" si="203"/>
        <v>#DIV/0!</v>
      </c>
      <c r="BA105" s="128">
        <f t="shared" si="179"/>
        <v>-3.0040752650514202E-2</v>
      </c>
      <c r="BB105" s="125">
        <f>BB97+BB94</f>
        <v>493462</v>
      </c>
      <c r="BC105" s="124">
        <f>BC97+BC94</f>
        <v>0</v>
      </c>
      <c r="BD105" s="124">
        <f>BD97+BD94</f>
        <v>540551</v>
      </c>
      <c r="BE105" s="126" t="e">
        <f t="shared" si="180"/>
        <v>#DIV/0!</v>
      </c>
      <c r="BF105" s="127">
        <f t="shared" si="181"/>
        <v>9.5425787598639733E-2</v>
      </c>
      <c r="BG105" s="123">
        <f>BG97+BG94</f>
        <v>595080</v>
      </c>
      <c r="BH105" s="124">
        <f>BH97+BH94</f>
        <v>0</v>
      </c>
      <c r="BI105" s="124">
        <f>BI97+BI94</f>
        <v>813414</v>
      </c>
      <c r="BJ105" s="126" t="e">
        <f t="shared" si="182"/>
        <v>#DIV/0!</v>
      </c>
      <c r="BK105" s="128">
        <f t="shared" si="183"/>
        <v>0.36689856825972988</v>
      </c>
      <c r="BL105" s="125">
        <f>BL97+BL94</f>
        <v>669894</v>
      </c>
      <c r="BM105" s="124">
        <f>BM97+BM94</f>
        <v>0</v>
      </c>
      <c r="BN105" s="124">
        <f>BN97+BN94</f>
        <v>738846</v>
      </c>
      <c r="BO105" s="126" t="e">
        <f t="shared" si="184"/>
        <v>#DIV/0!</v>
      </c>
      <c r="BP105" s="127">
        <f t="shared" si="185"/>
        <v>0.10292971723884681</v>
      </c>
      <c r="BQ105" s="123">
        <f>BQ97+BQ94</f>
        <v>576297</v>
      </c>
      <c r="BR105" s="124">
        <f>BR97+BR94</f>
        <v>0</v>
      </c>
      <c r="BS105" s="124">
        <f>BS97+BS94</f>
        <v>637867</v>
      </c>
      <c r="BT105" s="126" t="e">
        <f t="shared" si="186"/>
        <v>#DIV/0!</v>
      </c>
      <c r="BU105" s="127">
        <f t="shared" si="187"/>
        <v>0.10683727314214719</v>
      </c>
    </row>
    <row r="106" spans="2:73" x14ac:dyDescent="0.3">
      <c r="B106" s="379" t="s">
        <v>43</v>
      </c>
      <c r="C106" s="382" t="s">
        <v>13</v>
      </c>
      <c r="D106" s="368"/>
      <c r="E106" s="369"/>
      <c r="F106" s="52">
        <v>59089</v>
      </c>
      <c r="G106" s="38">
        <f t="shared" ref="G106:G111" si="225">K106</f>
        <v>75342</v>
      </c>
      <c r="H106" s="77">
        <f t="shared" si="161"/>
        <v>0.27505965577349412</v>
      </c>
      <c r="I106" s="131">
        <f t="shared" ref="I106:I107" si="226">N106+S106+X106+AC106+AH106+AM106+AR106+AW106+BB106+BG106+BL106+BQ106</f>
        <v>59201</v>
      </c>
      <c r="J106" s="132">
        <f t="shared" ref="J106:J107" si="227">O106+T106+Y106+AD106+AI106+AN106+AS106+AX106+BC106+BH106+BM106+BR106</f>
        <v>58596</v>
      </c>
      <c r="K106" s="132">
        <f t="shared" ref="K106:K107" si="228">P106+U106+Z106+AE106+AJ106+AO106+AT106+AY106+BD106+BI106+BN106+BS106</f>
        <v>75342</v>
      </c>
      <c r="L106" s="115">
        <f t="shared" si="162"/>
        <v>0.28578742576285077</v>
      </c>
      <c r="M106" s="10">
        <f t="shared" si="163"/>
        <v>0.27264742149625842</v>
      </c>
      <c r="N106" s="8">
        <v>8458</v>
      </c>
      <c r="O106" s="9">
        <v>4883</v>
      </c>
      <c r="P106" s="9">
        <v>6107</v>
      </c>
      <c r="Q106" s="115">
        <f>P106/O106</f>
        <v>1.2506655744419415</v>
      </c>
      <c r="R106" s="10">
        <f t="shared" si="194"/>
        <v>-0.2779616930716482</v>
      </c>
      <c r="S106" s="52">
        <v>1311</v>
      </c>
      <c r="T106" s="9">
        <v>4883</v>
      </c>
      <c r="U106" s="9">
        <v>3002</v>
      </c>
      <c r="V106" s="115">
        <f>U106/T106</f>
        <v>0.61478599221789887</v>
      </c>
      <c r="W106" s="77">
        <f t="shared" si="167"/>
        <v>1.2898550724637681</v>
      </c>
      <c r="X106" s="8">
        <v>2614</v>
      </c>
      <c r="Y106" s="9">
        <v>4883</v>
      </c>
      <c r="Z106" s="9">
        <v>4364</v>
      </c>
      <c r="AA106" s="115">
        <f>Z106/Y106</f>
        <v>0.89371288142535321</v>
      </c>
      <c r="AB106" s="10">
        <f t="shared" si="169"/>
        <v>0.6694720734506503</v>
      </c>
      <c r="AC106" s="52">
        <v>2334</v>
      </c>
      <c r="AD106" s="9">
        <v>4883</v>
      </c>
      <c r="AE106" s="9">
        <v>5456</v>
      </c>
      <c r="AF106" s="115">
        <f>AE106/AD106</f>
        <v>1.1173458939176735</v>
      </c>
      <c r="AG106" s="77">
        <f t="shared" si="171"/>
        <v>1.3376178234790062</v>
      </c>
      <c r="AH106" s="8">
        <v>4633</v>
      </c>
      <c r="AI106" s="9">
        <v>4883</v>
      </c>
      <c r="AJ106" s="9">
        <v>4620</v>
      </c>
      <c r="AK106" s="115">
        <f>AJ106/AI106</f>
        <v>0.94613966823673967</v>
      </c>
      <c r="AL106" s="10">
        <f t="shared" si="173"/>
        <v>-2.8059572631125018E-3</v>
      </c>
      <c r="AM106" s="52">
        <v>6273</v>
      </c>
      <c r="AN106" s="9">
        <v>4883</v>
      </c>
      <c r="AO106" s="9">
        <v>7529</v>
      </c>
      <c r="AP106" s="115">
        <f>AO106/AN106</f>
        <v>1.5418799918083146</v>
      </c>
      <c r="AQ106" s="77">
        <f t="shared" si="175"/>
        <v>0.20022317870237516</v>
      </c>
      <c r="AR106" s="8">
        <f>3921+400</f>
        <v>4321</v>
      </c>
      <c r="AS106" s="9">
        <v>4883</v>
      </c>
      <c r="AT106" s="9">
        <v>5785</v>
      </c>
      <c r="AU106" s="115">
        <f>AT106/AS106</f>
        <v>1.1847225066557445</v>
      </c>
      <c r="AV106" s="10">
        <f t="shared" si="177"/>
        <v>0.3388104605415414</v>
      </c>
      <c r="AW106" s="52">
        <v>4488</v>
      </c>
      <c r="AX106" s="9">
        <v>4883</v>
      </c>
      <c r="AY106" s="9">
        <v>9572</v>
      </c>
      <c r="AZ106" s="115">
        <f>AY106/AX106</f>
        <v>1.9602703256194962</v>
      </c>
      <c r="BA106" s="77">
        <f t="shared" si="179"/>
        <v>1.1327985739750446</v>
      </c>
      <c r="BB106" s="8">
        <v>6363</v>
      </c>
      <c r="BC106" s="9">
        <v>4883</v>
      </c>
      <c r="BD106" s="9">
        <v>5844</v>
      </c>
      <c r="BE106" s="115">
        <f>BD106/BC106</f>
        <v>1.196805242678681</v>
      </c>
      <c r="BF106" s="10">
        <f t="shared" si="181"/>
        <v>-8.1565299387081569E-2</v>
      </c>
      <c r="BG106" s="52">
        <v>4899</v>
      </c>
      <c r="BH106" s="9">
        <v>4883</v>
      </c>
      <c r="BI106" s="9">
        <v>6880</v>
      </c>
      <c r="BJ106" s="115">
        <f>BI106/BH106</f>
        <v>1.4089698955560106</v>
      </c>
      <c r="BK106" s="77">
        <f t="shared" si="183"/>
        <v>0.40436823841600322</v>
      </c>
      <c r="BL106" s="8">
        <f>4230+3000</f>
        <v>7230</v>
      </c>
      <c r="BM106" s="9">
        <v>4883</v>
      </c>
      <c r="BN106" s="9">
        <v>11334</v>
      </c>
      <c r="BO106" s="115">
        <f>BN106/BM106</f>
        <v>2.3211140692197421</v>
      </c>
      <c r="BP106" s="10">
        <f t="shared" si="185"/>
        <v>0.56763485477178421</v>
      </c>
      <c r="BQ106" s="52">
        <v>6277</v>
      </c>
      <c r="BR106" s="9">
        <v>4883</v>
      </c>
      <c r="BS106" s="9">
        <v>4849</v>
      </c>
      <c r="BT106" s="115">
        <f>BS106/BR106</f>
        <v>0.99303706737661279</v>
      </c>
      <c r="BU106" s="10">
        <f t="shared" si="187"/>
        <v>-0.22749721204397</v>
      </c>
    </row>
    <row r="107" spans="2:73" x14ac:dyDescent="0.3">
      <c r="B107" s="380"/>
      <c r="C107" s="383" t="s">
        <v>14</v>
      </c>
      <c r="D107" s="356"/>
      <c r="E107" s="357"/>
      <c r="F107" s="45">
        <f>I107</f>
        <v>56642</v>
      </c>
      <c r="G107" s="39">
        <f t="shared" si="225"/>
        <v>77688</v>
      </c>
      <c r="H107" s="33">
        <f t="shared" si="161"/>
        <v>0.3715617386391723</v>
      </c>
      <c r="I107" s="105">
        <f t="shared" si="226"/>
        <v>56642</v>
      </c>
      <c r="J107" s="85">
        <f t="shared" si="227"/>
        <v>58596</v>
      </c>
      <c r="K107" s="85">
        <f t="shared" si="228"/>
        <v>77688</v>
      </c>
      <c r="L107" s="88">
        <f t="shared" si="162"/>
        <v>0.32582428834732746</v>
      </c>
      <c r="M107" s="15">
        <f t="shared" si="163"/>
        <v>0.3715617386391723</v>
      </c>
      <c r="N107" s="13">
        <v>8650</v>
      </c>
      <c r="O107" s="28">
        <v>4883</v>
      </c>
      <c r="P107" s="14">
        <v>8650</v>
      </c>
      <c r="Q107" s="88">
        <f>P107/O107</f>
        <v>1.7714519762441123</v>
      </c>
      <c r="R107" s="15">
        <f t="shared" si="194"/>
        <v>0</v>
      </c>
      <c r="S107" s="45">
        <v>1113</v>
      </c>
      <c r="T107" s="28">
        <v>4883</v>
      </c>
      <c r="U107" s="14">
        <v>2850</v>
      </c>
      <c r="V107" s="88">
        <f>U107/T107</f>
        <v>0.58365758754863817</v>
      </c>
      <c r="W107" s="33">
        <f t="shared" si="167"/>
        <v>1.5606469002695418</v>
      </c>
      <c r="X107" s="13">
        <v>2306</v>
      </c>
      <c r="Y107" s="28">
        <v>4883</v>
      </c>
      <c r="Z107" s="14">
        <v>6557</v>
      </c>
      <c r="AA107" s="88">
        <f>Z107/Y107</f>
        <v>1.3428220356338316</v>
      </c>
      <c r="AB107" s="15">
        <f t="shared" si="169"/>
        <v>1.8434518647007807</v>
      </c>
      <c r="AC107" s="45">
        <v>8178</v>
      </c>
      <c r="AD107" s="28">
        <v>4883</v>
      </c>
      <c r="AE107" s="14">
        <v>3260</v>
      </c>
      <c r="AF107" s="88">
        <f>AE107/AD107</f>
        <v>0.66762236330124924</v>
      </c>
      <c r="AG107" s="33">
        <f t="shared" si="171"/>
        <v>-0.60136952800195642</v>
      </c>
      <c r="AH107" s="13">
        <v>1588</v>
      </c>
      <c r="AI107" s="28">
        <v>4883</v>
      </c>
      <c r="AJ107" s="14">
        <v>5412</v>
      </c>
      <c r="AK107" s="88">
        <f>AJ107/AI107</f>
        <v>1.1083350399344665</v>
      </c>
      <c r="AL107" s="15">
        <f t="shared" si="173"/>
        <v>2.4080604534005037</v>
      </c>
      <c r="AM107" s="45">
        <v>4933</v>
      </c>
      <c r="AN107" s="28">
        <v>4883</v>
      </c>
      <c r="AO107" s="14">
        <v>5339</v>
      </c>
      <c r="AP107" s="88">
        <f>AO107/AN107</f>
        <v>1.093385214007782</v>
      </c>
      <c r="AQ107" s="33">
        <f t="shared" si="175"/>
        <v>8.2302858301236625E-2</v>
      </c>
      <c r="AR107" s="13">
        <v>4789</v>
      </c>
      <c r="AS107" s="28">
        <v>4883</v>
      </c>
      <c r="AT107" s="14">
        <v>7065</v>
      </c>
      <c r="AU107" s="88">
        <f>AT107/AS107</f>
        <v>1.4468564407126767</v>
      </c>
      <c r="AV107" s="15">
        <f t="shared" si="177"/>
        <v>0.47525579452912936</v>
      </c>
      <c r="AW107" s="45">
        <v>5126</v>
      </c>
      <c r="AX107" s="28">
        <v>4883</v>
      </c>
      <c r="AY107" s="14">
        <v>7581</v>
      </c>
      <c r="AZ107" s="88">
        <f>AY107/AX107</f>
        <v>1.5525291828793775</v>
      </c>
      <c r="BA107" s="33">
        <f t="shared" si="179"/>
        <v>0.47893094030433092</v>
      </c>
      <c r="BB107" s="13">
        <v>6064</v>
      </c>
      <c r="BC107" s="28">
        <v>4883</v>
      </c>
      <c r="BD107" s="14">
        <v>7313</v>
      </c>
      <c r="BE107" s="88">
        <f>BD107/BC107</f>
        <v>1.4976448904362072</v>
      </c>
      <c r="BF107" s="15">
        <f t="shared" si="181"/>
        <v>0.20596965699208436</v>
      </c>
      <c r="BG107" s="45">
        <v>4400</v>
      </c>
      <c r="BH107" s="28">
        <v>4883</v>
      </c>
      <c r="BI107" s="14">
        <v>7840</v>
      </c>
      <c r="BJ107" s="88">
        <f>BI107/BH107</f>
        <v>1.6055703460987099</v>
      </c>
      <c r="BK107" s="33">
        <f t="shared" si="183"/>
        <v>0.78181818181818175</v>
      </c>
      <c r="BL107" s="13">
        <v>4005</v>
      </c>
      <c r="BM107" s="28">
        <v>4883</v>
      </c>
      <c r="BN107" s="14">
        <v>12420</v>
      </c>
      <c r="BO107" s="88">
        <f>BN107/BM107</f>
        <v>2.5435183288961705</v>
      </c>
      <c r="BP107" s="15">
        <f t="shared" si="185"/>
        <v>2.101123595505618</v>
      </c>
      <c r="BQ107" s="45">
        <v>5490</v>
      </c>
      <c r="BR107" s="28">
        <v>4883</v>
      </c>
      <c r="BS107" s="14">
        <v>3401</v>
      </c>
      <c r="BT107" s="88">
        <f>BS107/BR107</f>
        <v>0.69649805447470814</v>
      </c>
      <c r="BU107" s="15">
        <f t="shared" si="187"/>
        <v>-0.38051001821493624</v>
      </c>
    </row>
    <row r="108" spans="2:73" ht="17.25" thickBot="1" x14ac:dyDescent="0.35">
      <c r="B108" s="381"/>
      <c r="C108" s="384" t="s">
        <v>15</v>
      </c>
      <c r="D108" s="358"/>
      <c r="E108" s="359"/>
      <c r="F108" s="47">
        <f>I108</f>
        <v>1159</v>
      </c>
      <c r="G108" s="43">
        <f t="shared" si="225"/>
        <v>3913</v>
      </c>
      <c r="H108" s="76">
        <f t="shared" si="161"/>
        <v>2.37618636755824</v>
      </c>
      <c r="I108" s="5">
        <f>N108</f>
        <v>1159</v>
      </c>
      <c r="J108" s="43"/>
      <c r="K108" s="43">
        <f>BS108</f>
        <v>3913</v>
      </c>
      <c r="L108" s="72" t="e">
        <f t="shared" si="162"/>
        <v>#DIV/0!</v>
      </c>
      <c r="M108" s="6">
        <f t="shared" si="163"/>
        <v>2.37618636755824</v>
      </c>
      <c r="N108" s="5">
        <v>1159</v>
      </c>
      <c r="O108" s="7"/>
      <c r="P108" s="7">
        <v>4110</v>
      </c>
      <c r="Q108" s="72"/>
      <c r="R108" s="6">
        <f t="shared" si="194"/>
        <v>2.546160483175151</v>
      </c>
      <c r="S108" s="47">
        <v>1159</v>
      </c>
      <c r="T108" s="7"/>
      <c r="U108" s="7">
        <v>3958</v>
      </c>
      <c r="V108" s="72"/>
      <c r="W108" s="76">
        <f t="shared" si="167"/>
        <v>2.4150129421915443</v>
      </c>
      <c r="X108" s="34">
        <v>842</v>
      </c>
      <c r="Y108" s="7"/>
      <c r="Z108" s="7">
        <v>6151</v>
      </c>
      <c r="AA108" s="72"/>
      <c r="AB108" s="6">
        <f t="shared" si="169"/>
        <v>6.3052256532066506</v>
      </c>
      <c r="AC108" s="20">
        <v>6721</v>
      </c>
      <c r="AD108" s="7"/>
      <c r="AE108" s="7">
        <v>3955</v>
      </c>
      <c r="AF108" s="72"/>
      <c r="AG108" s="76">
        <f t="shared" si="171"/>
        <v>-0.41154590090760301</v>
      </c>
      <c r="AH108" s="5">
        <v>3692</v>
      </c>
      <c r="AI108" s="7"/>
      <c r="AJ108" s="7">
        <v>4725</v>
      </c>
      <c r="AK108" s="72"/>
      <c r="AL108" s="6">
        <f t="shared" si="173"/>
        <v>0.2797941495124594</v>
      </c>
      <c r="AM108" s="47">
        <v>2352</v>
      </c>
      <c r="AN108" s="7"/>
      <c r="AO108" s="7"/>
      <c r="AP108" s="72"/>
      <c r="AQ108" s="76">
        <f t="shared" si="175"/>
        <v>-1</v>
      </c>
      <c r="AR108" s="5">
        <v>3316</v>
      </c>
      <c r="AS108" s="7"/>
      <c r="AT108" s="7">
        <v>3837</v>
      </c>
      <c r="AU108" s="72"/>
      <c r="AV108" s="6">
        <f t="shared" si="177"/>
        <v>0.15711700844390841</v>
      </c>
      <c r="AW108" s="47">
        <v>3954</v>
      </c>
      <c r="AX108" s="7"/>
      <c r="AY108" s="7">
        <v>1846</v>
      </c>
      <c r="AZ108" s="72"/>
      <c r="BA108" s="76">
        <f t="shared" si="179"/>
        <v>-0.53313100657561963</v>
      </c>
      <c r="BB108" s="5">
        <v>3656</v>
      </c>
      <c r="BC108" s="7"/>
      <c r="BD108" s="7">
        <v>3315</v>
      </c>
      <c r="BE108" s="72"/>
      <c r="BF108" s="6">
        <f t="shared" si="181"/>
        <v>-9.3271334792122573E-2</v>
      </c>
      <c r="BG108" s="47">
        <v>3069</v>
      </c>
      <c r="BH108" s="7"/>
      <c r="BI108" s="7">
        <v>4275</v>
      </c>
      <c r="BJ108" s="72"/>
      <c r="BK108" s="76">
        <f t="shared" si="183"/>
        <v>0.39296187683284467</v>
      </c>
      <c r="BL108" s="5">
        <v>1159</v>
      </c>
      <c r="BM108" s="7"/>
      <c r="BN108" s="7">
        <v>5361</v>
      </c>
      <c r="BO108" s="72"/>
      <c r="BP108" s="6">
        <f t="shared" si="185"/>
        <v>3.6255392579810177</v>
      </c>
      <c r="BQ108" s="47">
        <v>1159</v>
      </c>
      <c r="BR108" s="7"/>
      <c r="BS108" s="7">
        <v>3913</v>
      </c>
      <c r="BT108" s="72"/>
      <c r="BU108" s="6">
        <f t="shared" si="187"/>
        <v>2.37618636755824</v>
      </c>
    </row>
    <row r="109" spans="2:73" x14ac:dyDescent="0.3">
      <c r="B109" s="398" t="s">
        <v>44</v>
      </c>
      <c r="C109" s="399" t="s">
        <v>13</v>
      </c>
      <c r="D109" s="354"/>
      <c r="E109" s="355"/>
      <c r="F109" s="56">
        <v>3002564</v>
      </c>
      <c r="G109" s="41">
        <f t="shared" si="225"/>
        <v>3088164</v>
      </c>
      <c r="H109" s="81">
        <f t="shared" si="161"/>
        <v>2.8508967668965601E-2</v>
      </c>
      <c r="I109" s="129">
        <f t="shared" ref="I109:I110" si="229">N109+S109+X109+AC109+AH109+AM109+AR109+AW109+BB109+BG109+BL109+BQ109</f>
        <v>3002564</v>
      </c>
      <c r="J109" s="130">
        <f t="shared" ref="J109:J110" si="230">O109+T109+Y109+AD109+AI109+AN109+AS109+AX109+BC109+BH109+BM109+BR109</f>
        <v>3159996</v>
      </c>
      <c r="K109" s="130">
        <f t="shared" ref="K109:K110" si="231">P109+U109+Z109+AE109+AJ109+AO109+AT109+AY109+BD109+BI109+BN109+BS109</f>
        <v>3088164</v>
      </c>
      <c r="L109" s="112">
        <f t="shared" si="162"/>
        <v>-2.2731674343891561E-2</v>
      </c>
      <c r="M109" s="23">
        <f t="shared" si="163"/>
        <v>2.8508967668965601E-2</v>
      </c>
      <c r="N109" s="21">
        <v>207084</v>
      </c>
      <c r="O109" s="22">
        <v>263333</v>
      </c>
      <c r="P109" s="22">
        <v>215260</v>
      </c>
      <c r="Q109" s="112">
        <f>P109/O109</f>
        <v>0.81744407271401609</v>
      </c>
      <c r="R109" s="23">
        <f t="shared" si="194"/>
        <v>3.9481563037221612E-2</v>
      </c>
      <c r="S109" s="56">
        <v>270848</v>
      </c>
      <c r="T109" s="22">
        <v>263333</v>
      </c>
      <c r="U109" s="22">
        <v>254736</v>
      </c>
      <c r="V109" s="112">
        <f>U109/T109</f>
        <v>0.96735312323180156</v>
      </c>
      <c r="W109" s="81">
        <f t="shared" si="167"/>
        <v>-5.9487240075614345E-2</v>
      </c>
      <c r="X109" s="21">
        <v>225752</v>
      </c>
      <c r="Y109" s="22">
        <v>263333</v>
      </c>
      <c r="Z109" s="22">
        <v>239960</v>
      </c>
      <c r="AA109" s="112">
        <f>Z109/Y109</f>
        <v>0.91124165979956939</v>
      </c>
      <c r="AB109" s="23">
        <f t="shared" si="169"/>
        <v>6.2936319501045501E-2</v>
      </c>
      <c r="AC109" s="56">
        <v>254360</v>
      </c>
      <c r="AD109" s="22">
        <v>263333</v>
      </c>
      <c r="AE109" s="22">
        <v>261964</v>
      </c>
      <c r="AF109" s="112">
        <f>AE109/AD109</f>
        <v>0.99480125924210028</v>
      </c>
      <c r="AG109" s="81">
        <f t="shared" si="171"/>
        <v>2.9894637521622913E-2</v>
      </c>
      <c r="AH109" s="21">
        <v>275784</v>
      </c>
      <c r="AI109" s="22">
        <v>263333</v>
      </c>
      <c r="AJ109" s="22">
        <v>311292</v>
      </c>
      <c r="AK109" s="112">
        <f>AJ109/AI109</f>
        <v>1.1821230153455891</v>
      </c>
      <c r="AL109" s="23">
        <f t="shared" si="173"/>
        <v>0.12875293708119395</v>
      </c>
      <c r="AM109" s="56">
        <v>251548</v>
      </c>
      <c r="AN109" s="22">
        <v>263333</v>
      </c>
      <c r="AO109" s="22">
        <v>250172</v>
      </c>
      <c r="AP109" s="112">
        <f>AO109/AN109</f>
        <v>0.95002145572336172</v>
      </c>
      <c r="AQ109" s="81">
        <f t="shared" si="175"/>
        <v>-5.4701289614705884E-3</v>
      </c>
      <c r="AR109" s="21">
        <v>246832</v>
      </c>
      <c r="AS109" s="22">
        <v>263333</v>
      </c>
      <c r="AT109" s="22">
        <v>289496</v>
      </c>
      <c r="AU109" s="112">
        <f>AT109/AS109</f>
        <v>1.0993532903206207</v>
      </c>
      <c r="AV109" s="23">
        <f t="shared" si="177"/>
        <v>0.17284630842030202</v>
      </c>
      <c r="AW109" s="56">
        <v>272448</v>
      </c>
      <c r="AX109" s="22">
        <v>263333</v>
      </c>
      <c r="AY109" s="22">
        <v>237912</v>
      </c>
      <c r="AZ109" s="112">
        <f>AY109/AX109</f>
        <v>0.90346443476510729</v>
      </c>
      <c r="BA109" s="81">
        <f t="shared" si="179"/>
        <v>-0.12676180408738547</v>
      </c>
      <c r="BB109" s="21">
        <v>199492</v>
      </c>
      <c r="BC109" s="22">
        <v>263333</v>
      </c>
      <c r="BD109" s="22">
        <v>237272</v>
      </c>
      <c r="BE109" s="112">
        <f>BD109/BC109</f>
        <v>0.90103405194183794</v>
      </c>
      <c r="BF109" s="23">
        <f t="shared" si="181"/>
        <v>0.18938102781063892</v>
      </c>
      <c r="BG109" s="56">
        <v>232732</v>
      </c>
      <c r="BH109" s="22">
        <v>263333</v>
      </c>
      <c r="BI109" s="22">
        <v>310220</v>
      </c>
      <c r="BJ109" s="112">
        <f>BI109/BH109</f>
        <v>1.1780521241166129</v>
      </c>
      <c r="BK109" s="81">
        <f t="shared" si="183"/>
        <v>0.33294948696354609</v>
      </c>
      <c r="BL109" s="21">
        <v>289136</v>
      </c>
      <c r="BM109" s="22">
        <v>263333</v>
      </c>
      <c r="BN109" s="22">
        <v>187992</v>
      </c>
      <c r="BO109" s="112">
        <f>BN109/BM109</f>
        <v>0.71389457455009442</v>
      </c>
      <c r="BP109" s="23">
        <f t="shared" si="185"/>
        <v>-0.34981462010956776</v>
      </c>
      <c r="BQ109" s="56">
        <v>276548</v>
      </c>
      <c r="BR109" s="22">
        <v>263333</v>
      </c>
      <c r="BS109" s="22">
        <v>291888</v>
      </c>
      <c r="BT109" s="112">
        <f>BS109/BR109</f>
        <v>1.10843684612259</v>
      </c>
      <c r="BU109" s="23">
        <f t="shared" si="187"/>
        <v>5.5469574902006213E-2</v>
      </c>
    </row>
    <row r="110" spans="2:73" x14ac:dyDescent="0.3">
      <c r="B110" s="380"/>
      <c r="C110" s="383" t="s">
        <v>14</v>
      </c>
      <c r="D110" s="356"/>
      <c r="E110" s="357"/>
      <c r="F110" s="45">
        <f>I110</f>
        <v>3008984</v>
      </c>
      <c r="G110" s="39">
        <f t="shared" si="225"/>
        <v>3030956</v>
      </c>
      <c r="H110" s="33">
        <f t="shared" si="161"/>
        <v>7.3021325470656873E-3</v>
      </c>
      <c r="I110" s="105">
        <f t="shared" si="229"/>
        <v>3008984</v>
      </c>
      <c r="J110" s="85">
        <f t="shared" si="230"/>
        <v>3159996</v>
      </c>
      <c r="K110" s="85">
        <f t="shared" si="231"/>
        <v>3030956</v>
      </c>
      <c r="L110" s="88">
        <f t="shared" si="162"/>
        <v>-4.0835494728474364E-2</v>
      </c>
      <c r="M110" s="15">
        <f t="shared" si="163"/>
        <v>7.3021325470656873E-3</v>
      </c>
      <c r="N110" s="13">
        <v>241420</v>
      </c>
      <c r="O110" s="28">
        <v>263333</v>
      </c>
      <c r="P110" s="14">
        <v>241420</v>
      </c>
      <c r="Q110" s="88">
        <f>P110/O110</f>
        <v>0.91678597061515266</v>
      </c>
      <c r="R110" s="15">
        <f t="shared" si="194"/>
        <v>0</v>
      </c>
      <c r="S110" s="45">
        <v>188856</v>
      </c>
      <c r="T110" s="28">
        <v>263333</v>
      </c>
      <c r="U110" s="14">
        <v>218496</v>
      </c>
      <c r="V110" s="88">
        <f>U110/T110</f>
        <v>0.82973269586417198</v>
      </c>
      <c r="W110" s="33">
        <f t="shared" si="167"/>
        <v>0.15694497394840523</v>
      </c>
      <c r="X110" s="13">
        <v>236916</v>
      </c>
      <c r="Y110" s="28">
        <v>263333</v>
      </c>
      <c r="Z110" s="14">
        <v>278780</v>
      </c>
      <c r="AA110" s="88">
        <f>Z110/Y110</f>
        <v>1.0586595679235038</v>
      </c>
      <c r="AB110" s="15">
        <f t="shared" si="169"/>
        <v>0.17670397946951666</v>
      </c>
      <c r="AC110" s="45">
        <v>278664</v>
      </c>
      <c r="AD110" s="28">
        <v>263333</v>
      </c>
      <c r="AE110" s="14">
        <v>266908</v>
      </c>
      <c r="AF110" s="88">
        <f>AE110/AD110</f>
        <v>1.0135759665518564</v>
      </c>
      <c r="AG110" s="33">
        <f t="shared" si="171"/>
        <v>-4.2187006574225583E-2</v>
      </c>
      <c r="AH110" s="13">
        <v>232776</v>
      </c>
      <c r="AI110" s="28">
        <v>263333</v>
      </c>
      <c r="AJ110" s="14">
        <v>274736</v>
      </c>
      <c r="AK110" s="88">
        <f>AJ110/AI110</f>
        <v>1.0433025864589702</v>
      </c>
      <c r="AL110" s="15">
        <f t="shared" si="173"/>
        <v>0.18025913324397713</v>
      </c>
      <c r="AM110" s="45">
        <v>234572</v>
      </c>
      <c r="AN110" s="28">
        <v>263333</v>
      </c>
      <c r="AO110" s="14">
        <v>235448</v>
      </c>
      <c r="AP110" s="88">
        <f>AO110/AN110</f>
        <v>0.89410746089552007</v>
      </c>
      <c r="AQ110" s="33">
        <f t="shared" si="175"/>
        <v>3.7344610609961748E-3</v>
      </c>
      <c r="AR110" s="13">
        <v>292332</v>
      </c>
      <c r="AS110" s="28">
        <v>263333</v>
      </c>
      <c r="AT110" s="14">
        <v>259380</v>
      </c>
      <c r="AU110" s="88">
        <f>AT110/AS110</f>
        <v>0.98498858859315008</v>
      </c>
      <c r="AV110" s="15">
        <f t="shared" si="177"/>
        <v>-0.11272115266204175</v>
      </c>
      <c r="AW110" s="45">
        <v>242940</v>
      </c>
      <c r="AX110" s="28">
        <v>263333</v>
      </c>
      <c r="AY110" s="14">
        <v>299272</v>
      </c>
      <c r="AZ110" s="88">
        <f>AY110/AX110</f>
        <v>1.1364773879460608</v>
      </c>
      <c r="BA110" s="33">
        <f t="shared" si="179"/>
        <v>0.23187618341977445</v>
      </c>
      <c r="BB110" s="13">
        <v>228852</v>
      </c>
      <c r="BC110" s="28">
        <v>263333</v>
      </c>
      <c r="BD110" s="14">
        <v>212528</v>
      </c>
      <c r="BE110" s="88">
        <f>BD110/BC110</f>
        <v>0.80706937603718487</v>
      </c>
      <c r="BF110" s="15">
        <f t="shared" si="181"/>
        <v>-7.1329942495586662E-2</v>
      </c>
      <c r="BG110" s="45">
        <v>225308</v>
      </c>
      <c r="BH110" s="28">
        <v>263333</v>
      </c>
      <c r="BI110" s="14">
        <v>256012</v>
      </c>
      <c r="BJ110" s="88">
        <f>BI110/BH110</f>
        <v>0.97219869898569489</v>
      </c>
      <c r="BK110" s="33">
        <f t="shared" si="183"/>
        <v>0.13627567596356993</v>
      </c>
      <c r="BL110" s="13">
        <v>295564</v>
      </c>
      <c r="BM110" s="28">
        <v>263333</v>
      </c>
      <c r="BN110" s="14">
        <v>290652</v>
      </c>
      <c r="BO110" s="88">
        <f>BN110/BM110</f>
        <v>1.1037431692951509</v>
      </c>
      <c r="BP110" s="15">
        <f t="shared" si="185"/>
        <v>-1.6619074041493542E-2</v>
      </c>
      <c r="BQ110" s="45">
        <v>310784</v>
      </c>
      <c r="BR110" s="28">
        <v>263333</v>
      </c>
      <c r="BS110" s="14">
        <v>197324</v>
      </c>
      <c r="BT110" s="88">
        <f>BS110/BR110</f>
        <v>0.74933259409189124</v>
      </c>
      <c r="BU110" s="15">
        <f t="shared" si="187"/>
        <v>-0.36507670922570012</v>
      </c>
    </row>
    <row r="111" spans="2:73" ht="17.25" thickBot="1" x14ac:dyDescent="0.35">
      <c r="B111" s="381"/>
      <c r="C111" s="384" t="s">
        <v>15</v>
      </c>
      <c r="D111" s="358"/>
      <c r="E111" s="359"/>
      <c r="F111" s="47">
        <f>I111</f>
        <v>178808</v>
      </c>
      <c r="G111" s="43">
        <f t="shared" si="225"/>
        <v>69732</v>
      </c>
      <c r="H111" s="76">
        <f t="shared" si="161"/>
        <v>-0.61001744888371889</v>
      </c>
      <c r="I111" s="5">
        <f>N111</f>
        <v>178808</v>
      </c>
      <c r="J111" s="43"/>
      <c r="K111" s="43">
        <f>BS111</f>
        <v>69732</v>
      </c>
      <c r="L111" s="72" t="e">
        <f t="shared" si="162"/>
        <v>#DIV/0!</v>
      </c>
      <c r="M111" s="6">
        <f t="shared" si="163"/>
        <v>-0.61001744888371889</v>
      </c>
      <c r="N111" s="5">
        <v>178808</v>
      </c>
      <c r="O111" s="7"/>
      <c r="P111" s="7">
        <v>149584</v>
      </c>
      <c r="Q111" s="72"/>
      <c r="R111" s="6">
        <f t="shared" si="194"/>
        <v>-0.16343787749988814</v>
      </c>
      <c r="S111" s="47">
        <v>178808</v>
      </c>
      <c r="T111" s="7"/>
      <c r="U111" s="7">
        <v>113344</v>
      </c>
      <c r="V111" s="72"/>
      <c r="W111" s="76">
        <f t="shared" si="167"/>
        <v>-0.36611337300344504</v>
      </c>
      <c r="X111" s="34">
        <v>103380</v>
      </c>
      <c r="Y111" s="7"/>
      <c r="Z111" s="7">
        <v>152164</v>
      </c>
      <c r="AA111" s="72"/>
      <c r="AB111" s="6">
        <f t="shared" si="169"/>
        <v>0.47189011414200044</v>
      </c>
      <c r="AC111" s="20">
        <v>134912</v>
      </c>
      <c r="AD111" s="7"/>
      <c r="AE111" s="7">
        <v>157180</v>
      </c>
      <c r="AF111" s="72"/>
      <c r="AG111" s="76">
        <f t="shared" si="171"/>
        <v>0.16505574003795065</v>
      </c>
      <c r="AH111" s="5">
        <v>91292</v>
      </c>
      <c r="AI111" s="7"/>
      <c r="AJ111" s="7">
        <v>120624</v>
      </c>
      <c r="AK111" s="72"/>
      <c r="AL111" s="6">
        <f t="shared" si="173"/>
        <v>0.32129868991806521</v>
      </c>
      <c r="AM111" s="47">
        <v>74316</v>
      </c>
      <c r="AN111" s="7"/>
      <c r="AO111" s="7">
        <v>105900</v>
      </c>
      <c r="AP111" s="72"/>
      <c r="AQ111" s="76">
        <f t="shared" si="175"/>
        <v>0.42499596318424038</v>
      </c>
      <c r="AR111" s="5">
        <v>129016</v>
      </c>
      <c r="AS111" s="7"/>
      <c r="AT111" s="7">
        <v>77448</v>
      </c>
      <c r="AU111" s="72"/>
      <c r="AV111" s="6">
        <f t="shared" si="177"/>
        <v>-0.39970236249767466</v>
      </c>
      <c r="AW111" s="47">
        <v>99496</v>
      </c>
      <c r="AX111" s="7"/>
      <c r="AY111" s="7">
        <v>138808</v>
      </c>
      <c r="AZ111" s="72"/>
      <c r="BA111" s="76">
        <f t="shared" si="179"/>
        <v>0.39511136126075419</v>
      </c>
      <c r="BB111" s="5">
        <v>129272</v>
      </c>
      <c r="BC111" s="7"/>
      <c r="BD111" s="7">
        <v>115832</v>
      </c>
      <c r="BE111" s="72"/>
      <c r="BF111" s="6">
        <f t="shared" si="181"/>
        <v>-0.10396682963054649</v>
      </c>
      <c r="BG111" s="47">
        <v>121848</v>
      </c>
      <c r="BH111" s="7"/>
      <c r="BI111" s="7">
        <v>61624</v>
      </c>
      <c r="BJ111" s="72"/>
      <c r="BK111" s="76">
        <f t="shared" si="183"/>
        <v>-0.49425513754842099</v>
      </c>
      <c r="BL111" s="5">
        <v>178808</v>
      </c>
      <c r="BM111" s="7"/>
      <c r="BN111" s="7">
        <v>164284</v>
      </c>
      <c r="BO111" s="72"/>
      <c r="BP111" s="6">
        <f t="shared" si="185"/>
        <v>-8.1226790747617517E-2</v>
      </c>
      <c r="BQ111" s="47">
        <v>178808</v>
      </c>
      <c r="BR111" s="7"/>
      <c r="BS111" s="7">
        <v>69732</v>
      </c>
      <c r="BT111" s="72"/>
      <c r="BU111" s="6">
        <f t="shared" si="187"/>
        <v>-0.61001744888371889</v>
      </c>
    </row>
  </sheetData>
  <mergeCells count="130">
    <mergeCell ref="B109:B111"/>
    <mergeCell ref="C109:E109"/>
    <mergeCell ref="C110:E110"/>
    <mergeCell ref="C111:E111"/>
    <mergeCell ref="D104:E104"/>
    <mergeCell ref="C105:E105"/>
    <mergeCell ref="B106:B108"/>
    <mergeCell ref="C106:E106"/>
    <mergeCell ref="C107:E107"/>
    <mergeCell ref="C108:E108"/>
    <mergeCell ref="D99:E99"/>
    <mergeCell ref="D100:E100"/>
    <mergeCell ref="D101:E101"/>
    <mergeCell ref="D102:E102"/>
    <mergeCell ref="D103:E103"/>
    <mergeCell ref="B76:B93"/>
    <mergeCell ref="C76:C94"/>
    <mergeCell ref="D76:E76"/>
    <mergeCell ref="D77:E77"/>
    <mergeCell ref="D78:E78"/>
    <mergeCell ref="D79:E79"/>
    <mergeCell ref="D80:D83"/>
    <mergeCell ref="D84:D88"/>
    <mergeCell ref="D89:D91"/>
    <mergeCell ref="B94:B105"/>
    <mergeCell ref="D94:E94"/>
    <mergeCell ref="C95:C104"/>
    <mergeCell ref="D95:E95"/>
    <mergeCell ref="D96:E96"/>
    <mergeCell ref="D97:E97"/>
    <mergeCell ref="D98:E98"/>
    <mergeCell ref="BB71:BF71"/>
    <mergeCell ref="BG71:BK71"/>
    <mergeCell ref="BL71:BP71"/>
    <mergeCell ref="BQ71:BU71"/>
    <mergeCell ref="B73:B75"/>
    <mergeCell ref="C73:E73"/>
    <mergeCell ref="C74:E74"/>
    <mergeCell ref="C75:E75"/>
    <mergeCell ref="AC71:AG71"/>
    <mergeCell ref="AH71:AL71"/>
    <mergeCell ref="AM71:AQ71"/>
    <mergeCell ref="AR71:AV71"/>
    <mergeCell ref="AW71:BA71"/>
    <mergeCell ref="H71:H72"/>
    <mergeCell ref="I71:M71"/>
    <mergeCell ref="N71:R71"/>
    <mergeCell ref="S71:W71"/>
    <mergeCell ref="X71:AB71"/>
    <mergeCell ref="B71:B72"/>
    <mergeCell ref="C71:C72"/>
    <mergeCell ref="D71:E72"/>
    <mergeCell ref="F71:F72"/>
    <mergeCell ref="G71:G72"/>
    <mergeCell ref="BL2:BP2"/>
    <mergeCell ref="BL48:BP48"/>
    <mergeCell ref="BQ2:BU2"/>
    <mergeCell ref="BQ48:BU48"/>
    <mergeCell ref="AW2:BA2"/>
    <mergeCell ref="AW48:BA48"/>
    <mergeCell ref="BB2:BF2"/>
    <mergeCell ref="BB48:BF48"/>
    <mergeCell ref="BG2:BK2"/>
    <mergeCell ref="BG48:BK48"/>
    <mergeCell ref="AH2:AL2"/>
    <mergeCell ref="AH48:AL48"/>
    <mergeCell ref="AM2:AQ2"/>
    <mergeCell ref="AM48:AQ48"/>
    <mergeCell ref="AR2:AV2"/>
    <mergeCell ref="AR48:AV48"/>
    <mergeCell ref="S2:W2"/>
    <mergeCell ref="S48:W48"/>
    <mergeCell ref="G2:G3"/>
    <mergeCell ref="H2:H3"/>
    <mergeCell ref="AC2:AG2"/>
    <mergeCell ref="AC48:AG48"/>
    <mergeCell ref="X2:AB2"/>
    <mergeCell ref="X48:AB48"/>
    <mergeCell ref="N48:R48"/>
    <mergeCell ref="I2:M2"/>
    <mergeCell ref="N2:R2"/>
    <mergeCell ref="F48:F49"/>
    <mergeCell ref="G48:G49"/>
    <mergeCell ref="H48:H49"/>
    <mergeCell ref="I48:M48"/>
    <mergeCell ref="D29:E29"/>
    <mergeCell ref="D30:E30"/>
    <mergeCell ref="D31:E31"/>
    <mergeCell ref="D32:E32"/>
    <mergeCell ref="D33:E33"/>
    <mergeCell ref="F2:F3"/>
    <mergeCell ref="B55:B59"/>
    <mergeCell ref="D9:E9"/>
    <mergeCell ref="D8:E8"/>
    <mergeCell ref="D7:E7"/>
    <mergeCell ref="D10:E10"/>
    <mergeCell ref="D26:E26"/>
    <mergeCell ref="D12:D15"/>
    <mergeCell ref="D16:D20"/>
    <mergeCell ref="D21:D23"/>
    <mergeCell ref="D27:E27"/>
    <mergeCell ref="B50:B54"/>
    <mergeCell ref="B41:B43"/>
    <mergeCell ref="C41:E41"/>
    <mergeCell ref="C42:E42"/>
    <mergeCell ref="C43:E43"/>
    <mergeCell ref="B48:B49"/>
    <mergeCell ref="C48:C49"/>
    <mergeCell ref="E48:E49"/>
    <mergeCell ref="B7:B25"/>
    <mergeCell ref="C7:C26"/>
    <mergeCell ref="B26:B37"/>
    <mergeCell ref="C27:C36"/>
    <mergeCell ref="C37:E37"/>
    <mergeCell ref="B2:B3"/>
    <mergeCell ref="C2:C3"/>
    <mergeCell ref="D2:E3"/>
    <mergeCell ref="B38:B40"/>
    <mergeCell ref="C38:E38"/>
    <mergeCell ref="C39:E39"/>
    <mergeCell ref="C40:E40"/>
    <mergeCell ref="D28:E28"/>
    <mergeCell ref="D35:E35"/>
    <mergeCell ref="D36:E36"/>
    <mergeCell ref="D34:E34"/>
    <mergeCell ref="B4:B6"/>
    <mergeCell ref="C4:E4"/>
    <mergeCell ref="C5:E5"/>
    <mergeCell ref="C6:E6"/>
    <mergeCell ref="D11:E11"/>
  </mergeCells>
  <phoneticPr fontId="2" type="noConversion"/>
  <pageMargins left="0.25" right="0.25" top="0.75" bottom="0.75" header="0.3" footer="0.3"/>
  <pageSetup paperSize="9" scale="2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2025년</vt:lpstr>
      <vt:lpstr>2025년 계획</vt:lpstr>
      <vt:lpstr>2024년 실적</vt:lpstr>
      <vt:lpstr>2023년 실적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형철 신</dc:creator>
  <cp:lastModifiedBy>형철 신</cp:lastModifiedBy>
  <cp:lastPrinted>2024-02-07T02:22:53Z</cp:lastPrinted>
  <dcterms:created xsi:type="dcterms:W3CDTF">2024-02-07T01:57:45Z</dcterms:created>
  <dcterms:modified xsi:type="dcterms:W3CDTF">2025-11-19T08:32:47Z</dcterms:modified>
</cp:coreProperties>
</file>