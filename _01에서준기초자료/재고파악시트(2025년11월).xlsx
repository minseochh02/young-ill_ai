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" sheetId="1" r:id="rId4"/>
    <sheet state="visible" name="화성(서울)" sheetId="2" r:id="rId5"/>
    <sheet state="visible" name="창원" sheetId="3" r:id="rId6"/>
    <sheet state="visible" name="남양주" sheetId="4" r:id="rId7"/>
    <sheet state="visible" name="인천" sheetId="5" r:id="rId8"/>
    <sheet state="visible" name="화성오토" sheetId="6" r:id="rId9"/>
    <sheet state="visible" name="제주" sheetId="7" r:id="rId10"/>
    <sheet state="visible" name="부산" sheetId="8" r:id="rId11"/>
    <sheet state="hidden" name="2018년" sheetId="9" r:id="rId12"/>
  </sheets>
  <definedNames/>
  <calcPr/>
</workbook>
</file>

<file path=xl/sharedStrings.xml><?xml version="1.0" encoding="utf-8"?>
<sst xmlns="http://schemas.openxmlformats.org/spreadsheetml/2006/main" count="546" uniqueCount="31">
  <si>
    <t>▣ 통합</t>
  </si>
  <si>
    <t>단위 : Liter</t>
  </si>
  <si>
    <t>11월 30일</t>
  </si>
  <si>
    <t>12월 31일</t>
  </si>
  <si>
    <t>변동재고</t>
  </si>
  <si>
    <t>월 합계</t>
  </si>
  <si>
    <t>기초재고</t>
  </si>
  <si>
    <t>Auto</t>
  </si>
  <si>
    <t>Flagship</t>
  </si>
  <si>
    <t>Others</t>
  </si>
  <si>
    <t>IL</t>
  </si>
  <si>
    <t>MB</t>
  </si>
  <si>
    <t>매입</t>
  </si>
  <si>
    <t>매출</t>
  </si>
  <si>
    <t>이동</t>
  </si>
  <si>
    <t>재고</t>
  </si>
  <si>
    <t>재고
D/M계</t>
  </si>
  <si>
    <t>총재고</t>
  </si>
  <si>
    <t>영일+동부+서부</t>
  </si>
  <si>
    <t>동부재고</t>
  </si>
  <si>
    <t>서부재고</t>
  </si>
  <si>
    <t>▣ 화성</t>
  </si>
  <si>
    <t>합계</t>
  </si>
  <si>
    <t>▣ 창원</t>
  </si>
  <si>
    <t>▣ 남양주</t>
  </si>
  <si>
    <t>▣ 인천</t>
  </si>
  <si>
    <t xml:space="preserve"> </t>
  </si>
  <si>
    <t>▣ 화성오토</t>
  </si>
  <si>
    <t>▣ 제주</t>
  </si>
  <si>
    <t>▣ 부산</t>
  </si>
  <si>
    <t>MTD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</si>
</sst>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&quot;월&quot;\ dd&quot;일&quot;"/>
    <numFmt numFmtId="165" formatCode="_-* #,##0_-;\-* #,##0_-;_-* &quot;-&quot;_-;_-@"/>
    <numFmt numFmtId="166" formatCode="_-* #,##0.00_-;\-* #,##0.00_-;_-* &quot;-&quot;??_-;_-@"/>
    <numFmt numFmtId="167" formatCode="0.0_ "/>
    <numFmt numFmtId="168" formatCode="_-* #,##0_-;\-* #,##0_-;_-* &quot;-&quot;??_-;_-@"/>
    <numFmt numFmtId="169" formatCode="#,##0_ "/>
  </numFmts>
  <fonts count="9">
    <font>
      <sz val="11.0"/>
      <color rgb="FF000000"/>
      <name val="Calibri"/>
      <scheme val="minor"/>
    </font>
    <font>
      <sz val="11.0"/>
      <color rgb="FF000000"/>
      <name val="Malgun Gothic"/>
    </font>
    <font>
      <b/>
      <sz val="11.0"/>
      <color rgb="FF000000"/>
      <name val="Malgun Gothic"/>
    </font>
    <font>
      <sz val="10.0"/>
      <color rgb="FF000000"/>
      <name val="Malgun Gothic"/>
    </font>
    <font>
      <b/>
      <sz val="16.0"/>
      <color rgb="FF000000"/>
      <name val="Malgun Gothic"/>
    </font>
    <font/>
    <font>
      <b/>
      <sz val="10.0"/>
      <color rgb="FF000000"/>
      <name val="Malgun Gothic"/>
    </font>
    <font>
      <b/>
      <sz val="14.0"/>
      <color rgb="FF000000"/>
      <name val="Malgun Gothic"/>
    </font>
    <font>
      <b/>
      <sz val="12.0"/>
      <color rgb="FF00000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BE5D7"/>
        <bgColor rgb="FFFBE5D7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96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top style="medium">
        <color rgb="FF000000"/>
      </top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2" fillId="2" fontId="2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2" fontId="2" numFmtId="164" xfId="0" applyAlignment="1" applyBorder="1" applyFont="1" applyNumberFormat="1">
      <alignment horizontal="center" vertical="center"/>
    </xf>
    <xf borderId="6" fillId="2" fontId="2" numFmtId="164" xfId="0" applyAlignment="1" applyBorder="1" applyFont="1" applyNumberFormat="1">
      <alignment horizontal="center" vertical="center"/>
    </xf>
    <xf borderId="7" fillId="2" fontId="2" numFmtId="164" xfId="0" applyAlignment="1" applyBorder="1" applyFont="1" applyNumberFormat="1">
      <alignment horizontal="center" vertical="center"/>
    </xf>
    <xf borderId="8" fillId="2" fontId="2" numFmtId="164" xfId="0" applyAlignment="1" applyBorder="1" applyFont="1" applyNumberFormat="1">
      <alignment horizontal="center" vertical="center"/>
    </xf>
    <xf borderId="9" fillId="2" fontId="2" numFmtId="164" xfId="0" applyAlignment="1" applyBorder="1" applyFont="1" applyNumberFormat="1">
      <alignment horizontal="center" vertical="center"/>
    </xf>
    <xf borderId="8" fillId="3" fontId="2" numFmtId="16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4" fontId="2" numFmtId="165" xfId="0" applyAlignment="1" applyBorder="1" applyFill="1" applyFont="1" applyNumberFormat="1">
      <alignment horizontal="right" vertical="center"/>
    </xf>
    <xf borderId="13" fillId="4" fontId="2" numFmtId="165" xfId="0" applyAlignment="1" applyBorder="1" applyFont="1" applyNumberFormat="1">
      <alignment horizontal="right" vertical="center"/>
    </xf>
    <xf borderId="14" fillId="4" fontId="2" numFmtId="165" xfId="0" applyAlignment="1" applyBorder="1" applyFont="1" applyNumberFormat="1">
      <alignment horizontal="right" vertical="center"/>
    </xf>
    <xf borderId="15" fillId="5" fontId="2" numFmtId="165" xfId="0" applyAlignment="1" applyBorder="1" applyFill="1" applyFont="1" applyNumberFormat="1">
      <alignment vertical="center"/>
    </xf>
    <xf borderId="16" fillId="0" fontId="1" numFmtId="165" xfId="0" applyAlignment="1" applyBorder="1" applyFont="1" applyNumberFormat="1">
      <alignment vertical="center"/>
    </xf>
    <xf borderId="17" fillId="0" fontId="1" numFmtId="165" xfId="0" applyAlignment="1" applyBorder="1" applyFont="1" applyNumberFormat="1">
      <alignment vertical="center"/>
    </xf>
    <xf borderId="15" fillId="4" fontId="2" numFmtId="165" xfId="0" applyAlignment="1" applyBorder="1" applyFont="1" applyNumberFormat="1">
      <alignment vertical="center"/>
    </xf>
    <xf borderId="18" fillId="0" fontId="3" numFmtId="166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9" fillId="0" fontId="5" numFmtId="0" xfId="0" applyAlignment="1" applyBorder="1" applyFont="1">
      <alignment vertical="center"/>
    </xf>
    <xf borderId="20" fillId="0" fontId="5" numFmtId="0" xfId="0" applyAlignment="1" applyBorder="1" applyFont="1">
      <alignment vertical="center"/>
    </xf>
    <xf borderId="21" fillId="0" fontId="2" numFmtId="0" xfId="0" applyAlignment="1" applyBorder="1" applyFont="1">
      <alignment horizontal="center" vertical="center"/>
    </xf>
    <xf borderId="22" fillId="4" fontId="2" numFmtId="165" xfId="0" applyAlignment="1" applyBorder="1" applyFont="1" applyNumberFormat="1">
      <alignment horizontal="right" vertical="center"/>
    </xf>
    <xf borderId="23" fillId="4" fontId="2" numFmtId="165" xfId="0" applyAlignment="1" applyBorder="1" applyFont="1" applyNumberFormat="1">
      <alignment horizontal="right" vertical="center"/>
    </xf>
    <xf borderId="24" fillId="4" fontId="2" numFmtId="165" xfId="0" applyAlignment="1" applyBorder="1" applyFont="1" applyNumberFormat="1">
      <alignment horizontal="right" vertical="center"/>
    </xf>
    <xf borderId="25" fillId="5" fontId="2" numFmtId="165" xfId="0" applyAlignment="1" applyBorder="1" applyFont="1" applyNumberFormat="1">
      <alignment vertical="center"/>
    </xf>
    <xf borderId="26" fillId="0" fontId="1" numFmtId="165" xfId="0" applyAlignment="1" applyBorder="1" applyFont="1" applyNumberFormat="1">
      <alignment vertical="center"/>
    </xf>
    <xf borderId="27" fillId="0" fontId="1" numFmtId="165" xfId="0" applyAlignment="1" applyBorder="1" applyFont="1" applyNumberFormat="1">
      <alignment vertical="center"/>
    </xf>
    <xf borderId="28" fillId="4" fontId="2" numFmtId="165" xfId="0" applyAlignment="1" applyBorder="1" applyFont="1" applyNumberFormat="1">
      <alignment vertical="center"/>
    </xf>
    <xf borderId="19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5" numFmtId="0" xfId="0" applyAlignment="1" applyBorder="1" applyFont="1">
      <alignment vertical="center"/>
    </xf>
    <xf borderId="31" fillId="0" fontId="2" numFmtId="0" xfId="0" applyAlignment="1" applyBorder="1" applyFont="1">
      <alignment horizontal="center" vertical="center"/>
    </xf>
    <xf borderId="32" fillId="5" fontId="2" numFmtId="165" xfId="0" applyAlignment="1" applyBorder="1" applyFont="1" applyNumberFormat="1">
      <alignment vertical="center"/>
    </xf>
    <xf borderId="8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3" fillId="5" fontId="2" numFmtId="165" xfId="0" applyAlignment="1" applyBorder="1" applyFont="1" applyNumberFormat="1">
      <alignment vertical="center"/>
    </xf>
    <xf borderId="33" fillId="4" fontId="2" numFmtId="165" xfId="0" applyAlignment="1" applyBorder="1" applyFont="1" applyNumberFormat="1">
      <alignment vertical="center"/>
    </xf>
    <xf borderId="12" fillId="0" fontId="2" numFmtId="165" xfId="0" applyAlignment="1" applyBorder="1" applyFont="1" applyNumberFormat="1">
      <alignment horizontal="right" vertical="center"/>
    </xf>
    <xf borderId="13" fillId="0" fontId="2" numFmtId="165" xfId="0" applyAlignment="1" applyBorder="1" applyFont="1" applyNumberFormat="1">
      <alignment horizontal="right" vertical="center"/>
    </xf>
    <xf borderId="34" fillId="0" fontId="2" numFmtId="165" xfId="0" applyAlignment="1" applyBorder="1" applyFont="1" applyNumberFormat="1">
      <alignment horizontal="right" vertical="center"/>
    </xf>
    <xf borderId="13" fillId="0" fontId="1" numFmtId="165" xfId="0" applyAlignment="1" applyBorder="1" applyFont="1" applyNumberFormat="1">
      <alignment horizontal="right" vertical="center"/>
    </xf>
    <xf borderId="35" fillId="0" fontId="1" numFmtId="165" xfId="0" applyAlignment="1" applyBorder="1" applyFont="1" applyNumberFormat="1">
      <alignment horizontal="right" vertical="center"/>
    </xf>
    <xf borderId="15" fillId="3" fontId="2" numFmtId="165" xfId="0" applyAlignment="1" applyBorder="1" applyFont="1" applyNumberFormat="1">
      <alignment vertical="center"/>
    </xf>
    <xf borderId="36" fillId="0" fontId="2" numFmtId="165" xfId="0" applyAlignment="1" applyBorder="1" applyFont="1" applyNumberFormat="1">
      <alignment horizontal="right" vertical="center"/>
    </xf>
    <xf borderId="37" fillId="0" fontId="2" numFmtId="165" xfId="0" applyAlignment="1" applyBorder="1" applyFont="1" applyNumberFormat="1">
      <alignment horizontal="right" vertical="center"/>
    </xf>
    <xf borderId="38" fillId="0" fontId="2" numFmtId="165" xfId="0" applyAlignment="1" applyBorder="1" applyFont="1" applyNumberFormat="1">
      <alignment horizontal="right" vertical="center"/>
    </xf>
    <xf borderId="39" fillId="0" fontId="1" numFmtId="165" xfId="0" applyAlignment="1" applyBorder="1" applyFont="1" applyNumberFormat="1">
      <alignment vertical="center"/>
    </xf>
    <xf borderId="27" fillId="0" fontId="1" numFmtId="165" xfId="0" applyAlignment="1" applyBorder="1" applyFont="1" applyNumberFormat="1">
      <alignment horizontal="right" vertical="center"/>
    </xf>
    <xf borderId="40" fillId="0" fontId="1" numFmtId="165" xfId="0" applyAlignment="1" applyBorder="1" applyFont="1" applyNumberFormat="1">
      <alignment horizontal="right" vertical="center"/>
    </xf>
    <xf borderId="32" fillId="3" fontId="2" numFmtId="165" xfId="0" applyAlignment="1" applyBorder="1" applyFont="1" applyNumberFormat="1">
      <alignment vertical="center"/>
    </xf>
    <xf borderId="37" fillId="0" fontId="1" numFmtId="165" xfId="0" applyAlignment="1" applyBorder="1" applyFont="1" applyNumberFormat="1">
      <alignment vertical="center"/>
    </xf>
    <xf borderId="25" fillId="3" fontId="2" numFmtId="165" xfId="0" applyAlignment="1" applyBorder="1" applyFont="1" applyNumberFormat="1">
      <alignment vertical="center"/>
    </xf>
    <xf borderId="41" fillId="0" fontId="1" numFmtId="165" xfId="0" applyAlignment="1" applyBorder="1" applyFont="1" applyNumberFormat="1">
      <alignment vertical="center"/>
    </xf>
    <xf borderId="42" fillId="3" fontId="2" numFmtId="165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 vertical="center"/>
    </xf>
    <xf borderId="43" fillId="0" fontId="1" numFmtId="165" xfId="0" applyAlignment="1" applyBorder="1" applyFont="1" applyNumberFormat="1">
      <alignment horizontal="right" vertical="center"/>
    </xf>
    <xf borderId="13" fillId="0" fontId="1" numFmtId="165" xfId="0" applyAlignment="1" applyBorder="1" applyFont="1" applyNumberFormat="1">
      <alignment vertical="center"/>
    </xf>
    <xf borderId="33" fillId="3" fontId="2" numFmtId="165" xfId="0" applyAlignment="1" applyBorder="1" applyFont="1" applyNumberFormat="1">
      <alignment vertical="center"/>
    </xf>
    <xf borderId="6" fillId="0" fontId="1" numFmtId="165" xfId="0" applyAlignment="1" applyBorder="1" applyFont="1" applyNumberFormat="1">
      <alignment horizontal="right" vertical="center"/>
    </xf>
    <xf borderId="0" fillId="0" fontId="3" numFmtId="165" xfId="0" applyAlignment="1" applyFont="1" applyNumberFormat="1">
      <alignment vertical="center"/>
    </xf>
    <xf borderId="6" fillId="0" fontId="2" numFmtId="165" xfId="0" applyAlignment="1" applyBorder="1" applyFont="1" applyNumberFormat="1">
      <alignment horizontal="right" vertical="center"/>
    </xf>
    <xf borderId="6" fillId="0" fontId="1" numFmtId="165" xfId="0" applyAlignment="1" applyBorder="1" applyFont="1" applyNumberFormat="1">
      <alignment vertical="center"/>
    </xf>
    <xf borderId="14" fillId="0" fontId="2" numFmtId="165" xfId="0" applyAlignment="1" applyBorder="1" applyFont="1" applyNumberFormat="1">
      <alignment horizontal="right" vertical="center"/>
    </xf>
    <xf borderId="44" fillId="5" fontId="2" numFmtId="165" xfId="0" applyAlignment="1" applyBorder="1" applyFont="1" applyNumberFormat="1">
      <alignment vertical="center"/>
    </xf>
    <xf borderId="12" fillId="0" fontId="1" numFmtId="165" xfId="0" applyAlignment="1" applyBorder="1" applyFont="1" applyNumberFormat="1">
      <alignment vertical="center"/>
    </xf>
    <xf borderId="45" fillId="0" fontId="2" numFmtId="165" xfId="0" applyAlignment="1" applyBorder="1" applyFont="1" applyNumberFormat="1">
      <alignment horizontal="right" vertical="center"/>
    </xf>
    <xf borderId="46" fillId="5" fontId="2" numFmtId="165" xfId="0" applyAlignment="1" applyBorder="1" applyFont="1" applyNumberFormat="1">
      <alignment vertical="center"/>
    </xf>
    <xf borderId="36" fillId="0" fontId="1" numFmtId="165" xfId="0" applyAlignment="1" applyBorder="1" applyFont="1" applyNumberFormat="1">
      <alignment vertical="center"/>
    </xf>
    <xf borderId="28" fillId="3" fontId="2" numFmtId="165" xfId="0" applyAlignment="1" applyBorder="1" applyFont="1" applyNumberFormat="1">
      <alignment vertical="center"/>
    </xf>
    <xf borderId="47" fillId="5" fontId="2" numFmtId="165" xfId="0" applyAlignment="1" applyBorder="1" applyFont="1" applyNumberFormat="1">
      <alignment vertical="center"/>
    </xf>
    <xf borderId="48" fillId="5" fontId="2" numFmtId="165" xfId="0" applyAlignment="1" applyBorder="1" applyFont="1" applyNumberFormat="1">
      <alignment vertical="center"/>
    </xf>
    <xf borderId="5" fillId="0" fontId="2" numFmtId="165" xfId="0" applyAlignment="1" applyBorder="1" applyFont="1" applyNumberFormat="1">
      <alignment horizontal="right" vertical="center"/>
    </xf>
    <xf borderId="49" fillId="0" fontId="2" numFmtId="165" xfId="0" applyAlignment="1" applyBorder="1" applyFont="1" applyNumberFormat="1">
      <alignment horizontal="right" vertical="center"/>
    </xf>
    <xf borderId="8" fillId="5" fontId="2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8" fillId="3" fontId="2" numFmtId="165" xfId="0" applyAlignment="1" applyBorder="1" applyFont="1" applyNumberFormat="1">
      <alignment vertical="center"/>
    </xf>
    <xf borderId="50" fillId="0" fontId="3" numFmtId="0" xfId="0" applyAlignment="1" applyBorder="1" applyFont="1">
      <alignment horizontal="center" vertical="center"/>
    </xf>
    <xf borderId="50" fillId="0" fontId="5" numFmtId="0" xfId="0" applyAlignment="1" applyBorder="1" applyFont="1">
      <alignment vertical="center"/>
    </xf>
    <xf borderId="51" fillId="0" fontId="3" numFmtId="165" xfId="0" applyAlignment="1" applyBorder="1" applyFont="1" applyNumberFormat="1">
      <alignment horizontal="center" vertical="center"/>
    </xf>
    <xf borderId="52" fillId="0" fontId="2" numFmtId="0" xfId="0" applyAlignment="1" applyBorder="1" applyFont="1">
      <alignment horizontal="center" vertical="center"/>
    </xf>
    <xf borderId="52" fillId="0" fontId="5" numFmtId="0" xfId="0" applyAlignment="1" applyBorder="1" applyFont="1">
      <alignment vertical="center"/>
    </xf>
    <xf borderId="0" fillId="0" fontId="1" numFmtId="167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10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vertical="center"/>
    </xf>
    <xf borderId="12" fillId="0" fontId="2" numFmtId="168" xfId="0" applyAlignment="1" applyBorder="1" applyFont="1" applyNumberFormat="1">
      <alignment horizontal="center" vertical="center"/>
    </xf>
    <xf borderId="13" fillId="0" fontId="2" numFmtId="168" xfId="0" applyAlignment="1" applyBorder="1" applyFont="1" applyNumberFormat="1">
      <alignment horizontal="center" vertical="center"/>
    </xf>
    <xf borderId="14" fillId="0" fontId="2" numFmtId="168" xfId="0" applyAlignment="1" applyBorder="1" applyFont="1" applyNumberFormat="1">
      <alignment horizontal="center" vertical="center"/>
    </xf>
    <xf borderId="15" fillId="0" fontId="2" numFmtId="168" xfId="0" applyAlignment="1" applyBorder="1" applyFont="1" applyNumberFormat="1">
      <alignment horizontal="center" vertical="center"/>
    </xf>
    <xf borderId="34" fillId="0" fontId="2" numFmtId="168" xfId="0" applyAlignment="1" applyBorder="1" applyFont="1" applyNumberFormat="1">
      <alignment horizontal="center" vertical="center"/>
    </xf>
    <xf borderId="40" fillId="0" fontId="2" numFmtId="0" xfId="0" applyAlignment="1" applyBorder="1" applyFont="1">
      <alignment horizontal="center" vertical="center"/>
    </xf>
    <xf borderId="26" fillId="0" fontId="2" numFmtId="168" xfId="0" applyAlignment="1" applyBorder="1" applyFont="1" applyNumberFormat="1">
      <alignment horizontal="center" vertical="center"/>
    </xf>
    <xf borderId="27" fillId="0" fontId="2" numFmtId="168" xfId="0" applyAlignment="1" applyBorder="1" applyFont="1" applyNumberFormat="1">
      <alignment horizontal="center" vertical="center"/>
    </xf>
    <xf borderId="53" fillId="0" fontId="2" numFmtId="168" xfId="0" applyAlignment="1" applyBorder="1" applyFont="1" applyNumberFormat="1">
      <alignment horizontal="center" vertical="center"/>
    </xf>
    <xf borderId="42" fillId="0" fontId="2" numFmtId="168" xfId="0" applyAlignment="1" applyBorder="1" applyFont="1" applyNumberFormat="1">
      <alignment horizontal="center" vertical="center"/>
    </xf>
    <xf borderId="54" fillId="0" fontId="2" numFmtId="168" xfId="0" applyAlignment="1" applyBorder="1" applyFont="1" applyNumberFormat="1">
      <alignment horizontal="center" vertical="center"/>
    </xf>
    <xf borderId="55" fillId="0" fontId="2" numFmtId="0" xfId="0" applyAlignment="1" applyBorder="1" applyFont="1">
      <alignment horizontal="center" vertical="center"/>
    </xf>
    <xf borderId="56" fillId="0" fontId="2" numFmtId="168" xfId="0" applyAlignment="1" applyBorder="1" applyFont="1" applyNumberFormat="1">
      <alignment horizontal="center" vertical="center"/>
    </xf>
    <xf borderId="57" fillId="0" fontId="2" numFmtId="168" xfId="0" applyAlignment="1" applyBorder="1" applyFont="1" applyNumberFormat="1">
      <alignment horizontal="center" vertical="center"/>
    </xf>
    <xf borderId="58" fillId="0" fontId="2" numFmtId="168" xfId="0" applyAlignment="1" applyBorder="1" applyFont="1" applyNumberFormat="1">
      <alignment horizontal="center" vertical="center"/>
    </xf>
    <xf borderId="59" fillId="0" fontId="2" numFmtId="168" xfId="0" applyAlignment="1" applyBorder="1" applyFont="1" applyNumberFormat="1">
      <alignment horizontal="center" vertical="center"/>
    </xf>
    <xf borderId="60" fillId="0" fontId="2" numFmtId="168" xfId="0" applyAlignment="1" applyBorder="1" applyFont="1" applyNumberFormat="1">
      <alignment horizontal="center" vertical="center"/>
    </xf>
    <xf borderId="0" fillId="0" fontId="1" numFmtId="168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8" xfId="0" applyAlignment="1" applyFont="1" applyNumberFormat="1">
      <alignment horizontal="center" vertical="center"/>
    </xf>
    <xf borderId="61" fillId="6" fontId="2" numFmtId="0" xfId="0" applyAlignment="1" applyBorder="1" applyFill="1" applyFont="1">
      <alignment horizontal="center" shrinkToFit="0" vertical="center" wrapText="1"/>
    </xf>
    <xf borderId="61" fillId="6" fontId="2" numFmtId="0" xfId="0" applyAlignment="1" applyBorder="1" applyFont="1">
      <alignment horizontal="center" vertical="center"/>
    </xf>
    <xf borderId="61" fillId="6" fontId="2" numFmtId="168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2" fillId="7" fontId="2" numFmtId="165" xfId="0" applyAlignment="1" applyBorder="1" applyFill="1" applyFont="1" applyNumberFormat="1">
      <alignment horizontal="right" vertical="center"/>
    </xf>
    <xf borderId="13" fillId="0" fontId="2" numFmtId="165" xfId="0" applyAlignment="1" applyBorder="1" applyFont="1" applyNumberFormat="1">
      <alignment vertical="center"/>
    </xf>
    <xf borderId="13" fillId="8" fontId="2" numFmtId="165" xfId="0" applyAlignment="1" applyBorder="1" applyFill="1" applyFont="1" applyNumberFormat="1">
      <alignment horizontal="right" vertical="center"/>
    </xf>
    <xf borderId="14" fillId="8" fontId="2" numFmtId="165" xfId="0" applyAlignment="1" applyBorder="1" applyFont="1" applyNumberFormat="1">
      <alignment horizontal="right" vertical="center"/>
    </xf>
    <xf borderId="15" fillId="8" fontId="2" numFmtId="165" xfId="0" applyAlignment="1" applyBorder="1" applyFont="1" applyNumberFormat="1">
      <alignment vertical="center"/>
    </xf>
    <xf borderId="62" fillId="9" fontId="1" numFmtId="165" xfId="0" applyAlignment="1" applyBorder="1" applyFill="1" applyFont="1" applyNumberFormat="1">
      <alignment horizontal="right" vertical="center"/>
    </xf>
    <xf borderId="22" fillId="7" fontId="2" numFmtId="165" xfId="0" applyAlignment="1" applyBorder="1" applyFont="1" applyNumberFormat="1">
      <alignment horizontal="right" vertical="center"/>
    </xf>
    <xf borderId="37" fillId="0" fontId="2" numFmtId="165" xfId="0" applyAlignment="1" applyBorder="1" applyFont="1" applyNumberFormat="1">
      <alignment vertical="center"/>
    </xf>
    <xf borderId="23" fillId="8" fontId="2" numFmtId="165" xfId="0" applyAlignment="1" applyBorder="1" applyFont="1" applyNumberFormat="1">
      <alignment horizontal="right" vertical="center"/>
    </xf>
    <xf borderId="24" fillId="8" fontId="2" numFmtId="165" xfId="0" applyAlignment="1" applyBorder="1" applyFont="1" applyNumberFormat="1">
      <alignment horizontal="right" vertical="center"/>
    </xf>
    <xf borderId="32" fillId="8" fontId="2" numFmtId="165" xfId="0" applyAlignment="1" applyBorder="1" applyFont="1" applyNumberFormat="1">
      <alignment vertical="center"/>
    </xf>
    <xf borderId="63" fillId="0" fontId="1" numFmtId="165" xfId="0" applyAlignment="1" applyBorder="1" applyFont="1" applyNumberFormat="1">
      <alignment horizontal="right" vertical="center"/>
    </xf>
    <xf borderId="64" fillId="9" fontId="1" numFmtId="165" xfId="0" applyAlignment="1" applyBorder="1" applyFont="1" applyNumberFormat="1">
      <alignment horizontal="right" vertical="center"/>
    </xf>
    <xf borderId="28" fillId="8" fontId="2" numFmtId="165" xfId="0" applyAlignment="1" applyBorder="1" applyFont="1" applyNumberFormat="1">
      <alignment vertical="center"/>
    </xf>
    <xf borderId="25" fillId="8" fontId="2" numFmtId="165" xfId="0" applyAlignment="1" applyBorder="1" applyFont="1" applyNumberFormat="1">
      <alignment vertical="center"/>
    </xf>
    <xf borderId="5" fillId="7" fontId="2" numFmtId="165" xfId="0" applyAlignment="1" applyBorder="1" applyFont="1" applyNumberFormat="1">
      <alignment horizontal="right" vertical="center"/>
    </xf>
    <xf borderId="6" fillId="0" fontId="2" numFmtId="165" xfId="0" applyAlignment="1" applyBorder="1" applyFont="1" applyNumberFormat="1">
      <alignment vertical="center"/>
    </xf>
    <xf borderId="6" fillId="8" fontId="2" numFmtId="165" xfId="0" applyAlignment="1" applyBorder="1" applyFont="1" applyNumberFormat="1">
      <alignment horizontal="right" vertical="center"/>
    </xf>
    <xf borderId="49" fillId="8" fontId="2" numFmtId="165" xfId="0" applyAlignment="1" applyBorder="1" applyFont="1" applyNumberFormat="1">
      <alignment horizontal="right" vertical="center"/>
    </xf>
    <xf borderId="8" fillId="8" fontId="2" numFmtId="165" xfId="0" applyAlignment="1" applyBorder="1" applyFont="1" applyNumberFormat="1">
      <alignment vertical="center"/>
    </xf>
    <xf borderId="65" fillId="0" fontId="1" numFmtId="165" xfId="0" applyAlignment="1" applyBorder="1" applyFont="1" applyNumberFormat="1">
      <alignment horizontal="right" vertical="center"/>
    </xf>
    <xf borderId="9" fillId="9" fontId="1" numFmtId="165" xfId="0" applyAlignment="1" applyBorder="1" applyFont="1" applyNumberFormat="1">
      <alignment horizontal="right" vertical="center"/>
    </xf>
    <xf borderId="61" fillId="7" fontId="1" numFmtId="165" xfId="0" applyAlignment="1" applyBorder="1" applyFont="1" applyNumberFormat="1">
      <alignment vertical="center"/>
    </xf>
    <xf borderId="0" fillId="0" fontId="8" numFmtId="0" xfId="0" applyAlignment="1" applyFont="1">
      <alignment vertical="center"/>
    </xf>
    <xf borderId="66" fillId="0" fontId="5" numFmtId="0" xfId="0" applyAlignment="1" applyBorder="1" applyFont="1">
      <alignment vertical="center"/>
    </xf>
    <xf borderId="12" fillId="4" fontId="2" numFmtId="165" xfId="0" applyAlignment="1" applyBorder="1" applyFont="1" applyNumberFormat="1">
      <alignment vertical="center"/>
    </xf>
    <xf borderId="13" fillId="4" fontId="2" numFmtId="165" xfId="0" applyAlignment="1" applyBorder="1" applyFont="1" applyNumberFormat="1">
      <alignment vertical="center"/>
    </xf>
    <xf borderId="14" fillId="4" fontId="2" numFmtId="165" xfId="0" applyAlignment="1" applyBorder="1" applyFont="1" applyNumberFormat="1">
      <alignment vertical="center"/>
    </xf>
    <xf borderId="12" fillId="10" fontId="1" numFmtId="165" xfId="0" applyAlignment="1" applyBorder="1" applyFill="1" applyFont="1" applyNumberFormat="1">
      <alignment vertical="center"/>
    </xf>
    <xf borderId="13" fillId="10" fontId="1" numFmtId="165" xfId="0" applyAlignment="1" applyBorder="1" applyFont="1" applyNumberFormat="1">
      <alignment vertical="center"/>
    </xf>
    <xf borderId="14" fillId="10" fontId="1" numFmtId="165" xfId="0" applyAlignment="1" applyBorder="1" applyFont="1" applyNumberFormat="1">
      <alignment vertical="center"/>
    </xf>
    <xf borderId="26" fillId="4" fontId="2" numFmtId="165" xfId="0" applyAlignment="1" applyBorder="1" applyFont="1" applyNumberFormat="1">
      <alignment vertical="center"/>
    </xf>
    <xf borderId="27" fillId="4" fontId="2" numFmtId="165" xfId="0" applyAlignment="1" applyBorder="1" applyFont="1" applyNumberFormat="1">
      <alignment vertical="center"/>
    </xf>
    <xf borderId="53" fillId="4" fontId="2" numFmtId="165" xfId="0" applyAlignment="1" applyBorder="1" applyFont="1" applyNumberFormat="1">
      <alignment vertical="center"/>
    </xf>
    <xf borderId="67" fillId="5" fontId="2" numFmtId="165" xfId="0" applyAlignment="1" applyBorder="1" applyFont="1" applyNumberFormat="1">
      <alignment vertical="center"/>
    </xf>
    <xf borderId="26" fillId="10" fontId="1" numFmtId="165" xfId="0" applyAlignment="1" applyBorder="1" applyFont="1" applyNumberFormat="1">
      <alignment vertical="center"/>
    </xf>
    <xf borderId="27" fillId="10" fontId="1" numFmtId="165" xfId="0" applyAlignment="1" applyBorder="1" applyFont="1" applyNumberFormat="1">
      <alignment vertical="center"/>
    </xf>
    <xf borderId="53" fillId="10" fontId="1" numFmtId="165" xfId="0" applyAlignment="1" applyBorder="1" applyFont="1" applyNumberFormat="1">
      <alignment vertical="center"/>
    </xf>
    <xf borderId="42" fillId="4" fontId="2" numFmtId="169" xfId="0" applyAlignment="1" applyBorder="1" applyFont="1" applyNumberFormat="1">
      <alignment vertical="center"/>
    </xf>
    <xf borderId="15" fillId="0" fontId="2" numFmtId="0" xfId="0" applyAlignment="1" applyBorder="1" applyFont="1">
      <alignment horizontal="center" vertical="center"/>
    </xf>
    <xf borderId="15" fillId="4" fontId="2" numFmtId="169" xfId="0" applyAlignment="1" applyBorder="1" applyFont="1" applyNumberFormat="1">
      <alignment vertical="center"/>
    </xf>
    <xf borderId="42" fillId="0" fontId="2" numFmtId="0" xfId="0" applyAlignment="1" applyBorder="1" applyFont="1">
      <alignment horizontal="center" vertical="center"/>
    </xf>
    <xf borderId="42" fillId="5" fontId="2" numFmtId="165" xfId="0" applyAlignment="1" applyBorder="1" applyFont="1" applyNumberFormat="1">
      <alignment vertical="center"/>
    </xf>
    <xf borderId="53" fillId="0" fontId="1" numFmtId="165" xfId="0" applyAlignment="1" applyBorder="1" applyFont="1" applyNumberFormat="1">
      <alignment vertical="center"/>
    </xf>
    <xf borderId="68" fillId="0" fontId="2" numFmtId="0" xfId="0" applyAlignment="1" applyBorder="1" applyFont="1">
      <alignment horizontal="center" vertical="center"/>
    </xf>
    <xf borderId="69" fillId="4" fontId="2" numFmtId="165" xfId="0" applyAlignment="1" applyBorder="1" applyFont="1" applyNumberFormat="1">
      <alignment vertical="center"/>
    </xf>
    <xf borderId="70" fillId="4" fontId="2" numFmtId="165" xfId="0" applyAlignment="1" applyBorder="1" applyFont="1" applyNumberFormat="1">
      <alignment vertical="center"/>
    </xf>
    <xf borderId="71" fillId="4" fontId="2" numFmtId="165" xfId="0" applyAlignment="1" applyBorder="1" applyFont="1" applyNumberFormat="1">
      <alignment vertical="center"/>
    </xf>
    <xf borderId="49" fillId="0" fontId="1" numFmtId="165" xfId="0" applyAlignment="1" applyBorder="1" applyFont="1" applyNumberFormat="1">
      <alignment vertical="center"/>
    </xf>
    <xf borderId="67" fillId="4" fontId="2" numFmtId="165" xfId="0" applyAlignment="1" applyBorder="1" applyFont="1" applyNumberFormat="1">
      <alignment vertical="center"/>
    </xf>
    <xf borderId="10" fillId="0" fontId="2" numFmtId="165" xfId="0" applyAlignment="1" applyBorder="1" applyFont="1" applyNumberFormat="1">
      <alignment horizontal="center" vertical="center"/>
    </xf>
    <xf borderId="35" fillId="0" fontId="2" numFmtId="165" xfId="0" applyAlignment="1" applyBorder="1" applyFont="1" applyNumberFormat="1">
      <alignment horizontal="center" vertical="center"/>
    </xf>
    <xf borderId="13" fillId="0" fontId="2" numFmtId="165" xfId="0" applyAlignment="1" applyBorder="1" applyFont="1" applyNumberFormat="1">
      <alignment horizontal="center" vertical="center"/>
    </xf>
    <xf borderId="34" fillId="0" fontId="2" numFmtId="165" xfId="0" applyAlignment="1" applyBorder="1" applyFont="1" applyNumberFormat="1">
      <alignment vertical="center"/>
    </xf>
    <xf borderId="15" fillId="0" fontId="1" numFmtId="165" xfId="0" applyAlignment="1" applyBorder="1" applyFont="1" applyNumberFormat="1">
      <alignment vertical="center"/>
    </xf>
    <xf borderId="34" fillId="0" fontId="1" numFmtId="165" xfId="0" applyAlignment="1" applyBorder="1" applyFont="1" applyNumberFormat="1">
      <alignment horizontal="right" vertical="center"/>
    </xf>
    <xf borderId="40" fillId="0" fontId="2" numFmtId="165" xfId="0" applyAlignment="1" applyBorder="1" applyFont="1" applyNumberFormat="1">
      <alignment horizontal="center" vertical="center"/>
    </xf>
    <xf borderId="26" fillId="0" fontId="2" numFmtId="165" xfId="0" applyAlignment="1" applyBorder="1" applyFont="1" applyNumberFormat="1">
      <alignment horizontal="center" vertical="center"/>
    </xf>
    <xf borderId="27" fillId="0" fontId="2" numFmtId="165" xfId="0" applyAlignment="1" applyBorder="1" applyFont="1" applyNumberFormat="1">
      <alignment horizontal="center" vertical="center"/>
    </xf>
    <xf borderId="27" fillId="0" fontId="2" numFmtId="165" xfId="0" applyAlignment="1" applyBorder="1" applyFont="1" applyNumberFormat="1">
      <alignment vertical="center"/>
    </xf>
    <xf borderId="54" fillId="0" fontId="2" numFmtId="165" xfId="0" applyAlignment="1" applyBorder="1" applyFont="1" applyNumberFormat="1">
      <alignment vertical="center"/>
    </xf>
    <xf borderId="42" fillId="0" fontId="1" numFmtId="165" xfId="0" applyAlignment="1" applyBorder="1" applyFont="1" applyNumberFormat="1">
      <alignment vertical="center"/>
    </xf>
    <xf borderId="54" fillId="0" fontId="1" numFmtId="165" xfId="0" applyAlignment="1" applyBorder="1" applyFont="1" applyNumberFormat="1">
      <alignment horizontal="right" vertical="center"/>
    </xf>
    <xf borderId="19" fillId="0" fontId="2" numFmtId="165" xfId="0" applyAlignment="1" applyBorder="1" applyFont="1" applyNumberFormat="1">
      <alignment horizontal="center" vertical="center"/>
    </xf>
    <xf borderId="55" fillId="0" fontId="2" numFmtId="165" xfId="0" applyAlignment="1" applyBorder="1" applyFont="1" applyNumberFormat="1">
      <alignment horizontal="center" vertical="center"/>
    </xf>
    <xf borderId="36" fillId="0" fontId="2" numFmtId="165" xfId="0" applyAlignment="1" applyBorder="1" applyFont="1" applyNumberFormat="1">
      <alignment horizontal="center" vertical="center"/>
    </xf>
    <xf borderId="37" fillId="0" fontId="2" numFmtId="165" xfId="0" applyAlignment="1" applyBorder="1" applyFont="1" applyNumberFormat="1">
      <alignment horizontal="center" vertical="center"/>
    </xf>
    <xf borderId="38" fillId="0" fontId="2" numFmtId="165" xfId="0" applyAlignment="1" applyBorder="1" applyFont="1" applyNumberFormat="1">
      <alignment vertical="center"/>
    </xf>
    <xf borderId="30" fillId="0" fontId="1" numFmtId="165" xfId="0" applyAlignment="1" applyBorder="1" applyFont="1" applyNumberFormat="1">
      <alignment vertical="center"/>
    </xf>
    <xf borderId="72" fillId="0" fontId="2" numFmtId="165" xfId="0" applyAlignment="1" applyBorder="1" applyFont="1" applyNumberFormat="1">
      <alignment horizontal="center" vertical="center"/>
    </xf>
    <xf borderId="56" fillId="0" fontId="2" numFmtId="165" xfId="0" applyAlignment="1" applyBorder="1" applyFont="1" applyNumberFormat="1">
      <alignment horizontal="center" vertical="center"/>
    </xf>
    <xf borderId="57" fillId="0" fontId="2" numFmtId="165" xfId="0" applyAlignment="1" applyBorder="1" applyFont="1" applyNumberFormat="1">
      <alignment horizontal="center" vertical="center"/>
    </xf>
    <xf borderId="57" fillId="0" fontId="2" numFmtId="165" xfId="0" applyAlignment="1" applyBorder="1" applyFont="1" applyNumberFormat="1">
      <alignment vertical="center"/>
    </xf>
    <xf borderId="60" fillId="0" fontId="2" numFmtId="165" xfId="0" applyAlignment="1" applyBorder="1" applyFont="1" applyNumberFormat="1">
      <alignment vertical="center"/>
    </xf>
    <xf borderId="59" fillId="0" fontId="1" numFmtId="165" xfId="0" applyAlignment="1" applyBorder="1" applyFont="1" applyNumberFormat="1">
      <alignment vertical="center"/>
    </xf>
    <xf borderId="67" fillId="3" fontId="2" numFmtId="165" xfId="0" applyAlignment="1" applyBorder="1" applyFont="1" applyNumberFormat="1">
      <alignment vertical="center"/>
    </xf>
    <xf borderId="8" fillId="0" fontId="2" numFmtId="165" xfId="0" applyAlignment="1" applyBorder="1" applyFont="1" applyNumberFormat="1">
      <alignment horizontal="center" vertical="center"/>
    </xf>
    <xf borderId="66" fillId="0" fontId="2" numFmtId="165" xfId="0" applyAlignment="1" applyBorder="1" applyFont="1" applyNumberFormat="1">
      <alignment horizontal="center" vertical="center"/>
    </xf>
    <xf borderId="5" fillId="0" fontId="2" numFmtId="165" xfId="0" applyAlignment="1" applyBorder="1" applyFont="1" applyNumberFormat="1">
      <alignment horizontal="center" vertical="center"/>
    </xf>
    <xf borderId="6" fillId="0" fontId="2" numFmtId="165" xfId="0" applyAlignment="1" applyBorder="1" applyFont="1" applyNumberFormat="1">
      <alignment horizontal="center" vertical="center"/>
    </xf>
    <xf borderId="73" fillId="0" fontId="2" numFmtId="165" xfId="0" applyAlignment="1" applyBorder="1" applyFont="1" applyNumberFormat="1">
      <alignment vertical="center"/>
    </xf>
    <xf borderId="8" fillId="0" fontId="1" numFmtId="165" xfId="0" applyAlignment="1" applyBorder="1" applyFont="1" applyNumberFormat="1">
      <alignment vertical="center"/>
    </xf>
    <xf borderId="12" fillId="0" fontId="2" numFmtId="165" xfId="0" applyAlignment="1" applyBorder="1" applyFont="1" applyNumberFormat="1">
      <alignment horizontal="center" vertical="center"/>
    </xf>
    <xf borderId="73" fillId="0" fontId="1" numFmtId="165" xfId="0" applyAlignment="1" applyBorder="1" applyFont="1" applyNumberFormat="1">
      <alignment horizontal="right" vertical="center"/>
    </xf>
    <xf borderId="15" fillId="0" fontId="2" numFmtId="165" xfId="0" applyAlignment="1" applyBorder="1" applyFont="1" applyNumberFormat="1">
      <alignment vertical="center"/>
    </xf>
    <xf borderId="43" fillId="0" fontId="1" numFmtId="165" xfId="0" applyAlignment="1" applyBorder="1" applyFont="1" applyNumberFormat="1">
      <alignment vertical="center"/>
    </xf>
    <xf borderId="42" fillId="0" fontId="2" numFmtId="165" xfId="0" applyAlignment="1" applyBorder="1" applyFont="1" applyNumberFormat="1">
      <alignment vertical="center"/>
    </xf>
    <xf borderId="74" fillId="0" fontId="1" numFmtId="165" xfId="0" applyAlignment="1" applyBorder="1" applyFont="1" applyNumberFormat="1">
      <alignment vertical="center"/>
    </xf>
    <xf borderId="30" fillId="0" fontId="2" numFmtId="165" xfId="0" applyAlignment="1" applyBorder="1" applyFont="1" applyNumberFormat="1">
      <alignment vertical="center"/>
    </xf>
    <xf borderId="63" fillId="0" fontId="1" numFmtId="165" xfId="0" applyAlignment="1" applyBorder="1" applyFont="1" applyNumberFormat="1">
      <alignment vertical="center"/>
    </xf>
    <xf borderId="72" fillId="0" fontId="2" numFmtId="0" xfId="0" applyAlignment="1" applyBorder="1" applyFont="1">
      <alignment horizontal="center" vertical="center"/>
    </xf>
    <xf borderId="59" fillId="0" fontId="2" numFmtId="165" xfId="0" applyAlignment="1" applyBorder="1" applyFont="1" applyNumberFormat="1">
      <alignment vertical="center"/>
    </xf>
    <xf borderId="75" fillId="0" fontId="1" numFmtId="165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66" fillId="0" fontId="2" numFmtId="0" xfId="0" applyAlignment="1" applyBorder="1" applyFont="1">
      <alignment horizontal="center" vertical="center"/>
    </xf>
    <xf borderId="17" fillId="0" fontId="2" numFmtId="165" xfId="0" applyAlignment="1" applyBorder="1" applyFont="1" applyNumberFormat="1">
      <alignment vertical="center"/>
    </xf>
    <xf borderId="76" fillId="0" fontId="2" numFmtId="165" xfId="0" applyAlignment="1" applyBorder="1" applyFont="1" applyNumberFormat="1">
      <alignment vertical="center"/>
    </xf>
    <xf borderId="10" fillId="0" fontId="2" numFmtId="165" xfId="0" applyAlignment="1" applyBorder="1" applyFont="1" applyNumberFormat="1">
      <alignment vertical="center"/>
    </xf>
    <xf borderId="77" fillId="0" fontId="1" numFmtId="165" xfId="0" applyAlignment="1" applyBorder="1" applyFont="1" applyNumberFormat="1">
      <alignment vertical="center"/>
    </xf>
    <xf borderId="15" fillId="5" fontId="2" numFmtId="165" xfId="0" applyAlignment="1" applyBorder="1" applyFont="1" applyNumberFormat="1">
      <alignment horizontal="right" vertical="center"/>
    </xf>
    <xf borderId="14" fillId="0" fontId="1" numFmtId="165" xfId="0" applyAlignment="1" applyBorder="1" applyFont="1" applyNumberFormat="1">
      <alignment vertical="center"/>
    </xf>
    <xf borderId="15" fillId="3" fontId="8" numFmtId="165" xfId="0" applyAlignment="1" applyBorder="1" applyFont="1" applyNumberFormat="1">
      <alignment vertical="center"/>
    </xf>
    <xf borderId="26" fillId="4" fontId="2" numFmtId="165" xfId="0" applyAlignment="1" applyBorder="1" applyFont="1" applyNumberFormat="1">
      <alignment horizontal="right" vertical="center"/>
    </xf>
    <xf borderId="27" fillId="4" fontId="2" numFmtId="165" xfId="0" applyAlignment="1" applyBorder="1" applyFont="1" applyNumberFormat="1">
      <alignment horizontal="right" vertical="center"/>
    </xf>
    <xf borderId="53" fillId="4" fontId="2" numFmtId="165" xfId="0" applyAlignment="1" applyBorder="1" applyFont="1" applyNumberFormat="1">
      <alignment horizontal="right" vertical="center"/>
    </xf>
    <xf borderId="42" fillId="5" fontId="2" numFmtId="165" xfId="0" applyAlignment="1" applyBorder="1" applyFont="1" applyNumberFormat="1">
      <alignment horizontal="right" vertical="center"/>
    </xf>
    <xf borderId="78" fillId="3" fontId="8" numFmtId="165" xfId="0" applyAlignment="1" applyBorder="1" applyFont="1" applyNumberFormat="1">
      <alignment vertical="center"/>
    </xf>
    <xf borderId="28" fillId="5" fontId="2" numFmtId="165" xfId="0" applyAlignment="1" applyBorder="1" applyFont="1" applyNumberFormat="1">
      <alignment horizontal="right" vertical="center"/>
    </xf>
    <xf borderId="33" fillId="3" fontId="2" numFmtId="169" xfId="0" applyAlignment="1" applyBorder="1" applyFont="1" applyNumberFormat="1">
      <alignment vertical="center"/>
    </xf>
    <xf borderId="42" fillId="3" fontId="2" numFmtId="169" xfId="0" applyAlignment="1" applyBorder="1" applyFont="1" applyNumberFormat="1">
      <alignment vertical="center"/>
    </xf>
    <xf borderId="5" fillId="4" fontId="2" numFmtId="165" xfId="0" applyAlignment="1" applyBorder="1" applyFont="1" applyNumberFormat="1">
      <alignment horizontal="right" vertical="center"/>
    </xf>
    <xf borderId="6" fillId="4" fontId="2" numFmtId="165" xfId="0" applyAlignment="1" applyBorder="1" applyFont="1" applyNumberFormat="1">
      <alignment horizontal="right" vertical="center"/>
    </xf>
    <xf borderId="49" fillId="4" fontId="2" numFmtId="165" xfId="0" applyAlignment="1" applyBorder="1" applyFont="1" applyNumberFormat="1">
      <alignment horizontal="right" vertical="center"/>
    </xf>
    <xf borderId="8" fillId="5" fontId="2" numFmtId="165" xfId="0" applyAlignment="1" applyBorder="1" applyFont="1" applyNumberFormat="1">
      <alignment horizontal="right" vertical="center"/>
    </xf>
    <xf borderId="12" fillId="0" fontId="2" numFmtId="166" xfId="0" applyAlignment="1" applyBorder="1" applyFont="1" applyNumberFormat="1">
      <alignment horizontal="center" vertical="center"/>
    </xf>
    <xf borderId="13" fillId="0" fontId="2" numFmtId="166" xfId="0" applyAlignment="1" applyBorder="1" applyFont="1" applyNumberFormat="1">
      <alignment horizontal="center" vertical="center"/>
    </xf>
    <xf borderId="14" fillId="0" fontId="2" numFmtId="166" xfId="0" applyAlignment="1" applyBorder="1" applyFont="1" applyNumberFormat="1">
      <alignment horizontal="center" vertical="center"/>
    </xf>
    <xf borderId="15" fillId="0" fontId="2" numFmtId="166" xfId="0" applyAlignment="1" applyBorder="1" applyFont="1" applyNumberFormat="1">
      <alignment horizontal="center" vertical="center"/>
    </xf>
    <xf borderId="14" fillId="0" fontId="2" numFmtId="165" xfId="0" applyAlignment="1" applyBorder="1" applyFont="1" applyNumberFormat="1">
      <alignment horizontal="center" vertical="center"/>
    </xf>
    <xf borderId="53" fillId="0" fontId="2" numFmtId="165" xfId="0" applyAlignment="1" applyBorder="1" applyFont="1" applyNumberFormat="1">
      <alignment horizontal="center" vertical="center"/>
    </xf>
    <xf borderId="42" fillId="0" fontId="2" numFmtId="165" xfId="0" applyAlignment="1" applyBorder="1" applyFont="1" applyNumberFormat="1">
      <alignment horizontal="center" vertical="center"/>
    </xf>
    <xf borderId="26" fillId="0" fontId="2" numFmtId="166" xfId="0" applyAlignment="1" applyBorder="1" applyFont="1" applyNumberFormat="1">
      <alignment horizontal="center" vertical="center"/>
    </xf>
    <xf borderId="27" fillId="0" fontId="2" numFmtId="166" xfId="0" applyAlignment="1" applyBorder="1" applyFont="1" applyNumberFormat="1">
      <alignment horizontal="center" vertical="center"/>
    </xf>
    <xf borderId="53" fillId="0" fontId="2" numFmtId="166" xfId="0" applyAlignment="1" applyBorder="1" applyFont="1" applyNumberFormat="1">
      <alignment horizontal="center" vertical="center"/>
    </xf>
    <xf borderId="36" fillId="0" fontId="2" numFmtId="166" xfId="0" applyAlignment="1" applyBorder="1" applyFont="1" applyNumberFormat="1">
      <alignment horizontal="center" vertical="center"/>
    </xf>
    <xf borderId="37" fillId="0" fontId="2" numFmtId="166" xfId="0" applyAlignment="1" applyBorder="1" applyFont="1" applyNumberFormat="1">
      <alignment horizontal="center" vertical="center"/>
    </xf>
    <xf borderId="45" fillId="0" fontId="2" numFmtId="166" xfId="0" applyAlignment="1" applyBorder="1" applyFont="1" applyNumberFormat="1">
      <alignment horizontal="center" vertical="center"/>
    </xf>
    <xf borderId="30" fillId="0" fontId="2" numFmtId="166" xfId="0" applyAlignment="1" applyBorder="1" applyFont="1" applyNumberFormat="1">
      <alignment horizontal="center" vertical="center"/>
    </xf>
    <xf borderId="18" fillId="0" fontId="1" numFmtId="0" xfId="0" applyAlignment="1" applyBorder="1" applyFont="1">
      <alignment vertical="center"/>
    </xf>
    <xf borderId="58" fillId="0" fontId="2" numFmtId="165" xfId="0" applyAlignment="1" applyBorder="1" applyFont="1" applyNumberFormat="1">
      <alignment horizontal="center" vertical="center"/>
    </xf>
    <xf borderId="59" fillId="0" fontId="2" numFmtId="165" xfId="0" applyAlignment="1" applyBorder="1" applyFont="1" applyNumberFormat="1">
      <alignment horizontal="center" vertical="center"/>
    </xf>
    <xf borderId="56" fillId="0" fontId="2" numFmtId="166" xfId="0" applyAlignment="1" applyBorder="1" applyFont="1" applyNumberFormat="1">
      <alignment horizontal="center" vertical="center"/>
    </xf>
    <xf borderId="57" fillId="0" fontId="2" numFmtId="166" xfId="0" applyAlignment="1" applyBorder="1" applyFont="1" applyNumberFormat="1">
      <alignment horizontal="center" vertical="center"/>
    </xf>
    <xf borderId="58" fillId="0" fontId="2" numFmtId="166" xfId="0" applyAlignment="1" applyBorder="1" applyFont="1" applyNumberFormat="1">
      <alignment horizontal="center" vertical="center"/>
    </xf>
    <xf borderId="5" fillId="0" fontId="2" numFmtId="166" xfId="0" applyAlignment="1" applyBorder="1" applyFont="1" applyNumberFormat="1">
      <alignment horizontal="center" vertical="center"/>
    </xf>
    <xf borderId="6" fillId="0" fontId="2" numFmtId="166" xfId="0" applyAlignment="1" applyBorder="1" applyFont="1" applyNumberFormat="1">
      <alignment horizontal="center" vertical="center"/>
    </xf>
    <xf borderId="49" fillId="0" fontId="2" numFmtId="166" xfId="0" applyAlignment="1" applyBorder="1" applyFont="1" applyNumberFormat="1">
      <alignment horizontal="center" vertical="center"/>
    </xf>
    <xf borderId="8" fillId="0" fontId="2" numFmtId="166" xfId="0" applyAlignment="1" applyBorder="1" applyFont="1" applyNumberFormat="1">
      <alignment horizontal="center" vertical="center"/>
    </xf>
    <xf borderId="0" fillId="0" fontId="7" numFmtId="165" xfId="0" applyAlignment="1" applyFont="1" applyNumberFormat="1">
      <alignment vertical="center"/>
    </xf>
    <xf borderId="0" fillId="0" fontId="8" numFmtId="165" xfId="0" applyAlignment="1" applyFont="1" applyNumberFormat="1">
      <alignment vertical="center"/>
    </xf>
    <xf borderId="1" fillId="0" fontId="1" numFmtId="0" xfId="0" applyAlignment="1" applyBorder="1" applyFont="1">
      <alignment vertical="center"/>
    </xf>
    <xf borderId="8" fillId="3" fontId="2" numFmtId="165" xfId="0" applyAlignment="1" applyBorder="1" applyFont="1" applyNumberFormat="1">
      <alignment horizontal="center" vertical="center"/>
    </xf>
    <xf borderId="26" fillId="10" fontId="1" numFmtId="169" xfId="0" applyAlignment="1" applyBorder="1" applyFont="1" applyNumberFormat="1">
      <alignment vertical="center"/>
    </xf>
    <xf borderId="27" fillId="10" fontId="1" numFmtId="169" xfId="0" applyAlignment="1" applyBorder="1" applyFont="1" applyNumberFormat="1">
      <alignment vertical="center"/>
    </xf>
    <xf borderId="42" fillId="4" fontId="2" numFmtId="165" xfId="0" applyAlignment="1" applyBorder="1" applyFont="1" applyNumberFormat="1">
      <alignment vertical="center"/>
    </xf>
    <xf borderId="12" fillId="10" fontId="1" numFmtId="169" xfId="0" applyAlignment="1" applyBorder="1" applyFont="1" applyNumberFormat="1">
      <alignment vertical="center"/>
    </xf>
    <xf borderId="13" fillId="10" fontId="1" numFmtId="169" xfId="0" applyAlignment="1" applyBorder="1" applyFont="1" applyNumberFormat="1">
      <alignment vertical="center"/>
    </xf>
    <xf borderId="79" fillId="4" fontId="2" numFmtId="165" xfId="0" applyAlignment="1" applyBorder="1" applyFont="1" applyNumberFormat="1">
      <alignment horizontal="right" vertical="center"/>
    </xf>
    <xf borderId="80" fillId="4" fontId="2" numFmtId="165" xfId="0" applyAlignment="1" applyBorder="1" applyFont="1" applyNumberFormat="1">
      <alignment horizontal="right" vertical="center"/>
    </xf>
    <xf borderId="81" fillId="4" fontId="2" numFmtId="165" xfId="0" applyAlignment="1" applyBorder="1" applyFont="1" applyNumberFormat="1">
      <alignment horizontal="right" vertical="center"/>
    </xf>
    <xf borderId="26" fillId="0" fontId="1" numFmtId="169" xfId="0" applyAlignment="1" applyBorder="1" applyFont="1" applyNumberFormat="1">
      <alignment vertical="center"/>
    </xf>
    <xf borderId="27" fillId="0" fontId="1" numFmtId="169" xfId="0" applyAlignment="1" applyBorder="1" applyFont="1" applyNumberFormat="1">
      <alignment vertical="center"/>
    </xf>
    <xf borderId="5" fillId="0" fontId="1" numFmtId="169" xfId="0" applyAlignment="1" applyBorder="1" applyFont="1" applyNumberFormat="1">
      <alignment vertical="center"/>
    </xf>
    <xf borderId="6" fillId="0" fontId="1" numFmtId="169" xfId="0" applyAlignment="1" applyBorder="1" applyFont="1" applyNumberFormat="1">
      <alignment vertical="center"/>
    </xf>
    <xf borderId="43" fillId="0" fontId="2" numFmtId="165" xfId="0" applyAlignment="1" applyBorder="1" applyFont="1" applyNumberFormat="1">
      <alignment vertical="center"/>
    </xf>
    <xf borderId="15" fillId="5" fontId="2" numFmtId="165" xfId="0" applyAlignment="1" applyBorder="1" applyFont="1" applyNumberFormat="1">
      <alignment horizontal="center" vertical="center"/>
    </xf>
    <xf borderId="42" fillId="5" fontId="2" numFmtId="165" xfId="0" applyAlignment="1" applyBorder="1" applyFont="1" applyNumberFormat="1">
      <alignment horizontal="center" vertical="center"/>
    </xf>
    <xf borderId="67" fillId="3" fontId="8" numFmtId="165" xfId="0" applyAlignment="1" applyBorder="1" applyFont="1" applyNumberFormat="1">
      <alignment vertical="center"/>
    </xf>
    <xf borderId="36" fillId="0" fontId="2" numFmtId="168" xfId="0" applyAlignment="1" applyBorder="1" applyFont="1" applyNumberFormat="1">
      <alignment horizontal="center" vertical="center"/>
    </xf>
    <xf borderId="37" fillId="0" fontId="2" numFmtId="168" xfId="0" applyAlignment="1" applyBorder="1" applyFont="1" applyNumberFormat="1">
      <alignment horizontal="center" vertical="center"/>
    </xf>
    <xf borderId="45" fillId="0" fontId="2" numFmtId="165" xfId="0" applyAlignment="1" applyBorder="1" applyFont="1" applyNumberFormat="1">
      <alignment vertical="center"/>
    </xf>
    <xf borderId="58" fillId="0" fontId="2" numFmtId="165" xfId="0" applyAlignment="1" applyBorder="1" applyFont="1" applyNumberFormat="1">
      <alignment vertical="center"/>
    </xf>
    <xf borderId="49" fillId="0" fontId="2" numFmtId="165" xfId="0" applyAlignment="1" applyBorder="1" applyFont="1" applyNumberFormat="1">
      <alignment vertical="center"/>
    </xf>
    <xf borderId="53" fillId="0" fontId="2" numFmtId="165" xfId="0" applyAlignment="1" applyBorder="1" applyFont="1" applyNumberFormat="1">
      <alignment vertical="center"/>
    </xf>
    <xf borderId="82" fillId="0" fontId="2" numFmtId="165" xfId="0" applyAlignment="1" applyBorder="1" applyFont="1" applyNumberFormat="1">
      <alignment horizontal="center" vertical="center"/>
    </xf>
    <xf borderId="41" fillId="0" fontId="2" numFmtId="165" xfId="0" applyAlignment="1" applyBorder="1" applyFont="1" applyNumberFormat="1">
      <alignment horizontal="center" vertical="center"/>
    </xf>
    <xf borderId="41" fillId="0" fontId="2" numFmtId="165" xfId="0" applyAlignment="1" applyBorder="1" applyFont="1" applyNumberFormat="1">
      <alignment vertical="center"/>
    </xf>
    <xf borderId="83" fillId="0" fontId="2" numFmtId="165" xfId="0" applyAlignment="1" applyBorder="1" applyFont="1" applyNumberFormat="1">
      <alignment vertical="center"/>
    </xf>
    <xf borderId="84" fillId="0" fontId="2" numFmtId="165" xfId="0" applyAlignment="1" applyBorder="1" applyFont="1" applyNumberFormat="1">
      <alignment vertical="center"/>
    </xf>
    <xf borderId="32" fillId="5" fontId="2" numFmtId="165" xfId="0" applyAlignment="1" applyBorder="1" applyFont="1" applyNumberFormat="1">
      <alignment horizontal="center" vertical="center"/>
    </xf>
    <xf borderId="8" fillId="2" fontId="2" numFmtId="165" xfId="0" applyAlignment="1" applyBorder="1" applyFont="1" applyNumberFormat="1">
      <alignment horizontal="center" vertical="center"/>
    </xf>
    <xf borderId="85" fillId="10" fontId="1" numFmtId="165" xfId="0" applyAlignment="1" applyBorder="1" applyFont="1" applyNumberFormat="1">
      <alignment vertical="center"/>
    </xf>
    <xf borderId="86" fillId="10" fontId="1" numFmtId="165" xfId="0" applyAlignment="1" applyBorder="1" applyFont="1" applyNumberFormat="1">
      <alignment vertical="center"/>
    </xf>
    <xf borderId="5" fillId="10" fontId="1" numFmtId="165" xfId="0" applyAlignment="1" applyBorder="1" applyFont="1" applyNumberFormat="1">
      <alignment vertical="center"/>
    </xf>
    <xf borderId="6" fillId="10" fontId="1" numFmtId="165" xfId="0" applyAlignment="1" applyBorder="1" applyFont="1" applyNumberFormat="1">
      <alignment vertical="center"/>
    </xf>
    <xf borderId="8" fillId="4" fontId="2" numFmtId="169" xfId="0" applyAlignment="1" applyBorder="1" applyFont="1" applyNumberFormat="1">
      <alignment vertical="center"/>
    </xf>
    <xf borderId="26" fillId="0" fontId="2" numFmtId="165" xfId="0" applyAlignment="1" applyBorder="1" applyFont="1" applyNumberFormat="1">
      <alignment horizontal="right" vertical="center"/>
    </xf>
    <xf borderId="27" fillId="0" fontId="2" numFmtId="165" xfId="0" applyAlignment="1" applyBorder="1" applyFont="1" applyNumberFormat="1">
      <alignment horizontal="right" vertical="center"/>
    </xf>
    <xf borderId="39" fillId="0" fontId="2" numFmtId="165" xfId="0" applyAlignment="1" applyBorder="1" applyFont="1" applyNumberFormat="1">
      <alignment horizontal="right" vertical="center"/>
    </xf>
    <xf borderId="87" fillId="0" fontId="2" numFmtId="165" xfId="0" applyAlignment="1" applyBorder="1" applyFont="1" applyNumberFormat="1">
      <alignment horizontal="right" vertical="center"/>
    </xf>
    <xf borderId="20" fillId="0" fontId="1" numFmtId="165" xfId="0" applyAlignment="1" applyBorder="1" applyFont="1" applyNumberFormat="1">
      <alignment vertical="center"/>
    </xf>
    <xf borderId="73" fillId="0" fontId="2" numFmtId="165" xfId="0" applyAlignment="1" applyBorder="1" applyFont="1" applyNumberFormat="1">
      <alignment horizontal="right" vertical="center"/>
    </xf>
    <xf borderId="15" fillId="0" fontId="2" numFmtId="165" xfId="0" applyAlignment="1" applyBorder="1" applyFont="1" applyNumberFormat="1">
      <alignment horizontal="center" vertical="center"/>
    </xf>
    <xf borderId="20" fillId="0" fontId="2" numFmtId="165" xfId="0" applyAlignment="1" applyBorder="1" applyFont="1" applyNumberFormat="1">
      <alignment horizontal="center" vertical="center"/>
    </xf>
    <xf borderId="88" fillId="0" fontId="2" numFmtId="165" xfId="0" applyAlignment="1" applyBorder="1" applyFont="1" applyNumberFormat="1">
      <alignment horizontal="right" vertical="center"/>
    </xf>
    <xf borderId="89" fillId="4" fontId="2" numFmtId="165" xfId="0" applyAlignment="1" applyBorder="1" applyFont="1" applyNumberFormat="1">
      <alignment horizontal="right" vertical="center"/>
    </xf>
    <xf borderId="90" fillId="4" fontId="2" numFmtId="165" xfId="0" applyAlignment="1" applyBorder="1" applyFont="1" applyNumberFormat="1">
      <alignment horizontal="right" vertical="center"/>
    </xf>
    <xf borderId="33" fillId="4" fontId="2" numFmtId="169" xfId="0" applyAlignment="1" applyBorder="1" applyFont="1" applyNumberFormat="1">
      <alignment vertical="center"/>
    </xf>
    <xf borderId="91" fillId="0" fontId="2" numFmtId="165" xfId="0" applyAlignment="1" applyBorder="1" applyFont="1" applyNumberFormat="1">
      <alignment horizontal="right" vertical="center"/>
    </xf>
    <xf borderId="74" fillId="0" fontId="2" numFmtId="165" xfId="0" applyAlignment="1" applyBorder="1" applyFont="1" applyNumberFormat="1">
      <alignment vertical="center"/>
    </xf>
    <xf borderId="63" fillId="0" fontId="2" numFmtId="165" xfId="0" applyAlignment="1" applyBorder="1" applyFont="1" applyNumberFormat="1">
      <alignment vertical="center"/>
    </xf>
    <xf borderId="75" fillId="0" fontId="2" numFmtId="165" xfId="0" applyAlignment="1" applyBorder="1" applyFont="1" applyNumberFormat="1">
      <alignment vertical="center"/>
    </xf>
    <xf borderId="83" fillId="0" fontId="2" numFmtId="165" xfId="0" applyAlignment="1" applyBorder="1" applyFont="1" applyNumberFormat="1">
      <alignment horizontal="right" vertical="center"/>
    </xf>
    <xf borderId="77" fillId="0" fontId="2" numFmtId="165" xfId="0" applyAlignment="1" applyBorder="1" applyFont="1" applyNumberFormat="1">
      <alignment vertical="center"/>
    </xf>
    <xf borderId="17" fillId="0" fontId="2" numFmtId="165" xfId="0" applyAlignment="1" applyBorder="1" applyFont="1" applyNumberFormat="1">
      <alignment horizontal="right" vertical="center"/>
    </xf>
    <xf borderId="84" fillId="0" fontId="2" numFmtId="165" xfId="0" applyAlignment="1" applyBorder="1" applyFont="1" applyNumberFormat="1">
      <alignment horizontal="right" vertical="center"/>
    </xf>
    <xf borderId="16" fillId="0" fontId="2" numFmtId="165" xfId="0" applyAlignment="1" applyBorder="1" applyFont="1" applyNumberFormat="1">
      <alignment horizontal="right" vertical="center"/>
    </xf>
    <xf borderId="58" fillId="0" fontId="2" numFmtId="165" xfId="0" applyAlignment="1" applyBorder="1" applyFont="1" applyNumberFormat="1">
      <alignment horizontal="right" vertical="center"/>
    </xf>
    <xf borderId="92" fillId="2" fontId="2" numFmtId="164" xfId="0" applyAlignment="1" applyBorder="1" applyFont="1" applyNumberFormat="1">
      <alignment horizontal="center" vertical="center"/>
    </xf>
    <xf borderId="15" fillId="4" fontId="2" numFmtId="165" xfId="0" applyAlignment="1" applyBorder="1" applyFont="1" applyNumberFormat="1">
      <alignment horizontal="right" vertical="center"/>
    </xf>
    <xf borderId="15" fillId="4" fontId="1" numFmtId="165" xfId="0" applyAlignment="1" applyBorder="1" applyFont="1" applyNumberFormat="1">
      <alignment vertical="center"/>
    </xf>
    <xf borderId="28" fillId="4" fontId="2" numFmtId="165" xfId="0" applyAlignment="1" applyBorder="1" applyFont="1" applyNumberFormat="1">
      <alignment horizontal="right" vertical="center"/>
    </xf>
    <xf borderId="28" fillId="4" fontId="1" numFmtId="165" xfId="0" applyAlignment="1" applyBorder="1" applyFont="1" applyNumberFormat="1">
      <alignment vertical="center"/>
    </xf>
    <xf borderId="33" fillId="4" fontId="2" numFmtId="165" xfId="0" applyAlignment="1" applyBorder="1" applyFont="1" applyNumberFormat="1">
      <alignment horizontal="right" vertical="center"/>
    </xf>
    <xf borderId="33" fillId="4" fontId="1" numFmtId="165" xfId="0" applyAlignment="1" applyBorder="1" applyFont="1" applyNumberFormat="1">
      <alignment vertical="center"/>
    </xf>
    <xf borderId="15" fillId="0" fontId="2" numFmtId="165" xfId="0" applyAlignment="1" applyBorder="1" applyFont="1" applyNumberFormat="1">
      <alignment horizontal="right" vertical="center"/>
    </xf>
    <xf borderId="93" fillId="0" fontId="2" numFmtId="165" xfId="0" applyAlignment="1" applyBorder="1" applyFont="1" applyNumberFormat="1">
      <alignment horizontal="right" vertical="center"/>
    </xf>
    <xf borderId="15" fillId="3" fontId="1" numFmtId="165" xfId="0" applyAlignment="1" applyBorder="1" applyFont="1" applyNumberFormat="1">
      <alignment vertical="center"/>
    </xf>
    <xf borderId="30" fillId="0" fontId="2" numFmtId="165" xfId="0" applyAlignment="1" applyBorder="1" applyFont="1" applyNumberFormat="1">
      <alignment horizontal="right" vertical="center"/>
    </xf>
    <xf borderId="94" fillId="0" fontId="2" numFmtId="165" xfId="0" applyAlignment="1" applyBorder="1" applyFont="1" applyNumberFormat="1">
      <alignment horizontal="right" vertical="center"/>
    </xf>
    <xf borderId="95" fillId="0" fontId="2" numFmtId="165" xfId="0" applyAlignment="1" applyBorder="1" applyFont="1" applyNumberFormat="1">
      <alignment horizontal="right" vertical="center"/>
    </xf>
    <xf borderId="32" fillId="3" fontId="1" numFmtId="165" xfId="0" applyAlignment="1" applyBorder="1" applyFont="1" applyNumberFormat="1">
      <alignment vertical="center"/>
    </xf>
    <xf borderId="25" fillId="3" fontId="1" numFmtId="165" xfId="0" applyAlignment="1" applyBorder="1" applyFont="1" applyNumberFormat="1">
      <alignment vertical="center"/>
    </xf>
    <xf borderId="42" fillId="3" fontId="1" numFmtId="165" xfId="0" applyAlignment="1" applyBorder="1" applyFont="1" applyNumberFormat="1">
      <alignment vertical="center"/>
    </xf>
    <xf borderId="33" fillId="3" fontId="1" numFmtId="165" xfId="0" applyAlignment="1" applyBorder="1" applyFont="1" applyNumberFormat="1">
      <alignment vertical="center"/>
    </xf>
    <xf borderId="10" fillId="0" fontId="2" numFmtId="165" xfId="0" applyAlignment="1" applyBorder="1" applyFont="1" applyNumberFormat="1">
      <alignment horizontal="right" vertical="center"/>
    </xf>
    <xf borderId="28" fillId="3" fontId="1" numFmtId="165" xfId="0" applyAlignment="1" applyBorder="1" applyFont="1" applyNumberFormat="1">
      <alignment vertical="center"/>
    </xf>
    <xf borderId="8" fillId="0" fontId="2" numFmtId="165" xfId="0" applyAlignment="1" applyBorder="1" applyFont="1" applyNumberFormat="1">
      <alignment horizontal="right" vertical="center"/>
    </xf>
    <xf borderId="2" fillId="0" fontId="2" numFmtId="165" xfId="0" applyAlignment="1" applyBorder="1" applyFont="1" applyNumberFormat="1">
      <alignment horizontal="right" vertical="center"/>
    </xf>
    <xf borderId="8" fillId="3" fontId="1" numFmtId="165" xfId="0" applyAlignment="1" applyBorder="1" applyFont="1" applyNumberFormat="1">
      <alignment vertical="center"/>
    </xf>
    <xf borderId="50" fillId="0" fontId="2" numFmtId="0" xfId="0" applyAlignment="1" applyBorder="1" applyFont="1">
      <alignment horizontal="center" vertical="center"/>
    </xf>
    <xf borderId="51" fillId="0" fontId="2" numFmtId="0" xfId="0" applyAlignment="1" applyBorder="1" applyFont="1">
      <alignment horizontal="center" vertical="center"/>
    </xf>
    <xf borderId="51" fillId="0" fontId="1" numFmtId="166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20" fillId="0" fontId="2" numFmtId="168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57"/>
    <col customWidth="1" hidden="1" min="27" max="36" width="11.57"/>
    <col customWidth="1" hidden="1" min="37" max="41" width="12.29"/>
    <col customWidth="1" hidden="1" min="42" max="46" width="11.43"/>
    <col customWidth="1" hidden="1" min="47" max="47" width="13.43"/>
    <col customWidth="1" min="48" max="48" width="12.57"/>
    <col customWidth="1" min="49" max="49" width="13.43"/>
    <col customWidth="1" min="50" max="50" width="12.14"/>
    <col customWidth="1" min="51" max="52" width="9.0"/>
  </cols>
  <sheetData>
    <row r="1" ht="12.0" customHeight="1">
      <c r="A1" s="1"/>
      <c r="B1" s="1"/>
      <c r="C1" s="1"/>
      <c r="D1" s="1"/>
      <c r="E1" s="1"/>
      <c r="F1" s="1"/>
      <c r="AV1" s="2"/>
      <c r="AW1" s="3"/>
    </row>
    <row r="2" ht="30.0" customHeight="1">
      <c r="A2" s="4" t="s">
        <v>0</v>
      </c>
      <c r="B2" s="5"/>
      <c r="C2" s="1"/>
      <c r="D2" s="1"/>
      <c r="E2" s="1"/>
      <c r="F2" s="1"/>
      <c r="AV2" s="2"/>
      <c r="AW2" s="3"/>
    </row>
    <row r="3" ht="18.0" customHeight="1">
      <c r="A3" s="6" t="s">
        <v>1</v>
      </c>
      <c r="B3" s="7"/>
      <c r="C3" s="8"/>
      <c r="D3" s="9">
        <v>43131.0</v>
      </c>
      <c r="E3" s="10">
        <v>44620.0</v>
      </c>
      <c r="F3" s="10">
        <v>43190.0</v>
      </c>
      <c r="G3" s="10">
        <v>43220.0</v>
      </c>
      <c r="H3" s="10">
        <v>43251.0</v>
      </c>
      <c r="I3" s="10">
        <v>43281.0</v>
      </c>
      <c r="J3" s="10">
        <v>43312.0</v>
      </c>
      <c r="K3" s="10">
        <v>43343.0</v>
      </c>
      <c r="L3" s="10">
        <v>43373.0</v>
      </c>
      <c r="M3" s="10">
        <v>43404.0</v>
      </c>
      <c r="N3" s="10" t="s">
        <v>2</v>
      </c>
      <c r="O3" s="11" t="s">
        <v>3</v>
      </c>
      <c r="P3" s="12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14" t="s">
        <v>5</v>
      </c>
      <c r="AW3" s="15"/>
      <c r="AX3" s="16"/>
      <c r="AY3" s="16"/>
      <c r="AZ3" s="16"/>
    </row>
    <row r="4" ht="18.0" customHeight="1">
      <c r="A4" s="17" t="s">
        <v>6</v>
      </c>
      <c r="B4" s="17" t="s">
        <v>7</v>
      </c>
      <c r="C4" s="18" t="s">
        <v>8</v>
      </c>
      <c r="D4" s="19">
        <f>+'화성(서울)'!D4+'창원'!D4+'남양주'!D4+'인천'!D4+'화성오토'!D4+'제주'!D4+'부산'!D4</f>
        <v>35519</v>
      </c>
      <c r="E4" s="20">
        <f>+'화성(서울)'!E4+'창원'!E4+'남양주'!E4+'인천'!E4+'화성오토'!E4+'제주'!E4+'부산'!E4</f>
        <v>30012</v>
      </c>
      <c r="F4" s="20">
        <f>+'화성(서울)'!F4+'창원'!F4+'남양주'!F4+'인천'!F4+'화성오토'!F4+'제주'!F4+'부산'!F4</f>
        <v>34542</v>
      </c>
      <c r="G4" s="20">
        <f>+'화성(서울)'!G4+'창원'!G4+'남양주'!G4+'인천'!G4+'화성오토'!G4+'제주'!G4+'부산'!G4</f>
        <v>38938</v>
      </c>
      <c r="H4" s="20">
        <f>+'화성(서울)'!H4+'창원'!H4+'남양주'!H4+'인천'!H4+'화성오토'!H4+'제주'!H4+'부산'!H4</f>
        <v>49365</v>
      </c>
      <c r="I4" s="20">
        <f>+'화성(서울)'!I4+'창원'!I4+'남양주'!I4+'인천'!I4+'화성오토'!I4+'제주'!I4+'부산'!I4</f>
        <v>38532</v>
      </c>
      <c r="J4" s="20">
        <f>+'화성(서울)'!J4+'창원'!J4+'남양주'!J4+'인천'!J4+'화성오토'!J4+'제주'!J4+'부산'!J4</f>
        <v>47460</v>
      </c>
      <c r="K4" s="20">
        <f>+'화성(서울)'!K4+'창원'!K4+'남양주'!K4+'인천'!K4+'화성오토'!K4+'제주'!K4+'부산'!K4</f>
        <v>46308</v>
      </c>
      <c r="L4" s="20">
        <f>+'화성(서울)'!L4+'창원'!L4+'남양주'!L4+'인천'!L4+'화성오토'!L4+'제주'!L4+'부산'!L4</f>
        <v>43216</v>
      </c>
      <c r="M4" s="20">
        <f>+'화성(서울)'!M4+'창원'!M4+'남양주'!M4+'인천'!M4+'화성오토'!M4+'제주'!M4+'부산'!M4</f>
        <v>45971</v>
      </c>
      <c r="N4" s="20">
        <f>+'화성(서울)'!N4+'창원'!N4+'남양주'!N4+'인천'!N4+'화성오토'!N4+'제주'!N4+'부산'!N4</f>
        <v>38518</v>
      </c>
      <c r="O4" s="21">
        <f t="shared" ref="O4:O8" si="2">N24</f>
        <v>38518</v>
      </c>
      <c r="P4" s="22">
        <v>38518.0</v>
      </c>
      <c r="Q4" s="23">
        <f t="shared" ref="Q4:AU4" si="1">P24</f>
        <v>38518</v>
      </c>
      <c r="R4" s="24">
        <f t="shared" si="1"/>
        <v>38518</v>
      </c>
      <c r="S4" s="24">
        <f t="shared" si="1"/>
        <v>38518</v>
      </c>
      <c r="T4" s="24">
        <f t="shared" si="1"/>
        <v>39573</v>
      </c>
      <c r="U4" s="24">
        <f t="shared" si="1"/>
        <v>40873</v>
      </c>
      <c r="V4" s="24">
        <f t="shared" si="1"/>
        <v>29530</v>
      </c>
      <c r="W4" s="24">
        <f t="shared" si="1"/>
        <v>31062</v>
      </c>
      <c r="X4" s="24">
        <f t="shared" si="1"/>
        <v>29598</v>
      </c>
      <c r="Y4" s="24">
        <f t="shared" si="1"/>
        <v>29598</v>
      </c>
      <c r="Z4" s="24">
        <f t="shared" si="1"/>
        <v>29598</v>
      </c>
      <c r="AA4" s="24">
        <f t="shared" si="1"/>
        <v>30532</v>
      </c>
      <c r="AB4" s="24">
        <f t="shared" si="1"/>
        <v>30532</v>
      </c>
      <c r="AC4" s="24">
        <f t="shared" si="1"/>
        <v>30532</v>
      </c>
      <c r="AD4" s="24">
        <f t="shared" si="1"/>
        <v>30532</v>
      </c>
      <c r="AE4" s="24">
        <f t="shared" si="1"/>
        <v>30532</v>
      </c>
      <c r="AF4" s="24">
        <f t="shared" si="1"/>
        <v>30532</v>
      </c>
      <c r="AG4" s="24">
        <f t="shared" si="1"/>
        <v>30532</v>
      </c>
      <c r="AH4" s="24">
        <f t="shared" si="1"/>
        <v>30532</v>
      </c>
      <c r="AI4" s="24">
        <f t="shared" si="1"/>
        <v>30532</v>
      </c>
      <c r="AJ4" s="24">
        <f t="shared" si="1"/>
        <v>30532</v>
      </c>
      <c r="AK4" s="24">
        <f t="shared" si="1"/>
        <v>30532</v>
      </c>
      <c r="AL4" s="24">
        <f t="shared" si="1"/>
        <v>30532</v>
      </c>
      <c r="AM4" s="24">
        <f t="shared" si="1"/>
        <v>30532</v>
      </c>
      <c r="AN4" s="24">
        <f t="shared" si="1"/>
        <v>30532</v>
      </c>
      <c r="AO4" s="24">
        <f t="shared" si="1"/>
        <v>30532</v>
      </c>
      <c r="AP4" s="24">
        <f t="shared" si="1"/>
        <v>30532</v>
      </c>
      <c r="AQ4" s="24">
        <f t="shared" si="1"/>
        <v>30532</v>
      </c>
      <c r="AR4" s="24">
        <f t="shared" si="1"/>
        <v>30532</v>
      </c>
      <c r="AS4" s="24">
        <f t="shared" si="1"/>
        <v>30532</v>
      </c>
      <c r="AT4" s="24">
        <f t="shared" si="1"/>
        <v>30532</v>
      </c>
      <c r="AU4" s="24">
        <f t="shared" si="1"/>
        <v>30532</v>
      </c>
      <c r="AV4" s="25">
        <f>+'화성(서울)'!AV4+'창원'!AV4+'남양주'!AV4+'인천'!AV4+'화성오토'!AV4+'제주'!AV4+'부산'!AV4</f>
        <v>38518</v>
      </c>
      <c r="AW4" s="26"/>
      <c r="AX4" s="27"/>
      <c r="AY4" s="27"/>
    </row>
    <row r="5" ht="18.0" customHeight="1">
      <c r="A5" s="28"/>
      <c r="B5" s="29"/>
      <c r="C5" s="30" t="s">
        <v>9</v>
      </c>
      <c r="D5" s="31">
        <f>+'화성(서울)'!D5+'창원'!D5+'남양주'!D5+'인천'!D5+'화성오토'!D5+'제주'!D5+'부산'!D5</f>
        <v>119567</v>
      </c>
      <c r="E5" s="32">
        <f>+'화성(서울)'!E5+'창원'!E5+'남양주'!E5+'인천'!E5+'화성오토'!E5+'제주'!E5+'부산'!E5</f>
        <v>110939</v>
      </c>
      <c r="F5" s="32">
        <f>+'화성(서울)'!F5+'창원'!F5+'남양주'!F5+'인천'!F5+'화성오토'!F5+'제주'!F5+'부산'!F5</f>
        <v>126181</v>
      </c>
      <c r="G5" s="32">
        <f>+'화성(서울)'!G5+'창원'!G5+'남양주'!G5+'인천'!G5+'화성오토'!G5+'제주'!G5+'부산'!G5</f>
        <v>152945</v>
      </c>
      <c r="H5" s="32">
        <f>+'화성(서울)'!H5+'창원'!H5+'남양주'!H5+'인천'!H5+'화성오토'!H5+'제주'!H5+'부산'!H5</f>
        <v>128508</v>
      </c>
      <c r="I5" s="32">
        <f>+'화성(서울)'!I5+'창원'!I5+'남양주'!I5+'인천'!I5+'화성오토'!I5+'제주'!I5+'부산'!I5</f>
        <v>121928</v>
      </c>
      <c r="J5" s="32">
        <f>+'화성(서울)'!J5+'창원'!J5+'남양주'!J5+'인천'!J5+'화성오토'!J5+'제주'!J5+'부산'!J5</f>
        <v>111129</v>
      </c>
      <c r="K5" s="32">
        <f>+'화성(서울)'!K5+'창원'!K5+'남양주'!K5+'인천'!K5+'화성오토'!K5+'제주'!K5+'부산'!K5</f>
        <v>133751</v>
      </c>
      <c r="L5" s="32">
        <f>+'화성(서울)'!L5+'창원'!L5+'남양주'!L5+'인천'!L5+'화성오토'!L5+'제주'!L5+'부산'!L5</f>
        <v>133359</v>
      </c>
      <c r="M5" s="32">
        <f>+'화성(서울)'!M5+'창원'!M5+'남양주'!M5+'인천'!M5+'화성오토'!M5+'제주'!M5+'부산'!M5</f>
        <v>129007</v>
      </c>
      <c r="N5" s="32">
        <f>+'화성(서울)'!N5+'창원'!N5+'남양주'!N5+'인천'!N5+'화성오토'!N5+'제주'!N5+'부산'!N5</f>
        <v>104881</v>
      </c>
      <c r="O5" s="33">
        <f t="shared" si="2"/>
        <v>104881</v>
      </c>
      <c r="P5" s="34">
        <v>104881.0</v>
      </c>
      <c r="Q5" s="35">
        <f t="shared" ref="Q5:AU5" si="3">P25</f>
        <v>104881</v>
      </c>
      <c r="R5" s="36">
        <f t="shared" si="3"/>
        <v>104881</v>
      </c>
      <c r="S5" s="36">
        <f t="shared" si="3"/>
        <v>104881</v>
      </c>
      <c r="T5" s="36">
        <f t="shared" si="3"/>
        <v>58841</v>
      </c>
      <c r="U5" s="36">
        <f t="shared" si="3"/>
        <v>53751</v>
      </c>
      <c r="V5" s="36">
        <f t="shared" si="3"/>
        <v>56617</v>
      </c>
      <c r="W5" s="36">
        <f t="shared" si="3"/>
        <v>61885</v>
      </c>
      <c r="X5" s="36">
        <f t="shared" si="3"/>
        <v>72195</v>
      </c>
      <c r="Y5" s="36">
        <f t="shared" si="3"/>
        <v>72195</v>
      </c>
      <c r="Z5" s="36">
        <f t="shared" si="3"/>
        <v>72195</v>
      </c>
      <c r="AA5" s="36">
        <f t="shared" si="3"/>
        <v>69387</v>
      </c>
      <c r="AB5" s="36">
        <f t="shared" si="3"/>
        <v>69387</v>
      </c>
      <c r="AC5" s="36">
        <f t="shared" si="3"/>
        <v>69387</v>
      </c>
      <c r="AD5" s="36">
        <f t="shared" si="3"/>
        <v>69387</v>
      </c>
      <c r="AE5" s="36">
        <f t="shared" si="3"/>
        <v>69387</v>
      </c>
      <c r="AF5" s="36">
        <f t="shared" si="3"/>
        <v>69387</v>
      </c>
      <c r="AG5" s="36">
        <f t="shared" si="3"/>
        <v>69387</v>
      </c>
      <c r="AH5" s="36">
        <f t="shared" si="3"/>
        <v>69387</v>
      </c>
      <c r="AI5" s="36">
        <f t="shared" si="3"/>
        <v>69387</v>
      </c>
      <c r="AJ5" s="36">
        <f t="shared" si="3"/>
        <v>69387</v>
      </c>
      <c r="AK5" s="36">
        <f t="shared" si="3"/>
        <v>69387</v>
      </c>
      <c r="AL5" s="36">
        <f t="shared" si="3"/>
        <v>69387</v>
      </c>
      <c r="AM5" s="36">
        <f t="shared" si="3"/>
        <v>69387</v>
      </c>
      <c r="AN5" s="36">
        <f t="shared" si="3"/>
        <v>69387</v>
      </c>
      <c r="AO5" s="36">
        <f t="shared" si="3"/>
        <v>69387</v>
      </c>
      <c r="AP5" s="36">
        <f t="shared" si="3"/>
        <v>69387</v>
      </c>
      <c r="AQ5" s="36">
        <f t="shared" si="3"/>
        <v>69387</v>
      </c>
      <c r="AR5" s="36">
        <f t="shared" si="3"/>
        <v>69387</v>
      </c>
      <c r="AS5" s="36">
        <f t="shared" si="3"/>
        <v>69387</v>
      </c>
      <c r="AT5" s="36">
        <f t="shared" si="3"/>
        <v>69387</v>
      </c>
      <c r="AU5" s="36">
        <f t="shared" si="3"/>
        <v>69387</v>
      </c>
      <c r="AV5" s="37">
        <f>+'화성(서울)'!AV5+'창원'!AV5+'남양주'!AV5+'인천'!AV5+'화성오토'!AV5+'제주'!AV5+'부산'!AV5</f>
        <v>104881</v>
      </c>
      <c r="AW5" s="26"/>
      <c r="AX5" s="27"/>
      <c r="AY5" s="27"/>
    </row>
    <row r="6" ht="18.0" customHeight="1">
      <c r="A6" s="28"/>
      <c r="B6" s="38" t="s">
        <v>10</v>
      </c>
      <c r="C6" s="39" t="s">
        <v>8</v>
      </c>
      <c r="D6" s="19">
        <f>+'화성(서울)'!D6+'창원'!D6+'남양주'!D6+'인천'!D6+'화성오토'!D6+'제주'!D6+'부산'!D6</f>
        <v>28421</v>
      </c>
      <c r="E6" s="20">
        <f>+'화성(서울)'!E6+'창원'!E6+'남양주'!E6+'인천'!E6+'화성오토'!E6+'제주'!E6+'부산'!E6</f>
        <v>31357</v>
      </c>
      <c r="F6" s="20">
        <f>+'화성(서울)'!F6+'창원'!F6+'남양주'!F6+'인천'!F6+'화성오토'!F6+'제주'!F6+'부산'!F6</f>
        <v>37836</v>
      </c>
      <c r="G6" s="20">
        <f>+'화성(서울)'!G6+'창원'!G6+'남양주'!G6+'인천'!G6+'화성오토'!G6+'제주'!G6+'부산'!G6</f>
        <v>40837</v>
      </c>
      <c r="H6" s="20">
        <f>+'화성(서울)'!H6+'창원'!H6+'남양주'!H6+'인천'!H6+'화성오토'!H6+'제주'!H6+'부산'!H6</f>
        <v>33581</v>
      </c>
      <c r="I6" s="20">
        <f>+'화성(서울)'!I6+'창원'!I6+'남양주'!I6+'인천'!I6+'화성오토'!I6+'제주'!I6+'부산'!I6</f>
        <v>30370</v>
      </c>
      <c r="J6" s="20">
        <f>+'화성(서울)'!J6+'창원'!J6+'남양주'!J6+'인천'!J6+'화성오토'!J6+'제주'!J6+'부산'!J6</f>
        <v>33725</v>
      </c>
      <c r="K6" s="20">
        <f>+'화성(서울)'!K6+'창원'!K6+'남양주'!K6+'인천'!K6+'화성오토'!K6+'제주'!K6+'부산'!K6</f>
        <v>30783</v>
      </c>
      <c r="L6" s="20">
        <f>+'화성(서울)'!L6+'창원'!L6+'남양주'!L6+'인천'!L6+'화성오토'!L6+'제주'!L6+'부산'!L6</f>
        <v>35126</v>
      </c>
      <c r="M6" s="20">
        <f>+'화성(서울)'!M6+'창원'!M6+'남양주'!M6+'인천'!M6+'화성오토'!M6+'제주'!M6+'부산'!M6</f>
        <v>48826</v>
      </c>
      <c r="N6" s="20">
        <f>+'화성(서울)'!N6+'창원'!N6+'남양주'!N6+'인천'!N6+'화성오토'!N6+'제주'!N6+'부산'!N6</f>
        <v>41731</v>
      </c>
      <c r="O6" s="21">
        <f t="shared" si="2"/>
        <v>41731</v>
      </c>
      <c r="P6" s="22">
        <v>41731.0</v>
      </c>
      <c r="Q6" s="23">
        <f t="shared" ref="Q6:AU6" si="4">P26</f>
        <v>41731</v>
      </c>
      <c r="R6" s="24">
        <f t="shared" si="4"/>
        <v>41731</v>
      </c>
      <c r="S6" s="24">
        <f t="shared" si="4"/>
        <v>41731</v>
      </c>
      <c r="T6" s="24">
        <f t="shared" si="4"/>
        <v>34347</v>
      </c>
      <c r="U6" s="24">
        <f t="shared" si="4"/>
        <v>35275</v>
      </c>
      <c r="V6" s="24">
        <f t="shared" si="4"/>
        <v>34167</v>
      </c>
      <c r="W6" s="24">
        <f t="shared" si="4"/>
        <v>34337</v>
      </c>
      <c r="X6" s="24">
        <f t="shared" si="4"/>
        <v>29497</v>
      </c>
      <c r="Y6" s="24">
        <f t="shared" si="4"/>
        <v>29497</v>
      </c>
      <c r="Z6" s="24">
        <f t="shared" si="4"/>
        <v>29497</v>
      </c>
      <c r="AA6" s="24">
        <f t="shared" si="4"/>
        <v>25105</v>
      </c>
      <c r="AB6" s="24">
        <f t="shared" si="4"/>
        <v>25105</v>
      </c>
      <c r="AC6" s="24">
        <f t="shared" si="4"/>
        <v>25105</v>
      </c>
      <c r="AD6" s="24">
        <f t="shared" si="4"/>
        <v>25105</v>
      </c>
      <c r="AE6" s="24">
        <f t="shared" si="4"/>
        <v>25105</v>
      </c>
      <c r="AF6" s="24">
        <f t="shared" si="4"/>
        <v>25105</v>
      </c>
      <c r="AG6" s="24">
        <f t="shared" si="4"/>
        <v>25105</v>
      </c>
      <c r="AH6" s="24">
        <f t="shared" si="4"/>
        <v>25105</v>
      </c>
      <c r="AI6" s="24">
        <f t="shared" si="4"/>
        <v>25105</v>
      </c>
      <c r="AJ6" s="24">
        <f t="shared" si="4"/>
        <v>25105</v>
      </c>
      <c r="AK6" s="24">
        <f t="shared" si="4"/>
        <v>25105</v>
      </c>
      <c r="AL6" s="24">
        <f t="shared" si="4"/>
        <v>25105</v>
      </c>
      <c r="AM6" s="24">
        <f t="shared" si="4"/>
        <v>25105</v>
      </c>
      <c r="AN6" s="24">
        <f t="shared" si="4"/>
        <v>25105</v>
      </c>
      <c r="AO6" s="24">
        <f t="shared" si="4"/>
        <v>25105</v>
      </c>
      <c r="AP6" s="24">
        <f t="shared" si="4"/>
        <v>25105</v>
      </c>
      <c r="AQ6" s="24">
        <f t="shared" si="4"/>
        <v>25105</v>
      </c>
      <c r="AR6" s="24">
        <f t="shared" si="4"/>
        <v>25105</v>
      </c>
      <c r="AS6" s="24">
        <f t="shared" si="4"/>
        <v>25105</v>
      </c>
      <c r="AT6" s="24">
        <f t="shared" si="4"/>
        <v>25105</v>
      </c>
      <c r="AU6" s="24">
        <f t="shared" si="4"/>
        <v>25105</v>
      </c>
      <c r="AV6" s="25">
        <f>+'화성(서울)'!AV6+'창원'!AV6+'남양주'!AV6+'인천'!AV6+'화성오토'!AV6+'제주'!AV6+'부산'!AV6</f>
        <v>41731</v>
      </c>
      <c r="AW6" s="26"/>
      <c r="AX6" s="27"/>
      <c r="AY6" s="27"/>
    </row>
    <row r="7" ht="18.0" customHeight="1">
      <c r="A7" s="28"/>
      <c r="B7" s="40"/>
      <c r="C7" s="41" t="s">
        <v>9</v>
      </c>
      <c r="D7" s="31">
        <f>+'화성(서울)'!D7+'창원'!D7+'남양주'!D7+'인천'!D7+'화성오토'!D7+'제주'!D7+'부산'!D7</f>
        <v>324420</v>
      </c>
      <c r="E7" s="32">
        <f>+'화성(서울)'!E7+'창원'!E7+'남양주'!E7+'인천'!E7+'화성오토'!E7+'제주'!E7+'부산'!E7</f>
        <v>262065</v>
      </c>
      <c r="F7" s="32">
        <f>+'화성(서울)'!F7+'창원'!F7+'남양주'!F7+'인천'!F7+'화성오토'!F7+'제주'!F7+'부산'!F7</f>
        <v>290924</v>
      </c>
      <c r="G7" s="32">
        <f>+'화성(서울)'!G7+'창원'!G7+'남양주'!G7+'인천'!G7+'화성오토'!G7+'제주'!G7+'부산'!G7</f>
        <v>280983</v>
      </c>
      <c r="H7" s="32">
        <f>+'화성(서울)'!H7+'창원'!H7+'남양주'!H7+'인천'!H7+'화성오토'!H7+'제주'!H7+'부산'!H7</f>
        <v>340223</v>
      </c>
      <c r="I7" s="32">
        <f>+'화성(서울)'!I7+'창원'!I7+'남양주'!I7+'인천'!I7+'화성오토'!I7+'제주'!I7+'부산'!I7</f>
        <v>313712</v>
      </c>
      <c r="J7" s="32">
        <f>+'화성(서울)'!J7+'창원'!J7+'남양주'!J7+'인천'!J7+'화성오토'!J7+'제주'!J7+'부산'!J7</f>
        <v>283625</v>
      </c>
      <c r="K7" s="32">
        <f>+'화성(서울)'!K7+'창원'!K7+'남양주'!K7+'인천'!K7+'화성오토'!K7+'제주'!K7+'부산'!K7</f>
        <v>343171</v>
      </c>
      <c r="L7" s="32">
        <f>+'화성(서울)'!L7+'창원'!L7+'남양주'!L7+'인천'!L7+'화성오토'!L7+'제주'!L7+'부산'!L7</f>
        <v>296681</v>
      </c>
      <c r="M7" s="32">
        <f>+'화성(서울)'!M7+'창원'!M7+'남양주'!M7+'인천'!M7+'화성오토'!M7+'제주'!M7+'부산'!M7</f>
        <v>329423</v>
      </c>
      <c r="N7" s="32">
        <f>+'화성(서울)'!N7+'창원'!N7+'남양주'!N7+'인천'!N7+'화성오토'!N7+'제주'!N7+'부산'!N7</f>
        <v>281180</v>
      </c>
      <c r="O7" s="33">
        <f t="shared" si="2"/>
        <v>281180</v>
      </c>
      <c r="P7" s="42">
        <v>281180.0</v>
      </c>
      <c r="Q7" s="35">
        <f t="shared" ref="Q7:AU7" si="5">P27</f>
        <v>281180</v>
      </c>
      <c r="R7" s="36">
        <f t="shared" si="5"/>
        <v>281180</v>
      </c>
      <c r="S7" s="36">
        <f t="shared" si="5"/>
        <v>281180</v>
      </c>
      <c r="T7" s="36">
        <f t="shared" si="5"/>
        <v>294838</v>
      </c>
      <c r="U7" s="36">
        <f t="shared" si="5"/>
        <v>299983</v>
      </c>
      <c r="V7" s="36">
        <f t="shared" si="5"/>
        <v>298209</v>
      </c>
      <c r="W7" s="36">
        <f t="shared" si="5"/>
        <v>318987</v>
      </c>
      <c r="X7" s="36">
        <f t="shared" si="5"/>
        <v>293722</v>
      </c>
      <c r="Y7" s="36">
        <f t="shared" si="5"/>
        <v>293722</v>
      </c>
      <c r="Z7" s="36">
        <f t="shared" si="5"/>
        <v>293722</v>
      </c>
      <c r="AA7" s="36">
        <f t="shared" si="5"/>
        <v>283454</v>
      </c>
      <c r="AB7" s="36">
        <f t="shared" si="5"/>
        <v>283454</v>
      </c>
      <c r="AC7" s="36">
        <f t="shared" si="5"/>
        <v>283454</v>
      </c>
      <c r="AD7" s="36">
        <f t="shared" si="5"/>
        <v>283454</v>
      </c>
      <c r="AE7" s="36">
        <f t="shared" si="5"/>
        <v>283454</v>
      </c>
      <c r="AF7" s="36">
        <f t="shared" si="5"/>
        <v>283454</v>
      </c>
      <c r="AG7" s="36">
        <f t="shared" si="5"/>
        <v>283454</v>
      </c>
      <c r="AH7" s="36">
        <f t="shared" si="5"/>
        <v>283454</v>
      </c>
      <c r="AI7" s="36">
        <f t="shared" si="5"/>
        <v>283454</v>
      </c>
      <c r="AJ7" s="36">
        <f t="shared" si="5"/>
        <v>283454</v>
      </c>
      <c r="AK7" s="36">
        <f t="shared" si="5"/>
        <v>283454</v>
      </c>
      <c r="AL7" s="36">
        <f t="shared" si="5"/>
        <v>283454</v>
      </c>
      <c r="AM7" s="36">
        <f t="shared" si="5"/>
        <v>283454</v>
      </c>
      <c r="AN7" s="36">
        <f t="shared" si="5"/>
        <v>283454</v>
      </c>
      <c r="AO7" s="36">
        <f t="shared" si="5"/>
        <v>283454</v>
      </c>
      <c r="AP7" s="36">
        <f t="shared" si="5"/>
        <v>283454</v>
      </c>
      <c r="AQ7" s="36">
        <f t="shared" si="5"/>
        <v>283454</v>
      </c>
      <c r="AR7" s="36">
        <f t="shared" si="5"/>
        <v>283454</v>
      </c>
      <c r="AS7" s="36">
        <f t="shared" si="5"/>
        <v>283454</v>
      </c>
      <c r="AT7" s="36">
        <f t="shared" si="5"/>
        <v>283454</v>
      </c>
      <c r="AU7" s="36">
        <f t="shared" si="5"/>
        <v>283454</v>
      </c>
      <c r="AV7" s="37">
        <f>+'화성(서울)'!AV7+'창원'!AV7+'남양주'!AV7+'인천'!AV7+'화성오토'!AV7+'제주'!AV7+'부산'!AV7</f>
        <v>281180</v>
      </c>
      <c r="AW7" s="26"/>
      <c r="AX7" s="27"/>
      <c r="AY7" s="27"/>
    </row>
    <row r="8" ht="18.0" customHeight="1">
      <c r="A8" s="29"/>
      <c r="B8" s="43" t="s">
        <v>11</v>
      </c>
      <c r="C8" s="44" t="s">
        <v>9</v>
      </c>
      <c r="D8" s="19">
        <f>+'화성(서울)'!D8+'창원'!D8+'남양주'!D8+'인천'!D8+'화성오토'!D8+'제주'!D8+'부산'!D8</f>
        <v>170096</v>
      </c>
      <c r="E8" s="20">
        <f>+'화성(서울)'!E8+'창원'!E8+'남양주'!E8+'인천'!E8+'화성오토'!E8+'제주'!E8+'부산'!E8</f>
        <v>106928</v>
      </c>
      <c r="F8" s="20">
        <f>+'화성(서울)'!F8+'창원'!F8+'남양주'!F8+'인천'!F8+'화성오토'!F8+'제주'!F8+'부산'!F8</f>
        <v>234060</v>
      </c>
      <c r="G8" s="20">
        <f>+'화성(서울)'!G8+'창원'!G8+'남양주'!G8+'인천'!G8+'화성오토'!G8+'제주'!G8+'부산'!G8</f>
        <v>164404</v>
      </c>
      <c r="H8" s="20">
        <f>+'화성(서울)'!H8+'창원'!H8+'남양주'!H8+'인천'!H8+'화성오토'!H8+'제주'!H8+'부산'!H8</f>
        <v>131908</v>
      </c>
      <c r="I8" s="20">
        <f>+'화성(서울)'!I8+'창원'!I8+'남양주'!I8+'인천'!I8+'화성오토'!I8+'제주'!I8+'부산'!I8</f>
        <v>199692</v>
      </c>
      <c r="J8" s="20">
        <f>+'화성(서울)'!J8+'창원'!J8+'남양주'!J8+'인천'!J8+'화성오토'!J8+'제주'!J8+'부산'!J8</f>
        <v>269888</v>
      </c>
      <c r="K8" s="20">
        <f>+'화성(서울)'!K8+'창원'!K8+'남양주'!K8+'인천'!K8+'화성오토'!K8+'제주'!K8+'부산'!K8</f>
        <v>141368</v>
      </c>
      <c r="L8" s="20">
        <f>+'화성(서울)'!L8+'창원'!L8+'남양주'!L8+'인천'!L8+'화성오토'!L8+'제주'!L8+'부산'!L8</f>
        <v>152168</v>
      </c>
      <c r="M8" s="20">
        <f>+'화성(서울)'!M8+'창원'!M8+'남양주'!M8+'인천'!M8+'화성오토'!M8+'제주'!M8+'부산'!M8</f>
        <v>68540</v>
      </c>
      <c r="N8" s="20">
        <f>+'화성(서울)'!N8+'창원'!N8+'남양주'!N8+'인천'!N8+'화성오토'!N8+'제주'!N8+'부산'!N8</f>
        <v>163884</v>
      </c>
      <c r="O8" s="21">
        <f t="shared" si="2"/>
        <v>163884</v>
      </c>
      <c r="P8" s="45">
        <v>163884.0</v>
      </c>
      <c r="Q8" s="23">
        <f t="shared" ref="Q8:AU8" si="6">P28</f>
        <v>163884</v>
      </c>
      <c r="R8" s="24">
        <f t="shared" si="6"/>
        <v>163884</v>
      </c>
      <c r="S8" s="24">
        <f t="shared" si="6"/>
        <v>163884</v>
      </c>
      <c r="T8" s="24">
        <f t="shared" si="6"/>
        <v>40220</v>
      </c>
      <c r="U8" s="24">
        <f t="shared" si="6"/>
        <v>57692</v>
      </c>
      <c r="V8" s="24">
        <f t="shared" si="6"/>
        <v>75372</v>
      </c>
      <c r="W8" s="24">
        <f t="shared" si="6"/>
        <v>105444</v>
      </c>
      <c r="X8" s="24">
        <f t="shared" si="6"/>
        <v>107052</v>
      </c>
      <c r="Y8" s="24">
        <f t="shared" si="6"/>
        <v>107052</v>
      </c>
      <c r="Z8" s="24">
        <f t="shared" si="6"/>
        <v>107052</v>
      </c>
      <c r="AA8" s="24">
        <f t="shared" si="6"/>
        <v>59748</v>
      </c>
      <c r="AB8" s="24">
        <f t="shared" si="6"/>
        <v>59748</v>
      </c>
      <c r="AC8" s="24">
        <f t="shared" si="6"/>
        <v>59748</v>
      </c>
      <c r="AD8" s="24">
        <f t="shared" si="6"/>
        <v>59748</v>
      </c>
      <c r="AE8" s="24">
        <f t="shared" si="6"/>
        <v>59748</v>
      </c>
      <c r="AF8" s="24">
        <f t="shared" si="6"/>
        <v>59748</v>
      </c>
      <c r="AG8" s="24">
        <f t="shared" si="6"/>
        <v>59748</v>
      </c>
      <c r="AH8" s="24">
        <f t="shared" si="6"/>
        <v>59748</v>
      </c>
      <c r="AI8" s="24">
        <f t="shared" si="6"/>
        <v>59748</v>
      </c>
      <c r="AJ8" s="24">
        <f t="shared" si="6"/>
        <v>59748</v>
      </c>
      <c r="AK8" s="24">
        <f t="shared" si="6"/>
        <v>59748</v>
      </c>
      <c r="AL8" s="24">
        <f t="shared" si="6"/>
        <v>59748</v>
      </c>
      <c r="AM8" s="24">
        <f t="shared" si="6"/>
        <v>59748</v>
      </c>
      <c r="AN8" s="24">
        <f t="shared" si="6"/>
        <v>59748</v>
      </c>
      <c r="AO8" s="24">
        <f t="shared" si="6"/>
        <v>59748</v>
      </c>
      <c r="AP8" s="24">
        <f t="shared" si="6"/>
        <v>59748</v>
      </c>
      <c r="AQ8" s="24">
        <f t="shared" si="6"/>
        <v>59748</v>
      </c>
      <c r="AR8" s="24">
        <f t="shared" si="6"/>
        <v>59748</v>
      </c>
      <c r="AS8" s="24">
        <f t="shared" si="6"/>
        <v>59748</v>
      </c>
      <c r="AT8" s="24">
        <f t="shared" si="6"/>
        <v>59748</v>
      </c>
      <c r="AU8" s="24">
        <f t="shared" si="6"/>
        <v>59748</v>
      </c>
      <c r="AV8" s="46">
        <f>+'화성(서울)'!AV8+'창원'!AV8+'남양주'!AV8+'인천'!AV8+'화성오토'!AV8+'제주'!AV8+'부산'!AV8</f>
        <v>163884</v>
      </c>
      <c r="AW8" s="26"/>
      <c r="AX8" s="27"/>
      <c r="AY8" s="27"/>
    </row>
    <row r="9" ht="18.0" customHeight="1">
      <c r="A9" s="17" t="s">
        <v>12</v>
      </c>
      <c r="B9" s="17" t="s">
        <v>7</v>
      </c>
      <c r="C9" s="39" t="s">
        <v>8</v>
      </c>
      <c r="D9" s="47">
        <f>+'화성(서울)'!D9+'창원'!D9+'남양주'!D9+'인천'!D9+'화성오토'!D9+'제주'!D9+'부산'!D9</f>
        <v>36325</v>
      </c>
      <c r="E9" s="48">
        <f>+'화성(서울)'!E9+'창원'!E9+'남양주'!E9+'인천'!E9+'화성오토'!E9+'제주'!E9+'부산'!E9</f>
        <v>45643</v>
      </c>
      <c r="F9" s="48">
        <f>+'화성(서울)'!F9+'창원'!F9+'남양주'!F9+'인천'!F9+'화성오토'!F9+'제주'!F9+'부산'!F9</f>
        <v>56679</v>
      </c>
      <c r="G9" s="48">
        <f>+'화성(서울)'!G9+'창원'!G9+'남양주'!G9+'인천'!G9+'화성오토'!G9+'제주'!G9+'부산'!G9</f>
        <v>62790</v>
      </c>
      <c r="H9" s="48">
        <f>+'화성(서울)'!H9+'창원'!H9+'남양주'!H9+'인천'!H9+'화성오토'!H9+'제주'!H9+'부산'!H9</f>
        <v>61047</v>
      </c>
      <c r="I9" s="48">
        <f>+'화성(서울)'!I9+'창원'!I9+'남양주'!I9+'인천'!I9+'화성오토'!I9+'제주'!I9+'부산'!I9</f>
        <v>89552</v>
      </c>
      <c r="J9" s="48">
        <f>+'화성(서울)'!J9+'창원'!J9+'남양주'!J9+'인천'!J9+'화성오토'!J9+'제주'!J9+'부산'!J9</f>
        <v>58917</v>
      </c>
      <c r="K9" s="48">
        <f>+'화성(서울)'!K9+'창원'!K9+'남양주'!K9+'인천'!K9+'화성오토'!K9+'제주'!K9+'부산'!K9</f>
        <v>65810</v>
      </c>
      <c r="L9" s="48">
        <f>+'화성(서울)'!L9+'창원'!L9+'남양주'!L9+'인천'!L9+'화성오토'!L9+'제주'!L9+'부산'!L9</f>
        <v>82575</v>
      </c>
      <c r="M9" s="48">
        <f>+'화성(서울)'!M9+'창원'!M9+'남양주'!M9+'인천'!M9+'화성오토'!M9+'제주'!M9+'부산'!M9</f>
        <v>44468</v>
      </c>
      <c r="N9" s="48">
        <f>+'화성(서울)'!N9+'창원'!N9+'남양주'!N9+'인천'!N9+'화성오토'!N9+'제주'!N9+'부산'!N9</f>
        <v>0</v>
      </c>
      <c r="O9" s="49">
        <f>+'화성(서울)'!O9+'창원'!O9+'남양주'!O9+'인천'!O9+'화성오토'!O9+'제주'!O9+'부산'!O9</f>
        <v>0</v>
      </c>
      <c r="P9" s="48">
        <f>+'화성(서울)'!P9+'창원'!P9+'남양주'!P9+'인천'!P9+'화성오토'!P9+'제주'!P9+'부산'!P9</f>
        <v>0</v>
      </c>
      <c r="Q9" s="50">
        <f>'화성(서울)'!Q9+'창원'!Q9+'남양주'!Q9+'인천'!Q9+'화성오토'!Q9+'제주'!Q9+'부산'!Q9</f>
        <v>0</v>
      </c>
      <c r="R9" s="50">
        <f>'화성(서울)'!R9+'창원'!R9+'남양주'!R9+'인천'!R9+'화성오토'!R9+'제주'!R9+'부산'!R9</f>
        <v>0</v>
      </c>
      <c r="S9" s="50">
        <f>'화성(서울)'!S9+'창원'!S9+'남양주'!S9+'인천'!S9+'화성오토'!S9+'제주'!S9+'부산'!S9</f>
        <v>7602</v>
      </c>
      <c r="T9" s="50">
        <f>'화성(서울)'!T9+'창원'!T9+'남양주'!T9+'인천'!T9+'화성오토'!T9+'제주'!T9+'부산'!T9</f>
        <v>2440</v>
      </c>
      <c r="U9" s="50">
        <f>'화성(서울)'!U9+'창원'!U9+'남양주'!U9+'인천'!U9+'화성오토'!U9+'제주'!U9+'부산'!U9</f>
        <v>1656</v>
      </c>
      <c r="V9" s="50">
        <f>'화성(서울)'!V9+'창원'!V9+'남양주'!V9+'인천'!V9+'화성오토'!V9+'제주'!V9+'부산'!V9</f>
        <v>6260</v>
      </c>
      <c r="W9" s="50">
        <f>'화성(서울)'!W9+'창원'!W9+'남양주'!W9+'인천'!W9+'화성오토'!W9+'제주'!W9+'부산'!W9</f>
        <v>2188</v>
      </c>
      <c r="X9" s="50">
        <f>'화성(서울)'!X9+'창원'!X9+'남양주'!X9+'인천'!X9+'화성오토'!X9+'제주'!X9+'부산'!X9</f>
        <v>0</v>
      </c>
      <c r="Y9" s="50">
        <f>'화성(서울)'!Y9+'창원'!Y9+'남양주'!Y9+'인천'!Y9+'화성오토'!Y9+'제주'!Y9+'부산'!Y9</f>
        <v>0</v>
      </c>
      <c r="Z9" s="50">
        <f>'화성(서울)'!Z9+'창원'!Z9+'남양주'!Z9+'인천'!Z9+'화성오토'!Z9+'제주'!Z9+'부산'!Z9</f>
        <v>1999</v>
      </c>
      <c r="AA9" s="50">
        <f>'화성(서울)'!AA9+'창원'!AA9+'남양주'!AA9+'인천'!AA9+'화성오토'!AA9+'제주'!AA9+'부산'!AA9</f>
        <v>0</v>
      </c>
      <c r="AB9" s="50">
        <f>'화성(서울)'!AB9+'창원'!AB9+'남양주'!AB9+'인천'!AB9+'화성오토'!AB9+'제주'!AB9+'부산'!AB9</f>
        <v>0</v>
      </c>
      <c r="AC9" s="50">
        <f>'화성(서울)'!AC9+'창원'!AC9+'남양주'!AC9+'인천'!AC9+'화성오토'!AC9+'제주'!AC9+'부산'!AC9</f>
        <v>0</v>
      </c>
      <c r="AD9" s="50">
        <f>'화성(서울)'!AD9+'창원'!AD9+'남양주'!AD9+'인천'!AD9+'화성오토'!AD9+'제주'!AD9+'부산'!AD9</f>
        <v>0</v>
      </c>
      <c r="AE9" s="50">
        <f>'화성(서울)'!AE9+'창원'!AE9+'남양주'!AE9+'인천'!AE9+'화성오토'!AE9+'제주'!AE9+'부산'!AE9</f>
        <v>0</v>
      </c>
      <c r="AF9" s="50">
        <f>'화성(서울)'!AF9+'창원'!AF9+'남양주'!AF9+'인천'!AF9+'화성오토'!AF9+'제주'!AF9+'부산'!AF9</f>
        <v>0</v>
      </c>
      <c r="AG9" s="50">
        <f>'화성(서울)'!AG9+'창원'!AG9+'남양주'!AG9+'인천'!AG9+'화성오토'!AG9+'제주'!AG9+'부산'!AG9</f>
        <v>0</v>
      </c>
      <c r="AH9" s="50">
        <f>'화성(서울)'!AH9+'창원'!AH9+'남양주'!AH9+'인천'!AH9+'화성오토'!AH9+'제주'!AH9+'부산'!AH9</f>
        <v>0</v>
      </c>
      <c r="AI9" s="50">
        <f>'화성(서울)'!AI9+'창원'!AI9+'남양주'!AI9+'인천'!AI9+'화성오토'!AI9+'제주'!AI9+'부산'!AI9</f>
        <v>0</v>
      </c>
      <c r="AJ9" s="50">
        <f>'화성(서울)'!AJ9+'창원'!AJ9+'남양주'!AJ9+'인천'!AJ9+'화성오토'!AJ9+'제주'!AJ9+'부산'!AJ9</f>
        <v>0</v>
      </c>
      <c r="AK9" s="50">
        <f>'화성(서울)'!AK9+'창원'!AK9+'남양주'!AK9+'인천'!AK9+'화성오토'!AK9+'제주'!AK9+'부산'!AK9</f>
        <v>0</v>
      </c>
      <c r="AL9" s="50">
        <f>'화성(서울)'!AL9+'창원'!AL9+'남양주'!AL9+'인천'!AL9+'화성오토'!AL9+'제주'!AL9+'부산'!AL9</f>
        <v>0</v>
      </c>
      <c r="AM9" s="50">
        <f>'화성(서울)'!AM9+'창원'!AM9+'남양주'!AM9+'인천'!AM9+'화성오토'!AM9+'제주'!AM9+'부산'!AM9</f>
        <v>0</v>
      </c>
      <c r="AN9" s="50">
        <f>'화성(서울)'!AN9+'창원'!AN9+'남양주'!AN9+'인천'!AN9+'화성오토'!AN9+'제주'!AN9+'부산'!AN9</f>
        <v>0</v>
      </c>
      <c r="AO9" s="50">
        <f>'화성(서울)'!AO9+'창원'!AO9+'남양주'!AO9+'인천'!AO9+'화성오토'!AO9+'제주'!AO9+'부산'!AO9</f>
        <v>0</v>
      </c>
      <c r="AP9" s="50">
        <f>'화성(서울)'!AP9+'창원'!AP9+'남양주'!AP9+'인천'!AP9+'화성오토'!AP9+'제주'!AP9+'부산'!AP9</f>
        <v>0</v>
      </c>
      <c r="AQ9" s="50">
        <f>'화성(서울)'!AQ9+'창원'!AQ9+'남양주'!AQ9+'인천'!AQ9+'화성오토'!AQ9+'제주'!AQ9+'부산'!AQ9</f>
        <v>0</v>
      </c>
      <c r="AR9" s="50">
        <f>'화성(서울)'!AR9+'창원'!AR9+'남양주'!AR9+'인천'!AR9+'화성오토'!AR9+'제주'!AR9+'부산'!AR9</f>
        <v>0</v>
      </c>
      <c r="AS9" s="50">
        <f>'화성(서울)'!AS9+'창원'!AS9+'남양주'!AS9+'인천'!AS9+'화성오토'!AS9+'제주'!AS9+'부산'!AS9</f>
        <v>0</v>
      </c>
      <c r="AT9" s="50">
        <f>'화성(서울)'!AT9+'창원'!AT9+'남양주'!AT9+'인천'!AT9+'화성오토'!AT9+'제주'!AT9+'부산'!AT9</f>
        <v>0</v>
      </c>
      <c r="AU9" s="51">
        <f>'화성(서울)'!AU9+'창원'!AU9+'남양주'!AU9+'인천'!AU9+'화성오토'!AU9+'제주'!AU9+'부산'!AU9</f>
        <v>0</v>
      </c>
      <c r="AV9" s="52">
        <f>+'화성(서울)'!AV9+'창원'!AV9+'남양주'!AV9+'인천'!AV9+'화성오토'!AV9+'제주'!AV9+'부산'!AV9</f>
        <v>22145</v>
      </c>
      <c r="AW9" s="26"/>
      <c r="AX9" s="27"/>
      <c r="AY9" s="27"/>
    </row>
    <row r="10" ht="18.0" customHeight="1">
      <c r="A10" s="28"/>
      <c r="B10" s="29"/>
      <c r="C10" s="30" t="s">
        <v>9</v>
      </c>
      <c r="D10" s="53">
        <f>+'화성(서울)'!D10+'창원'!D10+'남양주'!D10+'인천'!D10+'화성오토'!D10+'제주'!D10+'부산'!D10</f>
        <v>301320</v>
      </c>
      <c r="E10" s="54">
        <f>+'화성(서울)'!E10+'창원'!E10+'남양주'!E10+'인천'!E10+'화성오토'!E10+'제주'!E10+'부산'!E10</f>
        <v>419654</v>
      </c>
      <c r="F10" s="54">
        <f>+'화성(서울)'!F10+'창원'!F10+'남양주'!F10+'인천'!F10+'화성오토'!F10+'제주'!F10+'부산'!F10</f>
        <v>390896</v>
      </c>
      <c r="G10" s="54">
        <f>+'화성(서울)'!G10+'창원'!G10+'남양주'!G10+'인천'!G10+'화성오토'!G10+'제주'!G10+'부산'!G10</f>
        <v>383932</v>
      </c>
      <c r="H10" s="54">
        <f>+'화성(서울)'!H10+'창원'!H10+'남양주'!H10+'인천'!H10+'화성오토'!H10+'제주'!H10+'부산'!H10</f>
        <v>407488</v>
      </c>
      <c r="I10" s="54">
        <f>+'화성(서울)'!I10+'창원'!I10+'남양주'!I10+'인천'!I10+'화성오토'!I10+'제주'!I10+'부산'!I10</f>
        <v>456844</v>
      </c>
      <c r="J10" s="54">
        <f>+'화성(서울)'!J10+'창원'!J10+'남양주'!J10+'인천'!J10+'화성오토'!J10+'제주'!J10+'부산'!J10</f>
        <v>354072</v>
      </c>
      <c r="K10" s="54">
        <f>+'화성(서울)'!K10+'창원'!K10+'남양주'!K10+'인천'!K10+'화성오토'!K10+'제주'!K10+'부산'!K10</f>
        <v>352702</v>
      </c>
      <c r="L10" s="54">
        <f>+'화성(서울)'!L10+'창원'!L10+'남양주'!L10+'인천'!L10+'화성오토'!L10+'제주'!L10+'부산'!L10</f>
        <v>437178</v>
      </c>
      <c r="M10" s="54">
        <f>+'화성(서울)'!M10+'창원'!M10+'남양주'!M10+'인천'!M10+'화성오토'!M10+'제주'!M10+'부산'!M10</f>
        <v>366310</v>
      </c>
      <c r="N10" s="54">
        <f>+'화성(서울)'!N10+'창원'!N10+'남양주'!N10+'인천'!N10+'화성오토'!N10+'제주'!N10+'부산'!N10</f>
        <v>0</v>
      </c>
      <c r="O10" s="55">
        <f>+'화성(서울)'!O10+'창원'!O10+'남양주'!O10+'인천'!O10+'화성오토'!O10+'제주'!O10+'부산'!O10</f>
        <v>0</v>
      </c>
      <c r="P10" s="56">
        <f>+'화성(서울)'!P10+'창원'!P10+'남양주'!P10+'인천'!P10+'화성오토'!P10+'제주'!P10+'부산'!P10</f>
        <v>0</v>
      </c>
      <c r="Q10" s="57">
        <f>'화성(서울)'!Q10+'창원'!Q10+'남양주'!Q10+'인천'!Q10+'화성오토'!Q10+'제주'!Q10+'부산'!Q10</f>
        <v>0</v>
      </c>
      <c r="R10" s="57">
        <f>'화성(서울)'!R10+'창원'!R10+'남양주'!R10+'인천'!R10+'화성오토'!R10+'제주'!R10+'부산'!R10</f>
        <v>0</v>
      </c>
      <c r="S10" s="57">
        <f>'화성(서울)'!S10+'창원'!S10+'남양주'!S10+'인천'!S10+'화성오토'!S10+'제주'!S10+'부산'!S10</f>
        <v>43960</v>
      </c>
      <c r="T10" s="57">
        <f>'화성(서울)'!T10+'창원'!T10+'남양주'!T10+'인천'!T10+'화성오토'!T10+'제주'!T10+'부산'!T10</f>
        <v>35692</v>
      </c>
      <c r="U10" s="57">
        <f>'화성(서울)'!U10+'창원'!U10+'남양주'!U10+'인천'!U10+'화성오토'!U10+'제주'!U10+'부산'!U10</f>
        <v>18578</v>
      </c>
      <c r="V10" s="57">
        <f>'화성(서울)'!V10+'창원'!V10+'남양주'!V10+'인천'!V10+'화성오토'!V10+'제주'!V10+'부산'!V10</f>
        <v>25222</v>
      </c>
      <c r="W10" s="57">
        <f>'화성(서울)'!W10+'창원'!W10+'남양주'!W10+'인천'!W10+'화성오토'!W10+'제주'!W10+'부산'!W10</f>
        <v>18500</v>
      </c>
      <c r="X10" s="57">
        <f>'화성(서울)'!X10+'창원'!X10+'남양주'!X10+'인천'!X10+'화성오토'!X10+'제주'!X10+'부산'!X10</f>
        <v>0</v>
      </c>
      <c r="Y10" s="57">
        <f>'화성(서울)'!Y10+'창원'!Y10+'남양주'!Y10+'인천'!Y10+'화성오토'!Y10+'제주'!Y10+'부산'!Y10</f>
        <v>0</v>
      </c>
      <c r="Z10" s="57">
        <f>'화성(서울)'!Z10+'창원'!Z10+'남양주'!Z10+'인천'!Z10+'화성오토'!Z10+'제주'!Z10+'부산'!Z10</f>
        <v>18926</v>
      </c>
      <c r="AA10" s="57">
        <f>'화성(서울)'!AA10+'창원'!AA10+'남양주'!AA10+'인천'!AA10+'화성오토'!AA10+'제주'!AA10+'부산'!AA10</f>
        <v>0</v>
      </c>
      <c r="AB10" s="57">
        <f>'화성(서울)'!AB10+'창원'!AB10+'남양주'!AB10+'인천'!AB10+'화성오토'!AB10+'제주'!AB10+'부산'!AB10</f>
        <v>0</v>
      </c>
      <c r="AC10" s="57">
        <f>'화성(서울)'!AC10+'창원'!AC10+'남양주'!AC10+'인천'!AC10+'화성오토'!AC10+'제주'!AC10+'부산'!AC10</f>
        <v>0</v>
      </c>
      <c r="AD10" s="57">
        <f>'화성(서울)'!AD10+'창원'!AD10+'남양주'!AD10+'인천'!AD10+'화성오토'!AD10+'제주'!AD10+'부산'!AD10</f>
        <v>0</v>
      </c>
      <c r="AE10" s="57">
        <f>'화성(서울)'!AE10+'창원'!AE10+'남양주'!AE10+'인천'!AE10+'화성오토'!AE10+'제주'!AE10+'부산'!AE10</f>
        <v>0</v>
      </c>
      <c r="AF10" s="57">
        <f>'화성(서울)'!AF10+'창원'!AF10+'남양주'!AF10+'인천'!AF10+'화성오토'!AF10+'제주'!AF10+'부산'!AF10</f>
        <v>0</v>
      </c>
      <c r="AG10" s="57">
        <f>'화성(서울)'!AG10+'창원'!AG10+'남양주'!AG10+'인천'!AG10+'화성오토'!AG10+'제주'!AG10+'부산'!AG10</f>
        <v>0</v>
      </c>
      <c r="AH10" s="57">
        <f>'화성(서울)'!AH10+'창원'!AH10+'남양주'!AH10+'인천'!AH10+'화성오토'!AH10+'제주'!AH10+'부산'!AH10</f>
        <v>0</v>
      </c>
      <c r="AI10" s="57">
        <f>'화성(서울)'!AI10+'창원'!AI10+'남양주'!AI10+'인천'!AI10+'화성오토'!AI10+'제주'!AI10+'부산'!AI10</f>
        <v>0</v>
      </c>
      <c r="AJ10" s="57">
        <f>'화성(서울)'!AJ10+'창원'!AJ10+'남양주'!AJ10+'인천'!AJ10+'화성오토'!AJ10+'제주'!AJ10+'부산'!AJ10</f>
        <v>0</v>
      </c>
      <c r="AK10" s="57">
        <f>'화성(서울)'!AK10+'창원'!AK10+'남양주'!AK10+'인천'!AK10+'화성오토'!AK10+'제주'!AK10+'부산'!AK10</f>
        <v>0</v>
      </c>
      <c r="AL10" s="57">
        <f>'화성(서울)'!AL10+'창원'!AL10+'남양주'!AL10+'인천'!AL10+'화성오토'!AL10+'제주'!AL10+'부산'!AL10</f>
        <v>0</v>
      </c>
      <c r="AM10" s="57">
        <f>'화성(서울)'!AM10+'창원'!AM10+'남양주'!AM10+'인천'!AM10+'화성오토'!AM10+'제주'!AM10+'부산'!AM10</f>
        <v>0</v>
      </c>
      <c r="AN10" s="57">
        <f>'화성(서울)'!AN10+'창원'!AN10+'남양주'!AN10+'인천'!AN10+'화성오토'!AN10+'제주'!AN10+'부산'!AN10</f>
        <v>0</v>
      </c>
      <c r="AO10" s="57">
        <f>'화성(서울)'!AO10+'창원'!AO10+'남양주'!AO10+'인천'!AO10+'화성오토'!AO10+'제주'!AO10+'부산'!AO10</f>
        <v>0</v>
      </c>
      <c r="AP10" s="57">
        <f>'화성(서울)'!AP10+'창원'!AP10+'남양주'!AP10+'인천'!AP10+'화성오토'!AP10+'제주'!AP10+'부산'!AP10</f>
        <v>0</v>
      </c>
      <c r="AQ10" s="57">
        <f>'화성(서울)'!AQ10+'창원'!AQ10+'남양주'!AQ10+'인천'!AQ10+'화성오토'!AQ10+'제주'!AQ10+'부산'!AQ10</f>
        <v>0</v>
      </c>
      <c r="AR10" s="57">
        <f>'화성(서울)'!AR10+'창원'!AR10+'남양주'!AR10+'인천'!AR10+'화성오토'!AR10+'제주'!AR10+'부산'!AR10</f>
        <v>0</v>
      </c>
      <c r="AS10" s="57">
        <f>'화성(서울)'!AS10+'창원'!AS10+'남양주'!AS10+'인천'!AS10+'화성오토'!AS10+'제주'!AS10+'부산'!AS10</f>
        <v>0</v>
      </c>
      <c r="AT10" s="57">
        <f>'화성(서울)'!AT10+'창원'!AT10+'남양주'!AT10+'인천'!AT10+'화성오토'!AT10+'제주'!AT10+'부산'!AT10</f>
        <v>0</v>
      </c>
      <c r="AU10" s="58">
        <f>'화성(서울)'!AU10+'창원'!AU10+'남양주'!AU10+'인천'!AU10+'화성오토'!AU10+'제주'!AU10+'부산'!AU10</f>
        <v>0</v>
      </c>
      <c r="AV10" s="59">
        <f>+'화성(서울)'!AV10+'창원'!AV10+'남양주'!AV10+'인천'!AV10+'화성오토'!AV10+'제주'!AV10+'부산'!AV10</f>
        <v>160878</v>
      </c>
      <c r="AW10" s="26"/>
      <c r="AX10" s="27"/>
      <c r="AY10" s="27"/>
    </row>
    <row r="11" ht="18.0" customHeight="1">
      <c r="A11" s="28"/>
      <c r="B11" s="38" t="s">
        <v>10</v>
      </c>
      <c r="C11" s="39" t="s">
        <v>8</v>
      </c>
      <c r="D11" s="47">
        <f>+'화성(서울)'!D11+'창원'!D11+'남양주'!D11+'인천'!D11+'화성오토'!D11+'제주'!D11+'부산'!D11</f>
        <v>37232</v>
      </c>
      <c r="E11" s="48">
        <f>+'화성(서울)'!E11+'창원'!E11+'남양주'!E11+'인천'!E11+'화성오토'!E11+'제주'!E11+'부산'!E11</f>
        <v>37913</v>
      </c>
      <c r="F11" s="48">
        <f>+'화성(서울)'!F11+'창원'!F11+'남양주'!F11+'인천'!F11+'화성오토'!F11+'제주'!F11+'부산'!F11</f>
        <v>36155</v>
      </c>
      <c r="G11" s="48">
        <f>+'화성(서울)'!G11+'창원'!G11+'남양주'!G11+'인천'!G11+'화성오토'!G11+'제주'!G11+'부산'!G11</f>
        <v>28642</v>
      </c>
      <c r="H11" s="48">
        <f>+'화성(서울)'!H11+'창원'!H11+'남양주'!H11+'인천'!H11+'화성오토'!H11+'제주'!H11+'부산'!H11</f>
        <v>50736</v>
      </c>
      <c r="I11" s="48">
        <f>+'화성(서울)'!I11+'창원'!I11+'남양주'!I11+'인천'!I11+'화성오토'!I11+'제주'!I11+'부산'!I11</f>
        <v>38538</v>
      </c>
      <c r="J11" s="48">
        <f>+'화성(서울)'!J11+'창원'!J11+'남양주'!J11+'인천'!J11+'화성오토'!J11+'제주'!J11+'부산'!J11</f>
        <v>27890</v>
      </c>
      <c r="K11" s="48">
        <f>+'화성(서울)'!K11+'창원'!K11+'남양주'!K11+'인천'!K11+'화성오토'!K11+'제주'!K11+'부산'!K11</f>
        <v>36111</v>
      </c>
      <c r="L11" s="48">
        <f>+'화성(서울)'!L11+'창원'!L11+'남양주'!L11+'인천'!L11+'화성오토'!L11+'제주'!L11+'부산'!L11</f>
        <v>71902</v>
      </c>
      <c r="M11" s="48">
        <f>+'화성(서울)'!M11+'창원'!M11+'남양주'!M11+'인천'!M11+'화성오토'!M11+'제주'!M11+'부산'!M11</f>
        <v>37949</v>
      </c>
      <c r="N11" s="48">
        <f>+'화성(서울)'!N11+'창원'!N11+'남양주'!N11+'인천'!N11+'화성오토'!N11+'제주'!N11+'부산'!N11</f>
        <v>0</v>
      </c>
      <c r="O11" s="49">
        <f>+'화성(서울)'!O11+'창원'!O11+'남양주'!O11+'인천'!O11+'화성오토'!O11+'제주'!O11+'부산'!O11</f>
        <v>0</v>
      </c>
      <c r="P11" s="60">
        <f>+'화성(서울)'!P11+'창원'!P11+'남양주'!P11+'인천'!P11+'화성오토'!P11+'제주'!P11+'부산'!P11</f>
        <v>0</v>
      </c>
      <c r="Q11" s="50">
        <f>'화성(서울)'!Q11+'창원'!Q11+'남양주'!Q11+'인천'!Q11+'화성오토'!Q11+'제주'!Q11+'부산'!Q11</f>
        <v>0</v>
      </c>
      <c r="R11" s="50">
        <f>'화성(서울)'!R11+'창원'!R11+'남양주'!R11+'인천'!R11+'화성오토'!R11+'제주'!R11+'부산'!R11</f>
        <v>0</v>
      </c>
      <c r="S11" s="50">
        <f>'화성(서울)'!S11+'창원'!S11+'남양주'!S11+'인천'!S11+'화성오토'!S11+'제주'!S11+'부산'!S11</f>
        <v>3345</v>
      </c>
      <c r="T11" s="50">
        <f>'화성(서울)'!T11+'창원'!T11+'남양주'!T11+'인천'!T11+'화성오토'!T11+'제주'!T11+'부산'!T11</f>
        <v>2000</v>
      </c>
      <c r="U11" s="50">
        <f>'화성(서울)'!U11+'창원'!U11+'남양주'!U11+'인천'!U11+'화성오토'!U11+'제주'!U11+'부산'!U11</f>
        <v>1752</v>
      </c>
      <c r="V11" s="50">
        <f>'화성(서울)'!V11+'창원'!V11+'남양주'!V11+'인천'!V11+'화성오토'!V11+'제주'!V11+'부산'!V11</f>
        <v>977</v>
      </c>
      <c r="W11" s="50">
        <f>'화성(서울)'!W11+'창원'!W11+'남양주'!W11+'인천'!W11+'화성오토'!W11+'제주'!W11+'부산'!W11</f>
        <v>128</v>
      </c>
      <c r="X11" s="50">
        <f>'화성(서울)'!X11+'창원'!X11+'남양주'!X11+'인천'!X11+'화성오토'!X11+'제주'!X11+'부산'!X11</f>
        <v>0</v>
      </c>
      <c r="Y11" s="50">
        <f>'화성(서울)'!Y11+'창원'!Y11+'남양주'!Y11+'인천'!Y11+'화성오토'!Y11+'제주'!Y11+'부산'!Y11</f>
        <v>0</v>
      </c>
      <c r="Z11" s="50">
        <f>'화성(서울)'!Z11+'창원'!Z11+'남양주'!Z11+'인천'!Z11+'화성오토'!Z11+'제주'!Z11+'부산'!Z11</f>
        <v>0</v>
      </c>
      <c r="AA11" s="50">
        <f>'화성(서울)'!AA11+'창원'!AA11+'남양주'!AA11+'인천'!AA11+'화성오토'!AA11+'제주'!AA11+'부산'!AA11</f>
        <v>0</v>
      </c>
      <c r="AB11" s="50">
        <f>'화성(서울)'!AB11+'창원'!AB11+'남양주'!AB11+'인천'!AB11+'화성오토'!AB11+'제주'!AB11+'부산'!AB11</f>
        <v>0</v>
      </c>
      <c r="AC11" s="50">
        <f>'화성(서울)'!AC11+'창원'!AC11+'남양주'!AC11+'인천'!AC11+'화성오토'!AC11+'제주'!AC11+'부산'!AC11</f>
        <v>0</v>
      </c>
      <c r="AD11" s="50">
        <f>'화성(서울)'!AD11+'창원'!AD11+'남양주'!AD11+'인천'!AD11+'화성오토'!AD11+'제주'!AD11+'부산'!AD11</f>
        <v>0</v>
      </c>
      <c r="AE11" s="50">
        <f>'화성(서울)'!AE11+'창원'!AE11+'남양주'!AE11+'인천'!AE11+'화성오토'!AE11+'제주'!AE11+'부산'!AE11</f>
        <v>0</v>
      </c>
      <c r="AF11" s="50">
        <f>'화성(서울)'!AF11+'창원'!AF11+'남양주'!AF11+'인천'!AF11+'화성오토'!AF11+'제주'!AF11+'부산'!AF11</f>
        <v>0</v>
      </c>
      <c r="AG11" s="50">
        <f>'화성(서울)'!AG11+'창원'!AG11+'남양주'!AG11+'인천'!AG11+'화성오토'!AG11+'제주'!AG11+'부산'!AG11</f>
        <v>0</v>
      </c>
      <c r="AH11" s="50">
        <f>'화성(서울)'!AH11+'창원'!AH11+'남양주'!AH11+'인천'!AH11+'화성오토'!AH11+'제주'!AH11+'부산'!AH11</f>
        <v>0</v>
      </c>
      <c r="AI11" s="50">
        <f>'화성(서울)'!AI11+'창원'!AI11+'남양주'!AI11+'인천'!AI11+'화성오토'!AI11+'제주'!AI11+'부산'!AI11</f>
        <v>0</v>
      </c>
      <c r="AJ11" s="50">
        <f>'화성(서울)'!AJ11+'창원'!AJ11+'남양주'!AJ11+'인천'!AJ11+'화성오토'!AJ11+'제주'!AJ11+'부산'!AJ11</f>
        <v>0</v>
      </c>
      <c r="AK11" s="50">
        <f>'화성(서울)'!AK11+'창원'!AK11+'남양주'!AK11+'인천'!AK11+'화성오토'!AK11+'제주'!AK11+'부산'!AK11</f>
        <v>0</v>
      </c>
      <c r="AL11" s="50">
        <f>'화성(서울)'!AL11+'창원'!AL11+'남양주'!AL11+'인천'!AL11+'화성오토'!AL11+'제주'!AL11+'부산'!AL11</f>
        <v>0</v>
      </c>
      <c r="AM11" s="50">
        <f>'화성(서울)'!AM11+'창원'!AM11+'남양주'!AM11+'인천'!AM11+'화성오토'!AM11+'제주'!AM11+'부산'!AM11</f>
        <v>0</v>
      </c>
      <c r="AN11" s="50">
        <f>'화성(서울)'!AN11+'창원'!AN11+'남양주'!AN11+'인천'!AN11+'화성오토'!AN11+'제주'!AN11+'부산'!AN11</f>
        <v>0</v>
      </c>
      <c r="AO11" s="50">
        <f>'화성(서울)'!AO11+'창원'!AO11+'남양주'!AO11+'인천'!AO11+'화성오토'!AO11+'제주'!AO11+'부산'!AO11</f>
        <v>0</v>
      </c>
      <c r="AP11" s="50">
        <f>'화성(서울)'!AP11+'창원'!AP11+'남양주'!AP11+'인천'!AP11+'화성오토'!AP11+'제주'!AP11+'부산'!AP11</f>
        <v>0</v>
      </c>
      <c r="AQ11" s="50">
        <f>'화성(서울)'!AQ11+'창원'!AQ11+'남양주'!AQ11+'인천'!AQ11+'화성오토'!AQ11+'제주'!AQ11+'부산'!AQ11</f>
        <v>0</v>
      </c>
      <c r="AR11" s="50">
        <f>'화성(서울)'!AR11+'창원'!AR11+'남양주'!AR11+'인천'!AR11+'화성오토'!AR11+'제주'!AR11+'부산'!AR11</f>
        <v>0</v>
      </c>
      <c r="AS11" s="50">
        <f>'화성(서울)'!AS11+'창원'!AS11+'남양주'!AS11+'인천'!AS11+'화성오토'!AS11+'제주'!AS11+'부산'!AS11</f>
        <v>0</v>
      </c>
      <c r="AT11" s="50">
        <f>'화성(서울)'!AT11+'창원'!AT11+'남양주'!AT11+'인천'!AT11+'화성오토'!AT11+'제주'!AT11+'부산'!AT11</f>
        <v>0</v>
      </c>
      <c r="AU11" s="51">
        <f>'화성(서울)'!AU11+'창원'!AU11+'남양주'!AU11+'인천'!AU11+'화성오토'!AU11+'제주'!AU11+'부산'!AU11</f>
        <v>0</v>
      </c>
      <c r="AV11" s="61">
        <f>+'화성(서울)'!AV11+'창원'!AV11+'남양주'!AV11+'인천'!AV11+'화성오토'!AV11+'제주'!AV11+'부산'!AV11</f>
        <v>8202</v>
      </c>
      <c r="AW11" s="26"/>
      <c r="AX11" s="27"/>
      <c r="AY11" s="27"/>
    </row>
    <row r="12" ht="18.0" customHeight="1">
      <c r="A12" s="28"/>
      <c r="B12" s="40"/>
      <c r="C12" s="41" t="s">
        <v>9</v>
      </c>
      <c r="D12" s="53">
        <f>+'화성(서울)'!D12+'창원'!D12+'남양주'!D12+'인천'!D12+'화성오토'!D12+'제주'!D12+'부산'!D12</f>
        <v>303097</v>
      </c>
      <c r="E12" s="54">
        <f>+'화성(서울)'!E12+'창원'!E12+'남양주'!E12+'인천'!E12+'화성오토'!E12+'제주'!E12+'부산'!E12</f>
        <v>453852</v>
      </c>
      <c r="F12" s="54">
        <f>+'화성(서울)'!F12+'창원'!F12+'남양주'!F12+'인천'!F12+'화성오토'!F12+'제주'!F12+'부산'!F12</f>
        <v>407804</v>
      </c>
      <c r="G12" s="54">
        <f>+'화성(서울)'!G12+'창원'!G12+'남양주'!G12+'인천'!G12+'화성오토'!G12+'제주'!G12+'부산'!G12</f>
        <v>525256</v>
      </c>
      <c r="H12" s="54">
        <f>+'화성(서울)'!H12+'창원'!H12+'남양주'!H12+'인천'!H12+'화성오토'!H12+'제주'!H12+'부산'!H12</f>
        <v>394878</v>
      </c>
      <c r="I12" s="54">
        <f>+'화성(서울)'!I12+'창원'!I12+'남양주'!I12+'인천'!I12+'화성오토'!I12+'제주'!I12+'부산'!I12</f>
        <v>442131</v>
      </c>
      <c r="J12" s="54">
        <f>+'화성(서울)'!J12+'창원'!J12+'남양주'!J12+'인천'!J12+'화성오토'!J12+'제주'!J12+'부산'!J12</f>
        <v>451745</v>
      </c>
      <c r="K12" s="54">
        <f>+'화성(서울)'!K12+'창원'!K12+'남양주'!K12+'인천'!K12+'화성오토'!K12+'제주'!K12+'부산'!K12</f>
        <v>382124</v>
      </c>
      <c r="L12" s="54">
        <f>+'화성(서울)'!L12+'창원'!L12+'남양주'!L12+'인천'!L12+'화성오토'!L12+'제주'!L12+'부산'!L12</f>
        <v>492483</v>
      </c>
      <c r="M12" s="54">
        <f>+'화성(서울)'!M12+'창원'!M12+'남양주'!M12+'인천'!M12+'화성오토'!M12+'제주'!M12+'부산'!M12</f>
        <v>280366</v>
      </c>
      <c r="N12" s="54">
        <f>+'화성(서울)'!N12+'창원'!N12+'남양주'!N12+'인천'!N12+'화성오토'!N12+'제주'!N12+'부산'!N12</f>
        <v>0</v>
      </c>
      <c r="O12" s="55">
        <f>+'화성(서울)'!O12+'창원'!O12+'남양주'!O12+'인천'!O12+'화성오토'!O12+'제주'!O12+'부산'!O12</f>
        <v>0</v>
      </c>
      <c r="P12" s="62">
        <f>+'화성(서울)'!P12+'창원'!P12+'남양주'!P12+'인천'!P12+'화성오토'!P12+'제주'!P12+'부산'!P12</f>
        <v>0</v>
      </c>
      <c r="Q12" s="57">
        <f>'화성(서울)'!Q12+'창원'!Q12+'남양주'!Q12+'인천'!Q12+'화성오토'!Q12+'제주'!Q12+'부산'!Q12</f>
        <v>0</v>
      </c>
      <c r="R12" s="57">
        <f>'화성(서울)'!R12+'창원'!R12+'남양주'!R12+'인천'!R12+'화성오토'!R12+'제주'!R12+'부산'!R12</f>
        <v>0</v>
      </c>
      <c r="S12" s="57">
        <f>'화성(서울)'!S12+'창원'!S12+'남양주'!S12+'인천'!S12+'화성오토'!S12+'제주'!S12+'부산'!S12</f>
        <v>56792</v>
      </c>
      <c r="T12" s="57">
        <f>'화성(서울)'!T12+'창원'!T12+'남양주'!T12+'인천'!T12+'화성오토'!T12+'제주'!T12+'부산'!T12</f>
        <v>29424</v>
      </c>
      <c r="U12" s="57">
        <f>'화성(서울)'!U12+'창원'!U12+'남양주'!U12+'인천'!U12+'화성오토'!U12+'제주'!U12+'부산'!U12</f>
        <v>50542</v>
      </c>
      <c r="V12" s="57">
        <f>'화성(서울)'!V12+'창원'!V12+'남양주'!V12+'인천'!V12+'화성오토'!V12+'제주'!V12+'부산'!V12</f>
        <v>14500</v>
      </c>
      <c r="W12" s="57">
        <f>'화성(서울)'!W12+'창원'!W12+'남양주'!W12+'인천'!W12+'화성오토'!W12+'제주'!W12+'부산'!W12</f>
        <v>7087</v>
      </c>
      <c r="X12" s="57">
        <f>'화성(서울)'!X12+'창원'!X12+'남양주'!X12+'인천'!X12+'화성오토'!X12+'제주'!X12+'부산'!X12</f>
        <v>0</v>
      </c>
      <c r="Y12" s="57">
        <f>'화성(서울)'!Y12+'창원'!Y12+'남양주'!Y12+'인천'!Y12+'화성오토'!Y12+'제주'!Y12+'부산'!Y12</f>
        <v>0</v>
      </c>
      <c r="Z12" s="57">
        <f>'화성(서울)'!Z12+'창원'!Z12+'남양주'!Z12+'인천'!Z12+'화성오토'!Z12+'제주'!Z12+'부산'!Z12</f>
        <v>6680</v>
      </c>
      <c r="AA12" s="57">
        <f>'화성(서울)'!AA12+'창원'!AA12+'남양주'!AA12+'인천'!AA12+'화성오토'!AA12+'제주'!AA12+'부산'!AA12</f>
        <v>0</v>
      </c>
      <c r="AB12" s="57">
        <f>'화성(서울)'!AB12+'창원'!AB12+'남양주'!AB12+'인천'!AB12+'화성오토'!AB12+'제주'!AB12+'부산'!AB12</f>
        <v>0</v>
      </c>
      <c r="AC12" s="57">
        <f>'화성(서울)'!AC12+'창원'!AC12+'남양주'!AC12+'인천'!AC12+'화성오토'!AC12+'제주'!AC12+'부산'!AC12</f>
        <v>0</v>
      </c>
      <c r="AD12" s="57">
        <f>'화성(서울)'!AD12+'창원'!AD12+'남양주'!AD12+'인천'!AD12+'화성오토'!AD12+'제주'!AD12+'부산'!AD12</f>
        <v>0</v>
      </c>
      <c r="AE12" s="57">
        <f>'화성(서울)'!AE12+'창원'!AE12+'남양주'!AE12+'인천'!AE12+'화성오토'!AE12+'제주'!AE12+'부산'!AE12</f>
        <v>0</v>
      </c>
      <c r="AF12" s="57">
        <f>'화성(서울)'!AF12+'창원'!AF12+'남양주'!AF12+'인천'!AF12+'화성오토'!AF12+'제주'!AF12+'부산'!AF12</f>
        <v>0</v>
      </c>
      <c r="AG12" s="57">
        <f>'화성(서울)'!AG12+'창원'!AG12+'남양주'!AG12+'인천'!AG12+'화성오토'!AG12+'제주'!AG12+'부산'!AG12</f>
        <v>0</v>
      </c>
      <c r="AH12" s="57">
        <f>'화성(서울)'!AH12+'창원'!AH12+'남양주'!AH12+'인천'!AH12+'화성오토'!AH12+'제주'!AH12+'부산'!AH12</f>
        <v>0</v>
      </c>
      <c r="AI12" s="57">
        <f>'화성(서울)'!AI12+'창원'!AI12+'남양주'!AI12+'인천'!AI12+'화성오토'!AI12+'제주'!AI12+'부산'!AI12</f>
        <v>0</v>
      </c>
      <c r="AJ12" s="57">
        <f>'화성(서울)'!AJ12+'창원'!AJ12+'남양주'!AJ12+'인천'!AJ12+'화성오토'!AJ12+'제주'!AJ12+'부산'!AJ12</f>
        <v>0</v>
      </c>
      <c r="AK12" s="57">
        <f>'화성(서울)'!AK12+'창원'!AK12+'남양주'!AK12+'인천'!AK12+'화성오토'!AK12+'제주'!AK12+'부산'!AK12</f>
        <v>0</v>
      </c>
      <c r="AL12" s="57">
        <f>'화성(서울)'!AL12+'창원'!AL12+'남양주'!AL12+'인천'!AL12+'화성오토'!AL12+'제주'!AL12+'부산'!AL12</f>
        <v>0</v>
      </c>
      <c r="AM12" s="57">
        <f>'화성(서울)'!AM12+'창원'!AM12+'남양주'!AM12+'인천'!AM12+'화성오토'!AM12+'제주'!AM12+'부산'!AM12</f>
        <v>0</v>
      </c>
      <c r="AN12" s="57">
        <f>'화성(서울)'!AN12+'창원'!AN12+'남양주'!AN12+'인천'!AN12+'화성오토'!AN12+'제주'!AN12+'부산'!AN12</f>
        <v>0</v>
      </c>
      <c r="AO12" s="57">
        <f>'화성(서울)'!AO12+'창원'!AO12+'남양주'!AO12+'인천'!AO12+'화성오토'!AO12+'제주'!AO12+'부산'!AO12</f>
        <v>0</v>
      </c>
      <c r="AP12" s="57">
        <f>'화성(서울)'!AP12+'창원'!AP12+'남양주'!AP12+'인천'!AP12+'화성오토'!AP12+'제주'!AP12+'부산'!AP12</f>
        <v>0</v>
      </c>
      <c r="AQ12" s="57">
        <f>'화성(서울)'!AQ12+'창원'!AQ12+'남양주'!AQ12+'인천'!AQ12+'화성오토'!AQ12+'제주'!AQ12+'부산'!AQ12</f>
        <v>0</v>
      </c>
      <c r="AR12" s="57">
        <f>'화성(서울)'!AR12+'창원'!AR12+'남양주'!AR12+'인천'!AR12+'화성오토'!AR12+'제주'!AR12+'부산'!AR12</f>
        <v>0</v>
      </c>
      <c r="AS12" s="57">
        <f>'화성(서울)'!AS12+'창원'!AS12+'남양주'!AS12+'인천'!AS12+'화성오토'!AS12+'제주'!AS12+'부산'!AS12</f>
        <v>0</v>
      </c>
      <c r="AT12" s="57">
        <f>'화성(서울)'!AT12+'창원'!AT12+'남양주'!AT12+'인천'!AT12+'화성오토'!AT12+'제주'!AT12+'부산'!AT12</f>
        <v>0</v>
      </c>
      <c r="AU12" s="58">
        <f>'화성(서울)'!AU12+'창원'!AU12+'남양주'!AU12+'인천'!AU12+'화성오토'!AU12+'제주'!AU12+'부산'!AU12</f>
        <v>0</v>
      </c>
      <c r="AV12" s="63">
        <f>+'화성(서울)'!AV12+'창원'!AV12+'남양주'!AV12+'인천'!AV12+'화성오토'!AV12+'제주'!AV12+'부산'!AV12</f>
        <v>165025</v>
      </c>
      <c r="AW12" s="26"/>
      <c r="AX12" s="27"/>
      <c r="AY12" s="27"/>
    </row>
    <row r="13" ht="18.0" customHeight="1">
      <c r="A13" s="29"/>
      <c r="B13" s="43" t="s">
        <v>11</v>
      </c>
      <c r="C13" s="64" t="s">
        <v>9</v>
      </c>
      <c r="D13" s="47">
        <f>+'화성(서울)'!D13+'창원'!D13+'남양주'!D13+'인천'!D13+'화성오토'!D13+'제주'!D13+'부산'!D13</f>
        <v>217924</v>
      </c>
      <c r="E13" s="48">
        <f>+'화성(서울)'!E13+'창원'!E13+'남양주'!E13+'인천'!E13+'화성오토'!E13+'제주'!E13+'부산'!E13</f>
        <v>329228</v>
      </c>
      <c r="F13" s="48">
        <f>+'화성(서울)'!F13+'창원'!F13+'남양주'!F13+'인천'!F13+'화성오토'!F13+'제주'!F13+'부산'!F13</f>
        <v>159436</v>
      </c>
      <c r="G13" s="48">
        <f>+'화성(서울)'!G13+'창원'!G13+'남양주'!G13+'인천'!G13+'화성오토'!G13+'제주'!G13+'부산'!G13</f>
        <v>290116</v>
      </c>
      <c r="H13" s="48">
        <f>+'화성(서울)'!H13+'창원'!H13+'남양주'!H13+'인천'!H13+'화성오토'!H13+'제주'!H13+'부산'!H13</f>
        <v>280612</v>
      </c>
      <c r="I13" s="48">
        <f>+'화성(서울)'!I13+'창원'!I13+'남양주'!I13+'인천'!I13+'화성오토'!I13+'제주'!I13+'부산'!I13</f>
        <v>296008</v>
      </c>
      <c r="J13" s="48">
        <f>+'화성(서울)'!J13+'창원'!J13+'남양주'!J13+'인천'!J13+'화성오토'!J13+'제주'!J13+'부산'!J13</f>
        <v>177440</v>
      </c>
      <c r="K13" s="48">
        <f>+'화성(서울)'!K13+'창원'!K13+'남양주'!K13+'인천'!K13+'화성오토'!K13+'제주'!K13+'부산'!K13</f>
        <v>223840</v>
      </c>
      <c r="L13" s="48">
        <f>+'화성(서울)'!L13+'창원'!L13+'남양주'!L13+'인천'!L13+'화성오토'!L13+'제주'!L13+'부산'!L13</f>
        <v>205024</v>
      </c>
      <c r="M13" s="48">
        <f>+'화성(서울)'!M13+'창원'!M13+'남양주'!M13+'인천'!M13+'화성오토'!M13+'제주'!M13+'부산'!M13</f>
        <v>263060</v>
      </c>
      <c r="N13" s="48">
        <f>+'화성(서울)'!N13+'창원'!N13+'남양주'!N13+'인천'!N13+'화성오토'!N13+'제주'!N13+'부산'!N13</f>
        <v>0</v>
      </c>
      <c r="O13" s="49">
        <f>+'화성(서울)'!O13+'창원'!O13+'남양주'!O13+'인천'!O13+'화성오토'!O13+'제주'!O13+'부산'!O13</f>
        <v>0</v>
      </c>
      <c r="P13" s="24">
        <f>+'화성(서울)'!P13+'창원'!P13+'남양주'!P13+'인천'!P13+'화성오토'!P13+'제주'!P13+'부산'!P13</f>
        <v>0</v>
      </c>
      <c r="Q13" s="50">
        <f>'화성(서울)'!Q13+'창원'!Q13+'남양주'!Q13+'인천'!Q13+'화성오토'!Q13+'제주'!Q13+'부산'!Q13</f>
        <v>0</v>
      </c>
      <c r="R13" s="50">
        <f>'화성(서울)'!R13+'창원'!R13+'남양주'!R13+'인천'!R13+'화성오토'!R13+'제주'!R13+'부산'!R13</f>
        <v>0</v>
      </c>
      <c r="S13" s="50">
        <f>'화성(서울)'!S13+'창원'!S13+'남양주'!S13+'인천'!S13+'화성오토'!S13+'제주'!S13+'부산'!S13</f>
        <v>16432</v>
      </c>
      <c r="T13" s="50">
        <f>'화성(서울)'!T13+'창원'!T13+'남양주'!T13+'인천'!T13+'화성오토'!T13+'제주'!T13+'부산'!T13</f>
        <v>17472</v>
      </c>
      <c r="U13" s="50">
        <f>'화성(서울)'!U13+'창원'!U13+'남양주'!U13+'인천'!U13+'화성오토'!U13+'제주'!U13+'부산'!U13</f>
        <v>17680</v>
      </c>
      <c r="V13" s="50">
        <f>'화성(서울)'!V13+'창원'!V13+'남양주'!V13+'인천'!V13+'화성오토'!V13+'제주'!V13+'부산'!V13</f>
        <v>30072</v>
      </c>
      <c r="W13" s="50">
        <f>'화성(서울)'!W13+'창원'!W13+'남양주'!W13+'인천'!W13+'화성오토'!W13+'제주'!W13+'부산'!W13</f>
        <v>1608</v>
      </c>
      <c r="X13" s="50">
        <f>'화성(서울)'!X13+'창원'!X13+'남양주'!X13+'인천'!X13+'화성오토'!X13+'제주'!X13+'부산'!X13</f>
        <v>0</v>
      </c>
      <c r="Y13" s="50">
        <f>'화성(서울)'!Y13+'창원'!Y13+'남양주'!Y13+'인천'!Y13+'화성오토'!Y13+'제주'!Y13+'부산'!Y13</f>
        <v>0</v>
      </c>
      <c r="Z13" s="50">
        <f>'화성(서울)'!Z13+'창원'!Z13+'남양주'!Z13+'인천'!Z13+'화성오토'!Z13+'제주'!Z13+'부산'!Z13</f>
        <v>6032</v>
      </c>
      <c r="AA13" s="50">
        <f>'화성(서울)'!AA13+'창원'!AA13+'남양주'!AA13+'인천'!AA13+'화성오토'!AA13+'제주'!AA13+'부산'!AA13</f>
        <v>0</v>
      </c>
      <c r="AB13" s="50">
        <f>'화성(서울)'!AB13+'창원'!AB13+'남양주'!AB13+'인천'!AB13+'화성오토'!AB13+'제주'!AB13+'부산'!AB13</f>
        <v>0</v>
      </c>
      <c r="AC13" s="50">
        <f>'화성(서울)'!AC13+'창원'!AC13+'남양주'!AC13+'인천'!AC13+'화성오토'!AC13+'제주'!AC13+'부산'!AC13</f>
        <v>0</v>
      </c>
      <c r="AD13" s="50">
        <f>'화성(서울)'!AD13+'창원'!AD13+'남양주'!AD13+'인천'!AD13+'화성오토'!AD13+'제주'!AD13+'부산'!AD13</f>
        <v>0</v>
      </c>
      <c r="AE13" s="50">
        <f>'화성(서울)'!AE13+'창원'!AE13+'남양주'!AE13+'인천'!AE13+'화성오토'!AE13+'제주'!AE13+'부산'!AE13</f>
        <v>0</v>
      </c>
      <c r="AF13" s="50">
        <f>'화성(서울)'!AF13+'창원'!AF13+'남양주'!AF13+'인천'!AF13+'화성오토'!AF13+'제주'!AF13+'부산'!AF13</f>
        <v>0</v>
      </c>
      <c r="AG13" s="50">
        <f>'화성(서울)'!AG13+'창원'!AG13+'남양주'!AG13+'인천'!AG13+'화성오토'!AG13+'제주'!AG13+'부산'!AG13</f>
        <v>0</v>
      </c>
      <c r="AH13" s="50">
        <f>'화성(서울)'!AH13+'창원'!AH13+'남양주'!AH13+'인천'!AH13+'화성오토'!AH13+'제주'!AH13+'부산'!AH13</f>
        <v>0</v>
      </c>
      <c r="AI13" s="50">
        <f>'화성(서울)'!AI13+'창원'!AI13+'남양주'!AI13+'인천'!AI13+'화성오토'!AI13+'제주'!AI13+'부산'!AI13</f>
        <v>0</v>
      </c>
      <c r="AJ13" s="50">
        <f>'화성(서울)'!AJ13+'창원'!AJ13+'남양주'!AJ13+'인천'!AJ13+'화성오토'!AJ13+'제주'!AJ13+'부산'!AJ13</f>
        <v>0</v>
      </c>
      <c r="AK13" s="50">
        <f>'화성(서울)'!AK13+'창원'!AK13+'남양주'!AK13+'인천'!AK13+'화성오토'!AK13+'제주'!AK13+'부산'!AK13</f>
        <v>0</v>
      </c>
      <c r="AL13" s="50">
        <f>'화성(서울)'!AL13+'창원'!AL13+'남양주'!AL13+'인천'!AL13+'화성오토'!AL13+'제주'!AL13+'부산'!AL13</f>
        <v>0</v>
      </c>
      <c r="AM13" s="50">
        <f>'화성(서울)'!AM13+'창원'!AM13+'남양주'!AM13+'인천'!AM13+'화성오토'!AM13+'제주'!AM13+'부산'!AM13</f>
        <v>0</v>
      </c>
      <c r="AN13" s="50">
        <f>'화성(서울)'!AN13+'창원'!AN13+'남양주'!AN13+'인천'!AN13+'화성오토'!AN13+'제주'!AN13+'부산'!AN13</f>
        <v>0</v>
      </c>
      <c r="AO13" s="50">
        <f>'화성(서울)'!AO13+'창원'!AO13+'남양주'!AO13+'인천'!AO13+'화성오토'!AO13+'제주'!AO13+'부산'!AO13</f>
        <v>0</v>
      </c>
      <c r="AP13" s="50">
        <f>'화성(서울)'!AP13+'창원'!AP13+'남양주'!AP13+'인천'!AP13+'화성오토'!AP13+'제주'!AP13+'부산'!AP13</f>
        <v>0</v>
      </c>
      <c r="AQ13" s="50">
        <f>'화성(서울)'!AQ13+'창원'!AQ13+'남양주'!AQ13+'인천'!AQ13+'화성오토'!AQ13+'제주'!AQ13+'부산'!AQ13</f>
        <v>0</v>
      </c>
      <c r="AR13" s="50">
        <f>'화성(서울)'!AR13+'창원'!AR13+'남양주'!AR13+'인천'!AR13+'화성오토'!AR13+'제주'!AR13+'부산'!AR13</f>
        <v>0</v>
      </c>
      <c r="AS13" s="50">
        <f>'화성(서울)'!AS13+'창원'!AS13+'남양주'!AS13+'인천'!AS13+'화성오토'!AS13+'제주'!AS13+'부산'!AS13</f>
        <v>0</v>
      </c>
      <c r="AT13" s="50">
        <f>'화성(서울)'!AT13+'창원'!AT13+'남양주'!AT13+'인천'!AT13+'화성오토'!AT13+'제주'!AT13+'부산'!AT13</f>
        <v>0</v>
      </c>
      <c r="AU13" s="65">
        <f>'화성(서울)'!AU13+'창원'!AU13+'남양주'!AU13+'인천'!AU13+'화성오토'!AU13+'제주'!AU13+'부산'!AU13</f>
        <v>0</v>
      </c>
      <c r="AV13" s="52">
        <f>+'화성(서울)'!AV13+'창원'!AV13+'남양주'!AV13+'인천'!AV13+'화성오토'!AV13+'제주'!AV13+'부산'!AV13</f>
        <v>89296</v>
      </c>
      <c r="AW13" s="26">
        <f>SUM(AV9:AV13)</f>
        <v>445546</v>
      </c>
      <c r="AX13" s="27"/>
      <c r="AY13" s="27"/>
    </row>
    <row r="14" ht="18.0" customHeight="1">
      <c r="A14" s="17" t="s">
        <v>13</v>
      </c>
      <c r="B14" s="17" t="s">
        <v>7</v>
      </c>
      <c r="C14" s="18" t="s">
        <v>8</v>
      </c>
      <c r="D14" s="47">
        <f>+'화성(서울)'!D14+'창원'!D14+'남양주'!D14+'인천'!D14+'화성오토'!D14+'제주'!D14+'부산'!D14</f>
        <v>49258</v>
      </c>
      <c r="E14" s="48">
        <f>+'화성(서울)'!E14+'창원'!E14+'남양주'!E14+'인천'!E14+'화성오토'!E14+'제주'!E14+'부산'!E14</f>
        <v>47762</v>
      </c>
      <c r="F14" s="48">
        <f>+'화성(서울)'!F14+'창원'!F14+'남양주'!F14+'인천'!F14+'화성오토'!F14+'제주'!F14+'부산'!F14</f>
        <v>52231</v>
      </c>
      <c r="G14" s="48">
        <f>+'화성(서울)'!G14+'창원'!G14+'남양주'!G14+'인천'!G14+'화성오토'!G14+'제주'!G14+'부산'!G14</f>
        <v>54628</v>
      </c>
      <c r="H14" s="48">
        <f>+'화성(서울)'!H14+'창원'!H14+'남양주'!H14+'인천'!H14+'화성오토'!H14+'제주'!H14+'부산'!H14</f>
        <v>71820</v>
      </c>
      <c r="I14" s="48">
        <f>+'화성(서울)'!I14+'창원'!I14+'남양주'!I14+'인천'!I14+'화성오토'!I14+'제주'!I14+'부산'!I14</f>
        <v>83593</v>
      </c>
      <c r="J14" s="48">
        <f>+'화성(서울)'!J14+'창원'!J14+'남양주'!J14+'인천'!J14+'화성오토'!J14+'제주'!J14+'부산'!J14</f>
        <v>66804</v>
      </c>
      <c r="K14" s="48">
        <f>+'화성(서울)'!K14+'창원'!K14+'남양주'!K14+'인천'!K14+'화성오토'!K14+'제주'!K14+'부산'!K14</f>
        <v>68795</v>
      </c>
      <c r="L14" s="48">
        <f>+'화성(서울)'!L14+'창원'!L14+'남양주'!L14+'인천'!L14+'화성오토'!L14+'제주'!L14+'부산'!L14</f>
        <v>79742</v>
      </c>
      <c r="M14" s="48">
        <f>+'화성(서울)'!M14+'창원'!M14+'남양주'!M14+'인천'!M14+'화성오토'!M14+'제주'!M14+'부산'!M14</f>
        <v>52036</v>
      </c>
      <c r="N14" s="48">
        <f>+'화성(서울)'!N14+'창원'!N14+'남양주'!N14+'인천'!N14+'화성오토'!N14+'제주'!N14+'부산'!N14</f>
        <v>0</v>
      </c>
      <c r="O14" s="49">
        <f>+'화성(서울)'!O14+'창원'!O14+'남양주'!O14+'인천'!O14+'화성오토'!O14+'제주'!O14+'부산'!O14</f>
        <v>0</v>
      </c>
      <c r="P14" s="66">
        <f>+'화성(서울)'!P14+'창원'!P14+'남양주'!P14+'인천'!P14+'화성오토'!P14+'제주'!P14+'부산'!P14</f>
        <v>0</v>
      </c>
      <c r="Q14" s="50">
        <f>'화성(서울)'!Q14+'창원'!Q14+'남양주'!Q14+'인천'!Q14+'화성오토'!Q14+'제주'!Q14+'부산'!Q14</f>
        <v>0</v>
      </c>
      <c r="R14" s="50">
        <f>'화성(서울)'!R14+'창원'!R14+'남양주'!R14+'인천'!R14+'화성오토'!R14+'제주'!R14+'부산'!R14</f>
        <v>0</v>
      </c>
      <c r="S14" s="50">
        <f>'화성(서울)'!S14+'창원'!S14+'남양주'!S14+'인천'!S14+'화성오토'!S14+'제주'!S14+'부산'!S14</f>
        <v>6542</v>
      </c>
      <c r="T14" s="50">
        <f>'화성(서울)'!T14+'창원'!T14+'남양주'!T14+'인천'!T14+'화성오토'!T14+'제주'!T14+'부산'!T14</f>
        <v>1140</v>
      </c>
      <c r="U14" s="50">
        <f>'화성(서울)'!U14+'창원'!U14+'남양주'!U14+'인천'!U14+'화성오토'!U14+'제주'!U14+'부산'!U14</f>
        <v>12998</v>
      </c>
      <c r="V14" s="50">
        <f>'화성(서울)'!V14+'창원'!V14+'남양주'!V14+'인천'!V14+'화성오토'!V14+'제주'!V14+'부산'!V14</f>
        <v>4728</v>
      </c>
      <c r="W14" s="50">
        <f>'화성(서울)'!W14+'창원'!W14+'남양주'!W14+'인천'!W14+'화성오토'!W14+'제주'!W14+'부산'!W14</f>
        <v>3652</v>
      </c>
      <c r="X14" s="50">
        <f>'화성(서울)'!X14+'창원'!X14+'남양주'!X14+'인천'!X14+'화성오토'!X14+'제주'!X14+'부산'!X14</f>
        <v>0</v>
      </c>
      <c r="Y14" s="50">
        <f>'화성(서울)'!Y14+'창원'!Y14+'남양주'!Y14+'인천'!Y14+'화성오토'!Y14+'제주'!Y14+'부산'!Y14</f>
        <v>0</v>
      </c>
      <c r="Z14" s="50">
        <f>'화성(서울)'!Z14+'창원'!Z14+'남양주'!Z14+'인천'!Z14+'화성오토'!Z14+'제주'!Z14+'부산'!Z14</f>
        <v>1027</v>
      </c>
      <c r="AA14" s="50">
        <f>'화성(서울)'!AA14+'창원'!AA14+'남양주'!AA14+'인천'!AA14+'화성오토'!AA14+'제주'!AA14+'부산'!AA14</f>
        <v>0</v>
      </c>
      <c r="AB14" s="50">
        <f>'화성(서울)'!AB14+'창원'!AB14+'남양주'!AB14+'인천'!AB14+'화성오토'!AB14+'제주'!AB14+'부산'!AB14</f>
        <v>0</v>
      </c>
      <c r="AC14" s="50">
        <f>'화성(서울)'!AC14+'창원'!AC14+'남양주'!AC14+'인천'!AC14+'화성오토'!AC14+'제주'!AC14+'부산'!AC14</f>
        <v>0</v>
      </c>
      <c r="AD14" s="50">
        <f>'화성(서울)'!AD14+'창원'!AD14+'남양주'!AD14+'인천'!AD14+'화성오토'!AD14+'제주'!AD14+'부산'!AD14</f>
        <v>0</v>
      </c>
      <c r="AE14" s="50">
        <f>'화성(서울)'!AE14+'창원'!AE14+'남양주'!AE14+'인천'!AE14+'화성오토'!AE14+'제주'!AE14+'부산'!AE14</f>
        <v>0</v>
      </c>
      <c r="AF14" s="50">
        <f>'화성(서울)'!AF14+'창원'!AF14+'남양주'!AF14+'인천'!AF14+'화성오토'!AF14+'제주'!AF14+'부산'!AF14</f>
        <v>0</v>
      </c>
      <c r="AG14" s="50">
        <f>'화성(서울)'!AG14+'창원'!AG14+'남양주'!AG14+'인천'!AG14+'화성오토'!AG14+'제주'!AG14+'부산'!AG14</f>
        <v>0</v>
      </c>
      <c r="AH14" s="50">
        <f>'화성(서울)'!AH14+'창원'!AH14+'남양주'!AH14+'인천'!AH14+'화성오토'!AH14+'제주'!AH14+'부산'!AH14</f>
        <v>0</v>
      </c>
      <c r="AI14" s="50">
        <f>'화성(서울)'!AI14+'창원'!AI14+'남양주'!AI14+'인천'!AI14+'화성오토'!AI14+'제주'!AI14+'부산'!AI14</f>
        <v>0</v>
      </c>
      <c r="AJ14" s="50">
        <f>'화성(서울)'!AJ14+'창원'!AJ14+'남양주'!AJ14+'인천'!AJ14+'화성오토'!AJ14+'제주'!AJ14+'부산'!AJ14</f>
        <v>0</v>
      </c>
      <c r="AK14" s="50">
        <f>'화성(서울)'!AK14+'창원'!AK14+'남양주'!AK14+'인천'!AK14+'화성오토'!AK14+'제주'!AK14+'부산'!AK14</f>
        <v>0</v>
      </c>
      <c r="AL14" s="50">
        <f>'화성(서울)'!AL14+'창원'!AL14+'남양주'!AL14+'인천'!AL14+'화성오토'!AL14+'제주'!AL14+'부산'!AL14</f>
        <v>0</v>
      </c>
      <c r="AM14" s="50">
        <f>'화성(서울)'!AM14+'창원'!AM14+'남양주'!AM14+'인천'!AM14+'화성오토'!AM14+'제주'!AM14+'부산'!AM14</f>
        <v>0</v>
      </c>
      <c r="AN14" s="50">
        <f>'화성(서울)'!AN14+'창원'!AN14+'남양주'!AN14+'인천'!AN14+'화성오토'!AN14+'제주'!AN14+'부산'!AN14</f>
        <v>0</v>
      </c>
      <c r="AO14" s="50">
        <f>'화성(서울)'!AO14+'창원'!AO14+'남양주'!AO14+'인천'!AO14+'화성오토'!AO14+'제주'!AO14+'부산'!AO14</f>
        <v>0</v>
      </c>
      <c r="AP14" s="50">
        <f>'화성(서울)'!AP14+'창원'!AP14+'남양주'!AP14+'인천'!AP14+'화성오토'!AP14+'제주'!AP14+'부산'!AP14</f>
        <v>0</v>
      </c>
      <c r="AQ14" s="50">
        <f>'화성(서울)'!AQ14+'창원'!AQ14+'남양주'!AQ14+'인천'!AQ14+'화성오토'!AQ14+'제주'!AQ14+'부산'!AQ14</f>
        <v>0</v>
      </c>
      <c r="AR14" s="50">
        <f>'화성(서울)'!AR14+'창원'!AR14+'남양주'!AR14+'인천'!AR14+'화성오토'!AR14+'제주'!AR14+'부산'!AR14</f>
        <v>0</v>
      </c>
      <c r="AS14" s="50">
        <f>'화성(서울)'!AS14+'창원'!AS14+'남양주'!AS14+'인천'!AS14+'화성오토'!AS14+'제주'!AS14+'부산'!AS14</f>
        <v>0</v>
      </c>
      <c r="AT14" s="50">
        <f>'화성(서울)'!AT14+'창원'!AT14+'남양주'!AT14+'인천'!AT14+'화성오토'!AT14+'제주'!AT14+'부산'!AT14</f>
        <v>0</v>
      </c>
      <c r="AU14" s="51">
        <f>'화성(서울)'!AU14+'창원'!AU14+'남양주'!AU14+'인천'!AU14+'화성오토'!AU14+'제주'!AU14+'부산'!AU14</f>
        <v>0</v>
      </c>
      <c r="AV14" s="67">
        <f>+'화성(서울)'!AV14+'창원'!AV14+'남양주'!AV14+'인천'!AV14+'화성오토'!AV14+'제주'!AV14+'부산'!AV14</f>
        <v>30087</v>
      </c>
      <c r="AW14" s="26"/>
      <c r="AX14" s="27"/>
      <c r="AY14" s="27"/>
    </row>
    <row r="15" ht="18.0" customHeight="1">
      <c r="A15" s="28"/>
      <c r="B15" s="29"/>
      <c r="C15" s="30" t="s">
        <v>9</v>
      </c>
      <c r="D15" s="53">
        <f>+'화성(서울)'!D15+'창원'!D15+'남양주'!D15+'인천'!D15+'화성오토'!D15+'제주'!D15+'부산'!D15</f>
        <v>309350</v>
      </c>
      <c r="E15" s="54">
        <f>+'화성(서울)'!E15+'창원'!E15+'남양주'!E15+'인천'!E15+'화성오토'!E15+'제주'!E15+'부산'!E15</f>
        <v>405316</v>
      </c>
      <c r="F15" s="54">
        <f>+'화성(서울)'!F15+'창원'!F15+'남양주'!F15+'인천'!F15+'화성오토'!F15+'제주'!F15+'부산'!F15</f>
        <v>363618</v>
      </c>
      <c r="G15" s="54">
        <f>+'화성(서울)'!G15+'창원'!G15+'남양주'!G15+'인천'!G15+'화성오토'!G15+'제주'!G15+'부산'!G15</f>
        <v>411500</v>
      </c>
      <c r="H15" s="54">
        <f>+'화성(서울)'!H15+'창원'!H15+'남양주'!H15+'인천'!H15+'화성오토'!H15+'제주'!H15+'부산'!H15</f>
        <v>417488</v>
      </c>
      <c r="I15" s="54">
        <f>+'화성(서울)'!I15+'창원'!I15+'남양주'!I15+'인천'!I15+'화성오토'!I15+'제주'!I15+'부산'!I15</f>
        <v>475720</v>
      </c>
      <c r="J15" s="54">
        <f>+'화성(서울)'!J15+'창원'!J15+'남양주'!J15+'인천'!J15+'화성오토'!J15+'제주'!J15+'부산'!J15</f>
        <v>331084</v>
      </c>
      <c r="K15" s="54">
        <f>+'화성(서울)'!K15+'창원'!K15+'남양주'!K15+'인천'!K15+'화성오토'!K15+'제주'!K15+'부산'!K15</f>
        <v>351640</v>
      </c>
      <c r="L15" s="54">
        <f>+'화성(서울)'!L15+'창원'!L15+'남양주'!L15+'인천'!L15+'화성오토'!L15+'제주'!L15+'부산'!L15</f>
        <v>441114</v>
      </c>
      <c r="M15" s="54">
        <f>+'화성(서울)'!M15+'창원'!M15+'남양주'!M15+'인천'!M15+'화성오토'!M15+'제주'!M15+'부산'!M15</f>
        <v>392442</v>
      </c>
      <c r="N15" s="54">
        <f>+'화성(서울)'!N15+'창원'!N15+'남양주'!N15+'인천'!N15+'화성오토'!N15+'제주'!N15+'부산'!N15</f>
        <v>0</v>
      </c>
      <c r="O15" s="55">
        <f>+'화성(서울)'!O15+'창원'!O15+'남양주'!O15+'인천'!O15+'화성오토'!O15+'제주'!O15+'부산'!O15</f>
        <v>0</v>
      </c>
      <c r="P15" s="62">
        <f>+'화성(서울)'!P15+'창원'!P15+'남양주'!P15+'인천'!P15+'화성오토'!P15+'제주'!P15+'부산'!P15</f>
        <v>0</v>
      </c>
      <c r="Q15" s="57">
        <f>'화성(서울)'!Q15+'창원'!Q15+'남양주'!Q15+'인천'!Q15+'화성오토'!Q15+'제주'!Q15+'부산'!Q15</f>
        <v>0</v>
      </c>
      <c r="R15" s="57">
        <f>'화성(서울)'!R15+'창원'!R15+'남양주'!R15+'인천'!R15+'화성오토'!R15+'제주'!R15+'부산'!R15</f>
        <v>0</v>
      </c>
      <c r="S15" s="57">
        <f>'화성(서울)'!S15+'창원'!S15+'남양주'!S15+'인천'!S15+'화성오토'!S15+'제주'!S15+'부산'!S15</f>
        <v>90000</v>
      </c>
      <c r="T15" s="57">
        <f>'화성(서울)'!T15+'창원'!T15+'남양주'!T15+'인천'!T15+'화성오토'!T15+'제주'!T15+'부산'!T15</f>
        <v>40630</v>
      </c>
      <c r="U15" s="57">
        <f>'화성(서울)'!U15+'창원'!U15+'남양주'!U15+'인천'!U15+'화성오토'!U15+'제주'!U15+'부산'!U15</f>
        <v>15712</v>
      </c>
      <c r="V15" s="57">
        <f>'화성(서울)'!V15+'창원'!V15+'남양주'!V15+'인천'!V15+'화성오토'!V15+'제주'!V15+'부산'!V15</f>
        <v>19954</v>
      </c>
      <c r="W15" s="57">
        <f>'화성(서울)'!W15+'창원'!W15+'남양주'!W15+'인천'!W15+'화성오토'!W15+'제주'!W15+'부산'!W15</f>
        <v>8190</v>
      </c>
      <c r="X15" s="57">
        <f>'화성(서울)'!X15+'창원'!X15+'남양주'!X15+'인천'!X15+'화성오토'!X15+'제주'!X15+'부산'!X15</f>
        <v>0</v>
      </c>
      <c r="Y15" s="57">
        <f>'화성(서울)'!Y15+'창원'!Y15+'남양주'!Y15+'인천'!Y15+'화성오토'!Y15+'제주'!Y15+'부산'!Y15</f>
        <v>0</v>
      </c>
      <c r="Z15" s="57">
        <f>'화성(서울)'!Z15+'창원'!Z15+'남양주'!Z15+'인천'!Z15+'화성오토'!Z15+'제주'!Z15+'부산'!Z15</f>
        <v>21694</v>
      </c>
      <c r="AA15" s="57">
        <f>'화성(서울)'!AA15+'창원'!AA15+'남양주'!AA15+'인천'!AA15+'화성오토'!AA15+'제주'!AA15+'부산'!AA15</f>
        <v>0</v>
      </c>
      <c r="AB15" s="57">
        <f>'화성(서울)'!AB15+'창원'!AB15+'남양주'!AB15+'인천'!AB15+'화성오토'!AB15+'제주'!AB15+'부산'!AB15</f>
        <v>0</v>
      </c>
      <c r="AC15" s="57">
        <f>'화성(서울)'!AC15+'창원'!AC15+'남양주'!AC15+'인천'!AC15+'화성오토'!AC15+'제주'!AC15+'부산'!AC15</f>
        <v>0</v>
      </c>
      <c r="AD15" s="57">
        <f>'화성(서울)'!AD15+'창원'!AD15+'남양주'!AD15+'인천'!AD15+'화성오토'!AD15+'제주'!AD15+'부산'!AD15</f>
        <v>0</v>
      </c>
      <c r="AE15" s="57">
        <f>'화성(서울)'!AE15+'창원'!AE15+'남양주'!AE15+'인천'!AE15+'화성오토'!AE15+'제주'!AE15+'부산'!AE15</f>
        <v>0</v>
      </c>
      <c r="AF15" s="57">
        <f>'화성(서울)'!AF15+'창원'!AF15+'남양주'!AF15+'인천'!AF15+'화성오토'!AF15+'제주'!AF15+'부산'!AF15</f>
        <v>0</v>
      </c>
      <c r="AG15" s="57">
        <f>'화성(서울)'!AG15+'창원'!AG15+'남양주'!AG15+'인천'!AG15+'화성오토'!AG15+'제주'!AG15+'부산'!AG15</f>
        <v>0</v>
      </c>
      <c r="AH15" s="57">
        <f>'화성(서울)'!AH15+'창원'!AH15+'남양주'!AH15+'인천'!AH15+'화성오토'!AH15+'제주'!AH15+'부산'!AH15</f>
        <v>0</v>
      </c>
      <c r="AI15" s="57">
        <f>'화성(서울)'!AI15+'창원'!AI15+'남양주'!AI15+'인천'!AI15+'화성오토'!AI15+'제주'!AI15+'부산'!AI15</f>
        <v>0</v>
      </c>
      <c r="AJ15" s="57">
        <f>'화성(서울)'!AJ15+'창원'!AJ15+'남양주'!AJ15+'인천'!AJ15+'화성오토'!AJ15+'제주'!AJ15+'부산'!AJ15</f>
        <v>0</v>
      </c>
      <c r="AK15" s="57">
        <f>'화성(서울)'!AK15+'창원'!AK15+'남양주'!AK15+'인천'!AK15+'화성오토'!AK15+'제주'!AK15+'부산'!AK15</f>
        <v>0</v>
      </c>
      <c r="AL15" s="57">
        <f>'화성(서울)'!AL15+'창원'!AL15+'남양주'!AL15+'인천'!AL15+'화성오토'!AL15+'제주'!AL15+'부산'!AL15</f>
        <v>0</v>
      </c>
      <c r="AM15" s="57">
        <f>'화성(서울)'!AM15+'창원'!AM15+'남양주'!AM15+'인천'!AM15+'화성오토'!AM15+'제주'!AM15+'부산'!AM15</f>
        <v>0</v>
      </c>
      <c r="AN15" s="57">
        <f>'화성(서울)'!AN15+'창원'!AN15+'남양주'!AN15+'인천'!AN15+'화성오토'!AN15+'제주'!AN15+'부산'!AN15</f>
        <v>0</v>
      </c>
      <c r="AO15" s="57">
        <f>'화성(서울)'!AO15+'창원'!AO15+'남양주'!AO15+'인천'!AO15+'화성오토'!AO15+'제주'!AO15+'부산'!AO15</f>
        <v>0</v>
      </c>
      <c r="AP15" s="57">
        <f>'화성(서울)'!AP15+'창원'!AP15+'남양주'!AP15+'인천'!AP15+'화성오토'!AP15+'제주'!AP15+'부산'!AP15</f>
        <v>0</v>
      </c>
      <c r="AQ15" s="57">
        <f>'화성(서울)'!AQ15+'창원'!AQ15+'남양주'!AQ15+'인천'!AQ15+'화성오토'!AQ15+'제주'!AQ15+'부산'!AQ15</f>
        <v>0</v>
      </c>
      <c r="AR15" s="57">
        <f>'화성(서울)'!AR15+'창원'!AR15+'남양주'!AR15+'인천'!AR15+'화성오토'!AR15+'제주'!AR15+'부산'!AR15</f>
        <v>0</v>
      </c>
      <c r="AS15" s="57">
        <f>'화성(서울)'!AS15+'창원'!AS15+'남양주'!AS15+'인천'!AS15+'화성오토'!AS15+'제주'!AS15+'부산'!AS15</f>
        <v>0</v>
      </c>
      <c r="AT15" s="57">
        <f>'화성(서울)'!AT15+'창원'!AT15+'남양주'!AT15+'인천'!AT15+'화성오토'!AT15+'제주'!AT15+'부산'!AT15</f>
        <v>0</v>
      </c>
      <c r="AU15" s="58">
        <f>'화성(서울)'!AU15+'창원'!AU15+'남양주'!AU15+'인천'!AU15+'화성오토'!AU15+'제주'!AU15+'부산'!AU15</f>
        <v>0</v>
      </c>
      <c r="AV15" s="63">
        <f>+'화성(서울)'!AV15+'창원'!AV15+'남양주'!AV15+'인천'!AV15+'화성오토'!AV15+'제주'!AV15+'부산'!AV15</f>
        <v>196180</v>
      </c>
      <c r="AW15" s="26"/>
      <c r="AX15" s="27"/>
      <c r="AY15" s="27"/>
    </row>
    <row r="16" ht="18.0" customHeight="1">
      <c r="A16" s="28"/>
      <c r="B16" s="38" t="s">
        <v>10</v>
      </c>
      <c r="C16" s="39" t="s">
        <v>8</v>
      </c>
      <c r="D16" s="47">
        <f>+'화성(서울)'!D16+'창원'!D16+'남양주'!D16+'인천'!D16+'화성오토'!D16+'제주'!D16+'부산'!D16</f>
        <v>37221</v>
      </c>
      <c r="E16" s="48">
        <f>+'화성(서울)'!E16+'창원'!E16+'남양주'!E16+'인천'!E16+'화성오토'!E16+'제주'!E16+'부산'!E16</f>
        <v>35701</v>
      </c>
      <c r="F16" s="48">
        <f>+'화성(서울)'!F16+'창원'!F16+'남양주'!F16+'인천'!F16+'화성오토'!F16+'제주'!F16+'부산'!F16</f>
        <v>35769</v>
      </c>
      <c r="G16" s="48">
        <f>+'화성(서울)'!G16+'창원'!G16+'남양주'!G16+'인천'!G16+'화성오토'!G16+'제주'!G16+'부산'!G16</f>
        <v>36676</v>
      </c>
      <c r="H16" s="48">
        <f>+'화성(서울)'!H16+'창원'!H16+'남양주'!H16+'인천'!H16+'화성오토'!H16+'제주'!H16+'부산'!H16</f>
        <v>54043</v>
      </c>
      <c r="I16" s="48">
        <f>+'화성(서울)'!I16+'창원'!I16+'남양주'!I16+'인천'!I16+'화성오토'!I16+'제주'!I16+'부산'!I16</f>
        <v>35197</v>
      </c>
      <c r="J16" s="48">
        <f>+'화성(서울)'!J16+'창원'!J16+'남양주'!J16+'인천'!J16+'화성오토'!J16+'제주'!J16+'부산'!J16</f>
        <v>31244</v>
      </c>
      <c r="K16" s="48">
        <f>+'화성(서울)'!K16+'창원'!K16+'남양주'!K16+'인천'!K16+'화성오토'!K16+'제주'!K16+'부산'!K16</f>
        <v>31736</v>
      </c>
      <c r="L16" s="48">
        <f>+'화성(서울)'!L16+'창원'!L16+'남양주'!L16+'인천'!L16+'화성오토'!L16+'제주'!L16+'부산'!L16</f>
        <v>63488</v>
      </c>
      <c r="M16" s="48">
        <f>+'화성(서울)'!M16+'창원'!M16+'남양주'!M16+'인천'!M16+'화성오토'!M16+'제주'!M16+'부산'!M16</f>
        <v>48269</v>
      </c>
      <c r="N16" s="48">
        <f>+'화성(서울)'!N16+'창원'!N16+'남양주'!N16+'인천'!N16+'화성오토'!N16+'제주'!N16+'부산'!N16</f>
        <v>0</v>
      </c>
      <c r="O16" s="49">
        <f>+'화성(서울)'!O16+'창원'!O16+'남양주'!O16+'인천'!O16+'화성오토'!O16+'제주'!O16+'부산'!O16</f>
        <v>0</v>
      </c>
      <c r="P16" s="66">
        <f>+'화성(서울)'!P16+'창원'!P16+'남양주'!P16+'인천'!P16+'화성오토'!P16+'제주'!P16+'부산'!P16</f>
        <v>0</v>
      </c>
      <c r="Q16" s="50">
        <f>'화성(서울)'!Q16+'창원'!Q16+'남양주'!Q16+'인천'!Q16+'화성오토'!Q16+'제주'!Q16+'부산'!Q16</f>
        <v>0</v>
      </c>
      <c r="R16" s="50">
        <f>'화성(서울)'!R16+'창원'!R16+'남양주'!R16+'인천'!R16+'화성오토'!R16+'제주'!R16+'부산'!R16</f>
        <v>0</v>
      </c>
      <c r="S16" s="50">
        <f>'화성(서울)'!S16+'창원'!S16+'남양주'!S16+'인천'!S16+'화성오토'!S16+'제주'!S16+'부산'!S16</f>
        <v>10729</v>
      </c>
      <c r="T16" s="50">
        <f>'화성(서울)'!T16+'창원'!T16+'남양주'!T16+'인천'!T16+'화성오토'!T16+'제주'!T16+'부산'!T16</f>
        <v>1072</v>
      </c>
      <c r="U16" s="50">
        <f>'화성(서울)'!U16+'창원'!U16+'남양주'!U16+'인천'!U16+'화성오토'!U16+'제주'!U16+'부산'!U16</f>
        <v>2860</v>
      </c>
      <c r="V16" s="50">
        <f>'화성(서울)'!V16+'창원'!V16+'남양주'!V16+'인천'!V16+'화성오토'!V16+'제주'!V16+'부산'!V16</f>
        <v>807</v>
      </c>
      <c r="W16" s="50">
        <f>'화성(서울)'!W16+'창원'!W16+'남양주'!W16+'인천'!W16+'화성오토'!W16+'제주'!W16+'부산'!W16</f>
        <v>4968</v>
      </c>
      <c r="X16" s="50">
        <f>'화성(서울)'!X16+'창원'!X16+'남양주'!X16+'인천'!X16+'화성오토'!X16+'제주'!X16+'부산'!X16</f>
        <v>0</v>
      </c>
      <c r="Y16" s="50">
        <f>'화성(서울)'!Y16+'창원'!Y16+'남양주'!Y16+'인천'!Y16+'화성오토'!Y16+'제주'!Y16+'부산'!Y16</f>
        <v>0</v>
      </c>
      <c r="Z16" s="50">
        <f>'화성(서울)'!Z16+'창원'!Z16+'남양주'!Z16+'인천'!Z16+'화성오토'!Z16+'제주'!Z16+'부산'!Z16</f>
        <v>4392</v>
      </c>
      <c r="AA16" s="50">
        <f>'화성(서울)'!AA16+'창원'!AA16+'남양주'!AA16+'인천'!AA16+'화성오토'!AA16+'제주'!AA16+'부산'!AA16</f>
        <v>0</v>
      </c>
      <c r="AB16" s="50">
        <f>'화성(서울)'!AB16+'창원'!AB16+'남양주'!AB16+'인천'!AB16+'화성오토'!AB16+'제주'!AB16+'부산'!AB16</f>
        <v>0</v>
      </c>
      <c r="AC16" s="50">
        <f>'화성(서울)'!AC16+'창원'!AC16+'남양주'!AC16+'인천'!AC16+'화성오토'!AC16+'제주'!AC16+'부산'!AC16</f>
        <v>0</v>
      </c>
      <c r="AD16" s="50">
        <f>'화성(서울)'!AD16+'창원'!AD16+'남양주'!AD16+'인천'!AD16+'화성오토'!AD16+'제주'!AD16+'부산'!AD16</f>
        <v>0</v>
      </c>
      <c r="AE16" s="50">
        <f>'화성(서울)'!AE16+'창원'!AE16+'남양주'!AE16+'인천'!AE16+'화성오토'!AE16+'제주'!AE16+'부산'!AE16</f>
        <v>0</v>
      </c>
      <c r="AF16" s="50">
        <f>'화성(서울)'!AF16+'창원'!AF16+'남양주'!AF16+'인천'!AF16+'화성오토'!AF16+'제주'!AF16+'부산'!AF16</f>
        <v>0</v>
      </c>
      <c r="AG16" s="50">
        <f>'화성(서울)'!AG16+'창원'!AG16+'남양주'!AG16+'인천'!AG16+'화성오토'!AG16+'제주'!AG16+'부산'!AG16</f>
        <v>0</v>
      </c>
      <c r="AH16" s="50">
        <f>'화성(서울)'!AH16+'창원'!AH16+'남양주'!AH16+'인천'!AH16+'화성오토'!AH16+'제주'!AH16+'부산'!AH16</f>
        <v>0</v>
      </c>
      <c r="AI16" s="50">
        <f>'화성(서울)'!AI16+'창원'!AI16+'남양주'!AI16+'인천'!AI16+'화성오토'!AI16+'제주'!AI16+'부산'!AI16</f>
        <v>0</v>
      </c>
      <c r="AJ16" s="50">
        <f>'화성(서울)'!AJ16+'창원'!AJ16+'남양주'!AJ16+'인천'!AJ16+'화성오토'!AJ16+'제주'!AJ16+'부산'!AJ16</f>
        <v>0</v>
      </c>
      <c r="AK16" s="50">
        <f>'화성(서울)'!AK16+'창원'!AK16+'남양주'!AK16+'인천'!AK16+'화성오토'!AK16+'제주'!AK16+'부산'!AK16</f>
        <v>0</v>
      </c>
      <c r="AL16" s="50">
        <f>'화성(서울)'!AL16+'창원'!AL16+'남양주'!AL16+'인천'!AL16+'화성오토'!AL16+'제주'!AL16+'부산'!AL16</f>
        <v>0</v>
      </c>
      <c r="AM16" s="50">
        <f>'화성(서울)'!AM16+'창원'!AM16+'남양주'!AM16+'인천'!AM16+'화성오토'!AM16+'제주'!AM16+'부산'!AM16</f>
        <v>0</v>
      </c>
      <c r="AN16" s="50">
        <f>'화성(서울)'!AN16+'창원'!AN16+'남양주'!AN16+'인천'!AN16+'화성오토'!AN16+'제주'!AN16+'부산'!AN16</f>
        <v>0</v>
      </c>
      <c r="AO16" s="50">
        <f>'화성(서울)'!AO16+'창원'!AO16+'남양주'!AO16+'인천'!AO16+'화성오토'!AO16+'제주'!AO16+'부산'!AO16</f>
        <v>0</v>
      </c>
      <c r="AP16" s="50">
        <f>'화성(서울)'!AP16+'창원'!AP16+'남양주'!AP16+'인천'!AP16+'화성오토'!AP16+'제주'!AP16+'부산'!AP16</f>
        <v>0</v>
      </c>
      <c r="AQ16" s="50">
        <f>'화성(서울)'!AQ16+'창원'!AQ16+'남양주'!AQ16+'인천'!AQ16+'화성오토'!AQ16+'제주'!AQ16+'부산'!AQ16</f>
        <v>0</v>
      </c>
      <c r="AR16" s="50">
        <f>'화성(서울)'!AR16+'창원'!AR16+'남양주'!AR16+'인천'!AR16+'화성오토'!AR16+'제주'!AR16+'부산'!AR16</f>
        <v>0</v>
      </c>
      <c r="AS16" s="50">
        <f>'화성(서울)'!AS16+'창원'!AS16+'남양주'!AS16+'인천'!AS16+'화성오토'!AS16+'제주'!AS16+'부산'!AS16</f>
        <v>0</v>
      </c>
      <c r="AT16" s="50">
        <f>'화성(서울)'!AT16+'창원'!AT16+'남양주'!AT16+'인천'!AT16+'화성오토'!AT16+'제주'!AT16+'부산'!AT16</f>
        <v>0</v>
      </c>
      <c r="AU16" s="51">
        <f>'화성(서울)'!AU16+'창원'!AU16+'남양주'!AU16+'인천'!AU16+'화성오토'!AU16+'제주'!AU16+'부산'!AU16</f>
        <v>0</v>
      </c>
      <c r="AV16" s="67">
        <f>+'화성(서울)'!AV16+'창원'!AV16+'남양주'!AV16+'인천'!AV16+'화성오토'!AV16+'제주'!AV16+'부산'!AV16</f>
        <v>24828</v>
      </c>
      <c r="AW16" s="26"/>
      <c r="AX16" s="27"/>
      <c r="AY16" s="27"/>
    </row>
    <row r="17" ht="18.0" customHeight="1">
      <c r="A17" s="28"/>
      <c r="B17" s="40"/>
      <c r="C17" s="41" t="s">
        <v>9</v>
      </c>
      <c r="D17" s="53">
        <f>+'화성(서울)'!D17+'창원'!D17+'남양주'!D17+'인천'!D17+'화성오토'!D17+'제주'!D17+'부산'!D17</f>
        <v>371044</v>
      </c>
      <c r="E17" s="54">
        <f>+'화성(서울)'!E17+'창원'!E17+'남양주'!E17+'인천'!E17+'화성오토'!E17+'제주'!E17+'부산'!E17</f>
        <v>431009</v>
      </c>
      <c r="F17" s="54">
        <f>+'화성(서울)'!F17+'창원'!F17+'남양주'!F17+'인천'!F17+'화성오토'!F17+'제주'!F17+'부산'!F17</f>
        <v>421545</v>
      </c>
      <c r="G17" s="54">
        <f>+'화성(서울)'!G17+'창원'!G17+'남양주'!G17+'인천'!G17+'화성오토'!G17+'제주'!G17+'부산'!G17</f>
        <v>482381</v>
      </c>
      <c r="H17" s="54">
        <f>+'화성(서울)'!H17+'창원'!H17+'남양주'!H17+'인천'!H17+'화성오토'!H17+'제주'!H17+'부산'!H17</f>
        <v>421770</v>
      </c>
      <c r="I17" s="54">
        <f>+'화성(서울)'!I17+'창원'!I17+'남양주'!I17+'인천'!I17+'화성오토'!I17+'제주'!I17+'부산'!I17</f>
        <v>481524</v>
      </c>
      <c r="J17" s="54">
        <f>+'화성(서울)'!J17+'창원'!J17+'남양주'!J17+'인천'!J17+'화성오토'!J17+'제주'!J17+'부산'!J17</f>
        <v>400621</v>
      </c>
      <c r="K17" s="54">
        <f>+'화성(서울)'!K17+'창원'!K17+'남양주'!K17+'인천'!K17+'화성오토'!K17+'제주'!K17+'부산'!K17</f>
        <v>428715</v>
      </c>
      <c r="L17" s="54">
        <f>+'화성(서울)'!L17+'창원'!L17+'남양주'!L17+'인천'!L17+'화성오토'!L17+'제주'!L17+'부산'!L17</f>
        <v>463745</v>
      </c>
      <c r="M17" s="54">
        <f>+'화성(서울)'!M17+'창원'!M17+'남양주'!M17+'인천'!M17+'화성오토'!M17+'제주'!M17+'부산'!M17</f>
        <v>337916</v>
      </c>
      <c r="N17" s="54">
        <f>+'화성(서울)'!N17+'창원'!N17+'남양주'!N17+'인천'!N17+'화성오토'!N17+'제주'!N17+'부산'!N17</f>
        <v>0</v>
      </c>
      <c r="O17" s="55">
        <f>+'화성(서울)'!O17+'창원'!O17+'남양주'!O17+'인천'!O17+'화성오토'!O17+'제주'!O17+'부산'!O17</f>
        <v>0</v>
      </c>
      <c r="P17" s="62">
        <f>+'화성(서울)'!P17+'창원'!P17+'남양주'!P17+'인천'!P17+'화성오토'!P17+'제주'!P17+'부산'!P17</f>
        <v>0</v>
      </c>
      <c r="Q17" s="57">
        <f>'화성(서울)'!Q17+'창원'!Q17+'남양주'!Q17+'인천'!Q17+'화성오토'!Q17+'제주'!Q17+'부산'!Q17</f>
        <v>0</v>
      </c>
      <c r="R17" s="57">
        <f>'화성(서울)'!R17+'창원'!R17+'남양주'!R17+'인천'!R17+'화성오토'!R17+'제주'!R17+'부산'!R17</f>
        <v>0</v>
      </c>
      <c r="S17" s="57">
        <f>'화성(서울)'!S17+'창원'!S17+'남양주'!S17+'인천'!S17+'화성오토'!S17+'제주'!S17+'부산'!S17</f>
        <v>43133</v>
      </c>
      <c r="T17" s="57">
        <f>'화성(서울)'!T17+'창원'!T17+'남양주'!T17+'인천'!T17+'화성오토'!T17+'제주'!T17+'부산'!T17</f>
        <v>24279</v>
      </c>
      <c r="U17" s="57">
        <f>'화성(서울)'!U17+'창원'!U17+'남양주'!U17+'인천'!U17+'화성오토'!U17+'제주'!U17+'부산'!U17</f>
        <v>30236</v>
      </c>
      <c r="V17" s="57">
        <f>'화성(서울)'!V17+'창원'!V17+'남양주'!V17+'인천'!V17+'화성오토'!V17+'제주'!V17+'부산'!V17</f>
        <v>15802</v>
      </c>
      <c r="W17" s="57">
        <f>'화성(서울)'!W17+'창원'!W17+'남양주'!W17+'인천'!W17+'화성오토'!W17+'제주'!W17+'부산'!W17</f>
        <v>32352</v>
      </c>
      <c r="X17" s="57">
        <f>'화성(서울)'!X17+'창원'!X17+'남양주'!X17+'인천'!X17+'화성오토'!X17+'제주'!X17+'부산'!X17</f>
        <v>0</v>
      </c>
      <c r="Y17" s="57">
        <f>'화성(서울)'!Y17+'창원'!Y17+'남양주'!Y17+'인천'!Y17+'화성오토'!Y17+'제주'!Y17+'부산'!Y17</f>
        <v>0</v>
      </c>
      <c r="Z17" s="57">
        <f>'화성(서울)'!Z17+'창원'!Z17+'남양주'!Z17+'인천'!Z17+'화성오토'!Z17+'제주'!Z17+'부산'!Z17</f>
        <v>16948</v>
      </c>
      <c r="AA17" s="57">
        <f>'화성(서울)'!AA17+'창원'!AA17+'남양주'!AA17+'인천'!AA17+'화성오토'!AA17+'제주'!AA17+'부산'!AA17</f>
        <v>0</v>
      </c>
      <c r="AB17" s="57">
        <f>'화성(서울)'!AB17+'창원'!AB17+'남양주'!AB17+'인천'!AB17+'화성오토'!AB17+'제주'!AB17+'부산'!AB17</f>
        <v>0</v>
      </c>
      <c r="AC17" s="57">
        <f>'화성(서울)'!AC17+'창원'!AC17+'남양주'!AC17+'인천'!AC17+'화성오토'!AC17+'제주'!AC17+'부산'!AC17</f>
        <v>0</v>
      </c>
      <c r="AD17" s="57">
        <f>'화성(서울)'!AD17+'창원'!AD17+'남양주'!AD17+'인천'!AD17+'화성오토'!AD17+'제주'!AD17+'부산'!AD17</f>
        <v>0</v>
      </c>
      <c r="AE17" s="57">
        <f>'화성(서울)'!AE17+'창원'!AE17+'남양주'!AE17+'인천'!AE17+'화성오토'!AE17+'제주'!AE17+'부산'!AE17</f>
        <v>0</v>
      </c>
      <c r="AF17" s="57">
        <f>'화성(서울)'!AF17+'창원'!AF17+'남양주'!AF17+'인천'!AF17+'화성오토'!AF17+'제주'!AF17+'부산'!AF17</f>
        <v>0</v>
      </c>
      <c r="AG17" s="57">
        <f>'화성(서울)'!AG17+'창원'!AG17+'남양주'!AG17+'인천'!AG17+'화성오토'!AG17+'제주'!AG17+'부산'!AG17</f>
        <v>0</v>
      </c>
      <c r="AH17" s="57">
        <f>'화성(서울)'!AH17+'창원'!AH17+'남양주'!AH17+'인천'!AH17+'화성오토'!AH17+'제주'!AH17+'부산'!AH17</f>
        <v>0</v>
      </c>
      <c r="AI17" s="57">
        <f>'화성(서울)'!AI17+'창원'!AI17+'남양주'!AI17+'인천'!AI17+'화성오토'!AI17+'제주'!AI17+'부산'!AI17</f>
        <v>0</v>
      </c>
      <c r="AJ17" s="57">
        <f>'화성(서울)'!AJ17+'창원'!AJ17+'남양주'!AJ17+'인천'!AJ17+'화성오토'!AJ17+'제주'!AJ17+'부산'!AJ17</f>
        <v>0</v>
      </c>
      <c r="AK17" s="57">
        <f>'화성(서울)'!AK17+'창원'!AK17+'남양주'!AK17+'인천'!AK17+'화성오토'!AK17+'제주'!AK17+'부산'!AK17</f>
        <v>0</v>
      </c>
      <c r="AL17" s="57">
        <f>'화성(서울)'!AL17+'창원'!AL17+'남양주'!AL17+'인천'!AL17+'화성오토'!AL17+'제주'!AL17+'부산'!AL17</f>
        <v>0</v>
      </c>
      <c r="AM17" s="57">
        <f>'화성(서울)'!AM17+'창원'!AM17+'남양주'!AM17+'인천'!AM17+'화성오토'!AM17+'제주'!AM17+'부산'!AM17</f>
        <v>0</v>
      </c>
      <c r="AN17" s="57">
        <f>'화성(서울)'!AN17+'창원'!AN17+'남양주'!AN17+'인천'!AN17+'화성오토'!AN17+'제주'!AN17+'부산'!AN17</f>
        <v>0</v>
      </c>
      <c r="AO17" s="57">
        <f>'화성(서울)'!AO17+'창원'!AO17+'남양주'!AO17+'인천'!AO17+'화성오토'!AO17+'제주'!AO17+'부산'!AO17</f>
        <v>0</v>
      </c>
      <c r="AP17" s="57">
        <f>'화성(서울)'!AP17+'창원'!AP17+'남양주'!AP17+'인천'!AP17+'화성오토'!AP17+'제주'!AP17+'부산'!AP17</f>
        <v>0</v>
      </c>
      <c r="AQ17" s="57">
        <f>'화성(서울)'!AQ17+'창원'!AQ17+'남양주'!AQ17+'인천'!AQ17+'화성오토'!AQ17+'제주'!AQ17+'부산'!AQ17</f>
        <v>0</v>
      </c>
      <c r="AR17" s="57">
        <f>'화성(서울)'!AR17+'창원'!AR17+'남양주'!AR17+'인천'!AR17+'화성오토'!AR17+'제주'!AR17+'부산'!AR17</f>
        <v>0</v>
      </c>
      <c r="AS17" s="57">
        <f>'화성(서울)'!AS17+'창원'!AS17+'남양주'!AS17+'인천'!AS17+'화성오토'!AS17+'제주'!AS17+'부산'!AS17</f>
        <v>0</v>
      </c>
      <c r="AT17" s="57">
        <f>'화성(서울)'!AT17+'창원'!AT17+'남양주'!AT17+'인천'!AT17+'화성오토'!AT17+'제주'!AT17+'부산'!AT17</f>
        <v>0</v>
      </c>
      <c r="AU17" s="58">
        <f>'화성(서울)'!AU17+'창원'!AU17+'남양주'!AU17+'인천'!AU17+'화성오토'!AU17+'제주'!AU17+'부산'!AU17</f>
        <v>0</v>
      </c>
      <c r="AV17" s="63">
        <f>+'화성(서울)'!AV17+'창원'!AV17+'남양주'!AV17+'인천'!AV17+'화성오토'!AV17+'제주'!AV17+'부산'!AV17</f>
        <v>162750</v>
      </c>
      <c r="AW17" s="26"/>
      <c r="AX17" s="27"/>
      <c r="AY17" s="27"/>
    </row>
    <row r="18" ht="18.0" customHeight="1">
      <c r="A18" s="29"/>
      <c r="B18" s="43" t="s">
        <v>11</v>
      </c>
      <c r="C18" s="64" t="s">
        <v>9</v>
      </c>
      <c r="D18" s="47">
        <f>+'화성(서울)'!D18+'창원'!D18+'남양주'!D18+'인천'!D18+'화성오토'!D18+'제주'!D18+'부산'!D18</f>
        <v>281092</v>
      </c>
      <c r="E18" s="48">
        <f>+'화성(서울)'!E18+'창원'!E18+'남양주'!E18+'인천'!E18+'화성오토'!E18+'제주'!E18+'부산'!E18</f>
        <v>202096</v>
      </c>
      <c r="F18" s="48">
        <f>+'화성(서울)'!F18+'창원'!F18+'남양주'!F18+'인천'!F18+'화성오토'!F18+'제주'!F18+'부산'!F18</f>
        <v>229092</v>
      </c>
      <c r="G18" s="48">
        <f>+'화성(서울)'!G18+'창원'!G18+'남양주'!G18+'인천'!G18+'화성오토'!G18+'제주'!G18+'부산'!G18</f>
        <v>322612</v>
      </c>
      <c r="H18" s="48">
        <f>+'화성(서울)'!H18+'창원'!H18+'남양주'!H18+'인천'!H18+'화성오토'!H18+'제주'!H18+'부산'!H18</f>
        <v>212816</v>
      </c>
      <c r="I18" s="48">
        <f>+'화성(서울)'!I18+'창원'!I18+'남양주'!I18+'인천'!I18+'화성오토'!I18+'제주'!I18+'부산'!I18</f>
        <v>225800</v>
      </c>
      <c r="J18" s="48">
        <f>+'화성(서울)'!J18+'창원'!J18+'남양주'!J18+'인천'!J18+'화성오토'!J18+'제주'!J18+'부산'!J18</f>
        <v>305960</v>
      </c>
      <c r="K18" s="48">
        <f>+'화성(서울)'!K18+'창원'!K18+'남양주'!K18+'인천'!K18+'화성오토'!K18+'제주'!K18+'부산'!K18</f>
        <v>213836</v>
      </c>
      <c r="L18" s="48">
        <f>+'화성(서울)'!L18+'창원'!L18+'남양주'!L18+'인천'!L18+'화성오토'!L18+'제주'!L18+'부산'!L18</f>
        <v>288652</v>
      </c>
      <c r="M18" s="48">
        <f>+'화성(서울)'!M18+'창원'!M18+'남양주'!M18+'인천'!M18+'화성오토'!M18+'제주'!M18+'부산'!M18</f>
        <v>167716</v>
      </c>
      <c r="N18" s="48">
        <f>+'화성(서울)'!N18+'창원'!N18+'남양주'!N18+'인천'!N18+'화성오토'!N18+'제주'!N18+'부산'!N18</f>
        <v>0</v>
      </c>
      <c r="O18" s="49">
        <f>+'화성(서울)'!O18+'창원'!O18+'남양주'!O18+'인천'!O18+'화성오토'!O18+'제주'!O18+'부산'!O18</f>
        <v>0</v>
      </c>
      <c r="P18" s="24">
        <f>+'화성(서울)'!P18+'창원'!P18+'남양주'!P18+'인천'!P18+'화성오토'!P18+'제주'!P18+'부산'!P18</f>
        <v>0</v>
      </c>
      <c r="Q18" s="68">
        <f>'화성(서울)'!Q18+'창원'!Q18+'남양주'!Q18+'인천'!Q18+'화성오토'!Q18+'제주'!Q18+'부산'!Q18</f>
        <v>0</v>
      </c>
      <c r="R18" s="68">
        <f>'화성(서울)'!R18+'창원'!R18+'남양주'!R18+'인천'!R18+'화성오토'!R18+'제주'!R18+'부산'!R18</f>
        <v>0</v>
      </c>
      <c r="S18" s="68">
        <f>'화성(서울)'!S18+'창원'!S18+'남양주'!S18+'인천'!S18+'화성오토'!S18+'제주'!S18+'부산'!S18</f>
        <v>140096</v>
      </c>
      <c r="T18" s="68">
        <f>'화성(서울)'!T18+'창원'!T18+'남양주'!T18+'인천'!T18+'화성오토'!T18+'제주'!T18+'부산'!T18</f>
        <v>0</v>
      </c>
      <c r="U18" s="68">
        <f>'화성(서울)'!U18+'창원'!U18+'남양주'!U18+'인천'!U18+'화성오토'!U18+'제주'!U18+'부산'!U18</f>
        <v>0</v>
      </c>
      <c r="V18" s="68">
        <f>'화성(서울)'!V18+'창원'!V18+'남양주'!V18+'인천'!V18+'화성오토'!V18+'제주'!V18+'부산'!V18</f>
        <v>0</v>
      </c>
      <c r="W18" s="68">
        <f>'화성(서울)'!W18+'창원'!W18+'남양주'!W18+'인천'!W18+'화성오토'!W18+'제주'!W18+'부산'!W18</f>
        <v>0</v>
      </c>
      <c r="X18" s="68">
        <f>'화성(서울)'!X18+'창원'!X18+'남양주'!X18+'인천'!X18+'화성오토'!X18+'제주'!X18+'부산'!X18</f>
        <v>0</v>
      </c>
      <c r="Y18" s="68">
        <f>'화성(서울)'!Y18+'창원'!Y18+'남양주'!Y18+'인천'!Y18+'화성오토'!Y18+'제주'!Y18+'부산'!Y18</f>
        <v>0</v>
      </c>
      <c r="Z18" s="68">
        <f>'화성(서울)'!Z18+'창원'!Z18+'남양주'!Z18+'인천'!Z18+'화성오토'!Z18+'제주'!Z18+'부산'!Z18</f>
        <v>53336</v>
      </c>
      <c r="AA18" s="68">
        <f>'화성(서울)'!AA18+'창원'!AA18+'남양주'!AA18+'인천'!AA18+'화성오토'!AA18+'제주'!AA18+'부산'!AA18</f>
        <v>0</v>
      </c>
      <c r="AB18" s="68">
        <f>'화성(서울)'!AB18+'창원'!AB18+'남양주'!AB18+'인천'!AB18+'화성오토'!AB18+'제주'!AB18+'부산'!AB18</f>
        <v>0</v>
      </c>
      <c r="AC18" s="68">
        <f>'화성(서울)'!AC18+'창원'!AC18+'남양주'!AC18+'인천'!AC18+'화성오토'!AC18+'제주'!AC18+'부산'!AC18</f>
        <v>0</v>
      </c>
      <c r="AD18" s="68">
        <f>'화성(서울)'!AD18+'창원'!AD18+'남양주'!AD18+'인천'!AD18+'화성오토'!AD18+'제주'!AD18+'부산'!AD18</f>
        <v>0</v>
      </c>
      <c r="AE18" s="68">
        <f>'화성(서울)'!AE18+'창원'!AE18+'남양주'!AE18+'인천'!AE18+'화성오토'!AE18+'제주'!AE18+'부산'!AE18</f>
        <v>0</v>
      </c>
      <c r="AF18" s="68">
        <f>'화성(서울)'!AF18+'창원'!AF18+'남양주'!AF18+'인천'!AF18+'화성오토'!AF18+'제주'!AF18+'부산'!AF18</f>
        <v>0</v>
      </c>
      <c r="AG18" s="68">
        <f>'화성(서울)'!AG18+'창원'!AG18+'남양주'!AG18+'인천'!AG18+'화성오토'!AG18+'제주'!AG18+'부산'!AG18</f>
        <v>0</v>
      </c>
      <c r="AH18" s="68">
        <f>'화성(서울)'!AH18+'창원'!AH18+'남양주'!AH18+'인천'!AH18+'화성오토'!AH18+'제주'!AH18+'부산'!AH18</f>
        <v>0</v>
      </c>
      <c r="AI18" s="68">
        <f>'화성(서울)'!AI18+'창원'!AI18+'남양주'!AI18+'인천'!AI18+'화성오토'!AI18+'제주'!AI18+'부산'!AI18</f>
        <v>0</v>
      </c>
      <c r="AJ18" s="68">
        <f>'화성(서울)'!AJ18+'창원'!AJ18+'남양주'!AJ18+'인천'!AJ18+'화성오토'!AJ18+'제주'!AJ18+'부산'!AJ18</f>
        <v>0</v>
      </c>
      <c r="AK18" s="68">
        <f>'화성(서울)'!AK18+'창원'!AK18+'남양주'!AK18+'인천'!AK18+'화성오토'!AK18+'제주'!AK18+'부산'!AK18</f>
        <v>0</v>
      </c>
      <c r="AL18" s="68">
        <f>'화성(서울)'!AL18+'창원'!AL18+'남양주'!AL18+'인천'!AL18+'화성오토'!AL18+'제주'!AL18+'부산'!AL18</f>
        <v>0</v>
      </c>
      <c r="AM18" s="68">
        <f>'화성(서울)'!AM18+'창원'!AM18+'남양주'!AM18+'인천'!AM18+'화성오토'!AM18+'제주'!AM18+'부산'!AM18</f>
        <v>0</v>
      </c>
      <c r="AN18" s="68">
        <f>'화성(서울)'!AN18+'창원'!AN18+'남양주'!AN18+'인천'!AN18+'화성오토'!AN18+'제주'!AN18+'부산'!AN18</f>
        <v>0</v>
      </c>
      <c r="AO18" s="68">
        <f>'화성(서울)'!AO18+'창원'!AO18+'남양주'!AO18+'인천'!AO18+'화성오토'!AO18+'제주'!AO18+'부산'!AO18</f>
        <v>0</v>
      </c>
      <c r="AP18" s="68">
        <f>'화성(서울)'!AP18+'창원'!AP18+'남양주'!AP18+'인천'!AP18+'화성오토'!AP18+'제주'!AP18+'부산'!AP18</f>
        <v>0</v>
      </c>
      <c r="AQ18" s="68">
        <f>'화성(서울)'!AQ18+'창원'!AQ18+'남양주'!AQ18+'인천'!AQ18+'화성오토'!AQ18+'제주'!AQ18+'부산'!AQ18</f>
        <v>0</v>
      </c>
      <c r="AR18" s="68">
        <f>'화성(서울)'!AR18+'창원'!AR18+'남양주'!AR18+'인천'!AR18+'화성오토'!AR18+'제주'!AR18+'부산'!AR18</f>
        <v>0</v>
      </c>
      <c r="AS18" s="68">
        <f>'화성(서울)'!AS18+'창원'!AS18+'남양주'!AS18+'인천'!AS18+'화성오토'!AS18+'제주'!AS18+'부산'!AS18</f>
        <v>0</v>
      </c>
      <c r="AT18" s="68">
        <f>'화성(서울)'!AT18+'창원'!AT18+'남양주'!AT18+'인천'!AT18+'화성오토'!AT18+'제주'!AT18+'부산'!AT18</f>
        <v>0</v>
      </c>
      <c r="AU18" s="51">
        <f>'화성(서울)'!AU18+'창원'!AU18+'남양주'!AU18+'인천'!AU18+'화성오토'!AU18+'제주'!AU18+'부산'!AU18</f>
        <v>0</v>
      </c>
      <c r="AV18" s="52">
        <f>+'화성(서울)'!AV18+'창원'!AV18+'남양주'!AV18+'인천'!AV18+'화성오토'!AV18+'제주'!AV18+'부산'!AV18</f>
        <v>193432</v>
      </c>
      <c r="AW18" s="26">
        <f>SUM(AV14:AV18)</f>
        <v>607277</v>
      </c>
      <c r="AX18" s="27"/>
      <c r="AY18" s="27"/>
    </row>
    <row r="19" ht="18.0" customHeight="1">
      <c r="A19" s="17" t="s">
        <v>14</v>
      </c>
      <c r="B19" s="17" t="s">
        <v>7</v>
      </c>
      <c r="C19" s="18" t="s">
        <v>8</v>
      </c>
      <c r="D19" s="47">
        <f>+'화성(서울)'!D19+'창원'!D19+'남양주'!D19+'인천'!D19+'화성오토'!D19+'제주'!D19+'부산'!D19</f>
        <v>-7426</v>
      </c>
      <c r="E19" s="48">
        <f>+'화성(서울)'!E19+'창원'!E19+'남양주'!E19+'인천'!E19+'화성오토'!E19+'제주'!E19+'부산'!E19</f>
        <v>-6649</v>
      </c>
      <c r="F19" s="48">
        <f>+'화성(서울)'!F19+'창원'!F19+'남양주'!F19+'인천'!F19+'화성오토'!F19+'제주'!F19+'부산'!F19</f>
        <v>52</v>
      </c>
      <c r="G19" s="48">
        <f>+'화성(서울)'!G19+'창원'!G19+'남양주'!G19+'인천'!G19+'화성오토'!G19+'제주'!G19+'부산'!G19</f>
        <v>-2265</v>
      </c>
      <c r="H19" s="48">
        <f>+'화성(서울)'!H19+'창원'!H19+'남양주'!H19+'인천'!H19+'화성오토'!H19+'제주'!H19+'부산'!H19</f>
        <v>60</v>
      </c>
      <c r="I19" s="48">
        <v>-2969.0</v>
      </c>
      <c r="J19" s="48">
        <f>+'화성(서울)'!J19+'창원'!J19+'남양주'!J19+'인천'!J19+'화성오토'!J19+'제주'!J19+'부산'!J19</f>
        <v>-6735</v>
      </c>
      <c r="K19" s="48">
        <f>+'화성(서울)'!K19+'창원'!K19+'남양주'!K19+'인천'!K19+'화성오토'!K19+'제주'!K19+'부산'!K19</f>
        <v>107</v>
      </c>
      <c r="L19" s="48">
        <f>+'화성(서울)'!L19+'창원'!L19+'남양주'!L19+'인천'!L19+'화성오토'!L19+'제주'!L19+'부산'!L19</f>
        <v>78</v>
      </c>
      <c r="M19" s="48">
        <f>+'화성(서울)'!M19+'창원'!M19+'남양주'!M19+'인천'!M19+'화성오토'!M19+'제주'!M19+'부산'!M19</f>
        <v>-115</v>
      </c>
      <c r="N19" s="48">
        <f>+'화성(서울)'!N19+'창원'!N19+'남양주'!N19+'인천'!N19+'화성오토'!N19+'제주'!N19+'부산'!N19</f>
        <v>0</v>
      </c>
      <c r="O19" s="49">
        <f>+'화성(서울)'!O19+'창원'!O19+'남양주'!O19+'인천'!O19+'화성오토'!O19+'제주'!O19+'부산'!O19</f>
        <v>0</v>
      </c>
      <c r="P19" s="48">
        <f>+'화성(서울)'!P19+'창원'!P19+'남양주'!P19+'인천'!P19+'화성오토'!P19+'제주'!P19+'부산'!P19</f>
        <v>0</v>
      </c>
      <c r="Q19" s="66">
        <v>0.0</v>
      </c>
      <c r="R19" s="66">
        <v>0.0</v>
      </c>
      <c r="S19" s="66">
        <v>5.0</v>
      </c>
      <c r="T19" s="66">
        <v>0.0</v>
      </c>
      <c r="U19" s="66">
        <v>1.0</v>
      </c>
      <c r="V19" s="66">
        <v>0.0</v>
      </c>
      <c r="W19" s="66">
        <v>0.0</v>
      </c>
      <c r="X19" s="66">
        <v>0.0</v>
      </c>
      <c r="Y19" s="66">
        <v>0.0</v>
      </c>
      <c r="Z19" s="66">
        <v>38.0</v>
      </c>
      <c r="AA19" s="66">
        <v>0.0</v>
      </c>
      <c r="AB19" s="66">
        <v>0.0</v>
      </c>
      <c r="AC19" s="66">
        <v>0.0</v>
      </c>
      <c r="AD19" s="66">
        <v>0.0</v>
      </c>
      <c r="AE19" s="66">
        <v>0.0</v>
      </c>
      <c r="AF19" s="66">
        <v>0.0</v>
      </c>
      <c r="AG19" s="66">
        <v>0.0</v>
      </c>
      <c r="AH19" s="66">
        <v>0.0</v>
      </c>
      <c r="AI19" s="66">
        <v>0.0</v>
      </c>
      <c r="AJ19" s="66">
        <v>0.0</v>
      </c>
      <c r="AK19" s="66">
        <v>0.0</v>
      </c>
      <c r="AL19" s="66">
        <v>0.0</v>
      </c>
      <c r="AM19" s="66">
        <v>0.0</v>
      </c>
      <c r="AN19" s="66">
        <v>0.0</v>
      </c>
      <c r="AO19" s="66">
        <v>0.0</v>
      </c>
      <c r="AP19" s="66">
        <v>0.0</v>
      </c>
      <c r="AQ19" s="66">
        <v>0.0</v>
      </c>
      <c r="AR19" s="66">
        <v>0.0</v>
      </c>
      <c r="AS19" s="66">
        <v>0.0</v>
      </c>
      <c r="AT19" s="66">
        <v>0.0</v>
      </c>
      <c r="AU19" s="66">
        <v>0.0</v>
      </c>
      <c r="AV19" s="67">
        <f t="shared" ref="AV19:AV23" si="7">SUM(Q19:AU19)</f>
        <v>44</v>
      </c>
      <c r="AW19" s="26"/>
      <c r="AX19" s="27"/>
      <c r="AY19" s="27"/>
    </row>
    <row r="20" ht="18.0" customHeight="1">
      <c r="A20" s="28"/>
      <c r="B20" s="29"/>
      <c r="C20" s="30" t="s">
        <v>9</v>
      </c>
      <c r="D20" s="53">
        <f>+'화성(서울)'!D20+'창원'!D20+'남양주'!D20+'인천'!D20+'화성오토'!D20+'제주'!D20+'부산'!D20</f>
        <v>598</v>
      </c>
      <c r="E20" s="54">
        <f>+'화성(서울)'!E20+'창원'!E20+'남양주'!E20+'인천'!E20+'화성오토'!E20+'제주'!E20+'부산'!E20</f>
        <v>-904</v>
      </c>
      <c r="F20" s="54">
        <f>+'화성(서울)'!F20+'창원'!F20+'남양주'!F20+'인천'!F20+'화성오토'!F20+'제주'!F20+'부산'!F20</f>
        <v>514</v>
      </c>
      <c r="G20" s="54">
        <f>+'화성(서울)'!G20+'창원'!G20+'남양주'!G20+'인천'!G20+'화성오토'!G20+'제주'!G20+'부산'!G20</f>
        <v>-3131</v>
      </c>
      <c r="H20" s="54">
        <f>+'화성(서울)'!H20+'창원'!H20+'남양주'!H20+'인천'!H20+'화성오토'!H20+'제주'!H20+'부산'!H20</f>
        <v>-3420</v>
      </c>
      <c r="I20" s="54">
        <v>-8077.0</v>
      </c>
      <c r="J20" s="54">
        <f>+'화성(서울)'!J20+'창원'!J20+'남양주'!J20+'인천'!J20+'화성오토'!J20+'제주'!J20+'부산'!J20</f>
        <v>366</v>
      </c>
      <c r="K20" s="54">
        <f>+'화성(서울)'!K20+'창원'!K20+'남양주'!K20+'인천'!K20+'화성오토'!K20+'제주'!K20+'부산'!K20</f>
        <v>1454</v>
      </c>
      <c r="L20" s="54">
        <f>+'화성(서울)'!L20+'창원'!L20+'남양주'!L20+'인천'!L20+'화성오토'!L20+'제주'!L20+'부산'!L20</f>
        <v>416</v>
      </c>
      <c r="M20" s="54">
        <f>+'화성(서울)'!M20+'창원'!M20+'남양주'!M20+'인천'!M20+'화성오토'!M20+'제주'!M20+'부산'!M20</f>
        <v>-2006</v>
      </c>
      <c r="N20" s="54">
        <f>+'화성(서울)'!N20+'창원'!N20+'남양주'!N20+'인천'!N20+'화성오토'!N20+'제주'!N20+'부산'!N20</f>
        <v>0</v>
      </c>
      <c r="O20" s="55">
        <f>+'화성(서울)'!O20+'창원'!O20+'남양주'!O20+'인천'!O20+'화성오토'!O20+'제주'!O20+'부산'!O20</f>
        <v>0</v>
      </c>
      <c r="P20" s="54">
        <f>+'화성(서울)'!P20+'창원'!P20+'남양주'!P20+'인천'!P20+'화성오토'!P20+'제주'!P20+'부산'!P20</f>
        <v>0</v>
      </c>
      <c r="Q20" s="36">
        <v>0.0</v>
      </c>
      <c r="R20" s="36">
        <v>0.0</v>
      </c>
      <c r="S20" s="36">
        <v>0.0</v>
      </c>
      <c r="T20" s="36">
        <v>152.0</v>
      </c>
      <c r="U20" s="36">
        <v>0.0</v>
      </c>
      <c r="V20" s="36">
        <v>0.0</v>
      </c>
      <c r="W20" s="36">
        <v>0.0</v>
      </c>
      <c r="X20" s="36">
        <v>0.0</v>
      </c>
      <c r="Y20" s="36">
        <v>0.0</v>
      </c>
      <c r="Z20" s="36">
        <v>40.0</v>
      </c>
      <c r="AA20" s="36">
        <v>0.0</v>
      </c>
      <c r="AB20" s="36">
        <v>0.0</v>
      </c>
      <c r="AC20" s="36">
        <v>0.0</v>
      </c>
      <c r="AD20" s="36">
        <v>0.0</v>
      </c>
      <c r="AE20" s="36">
        <v>0.0</v>
      </c>
      <c r="AF20" s="36">
        <v>0.0</v>
      </c>
      <c r="AG20" s="36">
        <v>0.0</v>
      </c>
      <c r="AH20" s="36">
        <v>0.0</v>
      </c>
      <c r="AI20" s="36">
        <v>0.0</v>
      </c>
      <c r="AJ20" s="36">
        <v>0.0</v>
      </c>
      <c r="AK20" s="36">
        <v>0.0</v>
      </c>
      <c r="AL20" s="36">
        <v>0.0</v>
      </c>
      <c r="AM20" s="36">
        <v>0.0</v>
      </c>
      <c r="AN20" s="36">
        <v>0.0</v>
      </c>
      <c r="AO20" s="36">
        <v>0.0</v>
      </c>
      <c r="AP20" s="36">
        <v>0.0</v>
      </c>
      <c r="AQ20" s="36">
        <v>0.0</v>
      </c>
      <c r="AR20" s="36">
        <v>0.0</v>
      </c>
      <c r="AS20" s="36">
        <v>0.0</v>
      </c>
      <c r="AT20" s="36">
        <v>0.0</v>
      </c>
      <c r="AU20" s="36">
        <v>0.0</v>
      </c>
      <c r="AV20" s="63">
        <f t="shared" si="7"/>
        <v>192</v>
      </c>
      <c r="AW20" s="26"/>
      <c r="AX20" s="27"/>
      <c r="AY20" s="27"/>
    </row>
    <row r="21" ht="18.0" customHeight="1">
      <c r="A21" s="28"/>
      <c r="B21" s="38" t="s">
        <v>10</v>
      </c>
      <c r="C21" s="39" t="s">
        <v>8</v>
      </c>
      <c r="D21" s="47">
        <f>+'화성(서울)'!D21+'창원'!D21+'남양주'!D21+'인천'!D21+'화성오토'!D21+'제주'!D21+'부산'!D21</f>
        <v>-2925</v>
      </c>
      <c r="E21" s="48">
        <f>+'화성(서울)'!E21+'창원'!E21+'남양주'!E21+'인천'!E21+'화성오토'!E21+'제주'!E21+'부산'!E21</f>
        <v>-4267</v>
      </c>
      <c r="F21" s="48">
        <f>+'화성(서울)'!F21+'창원'!F21+'남양주'!F21+'인천'!F21+'화성오토'!F21+'제주'!F21+'부산'!F21</f>
        <v>-2615</v>
      </c>
      <c r="G21" s="48">
        <f>+'화성(서울)'!G21+'창원'!G21+'남양주'!G21+'인천'!G21+'화성오토'!G21+'제주'!G21+'부산'!G21</f>
        <v>-778</v>
      </c>
      <c r="H21" s="48">
        <f>+'화성(서울)'!H21+'창원'!H21+'남양주'!H21+'인천'!H21+'화성오토'!H21+'제주'!H21+'부산'!H21</f>
        <v>-96</v>
      </c>
      <c r="I21" s="48">
        <v>-14.0</v>
      </c>
      <c r="J21" s="48">
        <f>+'화성(서울)'!J21+'창원'!J21+'남양주'!J21+'인천'!J21+'화성오토'!J21+'제주'!J21+'부산'!J21</f>
        <v>-412</v>
      </c>
      <c r="K21" s="48">
        <f>+'화성(서울)'!K21+'창원'!K21+'남양주'!K21+'인천'!K21+'화성오토'!K21+'제주'!K21+'부산'!K21</f>
        <v>32</v>
      </c>
      <c r="L21" s="48">
        <f>+'화성(서울)'!L21+'창원'!L21+'남양주'!L21+'인천'!L21+'화성오토'!L21+'제주'!L21+'부산'!L21</f>
        <v>-5286</v>
      </c>
      <c r="M21" s="48">
        <f>+'화성(서울)'!M21+'창원'!M21+'남양주'!M21+'인천'!M21+'화성오토'!M21+'제주'!M21+'부산'!M21</f>
        <v>-3225</v>
      </c>
      <c r="N21" s="48">
        <f>+'화성(서울)'!N21+'창원'!N21+'남양주'!N21+'인천'!N21+'화성오토'!N21+'제주'!N21+'부산'!N21</f>
        <v>0</v>
      </c>
      <c r="O21" s="49">
        <f>+'화성(서울)'!O21+'창원'!O21+'남양주'!O21+'인천'!O21+'화성오토'!O21+'제주'!O21+'부산'!O21</f>
        <v>0</v>
      </c>
      <c r="P21" s="48">
        <f>+'화성(서울)'!P21+'창원'!P21+'남양주'!P21+'인천'!P21+'화성오토'!P21+'제주'!P21+'부산'!P21</f>
        <v>0</v>
      </c>
      <c r="Q21" s="24">
        <v>0.0</v>
      </c>
      <c r="R21" s="24">
        <v>0.0</v>
      </c>
      <c r="S21" s="24">
        <v>0.0</v>
      </c>
      <c r="T21" s="24">
        <v>0.0</v>
      </c>
      <c r="U21" s="24">
        <v>0.0</v>
      </c>
      <c r="V21" s="24">
        <v>0.0</v>
      </c>
      <c r="W21" s="24">
        <v>0.0</v>
      </c>
      <c r="X21" s="24">
        <v>0.0</v>
      </c>
      <c r="Y21" s="24">
        <v>0.0</v>
      </c>
      <c r="Z21" s="24">
        <v>0.0</v>
      </c>
      <c r="AA21" s="24">
        <v>0.0</v>
      </c>
      <c r="AB21" s="24">
        <v>0.0</v>
      </c>
      <c r="AC21" s="24">
        <v>0.0</v>
      </c>
      <c r="AD21" s="24">
        <v>0.0</v>
      </c>
      <c r="AE21" s="24">
        <v>0.0</v>
      </c>
      <c r="AF21" s="24">
        <v>0.0</v>
      </c>
      <c r="AG21" s="24">
        <v>0.0</v>
      </c>
      <c r="AH21" s="24">
        <v>0.0</v>
      </c>
      <c r="AI21" s="24">
        <v>0.0</v>
      </c>
      <c r="AJ21" s="24">
        <v>0.0</v>
      </c>
      <c r="AK21" s="24">
        <v>0.0</v>
      </c>
      <c r="AL21" s="24">
        <v>0.0</v>
      </c>
      <c r="AM21" s="24">
        <v>0.0</v>
      </c>
      <c r="AN21" s="24">
        <v>0.0</v>
      </c>
      <c r="AO21" s="24">
        <v>0.0</v>
      </c>
      <c r="AP21" s="24">
        <v>0.0</v>
      </c>
      <c r="AQ21" s="24">
        <v>0.0</v>
      </c>
      <c r="AR21" s="24">
        <v>0.0</v>
      </c>
      <c r="AS21" s="24">
        <v>0.0</v>
      </c>
      <c r="AT21" s="24">
        <v>0.0</v>
      </c>
      <c r="AU21" s="24">
        <v>0.0</v>
      </c>
      <c r="AV21" s="67">
        <f t="shared" si="7"/>
        <v>0</v>
      </c>
      <c r="AW21" s="26"/>
      <c r="AX21" s="27"/>
      <c r="AY21" s="27"/>
    </row>
    <row r="22" ht="18.0" customHeight="1">
      <c r="A22" s="28"/>
      <c r="B22" s="40"/>
      <c r="C22" s="41" t="s">
        <v>9</v>
      </c>
      <c r="D22" s="53">
        <f>+'화성(서울)'!D22+'창원'!D22+'남양주'!D22+'인천'!D22+'화성오토'!D22+'제주'!D22+'부산'!D22</f>
        <v>-5592</v>
      </c>
      <c r="E22" s="54">
        <f>+'화성(서울)'!E22+'창원'!E22+'남양주'!E22+'인천'!E22+'화성오토'!E22+'제주'!E22+'부산'!E22</f>
        <v>-6016</v>
      </c>
      <c r="F22" s="54">
        <f>+'화성(서울)'!F22+'창원'!F22+'남양주'!F22+'인천'!F22+'화성오토'!F22+'제주'!F22+'부산'!F22</f>
        <v>-3800</v>
      </c>
      <c r="G22" s="54">
        <f>+'화성(서울)'!G22+'창원'!G22+'남양주'!G22+'인천'!G22+'화성오토'!G22+'제주'!G22+'부산'!G22</f>
        <v>-16365</v>
      </c>
      <c r="H22" s="54">
        <f>+'화성(서울)'!H22+'창원'!H22+'남양주'!H22+'인천'!H22+'화성오토'!H22+'제주'!H22+'부산'!H22</f>
        <v>-381</v>
      </c>
      <c r="I22" s="54">
        <v>-9306.0</v>
      </c>
      <c r="J22" s="54">
        <f>+'화성(서울)'!J22+'창원'!J22+'남양주'!J22+'인천'!J22+'화성오토'!J22+'제주'!J22+'부산'!J22</f>
        <v>-8422</v>
      </c>
      <c r="K22" s="54">
        <f>+'화성(서울)'!K22+'창원'!K22+'남양주'!K22+'인천'!K22+'화성오토'!K22+'제주'!K22+'부산'!K22</f>
        <v>-101</v>
      </c>
      <c r="L22" s="54">
        <f>+'화성(서울)'!L22+'창원'!L22+'남양주'!L22+'인천'!L22+'화성오토'!L22+'제주'!L22+'부산'!L22</f>
        <v>-4004</v>
      </c>
      <c r="M22" s="54">
        <f>+'화성(서울)'!M22+'창원'!M22+'남양주'!M22+'인천'!M22+'화성오토'!M22+'제주'!M22+'부산'!M22</f>
        <v>-9307</v>
      </c>
      <c r="N22" s="54">
        <f>+'화성(서울)'!N22+'창원'!N22+'남양주'!N22+'인천'!N22+'화성오토'!N22+'제주'!N22+'부산'!N22</f>
        <v>0</v>
      </c>
      <c r="O22" s="55">
        <f>+'화성(서울)'!O22+'창원'!O22+'남양주'!O22+'인천'!O22+'화성오토'!O22+'제주'!O22+'부산'!O22</f>
        <v>0</v>
      </c>
      <c r="P22" s="54">
        <f>+'화성(서울)'!P22+'창원'!P22+'남양주'!P22+'인천'!P22+'화성오토'!P22+'제주'!P22+'부산'!P22</f>
        <v>0</v>
      </c>
      <c r="Q22" s="36">
        <v>0.0</v>
      </c>
      <c r="R22" s="36">
        <v>0.0</v>
      </c>
      <c r="S22" s="36">
        <v>1.0</v>
      </c>
      <c r="T22" s="36">
        <v>0.0</v>
      </c>
      <c r="U22" s="36">
        <v>22080.0</v>
      </c>
      <c r="V22" s="36">
        <v>-22080.0</v>
      </c>
      <c r="W22" s="36">
        <v>0.0</v>
      </c>
      <c r="X22" s="36">
        <v>0.0</v>
      </c>
      <c r="Y22" s="36">
        <v>0.0</v>
      </c>
      <c r="Z22" s="36">
        <v>0.0</v>
      </c>
      <c r="AA22" s="36">
        <v>0.0</v>
      </c>
      <c r="AB22" s="36">
        <v>0.0</v>
      </c>
      <c r="AC22" s="36">
        <v>0.0</v>
      </c>
      <c r="AD22" s="36">
        <v>0.0</v>
      </c>
      <c r="AE22" s="36">
        <v>0.0</v>
      </c>
      <c r="AF22" s="36">
        <v>0.0</v>
      </c>
      <c r="AG22" s="36">
        <v>0.0</v>
      </c>
      <c r="AH22" s="36">
        <v>0.0</v>
      </c>
      <c r="AI22" s="36">
        <v>0.0</v>
      </c>
      <c r="AJ22" s="36">
        <v>0.0</v>
      </c>
      <c r="AK22" s="36">
        <v>0.0</v>
      </c>
      <c r="AL22" s="36">
        <v>0.0</v>
      </c>
      <c r="AM22" s="36">
        <v>0.0</v>
      </c>
      <c r="AN22" s="36">
        <v>0.0</v>
      </c>
      <c r="AO22" s="36">
        <v>0.0</v>
      </c>
      <c r="AP22" s="36">
        <v>0.0</v>
      </c>
      <c r="AQ22" s="36">
        <v>0.0</v>
      </c>
      <c r="AR22" s="36">
        <v>0.0</v>
      </c>
      <c r="AS22" s="36">
        <v>0.0</v>
      </c>
      <c r="AT22" s="36">
        <v>0.0</v>
      </c>
      <c r="AU22" s="36">
        <v>0.0</v>
      </c>
      <c r="AV22" s="63">
        <f t="shared" si="7"/>
        <v>1</v>
      </c>
      <c r="AW22" s="69"/>
      <c r="AX22" s="27"/>
      <c r="AY22" s="27"/>
    </row>
    <row r="23" ht="18.0" customHeight="1">
      <c r="A23" s="29"/>
      <c r="B23" s="43" t="s">
        <v>11</v>
      </c>
      <c r="C23" s="64" t="s">
        <v>9</v>
      </c>
      <c r="D23" s="47">
        <f>+'화성(서울)'!D23+'창원'!D23+'남양주'!D23+'인천'!D23+'화성오토'!D23+'제주'!D23+'부산'!D23</f>
        <v>0</v>
      </c>
      <c r="E23" s="48">
        <f>+'화성(서울)'!E23+'창원'!E23+'남양주'!E23+'인천'!E23+'화성오토'!E23+'제주'!E23+'부산'!E23</f>
        <v>0</v>
      </c>
      <c r="F23" s="48">
        <f>+'화성(서울)'!F23+'창원'!F23+'남양주'!F23+'인천'!F23+'화성오토'!F23+'제주'!F23+'부산'!F23</f>
        <v>0</v>
      </c>
      <c r="G23" s="48">
        <f>+'화성(서울)'!G23+'창원'!G23+'남양주'!G23+'인천'!G23+'화성오토'!G23+'제주'!G23+'부산'!G23</f>
        <v>0</v>
      </c>
      <c r="H23" s="48">
        <f>+'화성(서울)'!H23+'창원'!H23+'남양주'!H23+'인천'!H23+'화성오토'!H23+'제주'!H23+'부산'!H23</f>
        <v>12</v>
      </c>
      <c r="I23" s="48">
        <v>12.0</v>
      </c>
      <c r="J23" s="48">
        <f>+'화성(서울)'!J23+'창원'!J23+'남양주'!J23+'인천'!J23+'화성오토'!J23+'제주'!J23+'부산'!J23</f>
        <v>0</v>
      </c>
      <c r="K23" s="48">
        <f>+'화성(서울)'!K23+'창원'!K23+'남양주'!K23+'인천'!K23+'화성오토'!K23+'제주'!K23+'부산'!K23</f>
        <v>-796</v>
      </c>
      <c r="L23" s="48">
        <f>+'화성(서울)'!L23+'창원'!L23+'남양주'!L23+'인천'!L23+'화성오토'!L23+'제주'!L23+'부산'!L23</f>
        <v>0</v>
      </c>
      <c r="M23" s="48">
        <f>+'화성(서울)'!M23+'창원'!M23+'남양주'!M23+'인천'!M23+'화성오토'!M23+'제주'!M23+'부산'!M23</f>
        <v>0</v>
      </c>
      <c r="N23" s="48">
        <f>+'화성(서울)'!N23+'창원'!N23+'남양주'!N23+'인천'!N23+'화성오토'!N23+'제주'!N23+'부산'!N23</f>
        <v>0</v>
      </c>
      <c r="O23" s="49">
        <f>+'화성(서울)'!O23+'창원'!O23+'남양주'!O23+'인천'!O23+'화성오토'!O23+'제주'!O23+'부산'!O23</f>
        <v>0</v>
      </c>
      <c r="P23" s="70">
        <f>+'화성(서울)'!P23+'창원'!P23+'남양주'!P23+'인천'!P23+'화성오토'!P23+'제주'!P23+'부산'!P23</f>
        <v>0</v>
      </c>
      <c r="Q23" s="71">
        <v>0.0</v>
      </c>
      <c r="R23" s="71">
        <v>0.0</v>
      </c>
      <c r="S23" s="71">
        <v>0.0</v>
      </c>
      <c r="T23" s="71">
        <v>0.0</v>
      </c>
      <c r="U23" s="71">
        <v>0.0</v>
      </c>
      <c r="V23" s="71">
        <v>0.0</v>
      </c>
      <c r="W23" s="71">
        <v>0.0</v>
      </c>
      <c r="X23" s="71">
        <v>0.0</v>
      </c>
      <c r="Y23" s="71">
        <v>0.0</v>
      </c>
      <c r="Z23" s="71">
        <v>0.0</v>
      </c>
      <c r="AA23" s="71">
        <v>0.0</v>
      </c>
      <c r="AB23" s="71">
        <v>0.0</v>
      </c>
      <c r="AC23" s="71">
        <v>0.0</v>
      </c>
      <c r="AD23" s="71">
        <v>0.0</v>
      </c>
      <c r="AE23" s="71">
        <v>0.0</v>
      </c>
      <c r="AF23" s="71">
        <v>0.0</v>
      </c>
      <c r="AG23" s="71">
        <v>0.0</v>
      </c>
      <c r="AH23" s="71">
        <v>0.0</v>
      </c>
      <c r="AI23" s="71">
        <v>0.0</v>
      </c>
      <c r="AJ23" s="71">
        <v>0.0</v>
      </c>
      <c r="AK23" s="71">
        <v>0.0</v>
      </c>
      <c r="AL23" s="71">
        <v>0.0</v>
      </c>
      <c r="AM23" s="71">
        <v>0.0</v>
      </c>
      <c r="AN23" s="71">
        <v>0.0</v>
      </c>
      <c r="AO23" s="71">
        <v>0.0</v>
      </c>
      <c r="AP23" s="71">
        <v>0.0</v>
      </c>
      <c r="AQ23" s="71">
        <v>0.0</v>
      </c>
      <c r="AR23" s="71">
        <v>0.0</v>
      </c>
      <c r="AS23" s="71">
        <v>0.0</v>
      </c>
      <c r="AT23" s="71">
        <v>0.0</v>
      </c>
      <c r="AU23" s="71">
        <v>0.0</v>
      </c>
      <c r="AV23" s="67">
        <f t="shared" si="7"/>
        <v>0</v>
      </c>
      <c r="AW23" s="69"/>
      <c r="AX23" s="27"/>
      <c r="AY23" s="27"/>
    </row>
    <row r="24" ht="18.0" customHeight="1">
      <c r="A24" s="17" t="s">
        <v>15</v>
      </c>
      <c r="B24" s="17" t="s">
        <v>7</v>
      </c>
      <c r="C24" s="18" t="s">
        <v>8</v>
      </c>
      <c r="D24" s="47">
        <f>+'화성(서울)'!D24+'창원'!D24+'남양주'!D24+'인천'!D24+'화성오토'!D24+'제주'!D24+'부산'!D24</f>
        <v>30012</v>
      </c>
      <c r="E24" s="48">
        <f>+'화성(서울)'!E24+'창원'!E24+'남양주'!E24+'인천'!E24+'화성오토'!E24+'제주'!E24+'부산'!E24</f>
        <v>34542</v>
      </c>
      <c r="F24" s="48">
        <f>+'화성(서울)'!F24+'창원'!F24+'남양주'!F24+'인천'!F24+'화성오토'!F24+'제주'!F24+'부산'!F24</f>
        <v>38938</v>
      </c>
      <c r="G24" s="48">
        <f>+'화성(서울)'!G24+'창원'!G24+'남양주'!G24+'인천'!G24+'화성오토'!G24+'제주'!G24+'부산'!G24</f>
        <v>49365</v>
      </c>
      <c r="H24" s="48">
        <f>+'화성(서울)'!H24+'창원'!H24+'남양주'!H24+'인천'!H24+'화성오토'!H24+'제주'!H24+'부산'!H24</f>
        <v>38532</v>
      </c>
      <c r="I24" s="48">
        <f>+'화성(서울)'!I24+'창원'!I24+'남양주'!I24+'인천'!I24+'화성오토'!I24+'제주'!I24+'부산'!I24</f>
        <v>47460</v>
      </c>
      <c r="J24" s="48">
        <f>+'화성(서울)'!J24+'창원'!J24+'남양주'!J24+'인천'!J24+'화성오토'!J24+'제주'!J24+'부산'!J24</f>
        <v>46308</v>
      </c>
      <c r="K24" s="48">
        <f>+'화성(서울)'!K24+'창원'!K24+'남양주'!K24+'인천'!K24+'화성오토'!K24+'제주'!K24+'부산'!K24</f>
        <v>43216</v>
      </c>
      <c r="L24" s="48">
        <f>+'화성(서울)'!L24+'창원'!L24+'남양주'!L24+'인천'!L24+'화성오토'!L24+'제주'!L24+'부산'!L24</f>
        <v>45971</v>
      </c>
      <c r="M24" s="48">
        <f>+'화성(서울)'!M24+'창원'!M24+'남양주'!M24+'인천'!M24+'화성오토'!M24+'제주'!M24+'부산'!M24</f>
        <v>38518</v>
      </c>
      <c r="N24" s="48">
        <f>+'화성(서울)'!N24+'창원'!N24+'남양주'!N24+'인천'!N24+'화성오토'!N24+'제주'!N24+'부산'!N24</f>
        <v>38518</v>
      </c>
      <c r="O24" s="72">
        <f>+'화성(서울)'!O24+'창원'!O24+'남양주'!O24+'인천'!O24+'화성오토'!O24+'제주'!O24+'부산'!O24</f>
        <v>38518</v>
      </c>
      <c r="P24" s="73">
        <f t="shared" ref="P24:P28" si="9">P4</f>
        <v>38518</v>
      </c>
      <c r="Q24" s="74">
        <f t="shared" ref="Q24:AV24" si="8">+Q4+Q9-Q14-Q19</f>
        <v>38518</v>
      </c>
      <c r="R24" s="66">
        <f t="shared" si="8"/>
        <v>38518</v>
      </c>
      <c r="S24" s="66">
        <f t="shared" si="8"/>
        <v>39573</v>
      </c>
      <c r="T24" s="66">
        <f t="shared" si="8"/>
        <v>40873</v>
      </c>
      <c r="U24" s="66">
        <f t="shared" si="8"/>
        <v>29530</v>
      </c>
      <c r="V24" s="66">
        <f t="shared" si="8"/>
        <v>31062</v>
      </c>
      <c r="W24" s="66">
        <f t="shared" si="8"/>
        <v>29598</v>
      </c>
      <c r="X24" s="66">
        <f t="shared" si="8"/>
        <v>29598</v>
      </c>
      <c r="Y24" s="66">
        <f t="shared" si="8"/>
        <v>29598</v>
      </c>
      <c r="Z24" s="66">
        <f t="shared" si="8"/>
        <v>30532</v>
      </c>
      <c r="AA24" s="66">
        <f t="shared" si="8"/>
        <v>30532</v>
      </c>
      <c r="AB24" s="66">
        <f t="shared" si="8"/>
        <v>30532</v>
      </c>
      <c r="AC24" s="66">
        <f t="shared" si="8"/>
        <v>30532</v>
      </c>
      <c r="AD24" s="66">
        <f t="shared" si="8"/>
        <v>30532</v>
      </c>
      <c r="AE24" s="66">
        <f t="shared" si="8"/>
        <v>30532</v>
      </c>
      <c r="AF24" s="66">
        <f t="shared" si="8"/>
        <v>30532</v>
      </c>
      <c r="AG24" s="66">
        <f t="shared" si="8"/>
        <v>30532</v>
      </c>
      <c r="AH24" s="66">
        <f t="shared" si="8"/>
        <v>30532</v>
      </c>
      <c r="AI24" s="66">
        <f t="shared" si="8"/>
        <v>30532</v>
      </c>
      <c r="AJ24" s="66">
        <f t="shared" si="8"/>
        <v>30532</v>
      </c>
      <c r="AK24" s="66">
        <f t="shared" si="8"/>
        <v>30532</v>
      </c>
      <c r="AL24" s="66">
        <f t="shared" si="8"/>
        <v>30532</v>
      </c>
      <c r="AM24" s="66">
        <f t="shared" si="8"/>
        <v>30532</v>
      </c>
      <c r="AN24" s="66">
        <f t="shared" si="8"/>
        <v>30532</v>
      </c>
      <c r="AO24" s="66">
        <f t="shared" si="8"/>
        <v>30532</v>
      </c>
      <c r="AP24" s="66">
        <f t="shared" si="8"/>
        <v>30532</v>
      </c>
      <c r="AQ24" s="66">
        <f t="shared" si="8"/>
        <v>30532</v>
      </c>
      <c r="AR24" s="66">
        <f t="shared" si="8"/>
        <v>30532</v>
      </c>
      <c r="AS24" s="66">
        <f t="shared" si="8"/>
        <v>30532</v>
      </c>
      <c r="AT24" s="66">
        <f t="shared" si="8"/>
        <v>30532</v>
      </c>
      <c r="AU24" s="66">
        <f t="shared" si="8"/>
        <v>30532</v>
      </c>
      <c r="AV24" s="52">
        <f t="shared" si="8"/>
        <v>30532</v>
      </c>
      <c r="AW24" s="69"/>
      <c r="AY24" s="27"/>
      <c r="AZ24" s="27"/>
    </row>
    <row r="25" ht="18.0" customHeight="1">
      <c r="A25" s="28"/>
      <c r="B25" s="29"/>
      <c r="C25" s="30" t="s">
        <v>9</v>
      </c>
      <c r="D25" s="53">
        <f>+'화성(서울)'!D25+'창원'!D25+'남양주'!D25+'인천'!D25+'화성오토'!D25+'제주'!D25+'부산'!D25</f>
        <v>110939</v>
      </c>
      <c r="E25" s="54">
        <f>+'화성(서울)'!E25+'창원'!E25+'남양주'!E25+'인천'!E25+'화성오토'!E25+'제주'!E25+'부산'!E25</f>
        <v>126181</v>
      </c>
      <c r="F25" s="54">
        <f>+'화성(서울)'!F25+'창원'!F25+'남양주'!F25+'인천'!F25+'화성오토'!F25+'제주'!F25+'부산'!F25</f>
        <v>152945</v>
      </c>
      <c r="G25" s="54">
        <f>+'화성(서울)'!G25+'창원'!G25+'남양주'!G25+'인천'!G25+'화성오토'!G25+'제주'!G25+'부산'!G25</f>
        <v>128508</v>
      </c>
      <c r="H25" s="54">
        <f>+'화성(서울)'!H25+'창원'!H25+'남양주'!H25+'인천'!H25+'화성오토'!H25+'제주'!H25+'부산'!H25</f>
        <v>121928</v>
      </c>
      <c r="I25" s="54">
        <f>+'화성(서울)'!I25+'창원'!I25+'남양주'!I25+'인천'!I25+'화성오토'!I25+'제주'!I25+'부산'!I25</f>
        <v>111129</v>
      </c>
      <c r="J25" s="54">
        <f>+'화성(서울)'!J25+'창원'!J25+'남양주'!J25+'인천'!J25+'화성오토'!J25+'제주'!J25+'부산'!J25</f>
        <v>133751</v>
      </c>
      <c r="K25" s="54">
        <f>+'화성(서울)'!K25+'창원'!K25+'남양주'!K25+'인천'!K25+'화성오토'!K25+'제주'!K25+'부산'!K25</f>
        <v>133359</v>
      </c>
      <c r="L25" s="54">
        <f>+'화성(서울)'!L25+'창원'!L25+'남양주'!L25+'인천'!L25+'화성오토'!L25+'제주'!L25+'부산'!L25</f>
        <v>129007</v>
      </c>
      <c r="M25" s="54">
        <f>+'화성(서울)'!M25+'창원'!M25+'남양주'!M25+'인천'!M25+'화성오토'!M25+'제주'!M25+'부산'!M25</f>
        <v>104881</v>
      </c>
      <c r="N25" s="54">
        <f>+'화성(서울)'!N25+'창원'!N25+'남양주'!N25+'인천'!N25+'화성오토'!N25+'제주'!N25+'부산'!N25</f>
        <v>104881</v>
      </c>
      <c r="O25" s="75">
        <f>+'화성(서울)'!O25+'창원'!O25+'남양주'!O25+'인천'!O25+'화성오토'!O25+'제주'!O25+'부산'!O25</f>
        <v>104881</v>
      </c>
      <c r="P25" s="76">
        <f t="shared" si="9"/>
        <v>104881</v>
      </c>
      <c r="Q25" s="77">
        <f t="shared" ref="Q25:AV25" si="10">+Q5+Q10-Q15-Q20</f>
        <v>104881</v>
      </c>
      <c r="R25" s="60">
        <f t="shared" si="10"/>
        <v>104881</v>
      </c>
      <c r="S25" s="60">
        <f t="shared" si="10"/>
        <v>58841</v>
      </c>
      <c r="T25" s="60">
        <f t="shared" si="10"/>
        <v>53751</v>
      </c>
      <c r="U25" s="60">
        <f t="shared" si="10"/>
        <v>56617</v>
      </c>
      <c r="V25" s="60">
        <f t="shared" si="10"/>
        <v>61885</v>
      </c>
      <c r="W25" s="60">
        <f t="shared" si="10"/>
        <v>72195</v>
      </c>
      <c r="X25" s="60">
        <f t="shared" si="10"/>
        <v>72195</v>
      </c>
      <c r="Y25" s="60">
        <f t="shared" si="10"/>
        <v>72195</v>
      </c>
      <c r="Z25" s="60">
        <f t="shared" si="10"/>
        <v>69387</v>
      </c>
      <c r="AA25" s="60">
        <f t="shared" si="10"/>
        <v>69387</v>
      </c>
      <c r="AB25" s="60">
        <f t="shared" si="10"/>
        <v>69387</v>
      </c>
      <c r="AC25" s="60">
        <f t="shared" si="10"/>
        <v>69387</v>
      </c>
      <c r="AD25" s="60">
        <f t="shared" si="10"/>
        <v>69387</v>
      </c>
      <c r="AE25" s="60">
        <f t="shared" si="10"/>
        <v>69387</v>
      </c>
      <c r="AF25" s="60">
        <f t="shared" si="10"/>
        <v>69387</v>
      </c>
      <c r="AG25" s="60">
        <f t="shared" si="10"/>
        <v>69387</v>
      </c>
      <c r="AH25" s="60">
        <f t="shared" si="10"/>
        <v>69387</v>
      </c>
      <c r="AI25" s="60">
        <f t="shared" si="10"/>
        <v>69387</v>
      </c>
      <c r="AJ25" s="60">
        <f t="shared" si="10"/>
        <v>69387</v>
      </c>
      <c r="AK25" s="60">
        <f t="shared" si="10"/>
        <v>69387</v>
      </c>
      <c r="AL25" s="60">
        <f t="shared" si="10"/>
        <v>69387</v>
      </c>
      <c r="AM25" s="60">
        <f t="shared" si="10"/>
        <v>69387</v>
      </c>
      <c r="AN25" s="60">
        <f t="shared" si="10"/>
        <v>69387</v>
      </c>
      <c r="AO25" s="60">
        <f t="shared" si="10"/>
        <v>69387</v>
      </c>
      <c r="AP25" s="60">
        <f t="shared" si="10"/>
        <v>69387</v>
      </c>
      <c r="AQ25" s="60">
        <f t="shared" si="10"/>
        <v>69387</v>
      </c>
      <c r="AR25" s="60">
        <f t="shared" si="10"/>
        <v>69387</v>
      </c>
      <c r="AS25" s="60">
        <f t="shared" si="10"/>
        <v>69387</v>
      </c>
      <c r="AT25" s="60">
        <f t="shared" si="10"/>
        <v>69387</v>
      </c>
      <c r="AU25" s="60">
        <f t="shared" si="10"/>
        <v>69387</v>
      </c>
      <c r="AV25" s="78">
        <f t="shared" si="10"/>
        <v>69387</v>
      </c>
      <c r="AW25" s="69"/>
      <c r="AY25" s="27"/>
      <c r="AZ25" s="27"/>
    </row>
    <row r="26" ht="18.0" customHeight="1">
      <c r="A26" s="28"/>
      <c r="B26" s="38" t="s">
        <v>10</v>
      </c>
      <c r="C26" s="39" t="s">
        <v>8</v>
      </c>
      <c r="D26" s="47">
        <f>+'화성(서울)'!D26+'창원'!D26+'남양주'!D26+'인천'!D26+'화성오토'!D26+'제주'!D26+'부산'!D26</f>
        <v>31357</v>
      </c>
      <c r="E26" s="48">
        <f>+'화성(서울)'!E26+'창원'!E26+'남양주'!E26+'인천'!E26+'화성오토'!E26+'제주'!E26+'부산'!E26</f>
        <v>37836</v>
      </c>
      <c r="F26" s="48">
        <f>+'화성(서울)'!F26+'창원'!F26+'남양주'!F26+'인천'!F26+'화성오토'!F26+'제주'!F26+'부산'!F26</f>
        <v>40837</v>
      </c>
      <c r="G26" s="48">
        <f>+'화성(서울)'!G26+'창원'!G26+'남양주'!G26+'인천'!G26+'화성오토'!G26+'제주'!G26+'부산'!G26</f>
        <v>33581</v>
      </c>
      <c r="H26" s="48">
        <f>+'화성(서울)'!H26+'창원'!H26+'남양주'!H26+'인천'!H26+'화성오토'!H26+'제주'!H26+'부산'!H26</f>
        <v>30370</v>
      </c>
      <c r="I26" s="48">
        <f>+'화성(서울)'!I26+'창원'!I26+'남양주'!I26+'인천'!I26+'화성오토'!I26+'제주'!I26+'부산'!I26</f>
        <v>33725</v>
      </c>
      <c r="J26" s="48">
        <f>+'화성(서울)'!J26+'창원'!J26+'남양주'!J26+'인천'!J26+'화성오토'!J26+'제주'!J26+'부산'!J26</f>
        <v>30783</v>
      </c>
      <c r="K26" s="48">
        <f>+'화성(서울)'!K26+'창원'!K26+'남양주'!K26+'인천'!K26+'화성오토'!K26+'제주'!K26+'부산'!K26</f>
        <v>35126</v>
      </c>
      <c r="L26" s="48">
        <f>+'화성(서울)'!L26+'창원'!L26+'남양주'!L26+'인천'!L26+'화성오토'!L26+'제주'!L26+'부산'!L26</f>
        <v>48826</v>
      </c>
      <c r="M26" s="48">
        <f>+'화성(서울)'!M26+'창원'!M26+'남양주'!M26+'인천'!M26+'화성오토'!M26+'제주'!M26+'부산'!M26</f>
        <v>41731</v>
      </c>
      <c r="N26" s="48">
        <f>+'화성(서울)'!N26+'창원'!N26+'남양주'!N26+'인천'!N26+'화성오토'!N26+'제주'!N26+'부산'!N26</f>
        <v>41731</v>
      </c>
      <c r="O26" s="72">
        <f>+'화성(서울)'!O26+'창원'!O26+'남양주'!O26+'인천'!O26+'화성오토'!O26+'제주'!O26+'부산'!O26</f>
        <v>41731</v>
      </c>
      <c r="P26" s="79">
        <f t="shared" si="9"/>
        <v>41731</v>
      </c>
      <c r="Q26" s="74">
        <f t="shared" ref="Q26:AV26" si="11">+Q6+Q11-Q16-Q21</f>
        <v>41731</v>
      </c>
      <c r="R26" s="66">
        <f t="shared" si="11"/>
        <v>41731</v>
      </c>
      <c r="S26" s="66">
        <f t="shared" si="11"/>
        <v>34347</v>
      </c>
      <c r="T26" s="66">
        <f t="shared" si="11"/>
        <v>35275</v>
      </c>
      <c r="U26" s="66">
        <f t="shared" si="11"/>
        <v>34167</v>
      </c>
      <c r="V26" s="66">
        <f t="shared" si="11"/>
        <v>34337</v>
      </c>
      <c r="W26" s="66">
        <f t="shared" si="11"/>
        <v>29497</v>
      </c>
      <c r="X26" s="66">
        <f t="shared" si="11"/>
        <v>29497</v>
      </c>
      <c r="Y26" s="66">
        <f t="shared" si="11"/>
        <v>29497</v>
      </c>
      <c r="Z26" s="66">
        <f t="shared" si="11"/>
        <v>25105</v>
      </c>
      <c r="AA26" s="66">
        <f t="shared" si="11"/>
        <v>25105</v>
      </c>
      <c r="AB26" s="66">
        <f t="shared" si="11"/>
        <v>25105</v>
      </c>
      <c r="AC26" s="66">
        <f t="shared" si="11"/>
        <v>25105</v>
      </c>
      <c r="AD26" s="66">
        <f t="shared" si="11"/>
        <v>25105</v>
      </c>
      <c r="AE26" s="66">
        <f t="shared" si="11"/>
        <v>25105</v>
      </c>
      <c r="AF26" s="66">
        <f t="shared" si="11"/>
        <v>25105</v>
      </c>
      <c r="AG26" s="66">
        <f t="shared" si="11"/>
        <v>25105</v>
      </c>
      <c r="AH26" s="66">
        <f t="shared" si="11"/>
        <v>25105</v>
      </c>
      <c r="AI26" s="66">
        <f t="shared" si="11"/>
        <v>25105</v>
      </c>
      <c r="AJ26" s="66">
        <f t="shared" si="11"/>
        <v>25105</v>
      </c>
      <c r="AK26" s="66">
        <f t="shared" si="11"/>
        <v>25105</v>
      </c>
      <c r="AL26" s="66">
        <f t="shared" si="11"/>
        <v>25105</v>
      </c>
      <c r="AM26" s="66">
        <f t="shared" si="11"/>
        <v>25105</v>
      </c>
      <c r="AN26" s="66">
        <f t="shared" si="11"/>
        <v>25105</v>
      </c>
      <c r="AO26" s="66">
        <f t="shared" si="11"/>
        <v>25105</v>
      </c>
      <c r="AP26" s="66">
        <f t="shared" si="11"/>
        <v>25105</v>
      </c>
      <c r="AQ26" s="66">
        <f t="shared" si="11"/>
        <v>25105</v>
      </c>
      <c r="AR26" s="66">
        <f t="shared" si="11"/>
        <v>25105</v>
      </c>
      <c r="AS26" s="66">
        <f t="shared" si="11"/>
        <v>25105</v>
      </c>
      <c r="AT26" s="66">
        <f t="shared" si="11"/>
        <v>25105</v>
      </c>
      <c r="AU26" s="66">
        <f t="shared" si="11"/>
        <v>25105</v>
      </c>
      <c r="AV26" s="67">
        <f t="shared" si="11"/>
        <v>25105</v>
      </c>
      <c r="AW26" s="69"/>
      <c r="AY26" s="27"/>
      <c r="AZ26" s="27"/>
    </row>
    <row r="27" ht="18.0" customHeight="1">
      <c r="A27" s="28"/>
      <c r="B27" s="40"/>
      <c r="C27" s="41" t="s">
        <v>9</v>
      </c>
      <c r="D27" s="53">
        <f>+'화성(서울)'!D27+'창원'!D27+'남양주'!D27+'인천'!D27+'화성오토'!D27+'제주'!D27+'부산'!D27</f>
        <v>262065</v>
      </c>
      <c r="E27" s="54">
        <f>+'화성(서울)'!E27+'창원'!E27+'남양주'!E27+'인천'!E27+'화성오토'!E27+'제주'!E27+'부산'!E27</f>
        <v>290924</v>
      </c>
      <c r="F27" s="54">
        <f>+'화성(서울)'!F27+'창원'!F27+'남양주'!F27+'인천'!F27+'화성오토'!F27+'제주'!F27+'부산'!F27</f>
        <v>280983</v>
      </c>
      <c r="G27" s="54">
        <f>+'화성(서울)'!G27+'창원'!G27+'남양주'!G27+'인천'!G27+'화성오토'!G27+'제주'!G27+'부산'!G27</f>
        <v>340223</v>
      </c>
      <c r="H27" s="54">
        <f>+'화성(서울)'!H27+'창원'!H27+'남양주'!H27+'인천'!H27+'화성오토'!H27+'제주'!H27+'부산'!H27</f>
        <v>313712</v>
      </c>
      <c r="I27" s="54">
        <f>+'화성(서울)'!I27+'창원'!I27+'남양주'!I27+'인천'!I27+'화성오토'!I27+'제주'!I27+'부산'!I27</f>
        <v>283625</v>
      </c>
      <c r="J27" s="54">
        <f>+'화성(서울)'!J27+'창원'!J27+'남양주'!J27+'인천'!J27+'화성오토'!J27+'제주'!J27+'부산'!J27</f>
        <v>343171</v>
      </c>
      <c r="K27" s="54">
        <f>+'화성(서울)'!K27+'창원'!K27+'남양주'!K27+'인천'!K27+'화성오토'!K27+'제주'!K27+'부산'!K27</f>
        <v>296681</v>
      </c>
      <c r="L27" s="54">
        <f>+'화성(서울)'!L27+'창원'!L27+'남양주'!L27+'인천'!L27+'화성오토'!L27+'제주'!L27+'부산'!L27</f>
        <v>329423</v>
      </c>
      <c r="M27" s="54">
        <f>+'화성(서울)'!M27+'창원'!M27+'남양주'!M27+'인천'!M27+'화성오토'!M27+'제주'!M27+'부산'!M27</f>
        <v>281180</v>
      </c>
      <c r="N27" s="54">
        <f>+'화성(서울)'!N27+'창원'!N27+'남양주'!N27+'인천'!N27+'화성오토'!N27+'제주'!N27+'부산'!N27</f>
        <v>281180</v>
      </c>
      <c r="O27" s="75">
        <f>+'화성(서울)'!O27+'창원'!O27+'남양주'!O27+'인천'!O27+'화성오토'!O27+'제주'!O27+'부산'!O27</f>
        <v>281180</v>
      </c>
      <c r="P27" s="80">
        <f t="shared" si="9"/>
        <v>281180</v>
      </c>
      <c r="Q27" s="77">
        <f t="shared" ref="Q27:AV27" si="12">+Q7+Q12-Q17-Q22</f>
        <v>281180</v>
      </c>
      <c r="R27" s="60">
        <f t="shared" si="12"/>
        <v>281180</v>
      </c>
      <c r="S27" s="60">
        <f t="shared" si="12"/>
        <v>294838</v>
      </c>
      <c r="T27" s="60">
        <f t="shared" si="12"/>
        <v>299983</v>
      </c>
      <c r="U27" s="60">
        <f t="shared" si="12"/>
        <v>298209</v>
      </c>
      <c r="V27" s="60">
        <f t="shared" si="12"/>
        <v>318987</v>
      </c>
      <c r="W27" s="60">
        <f t="shared" si="12"/>
        <v>293722</v>
      </c>
      <c r="X27" s="60">
        <f t="shared" si="12"/>
        <v>293722</v>
      </c>
      <c r="Y27" s="60">
        <f t="shared" si="12"/>
        <v>293722</v>
      </c>
      <c r="Z27" s="60">
        <f t="shared" si="12"/>
        <v>283454</v>
      </c>
      <c r="AA27" s="60">
        <f t="shared" si="12"/>
        <v>283454</v>
      </c>
      <c r="AB27" s="60">
        <f t="shared" si="12"/>
        <v>283454</v>
      </c>
      <c r="AC27" s="60">
        <f t="shared" si="12"/>
        <v>283454</v>
      </c>
      <c r="AD27" s="60">
        <f t="shared" si="12"/>
        <v>283454</v>
      </c>
      <c r="AE27" s="60">
        <f t="shared" si="12"/>
        <v>283454</v>
      </c>
      <c r="AF27" s="60">
        <f t="shared" si="12"/>
        <v>283454</v>
      </c>
      <c r="AG27" s="60">
        <f t="shared" si="12"/>
        <v>283454</v>
      </c>
      <c r="AH27" s="60">
        <f t="shared" si="12"/>
        <v>283454</v>
      </c>
      <c r="AI27" s="60">
        <f t="shared" si="12"/>
        <v>283454</v>
      </c>
      <c r="AJ27" s="60">
        <f t="shared" si="12"/>
        <v>283454</v>
      </c>
      <c r="AK27" s="60">
        <f t="shared" si="12"/>
        <v>283454</v>
      </c>
      <c r="AL27" s="60">
        <f t="shared" si="12"/>
        <v>283454</v>
      </c>
      <c r="AM27" s="60">
        <f t="shared" si="12"/>
        <v>283454</v>
      </c>
      <c r="AN27" s="60">
        <f t="shared" si="12"/>
        <v>283454</v>
      </c>
      <c r="AO27" s="60">
        <f t="shared" si="12"/>
        <v>283454</v>
      </c>
      <c r="AP27" s="60">
        <f t="shared" si="12"/>
        <v>283454</v>
      </c>
      <c r="AQ27" s="60">
        <f t="shared" si="12"/>
        <v>283454</v>
      </c>
      <c r="AR27" s="60">
        <f t="shared" si="12"/>
        <v>283454</v>
      </c>
      <c r="AS27" s="60">
        <f t="shared" si="12"/>
        <v>283454</v>
      </c>
      <c r="AT27" s="60">
        <f t="shared" si="12"/>
        <v>283454</v>
      </c>
      <c r="AU27" s="60">
        <f t="shared" si="12"/>
        <v>283454</v>
      </c>
      <c r="AV27" s="63">
        <f t="shared" si="12"/>
        <v>283454</v>
      </c>
      <c r="AW27" s="69"/>
      <c r="AY27" s="27"/>
      <c r="AZ27" s="27"/>
    </row>
    <row r="28" ht="18.0" customHeight="1">
      <c r="A28" s="29"/>
      <c r="B28" s="43" t="s">
        <v>11</v>
      </c>
      <c r="C28" s="64" t="s">
        <v>9</v>
      </c>
      <c r="D28" s="81">
        <f>+'화성(서울)'!D28+'창원'!D28+'남양주'!D28+'인천'!D28+'화성오토'!D28+'제주'!D28+'부산'!D28</f>
        <v>106928</v>
      </c>
      <c r="E28" s="70">
        <f>+'화성(서울)'!E28+'창원'!E28+'남양주'!E28+'인천'!E28+'화성오토'!E28+'제주'!E28+'부산'!E28</f>
        <v>234060</v>
      </c>
      <c r="F28" s="70">
        <f>+'화성(서울)'!F28+'창원'!F28+'남양주'!F28+'인천'!F28+'화성오토'!F28+'제주'!F28+'부산'!F28</f>
        <v>164404</v>
      </c>
      <c r="G28" s="70">
        <f>+'화성(서울)'!G28+'창원'!G28+'남양주'!G28+'인천'!G28+'화성오토'!G28+'제주'!G28+'부산'!G28</f>
        <v>131908</v>
      </c>
      <c r="H28" s="70">
        <f>+'화성(서울)'!H28+'창원'!H28+'남양주'!H28+'인천'!H28+'화성오토'!H28+'제주'!H28+'부산'!H28</f>
        <v>199692</v>
      </c>
      <c r="I28" s="70">
        <f>+'화성(서울)'!I28+'창원'!I28+'남양주'!I28+'인천'!I28+'화성오토'!I28+'제주'!I28+'부산'!I28</f>
        <v>269888</v>
      </c>
      <c r="J28" s="70">
        <f>+'화성(서울)'!J28+'창원'!J28+'남양주'!J28+'인천'!J28+'화성오토'!J28+'제주'!J28+'부산'!J28</f>
        <v>141368</v>
      </c>
      <c r="K28" s="70">
        <f>+'화성(서울)'!K28+'창원'!K28+'남양주'!K28+'인천'!K28+'화성오토'!K28+'제주'!K28+'부산'!K28</f>
        <v>152168</v>
      </c>
      <c r="L28" s="70">
        <f>+'화성(서울)'!L28+'창원'!L28+'남양주'!L28+'인천'!L28+'화성오토'!L28+'제주'!L28+'부산'!L28</f>
        <v>68540</v>
      </c>
      <c r="M28" s="70">
        <f>+'화성(서울)'!M28+'창원'!M28+'남양주'!M28+'인천'!M28+'화성오토'!M28+'제주'!M28+'부산'!M28</f>
        <v>163884</v>
      </c>
      <c r="N28" s="70">
        <f>+'화성(서울)'!N28+'창원'!N28+'남양주'!N28+'인천'!N28+'화성오토'!N28+'제주'!N28+'부산'!N28</f>
        <v>163884</v>
      </c>
      <c r="O28" s="82">
        <f>+'화성(서울)'!O28+'창원'!O28+'남양주'!O28+'인천'!O28+'화성오토'!O28+'제주'!O28+'부산'!O28</f>
        <v>163884</v>
      </c>
      <c r="P28" s="83">
        <f t="shared" si="9"/>
        <v>163884</v>
      </c>
      <c r="Q28" s="84">
        <f t="shared" ref="Q28:AV28" si="13">+Q8+Q13-Q18-Q23</f>
        <v>163884</v>
      </c>
      <c r="R28" s="71">
        <f t="shared" si="13"/>
        <v>163884</v>
      </c>
      <c r="S28" s="71">
        <f t="shared" si="13"/>
        <v>40220</v>
      </c>
      <c r="T28" s="71">
        <f t="shared" si="13"/>
        <v>57692</v>
      </c>
      <c r="U28" s="71">
        <f t="shared" si="13"/>
        <v>75372</v>
      </c>
      <c r="V28" s="71">
        <f t="shared" si="13"/>
        <v>105444</v>
      </c>
      <c r="W28" s="71">
        <f t="shared" si="13"/>
        <v>107052</v>
      </c>
      <c r="X28" s="71">
        <f t="shared" si="13"/>
        <v>107052</v>
      </c>
      <c r="Y28" s="71">
        <f t="shared" si="13"/>
        <v>107052</v>
      </c>
      <c r="Z28" s="71">
        <f t="shared" si="13"/>
        <v>59748</v>
      </c>
      <c r="AA28" s="71">
        <f t="shared" si="13"/>
        <v>59748</v>
      </c>
      <c r="AB28" s="71">
        <f t="shared" si="13"/>
        <v>59748</v>
      </c>
      <c r="AC28" s="71">
        <f t="shared" si="13"/>
        <v>59748</v>
      </c>
      <c r="AD28" s="71">
        <f t="shared" si="13"/>
        <v>59748</v>
      </c>
      <c r="AE28" s="71">
        <f t="shared" si="13"/>
        <v>59748</v>
      </c>
      <c r="AF28" s="71">
        <f t="shared" si="13"/>
        <v>59748</v>
      </c>
      <c r="AG28" s="71">
        <f t="shared" si="13"/>
        <v>59748</v>
      </c>
      <c r="AH28" s="71">
        <f t="shared" si="13"/>
        <v>59748</v>
      </c>
      <c r="AI28" s="71">
        <f t="shared" si="13"/>
        <v>59748</v>
      </c>
      <c r="AJ28" s="71">
        <f t="shared" si="13"/>
        <v>59748</v>
      </c>
      <c r="AK28" s="71">
        <f t="shared" si="13"/>
        <v>59748</v>
      </c>
      <c r="AL28" s="71">
        <f t="shared" si="13"/>
        <v>59748</v>
      </c>
      <c r="AM28" s="71">
        <f t="shared" si="13"/>
        <v>59748</v>
      </c>
      <c r="AN28" s="71">
        <f t="shared" si="13"/>
        <v>59748</v>
      </c>
      <c r="AO28" s="71">
        <f t="shared" si="13"/>
        <v>59748</v>
      </c>
      <c r="AP28" s="71">
        <f t="shared" si="13"/>
        <v>59748</v>
      </c>
      <c r="AQ28" s="71">
        <f t="shared" si="13"/>
        <v>59748</v>
      </c>
      <c r="AR28" s="71">
        <f t="shared" si="13"/>
        <v>59748</v>
      </c>
      <c r="AS28" s="71">
        <f t="shared" si="13"/>
        <v>59748</v>
      </c>
      <c r="AT28" s="71">
        <f t="shared" si="13"/>
        <v>59748</v>
      </c>
      <c r="AU28" s="71">
        <f t="shared" si="13"/>
        <v>59748</v>
      </c>
      <c r="AV28" s="85">
        <f t="shared" si="13"/>
        <v>59748</v>
      </c>
      <c r="AW28" s="69"/>
      <c r="AY28" s="27"/>
      <c r="AZ28" s="27"/>
    </row>
    <row r="29" ht="18.0" customHeight="1">
      <c r="A29" s="86"/>
      <c r="B29" s="87"/>
      <c r="C29" s="87"/>
      <c r="D29" s="88">
        <f t="shared" ref="D29:O29" si="14">SUM(D24:D28)</f>
        <v>541301</v>
      </c>
      <c r="E29" s="88">
        <f t="shared" si="14"/>
        <v>723543</v>
      </c>
      <c r="F29" s="88">
        <f t="shared" si="14"/>
        <v>678107</v>
      </c>
      <c r="G29" s="88">
        <f t="shared" si="14"/>
        <v>683585</v>
      </c>
      <c r="H29" s="88">
        <f t="shared" si="14"/>
        <v>704234</v>
      </c>
      <c r="I29" s="88">
        <f t="shared" si="14"/>
        <v>745827</v>
      </c>
      <c r="J29" s="88">
        <f t="shared" si="14"/>
        <v>695381</v>
      </c>
      <c r="K29" s="88">
        <f t="shared" si="14"/>
        <v>660550</v>
      </c>
      <c r="L29" s="88">
        <f t="shared" si="14"/>
        <v>621767</v>
      </c>
      <c r="M29" s="88">
        <f t="shared" si="14"/>
        <v>630194</v>
      </c>
      <c r="N29" s="88">
        <f t="shared" si="14"/>
        <v>630194</v>
      </c>
      <c r="O29" s="88">
        <f t="shared" si="14"/>
        <v>630194</v>
      </c>
      <c r="P29" s="88"/>
      <c r="Q29" s="88">
        <f t="shared" ref="Q29:AV29" si="15">SUM(Q24:Q28)</f>
        <v>630194</v>
      </c>
      <c r="R29" s="88">
        <f t="shared" si="15"/>
        <v>630194</v>
      </c>
      <c r="S29" s="88">
        <f t="shared" si="15"/>
        <v>467819</v>
      </c>
      <c r="T29" s="88">
        <f t="shared" si="15"/>
        <v>487574</v>
      </c>
      <c r="U29" s="88">
        <f t="shared" si="15"/>
        <v>493895</v>
      </c>
      <c r="V29" s="88">
        <f t="shared" si="15"/>
        <v>551715</v>
      </c>
      <c r="W29" s="88">
        <f t="shared" si="15"/>
        <v>532064</v>
      </c>
      <c r="X29" s="88">
        <f t="shared" si="15"/>
        <v>532064</v>
      </c>
      <c r="Y29" s="88">
        <f t="shared" si="15"/>
        <v>532064</v>
      </c>
      <c r="Z29" s="88">
        <f t="shared" si="15"/>
        <v>468226</v>
      </c>
      <c r="AA29" s="88">
        <f t="shared" si="15"/>
        <v>468226</v>
      </c>
      <c r="AB29" s="88">
        <f t="shared" si="15"/>
        <v>468226</v>
      </c>
      <c r="AC29" s="88">
        <f t="shared" si="15"/>
        <v>468226</v>
      </c>
      <c r="AD29" s="88">
        <f t="shared" si="15"/>
        <v>468226</v>
      </c>
      <c r="AE29" s="88">
        <f t="shared" si="15"/>
        <v>468226</v>
      </c>
      <c r="AF29" s="88">
        <f t="shared" si="15"/>
        <v>468226</v>
      </c>
      <c r="AG29" s="88">
        <f t="shared" si="15"/>
        <v>468226</v>
      </c>
      <c r="AH29" s="88">
        <f t="shared" si="15"/>
        <v>468226</v>
      </c>
      <c r="AI29" s="88">
        <f t="shared" si="15"/>
        <v>468226</v>
      </c>
      <c r="AJ29" s="88">
        <f t="shared" si="15"/>
        <v>468226</v>
      </c>
      <c r="AK29" s="88">
        <f t="shared" si="15"/>
        <v>468226</v>
      </c>
      <c r="AL29" s="88">
        <f t="shared" si="15"/>
        <v>468226</v>
      </c>
      <c r="AM29" s="88">
        <f t="shared" si="15"/>
        <v>468226</v>
      </c>
      <c r="AN29" s="88">
        <f t="shared" si="15"/>
        <v>468226</v>
      </c>
      <c r="AO29" s="88">
        <f t="shared" si="15"/>
        <v>468226</v>
      </c>
      <c r="AP29" s="88">
        <f t="shared" si="15"/>
        <v>468226</v>
      </c>
      <c r="AQ29" s="88">
        <f t="shared" si="15"/>
        <v>468226</v>
      </c>
      <c r="AR29" s="88">
        <f t="shared" si="15"/>
        <v>468226</v>
      </c>
      <c r="AS29" s="88">
        <f t="shared" si="15"/>
        <v>468226</v>
      </c>
      <c r="AT29" s="88">
        <f t="shared" si="15"/>
        <v>468226</v>
      </c>
      <c r="AU29" s="88">
        <f t="shared" si="15"/>
        <v>468226</v>
      </c>
      <c r="AV29" s="88">
        <f t="shared" si="15"/>
        <v>468226</v>
      </c>
      <c r="AW29" s="69"/>
      <c r="AX29" s="3"/>
      <c r="AY29" s="3"/>
      <c r="AZ29" s="3"/>
    </row>
    <row r="30" ht="18.0" customHeight="1">
      <c r="A30" s="89"/>
      <c r="B30" s="90"/>
      <c r="C30" s="90"/>
      <c r="D30" s="16"/>
      <c r="E30" s="16"/>
      <c r="F30" s="16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2"/>
      <c r="AW30" s="69"/>
    </row>
    <row r="31" ht="18.0" customHeight="1">
      <c r="A31" s="93" t="s">
        <v>16</v>
      </c>
      <c r="B31" s="17" t="s">
        <v>7</v>
      </c>
      <c r="C31" s="94" t="s">
        <v>8</v>
      </c>
      <c r="D31" s="95">
        <f t="shared" ref="D31:AV31" si="16">ROUND(D24/200,0)</f>
        <v>150</v>
      </c>
      <c r="E31" s="96">
        <f t="shared" si="16"/>
        <v>173</v>
      </c>
      <c r="F31" s="96">
        <f t="shared" si="16"/>
        <v>195</v>
      </c>
      <c r="G31" s="96">
        <f t="shared" si="16"/>
        <v>247</v>
      </c>
      <c r="H31" s="96">
        <f t="shared" si="16"/>
        <v>193</v>
      </c>
      <c r="I31" s="96">
        <f t="shared" si="16"/>
        <v>237</v>
      </c>
      <c r="J31" s="96">
        <f t="shared" si="16"/>
        <v>232</v>
      </c>
      <c r="K31" s="96">
        <f t="shared" si="16"/>
        <v>216</v>
      </c>
      <c r="L31" s="96">
        <f t="shared" si="16"/>
        <v>230</v>
      </c>
      <c r="M31" s="96">
        <f t="shared" si="16"/>
        <v>193</v>
      </c>
      <c r="N31" s="96">
        <f t="shared" si="16"/>
        <v>193</v>
      </c>
      <c r="O31" s="97">
        <f t="shared" si="16"/>
        <v>193</v>
      </c>
      <c r="P31" s="98">
        <f t="shared" si="16"/>
        <v>193</v>
      </c>
      <c r="Q31" s="95">
        <f t="shared" si="16"/>
        <v>193</v>
      </c>
      <c r="R31" s="96">
        <f t="shared" si="16"/>
        <v>193</v>
      </c>
      <c r="S31" s="96">
        <f t="shared" si="16"/>
        <v>198</v>
      </c>
      <c r="T31" s="96">
        <f t="shared" si="16"/>
        <v>204</v>
      </c>
      <c r="U31" s="96">
        <f t="shared" si="16"/>
        <v>148</v>
      </c>
      <c r="V31" s="96">
        <f t="shared" si="16"/>
        <v>155</v>
      </c>
      <c r="W31" s="96">
        <f t="shared" si="16"/>
        <v>148</v>
      </c>
      <c r="X31" s="96">
        <f t="shared" si="16"/>
        <v>148</v>
      </c>
      <c r="Y31" s="96">
        <f t="shared" si="16"/>
        <v>148</v>
      </c>
      <c r="Z31" s="96">
        <f t="shared" si="16"/>
        <v>153</v>
      </c>
      <c r="AA31" s="96">
        <f t="shared" si="16"/>
        <v>153</v>
      </c>
      <c r="AB31" s="96">
        <f t="shared" si="16"/>
        <v>153</v>
      </c>
      <c r="AC31" s="96">
        <f t="shared" si="16"/>
        <v>153</v>
      </c>
      <c r="AD31" s="96">
        <f t="shared" si="16"/>
        <v>153</v>
      </c>
      <c r="AE31" s="96">
        <f t="shared" si="16"/>
        <v>153</v>
      </c>
      <c r="AF31" s="96">
        <f t="shared" si="16"/>
        <v>153</v>
      </c>
      <c r="AG31" s="96">
        <f t="shared" si="16"/>
        <v>153</v>
      </c>
      <c r="AH31" s="96">
        <f t="shared" si="16"/>
        <v>153</v>
      </c>
      <c r="AI31" s="96">
        <f t="shared" si="16"/>
        <v>153</v>
      </c>
      <c r="AJ31" s="96">
        <f t="shared" si="16"/>
        <v>153</v>
      </c>
      <c r="AK31" s="96">
        <f t="shared" si="16"/>
        <v>153</v>
      </c>
      <c r="AL31" s="96">
        <f t="shared" si="16"/>
        <v>153</v>
      </c>
      <c r="AM31" s="96">
        <f t="shared" si="16"/>
        <v>153</v>
      </c>
      <c r="AN31" s="96">
        <f t="shared" si="16"/>
        <v>153</v>
      </c>
      <c r="AO31" s="96">
        <f t="shared" si="16"/>
        <v>153</v>
      </c>
      <c r="AP31" s="96">
        <f t="shared" si="16"/>
        <v>153</v>
      </c>
      <c r="AQ31" s="96">
        <f t="shared" si="16"/>
        <v>153</v>
      </c>
      <c r="AR31" s="96">
        <f t="shared" si="16"/>
        <v>153</v>
      </c>
      <c r="AS31" s="96">
        <f t="shared" si="16"/>
        <v>153</v>
      </c>
      <c r="AT31" s="99">
        <f t="shared" si="16"/>
        <v>153</v>
      </c>
      <c r="AU31" s="97">
        <f t="shared" si="16"/>
        <v>153</v>
      </c>
      <c r="AV31" s="98">
        <f t="shared" si="16"/>
        <v>153</v>
      </c>
      <c r="AW31" s="69"/>
    </row>
    <row r="32" ht="18.0" customHeight="1">
      <c r="A32" s="28"/>
      <c r="B32" s="29"/>
      <c r="C32" s="100" t="s">
        <v>9</v>
      </c>
      <c r="D32" s="101">
        <f t="shared" ref="D32:AV32" si="17">ROUND(D25/200,0)</f>
        <v>555</v>
      </c>
      <c r="E32" s="102">
        <f t="shared" si="17"/>
        <v>631</v>
      </c>
      <c r="F32" s="102">
        <f t="shared" si="17"/>
        <v>765</v>
      </c>
      <c r="G32" s="102">
        <f t="shared" si="17"/>
        <v>643</v>
      </c>
      <c r="H32" s="102">
        <f t="shared" si="17"/>
        <v>610</v>
      </c>
      <c r="I32" s="102">
        <f t="shared" si="17"/>
        <v>556</v>
      </c>
      <c r="J32" s="102">
        <f t="shared" si="17"/>
        <v>669</v>
      </c>
      <c r="K32" s="102">
        <f t="shared" si="17"/>
        <v>667</v>
      </c>
      <c r="L32" s="102">
        <f t="shared" si="17"/>
        <v>645</v>
      </c>
      <c r="M32" s="102">
        <f t="shared" si="17"/>
        <v>524</v>
      </c>
      <c r="N32" s="102">
        <f t="shared" si="17"/>
        <v>524</v>
      </c>
      <c r="O32" s="103">
        <f t="shared" si="17"/>
        <v>524</v>
      </c>
      <c r="P32" s="104">
        <f t="shared" si="17"/>
        <v>524</v>
      </c>
      <c r="Q32" s="101">
        <f t="shared" si="17"/>
        <v>524</v>
      </c>
      <c r="R32" s="102">
        <f t="shared" si="17"/>
        <v>524</v>
      </c>
      <c r="S32" s="102">
        <f t="shared" si="17"/>
        <v>294</v>
      </c>
      <c r="T32" s="102">
        <f t="shared" si="17"/>
        <v>269</v>
      </c>
      <c r="U32" s="102">
        <f t="shared" si="17"/>
        <v>283</v>
      </c>
      <c r="V32" s="102">
        <f t="shared" si="17"/>
        <v>309</v>
      </c>
      <c r="W32" s="102">
        <f t="shared" si="17"/>
        <v>361</v>
      </c>
      <c r="X32" s="102">
        <f t="shared" si="17"/>
        <v>361</v>
      </c>
      <c r="Y32" s="102">
        <f t="shared" si="17"/>
        <v>361</v>
      </c>
      <c r="Z32" s="102">
        <f t="shared" si="17"/>
        <v>347</v>
      </c>
      <c r="AA32" s="102">
        <f t="shared" si="17"/>
        <v>347</v>
      </c>
      <c r="AB32" s="102">
        <f t="shared" si="17"/>
        <v>347</v>
      </c>
      <c r="AC32" s="102">
        <f t="shared" si="17"/>
        <v>347</v>
      </c>
      <c r="AD32" s="102">
        <f t="shared" si="17"/>
        <v>347</v>
      </c>
      <c r="AE32" s="102">
        <f t="shared" si="17"/>
        <v>347</v>
      </c>
      <c r="AF32" s="102">
        <f t="shared" si="17"/>
        <v>347</v>
      </c>
      <c r="AG32" s="102">
        <f t="shared" si="17"/>
        <v>347</v>
      </c>
      <c r="AH32" s="102">
        <f t="shared" si="17"/>
        <v>347</v>
      </c>
      <c r="AI32" s="102">
        <f t="shared" si="17"/>
        <v>347</v>
      </c>
      <c r="AJ32" s="102">
        <f t="shared" si="17"/>
        <v>347</v>
      </c>
      <c r="AK32" s="102">
        <f t="shared" si="17"/>
        <v>347</v>
      </c>
      <c r="AL32" s="102">
        <f t="shared" si="17"/>
        <v>347</v>
      </c>
      <c r="AM32" s="102">
        <f t="shared" si="17"/>
        <v>347</v>
      </c>
      <c r="AN32" s="102">
        <f t="shared" si="17"/>
        <v>347</v>
      </c>
      <c r="AO32" s="102">
        <f t="shared" si="17"/>
        <v>347</v>
      </c>
      <c r="AP32" s="102">
        <f t="shared" si="17"/>
        <v>347</v>
      </c>
      <c r="AQ32" s="102">
        <f t="shared" si="17"/>
        <v>347</v>
      </c>
      <c r="AR32" s="102">
        <f t="shared" si="17"/>
        <v>347</v>
      </c>
      <c r="AS32" s="102">
        <f t="shared" si="17"/>
        <v>347</v>
      </c>
      <c r="AT32" s="105">
        <f t="shared" si="17"/>
        <v>347</v>
      </c>
      <c r="AU32" s="103">
        <f t="shared" si="17"/>
        <v>347</v>
      </c>
      <c r="AV32" s="104">
        <f t="shared" si="17"/>
        <v>347</v>
      </c>
      <c r="AW32" s="3"/>
    </row>
    <row r="33" ht="18.0" customHeight="1">
      <c r="A33" s="28"/>
      <c r="B33" s="38" t="s">
        <v>10</v>
      </c>
      <c r="C33" s="106" t="s">
        <v>8</v>
      </c>
      <c r="D33" s="107">
        <f t="shared" ref="D33:AV33" si="18">ROUND(D26/200,0)</f>
        <v>157</v>
      </c>
      <c r="E33" s="108">
        <f t="shared" si="18"/>
        <v>189</v>
      </c>
      <c r="F33" s="108">
        <f t="shared" si="18"/>
        <v>204</v>
      </c>
      <c r="G33" s="108">
        <f t="shared" si="18"/>
        <v>168</v>
      </c>
      <c r="H33" s="108">
        <f t="shared" si="18"/>
        <v>152</v>
      </c>
      <c r="I33" s="108">
        <f t="shared" si="18"/>
        <v>169</v>
      </c>
      <c r="J33" s="108">
        <f t="shared" si="18"/>
        <v>154</v>
      </c>
      <c r="K33" s="108">
        <f t="shared" si="18"/>
        <v>176</v>
      </c>
      <c r="L33" s="108">
        <f t="shared" si="18"/>
        <v>244</v>
      </c>
      <c r="M33" s="108">
        <f t="shared" si="18"/>
        <v>209</v>
      </c>
      <c r="N33" s="108">
        <f t="shared" si="18"/>
        <v>209</v>
      </c>
      <c r="O33" s="109">
        <f t="shared" si="18"/>
        <v>209</v>
      </c>
      <c r="P33" s="110">
        <f t="shared" si="18"/>
        <v>209</v>
      </c>
      <c r="Q33" s="107">
        <f t="shared" si="18"/>
        <v>209</v>
      </c>
      <c r="R33" s="108">
        <f t="shared" si="18"/>
        <v>209</v>
      </c>
      <c r="S33" s="108">
        <f t="shared" si="18"/>
        <v>172</v>
      </c>
      <c r="T33" s="108">
        <f t="shared" si="18"/>
        <v>176</v>
      </c>
      <c r="U33" s="108">
        <f t="shared" si="18"/>
        <v>171</v>
      </c>
      <c r="V33" s="108">
        <f t="shared" si="18"/>
        <v>172</v>
      </c>
      <c r="W33" s="108">
        <f t="shared" si="18"/>
        <v>147</v>
      </c>
      <c r="X33" s="108">
        <f t="shared" si="18"/>
        <v>147</v>
      </c>
      <c r="Y33" s="108">
        <f t="shared" si="18"/>
        <v>147</v>
      </c>
      <c r="Z33" s="108">
        <f t="shared" si="18"/>
        <v>126</v>
      </c>
      <c r="AA33" s="108">
        <f t="shared" si="18"/>
        <v>126</v>
      </c>
      <c r="AB33" s="108">
        <f t="shared" si="18"/>
        <v>126</v>
      </c>
      <c r="AC33" s="108">
        <f t="shared" si="18"/>
        <v>126</v>
      </c>
      <c r="AD33" s="108">
        <f t="shared" si="18"/>
        <v>126</v>
      </c>
      <c r="AE33" s="108">
        <f t="shared" si="18"/>
        <v>126</v>
      </c>
      <c r="AF33" s="108">
        <f t="shared" si="18"/>
        <v>126</v>
      </c>
      <c r="AG33" s="108">
        <f t="shared" si="18"/>
        <v>126</v>
      </c>
      <c r="AH33" s="108">
        <f t="shared" si="18"/>
        <v>126</v>
      </c>
      <c r="AI33" s="108">
        <f t="shared" si="18"/>
        <v>126</v>
      </c>
      <c r="AJ33" s="108">
        <f t="shared" si="18"/>
        <v>126</v>
      </c>
      <c r="AK33" s="108">
        <f t="shared" si="18"/>
        <v>126</v>
      </c>
      <c r="AL33" s="108">
        <f t="shared" si="18"/>
        <v>126</v>
      </c>
      <c r="AM33" s="108">
        <f t="shared" si="18"/>
        <v>126</v>
      </c>
      <c r="AN33" s="108">
        <f t="shared" si="18"/>
        <v>126</v>
      </c>
      <c r="AO33" s="108">
        <f t="shared" si="18"/>
        <v>126</v>
      </c>
      <c r="AP33" s="108">
        <f t="shared" si="18"/>
        <v>126</v>
      </c>
      <c r="AQ33" s="108">
        <f t="shared" si="18"/>
        <v>126</v>
      </c>
      <c r="AR33" s="108">
        <f t="shared" si="18"/>
        <v>126</v>
      </c>
      <c r="AS33" s="108">
        <f t="shared" si="18"/>
        <v>126</v>
      </c>
      <c r="AT33" s="111">
        <f t="shared" si="18"/>
        <v>126</v>
      </c>
      <c r="AU33" s="109">
        <f t="shared" si="18"/>
        <v>126</v>
      </c>
      <c r="AV33" s="110">
        <f t="shared" si="18"/>
        <v>126</v>
      </c>
      <c r="AW33" s="3"/>
    </row>
    <row r="34" ht="18.0" customHeight="1">
      <c r="A34" s="28"/>
      <c r="B34" s="29"/>
      <c r="C34" s="100" t="s">
        <v>9</v>
      </c>
      <c r="D34" s="101">
        <f t="shared" ref="D34:AV34" si="19">ROUND(D27/200,0)</f>
        <v>1310</v>
      </c>
      <c r="E34" s="102">
        <f t="shared" si="19"/>
        <v>1455</v>
      </c>
      <c r="F34" s="102">
        <f t="shared" si="19"/>
        <v>1405</v>
      </c>
      <c r="G34" s="102">
        <f t="shared" si="19"/>
        <v>1701</v>
      </c>
      <c r="H34" s="102">
        <f t="shared" si="19"/>
        <v>1569</v>
      </c>
      <c r="I34" s="102">
        <f t="shared" si="19"/>
        <v>1418</v>
      </c>
      <c r="J34" s="102">
        <f t="shared" si="19"/>
        <v>1716</v>
      </c>
      <c r="K34" s="102">
        <f t="shared" si="19"/>
        <v>1483</v>
      </c>
      <c r="L34" s="102">
        <f t="shared" si="19"/>
        <v>1647</v>
      </c>
      <c r="M34" s="102">
        <f t="shared" si="19"/>
        <v>1406</v>
      </c>
      <c r="N34" s="102">
        <f t="shared" si="19"/>
        <v>1406</v>
      </c>
      <c r="O34" s="103">
        <f t="shared" si="19"/>
        <v>1406</v>
      </c>
      <c r="P34" s="104">
        <f t="shared" si="19"/>
        <v>1406</v>
      </c>
      <c r="Q34" s="101">
        <f t="shared" si="19"/>
        <v>1406</v>
      </c>
      <c r="R34" s="102">
        <f t="shared" si="19"/>
        <v>1406</v>
      </c>
      <c r="S34" s="102">
        <f t="shared" si="19"/>
        <v>1474</v>
      </c>
      <c r="T34" s="102">
        <f t="shared" si="19"/>
        <v>1500</v>
      </c>
      <c r="U34" s="102">
        <f t="shared" si="19"/>
        <v>1491</v>
      </c>
      <c r="V34" s="102">
        <f t="shared" si="19"/>
        <v>1595</v>
      </c>
      <c r="W34" s="102">
        <f t="shared" si="19"/>
        <v>1469</v>
      </c>
      <c r="X34" s="102">
        <f t="shared" si="19"/>
        <v>1469</v>
      </c>
      <c r="Y34" s="102">
        <f t="shared" si="19"/>
        <v>1469</v>
      </c>
      <c r="Z34" s="102">
        <f t="shared" si="19"/>
        <v>1417</v>
      </c>
      <c r="AA34" s="102">
        <f t="shared" si="19"/>
        <v>1417</v>
      </c>
      <c r="AB34" s="102">
        <f t="shared" si="19"/>
        <v>1417</v>
      </c>
      <c r="AC34" s="102">
        <f t="shared" si="19"/>
        <v>1417</v>
      </c>
      <c r="AD34" s="102">
        <f t="shared" si="19"/>
        <v>1417</v>
      </c>
      <c r="AE34" s="102">
        <f t="shared" si="19"/>
        <v>1417</v>
      </c>
      <c r="AF34" s="102">
        <f t="shared" si="19"/>
        <v>1417</v>
      </c>
      <c r="AG34" s="102">
        <f t="shared" si="19"/>
        <v>1417</v>
      </c>
      <c r="AH34" s="102">
        <f t="shared" si="19"/>
        <v>1417</v>
      </c>
      <c r="AI34" s="102">
        <f t="shared" si="19"/>
        <v>1417</v>
      </c>
      <c r="AJ34" s="102">
        <f t="shared" si="19"/>
        <v>1417</v>
      </c>
      <c r="AK34" s="102">
        <f t="shared" si="19"/>
        <v>1417</v>
      </c>
      <c r="AL34" s="102">
        <f t="shared" si="19"/>
        <v>1417</v>
      </c>
      <c r="AM34" s="102">
        <f t="shared" si="19"/>
        <v>1417</v>
      </c>
      <c r="AN34" s="102">
        <f t="shared" si="19"/>
        <v>1417</v>
      </c>
      <c r="AO34" s="102">
        <f t="shared" si="19"/>
        <v>1417</v>
      </c>
      <c r="AP34" s="102">
        <f t="shared" si="19"/>
        <v>1417</v>
      </c>
      <c r="AQ34" s="102">
        <f t="shared" si="19"/>
        <v>1417</v>
      </c>
      <c r="AR34" s="102">
        <f t="shared" si="19"/>
        <v>1417</v>
      </c>
      <c r="AS34" s="102">
        <f t="shared" si="19"/>
        <v>1417</v>
      </c>
      <c r="AT34" s="105">
        <f t="shared" si="19"/>
        <v>1417</v>
      </c>
      <c r="AU34" s="103">
        <f t="shared" si="19"/>
        <v>1417</v>
      </c>
      <c r="AV34" s="104">
        <f t="shared" si="19"/>
        <v>1417</v>
      </c>
      <c r="AW34" s="3"/>
      <c r="AY34" s="112"/>
    </row>
    <row r="35" ht="18.0" customHeight="1">
      <c r="A35" s="29"/>
      <c r="B35" s="43" t="s">
        <v>11</v>
      </c>
      <c r="C35" s="43" t="s">
        <v>9</v>
      </c>
      <c r="D35" s="101">
        <f t="shared" ref="D35:AV35" si="20">ROUND(D28/200,0)</f>
        <v>535</v>
      </c>
      <c r="E35" s="102">
        <f t="shared" si="20"/>
        <v>1170</v>
      </c>
      <c r="F35" s="102">
        <f t="shared" si="20"/>
        <v>822</v>
      </c>
      <c r="G35" s="102">
        <f t="shared" si="20"/>
        <v>660</v>
      </c>
      <c r="H35" s="102">
        <f t="shared" si="20"/>
        <v>998</v>
      </c>
      <c r="I35" s="102">
        <f t="shared" si="20"/>
        <v>1349</v>
      </c>
      <c r="J35" s="102">
        <f t="shared" si="20"/>
        <v>707</v>
      </c>
      <c r="K35" s="102">
        <f t="shared" si="20"/>
        <v>761</v>
      </c>
      <c r="L35" s="102">
        <f t="shared" si="20"/>
        <v>343</v>
      </c>
      <c r="M35" s="102">
        <f t="shared" si="20"/>
        <v>819</v>
      </c>
      <c r="N35" s="102">
        <f t="shared" si="20"/>
        <v>819</v>
      </c>
      <c r="O35" s="103">
        <f t="shared" si="20"/>
        <v>819</v>
      </c>
      <c r="P35" s="104">
        <f t="shared" si="20"/>
        <v>819</v>
      </c>
      <c r="Q35" s="101">
        <f t="shared" si="20"/>
        <v>819</v>
      </c>
      <c r="R35" s="102">
        <f t="shared" si="20"/>
        <v>819</v>
      </c>
      <c r="S35" s="102">
        <f t="shared" si="20"/>
        <v>201</v>
      </c>
      <c r="T35" s="102">
        <f t="shared" si="20"/>
        <v>288</v>
      </c>
      <c r="U35" s="102">
        <f t="shared" si="20"/>
        <v>377</v>
      </c>
      <c r="V35" s="102">
        <f t="shared" si="20"/>
        <v>527</v>
      </c>
      <c r="W35" s="102">
        <f t="shared" si="20"/>
        <v>535</v>
      </c>
      <c r="X35" s="102">
        <f t="shared" si="20"/>
        <v>535</v>
      </c>
      <c r="Y35" s="102">
        <f t="shared" si="20"/>
        <v>535</v>
      </c>
      <c r="Z35" s="102">
        <f t="shared" si="20"/>
        <v>299</v>
      </c>
      <c r="AA35" s="102">
        <f t="shared" si="20"/>
        <v>299</v>
      </c>
      <c r="AB35" s="102">
        <f t="shared" si="20"/>
        <v>299</v>
      </c>
      <c r="AC35" s="102">
        <f t="shared" si="20"/>
        <v>299</v>
      </c>
      <c r="AD35" s="102">
        <f t="shared" si="20"/>
        <v>299</v>
      </c>
      <c r="AE35" s="102">
        <f t="shared" si="20"/>
        <v>299</v>
      </c>
      <c r="AF35" s="102">
        <f t="shared" si="20"/>
        <v>299</v>
      </c>
      <c r="AG35" s="102">
        <f t="shared" si="20"/>
        <v>299</v>
      </c>
      <c r="AH35" s="102">
        <f t="shared" si="20"/>
        <v>299</v>
      </c>
      <c r="AI35" s="102">
        <f t="shared" si="20"/>
        <v>299</v>
      </c>
      <c r="AJ35" s="102">
        <f t="shared" si="20"/>
        <v>299</v>
      </c>
      <c r="AK35" s="102">
        <f t="shared" si="20"/>
        <v>299</v>
      </c>
      <c r="AL35" s="102">
        <f t="shared" si="20"/>
        <v>299</v>
      </c>
      <c r="AM35" s="102">
        <f t="shared" si="20"/>
        <v>299</v>
      </c>
      <c r="AN35" s="102">
        <f t="shared" si="20"/>
        <v>299</v>
      </c>
      <c r="AO35" s="102">
        <f t="shared" si="20"/>
        <v>299</v>
      </c>
      <c r="AP35" s="102">
        <f t="shared" si="20"/>
        <v>299</v>
      </c>
      <c r="AQ35" s="102">
        <f t="shared" si="20"/>
        <v>299</v>
      </c>
      <c r="AR35" s="102">
        <f t="shared" si="20"/>
        <v>299</v>
      </c>
      <c r="AS35" s="102">
        <f t="shared" si="20"/>
        <v>299</v>
      </c>
      <c r="AT35" s="105">
        <f t="shared" si="20"/>
        <v>299</v>
      </c>
      <c r="AU35" s="103">
        <f t="shared" si="20"/>
        <v>299</v>
      </c>
      <c r="AV35" s="104">
        <f t="shared" si="20"/>
        <v>299</v>
      </c>
      <c r="AW35" s="3"/>
      <c r="AY35" s="112"/>
    </row>
    <row r="36" ht="18.0" customHeight="1">
      <c r="A36" s="113"/>
      <c r="B36" s="16"/>
      <c r="C36" s="16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3"/>
      <c r="AY36" s="112"/>
    </row>
    <row r="37" ht="18.0" customHeight="1">
      <c r="A37" s="115" t="s">
        <v>17</v>
      </c>
      <c r="B37" s="116"/>
      <c r="C37" s="117"/>
      <c r="D37" s="117">
        <f t="shared" ref="D37:AV37" si="21">D29+D44+D50</f>
        <v>693867</v>
      </c>
      <c r="E37" s="117">
        <f t="shared" si="21"/>
        <v>899720</v>
      </c>
      <c r="F37" s="117">
        <f t="shared" si="21"/>
        <v>858401</v>
      </c>
      <c r="G37" s="117">
        <f t="shared" si="21"/>
        <v>857497</v>
      </c>
      <c r="H37" s="117">
        <f t="shared" si="21"/>
        <v>879464</v>
      </c>
      <c r="I37" s="117">
        <f t="shared" si="21"/>
        <v>985558</v>
      </c>
      <c r="J37" s="117">
        <f t="shared" si="21"/>
        <v>906436</v>
      </c>
      <c r="K37" s="117">
        <f t="shared" si="21"/>
        <v>855855</v>
      </c>
      <c r="L37" s="117">
        <f t="shared" si="21"/>
        <v>850285</v>
      </c>
      <c r="M37" s="117">
        <f t="shared" si="21"/>
        <v>822549</v>
      </c>
      <c r="N37" s="117">
        <f t="shared" si="21"/>
        <v>630194</v>
      </c>
      <c r="O37" s="117">
        <f t="shared" si="21"/>
        <v>778592</v>
      </c>
      <c r="P37" s="117">
        <f t="shared" si="21"/>
        <v>0</v>
      </c>
      <c r="Q37" s="117">
        <f t="shared" si="21"/>
        <v>822549</v>
      </c>
      <c r="R37" s="117">
        <f t="shared" si="21"/>
        <v>822549</v>
      </c>
      <c r="S37" s="117">
        <f t="shared" si="21"/>
        <v>633360</v>
      </c>
      <c r="T37" s="117">
        <f t="shared" si="21"/>
        <v>667161</v>
      </c>
      <c r="U37" s="117">
        <f t="shared" si="21"/>
        <v>669320</v>
      </c>
      <c r="V37" s="117">
        <f t="shared" si="21"/>
        <v>732178</v>
      </c>
      <c r="W37" s="117">
        <f t="shared" si="21"/>
        <v>720785</v>
      </c>
      <c r="X37" s="117">
        <f t="shared" si="21"/>
        <v>720785</v>
      </c>
      <c r="Y37" s="117">
        <f t="shared" si="21"/>
        <v>720785</v>
      </c>
      <c r="Z37" s="117">
        <f t="shared" si="21"/>
        <v>640304</v>
      </c>
      <c r="AA37" s="117">
        <f t="shared" si="21"/>
        <v>468226</v>
      </c>
      <c r="AB37" s="117">
        <f t="shared" si="21"/>
        <v>468226</v>
      </c>
      <c r="AC37" s="117">
        <f t="shared" si="21"/>
        <v>468226</v>
      </c>
      <c r="AD37" s="117">
        <f t="shared" si="21"/>
        <v>468226</v>
      </c>
      <c r="AE37" s="117">
        <f t="shared" si="21"/>
        <v>468226</v>
      </c>
      <c r="AF37" s="117">
        <f t="shared" si="21"/>
        <v>468226</v>
      </c>
      <c r="AG37" s="117">
        <f t="shared" si="21"/>
        <v>468226</v>
      </c>
      <c r="AH37" s="117">
        <f t="shared" si="21"/>
        <v>468226</v>
      </c>
      <c r="AI37" s="117">
        <f t="shared" si="21"/>
        <v>468226</v>
      </c>
      <c r="AJ37" s="117">
        <f t="shared" si="21"/>
        <v>468226</v>
      </c>
      <c r="AK37" s="117">
        <f t="shared" si="21"/>
        <v>468226</v>
      </c>
      <c r="AL37" s="117">
        <f t="shared" si="21"/>
        <v>468226</v>
      </c>
      <c r="AM37" s="117">
        <f t="shared" si="21"/>
        <v>468226</v>
      </c>
      <c r="AN37" s="117">
        <f t="shared" si="21"/>
        <v>468226</v>
      </c>
      <c r="AO37" s="117">
        <f t="shared" si="21"/>
        <v>468226</v>
      </c>
      <c r="AP37" s="117">
        <f t="shared" si="21"/>
        <v>468226</v>
      </c>
      <c r="AQ37" s="117">
        <f t="shared" si="21"/>
        <v>468226</v>
      </c>
      <c r="AR37" s="117">
        <f t="shared" si="21"/>
        <v>468226</v>
      </c>
      <c r="AS37" s="117">
        <f t="shared" si="21"/>
        <v>468226</v>
      </c>
      <c r="AT37" s="117">
        <f t="shared" si="21"/>
        <v>468226</v>
      </c>
      <c r="AU37" s="117">
        <f t="shared" si="21"/>
        <v>468226</v>
      </c>
      <c r="AV37" s="117">
        <f t="shared" si="21"/>
        <v>640304</v>
      </c>
      <c r="AW37" s="3" t="s">
        <v>18</v>
      </c>
      <c r="AY37" s="112"/>
    </row>
    <row r="38" ht="16.5" customHeight="1">
      <c r="A38" s="1"/>
      <c r="B38" s="1"/>
      <c r="C38" s="1"/>
      <c r="D38" s="1"/>
      <c r="E38" s="1"/>
      <c r="F38" s="1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AV38" s="2"/>
      <c r="AW38" s="3"/>
    </row>
    <row r="39" ht="18.0" customHeight="1">
      <c r="A39" s="17" t="s">
        <v>19</v>
      </c>
      <c r="B39" s="17" t="s">
        <v>7</v>
      </c>
      <c r="C39" s="18" t="s">
        <v>8</v>
      </c>
      <c r="D39" s="119">
        <v>7942.0</v>
      </c>
      <c r="E39" s="48">
        <v>8082.0</v>
      </c>
      <c r="F39" s="120">
        <v>7952.0</v>
      </c>
      <c r="G39" s="48">
        <v>6727.0</v>
      </c>
      <c r="H39" s="48">
        <v>8729.0</v>
      </c>
      <c r="I39" s="48">
        <v>11680.0</v>
      </c>
      <c r="J39" s="48">
        <v>6568.0</v>
      </c>
      <c r="K39" s="48">
        <v>6897.0</v>
      </c>
      <c r="L39" s="48">
        <v>9251.0</v>
      </c>
      <c r="M39" s="48">
        <v>7783.0</v>
      </c>
      <c r="N39" s="121"/>
      <c r="O39" s="122">
        <v>5466.0</v>
      </c>
      <c r="P39" s="123"/>
      <c r="Q39" s="65">
        <v>7783.0</v>
      </c>
      <c r="R39" s="65">
        <v>7783.0</v>
      </c>
      <c r="S39" s="65">
        <v>5431.0</v>
      </c>
      <c r="T39" s="65">
        <v>6779.0</v>
      </c>
      <c r="U39" s="65">
        <v>6599.0</v>
      </c>
      <c r="V39" s="65">
        <v>6143.0</v>
      </c>
      <c r="W39" s="65">
        <v>6803.0</v>
      </c>
      <c r="X39" s="65">
        <v>6803.0</v>
      </c>
      <c r="Y39" s="65">
        <v>6803.0</v>
      </c>
      <c r="Z39" s="66">
        <v>6707.0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124">
        <v>6707.0</v>
      </c>
      <c r="AW39" s="26"/>
      <c r="AY39" s="27"/>
      <c r="AZ39" s="27"/>
    </row>
    <row r="40" ht="18.0" customHeight="1">
      <c r="A40" s="28"/>
      <c r="B40" s="29"/>
      <c r="C40" s="30" t="s">
        <v>9</v>
      </c>
      <c r="D40" s="125">
        <v>47008.0</v>
      </c>
      <c r="E40" s="54">
        <v>57254.0</v>
      </c>
      <c r="F40" s="126">
        <v>52510.0</v>
      </c>
      <c r="G40" s="54">
        <v>48977.0</v>
      </c>
      <c r="H40" s="54">
        <v>54496.0</v>
      </c>
      <c r="I40" s="54">
        <v>58364.0</v>
      </c>
      <c r="J40" s="54">
        <v>48134.0</v>
      </c>
      <c r="K40" s="54">
        <v>47160.0</v>
      </c>
      <c r="L40" s="54">
        <v>71627.0</v>
      </c>
      <c r="M40" s="54">
        <v>53466.0</v>
      </c>
      <c r="N40" s="127"/>
      <c r="O40" s="128">
        <v>47395.0</v>
      </c>
      <c r="P40" s="129"/>
      <c r="Q40" s="130">
        <v>53466.0</v>
      </c>
      <c r="R40" s="130">
        <v>53466.0</v>
      </c>
      <c r="S40" s="130">
        <v>43788.0</v>
      </c>
      <c r="T40" s="130">
        <v>47350.0</v>
      </c>
      <c r="U40" s="130">
        <v>47738.0</v>
      </c>
      <c r="V40" s="130">
        <v>44392.0</v>
      </c>
      <c r="W40" s="130">
        <v>46712.0</v>
      </c>
      <c r="X40" s="130">
        <v>46712.0</v>
      </c>
      <c r="Y40" s="130">
        <v>46712.0</v>
      </c>
      <c r="Z40" s="60">
        <v>42328.0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131">
        <v>42328.0</v>
      </c>
      <c r="AW40" s="26"/>
      <c r="AY40" s="27"/>
      <c r="AZ40" s="27"/>
    </row>
    <row r="41" ht="18.0" customHeight="1">
      <c r="A41" s="28"/>
      <c r="B41" s="38" t="s">
        <v>10</v>
      </c>
      <c r="C41" s="39" t="s">
        <v>8</v>
      </c>
      <c r="D41" s="119">
        <v>0.0</v>
      </c>
      <c r="E41" s="48">
        <v>0.0</v>
      </c>
      <c r="F41" s="120">
        <v>139.0</v>
      </c>
      <c r="G41" s="48">
        <v>139.0</v>
      </c>
      <c r="H41" s="48">
        <v>139.0</v>
      </c>
      <c r="I41" s="48">
        <v>139.0</v>
      </c>
      <c r="J41" s="48">
        <v>0.0</v>
      </c>
      <c r="K41" s="48">
        <v>0.0</v>
      </c>
      <c r="L41" s="48">
        <v>0.0</v>
      </c>
      <c r="M41" s="48">
        <v>0.0</v>
      </c>
      <c r="N41" s="121"/>
      <c r="O41" s="122">
        <v>0.0</v>
      </c>
      <c r="P41" s="132"/>
      <c r="Q41" s="65">
        <v>0.0</v>
      </c>
      <c r="R41" s="65">
        <v>0.0</v>
      </c>
      <c r="S41" s="65">
        <v>0.0</v>
      </c>
      <c r="T41" s="65">
        <v>0.0</v>
      </c>
      <c r="U41" s="65">
        <v>0.0</v>
      </c>
      <c r="V41" s="65">
        <v>0.0</v>
      </c>
      <c r="W41" s="65">
        <v>0.0</v>
      </c>
      <c r="X41" s="65">
        <v>0.0</v>
      </c>
      <c r="Y41" s="65">
        <v>0.0</v>
      </c>
      <c r="Z41" s="66">
        <v>0.0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124">
        <v>0.0</v>
      </c>
      <c r="AW41" s="26"/>
      <c r="AY41" s="27"/>
      <c r="AZ41" s="27"/>
    </row>
    <row r="42" ht="18.0" customHeight="1">
      <c r="A42" s="28"/>
      <c r="B42" s="40"/>
      <c r="C42" s="41" t="s">
        <v>9</v>
      </c>
      <c r="D42" s="125">
        <v>1435.0</v>
      </c>
      <c r="E42" s="54">
        <v>1547.0</v>
      </c>
      <c r="F42" s="126">
        <v>2135.0</v>
      </c>
      <c r="G42" s="54">
        <v>1356.0</v>
      </c>
      <c r="H42" s="54">
        <v>1308.0</v>
      </c>
      <c r="I42" s="54">
        <v>1024.0</v>
      </c>
      <c r="J42" s="54">
        <v>1172.0</v>
      </c>
      <c r="K42" s="54">
        <v>216.0</v>
      </c>
      <c r="L42" s="54">
        <v>168.0</v>
      </c>
      <c r="M42" s="54">
        <v>668.0</v>
      </c>
      <c r="N42" s="127"/>
      <c r="O42" s="128">
        <v>627.0</v>
      </c>
      <c r="P42" s="133"/>
      <c r="Q42" s="130">
        <v>668.0</v>
      </c>
      <c r="R42" s="130">
        <v>668.0</v>
      </c>
      <c r="S42" s="130">
        <v>600.0</v>
      </c>
      <c r="T42" s="130">
        <v>600.0</v>
      </c>
      <c r="U42" s="130">
        <v>600.0</v>
      </c>
      <c r="V42" s="130">
        <v>600.0</v>
      </c>
      <c r="W42" s="130">
        <v>600.0</v>
      </c>
      <c r="X42" s="130">
        <v>600.0</v>
      </c>
      <c r="Y42" s="130">
        <v>600.0</v>
      </c>
      <c r="Z42" s="60">
        <v>600.0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131">
        <v>600.0</v>
      </c>
      <c r="AW42" s="3"/>
    </row>
    <row r="43" ht="18.0" customHeight="1">
      <c r="A43" s="29"/>
      <c r="B43" s="43" t="s">
        <v>11</v>
      </c>
      <c r="C43" s="64" t="s">
        <v>9</v>
      </c>
      <c r="D43" s="134">
        <v>0.0</v>
      </c>
      <c r="E43" s="70">
        <v>0.0</v>
      </c>
      <c r="F43" s="135">
        <v>0.0</v>
      </c>
      <c r="G43" s="70">
        <v>0.0</v>
      </c>
      <c r="H43" s="70">
        <v>0.0</v>
      </c>
      <c r="I43" s="70">
        <v>0.0</v>
      </c>
      <c r="J43" s="70">
        <v>0.0</v>
      </c>
      <c r="K43" s="70">
        <v>0.0</v>
      </c>
      <c r="L43" s="70">
        <v>0.0</v>
      </c>
      <c r="M43" s="70">
        <v>0.0</v>
      </c>
      <c r="N43" s="136"/>
      <c r="O43" s="137">
        <v>0.0</v>
      </c>
      <c r="P43" s="138"/>
      <c r="Q43" s="139">
        <v>0.0</v>
      </c>
      <c r="R43" s="139">
        <v>0.0</v>
      </c>
      <c r="S43" s="139">
        <v>0.0</v>
      </c>
      <c r="T43" s="139">
        <v>0.0</v>
      </c>
      <c r="U43" s="139">
        <v>0.0</v>
      </c>
      <c r="V43" s="139">
        <v>0.0</v>
      </c>
      <c r="W43" s="139">
        <v>0.0</v>
      </c>
      <c r="X43" s="139">
        <v>0.0</v>
      </c>
      <c r="Y43" s="139">
        <v>0.0</v>
      </c>
      <c r="Z43" s="71">
        <v>0.0</v>
      </c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140">
        <v>0.0</v>
      </c>
      <c r="AW43" s="26"/>
      <c r="AY43" s="27"/>
      <c r="AZ43" s="27"/>
    </row>
    <row r="44" ht="16.5" customHeight="1">
      <c r="A44" s="1"/>
      <c r="B44" s="1"/>
      <c r="C44" s="1"/>
      <c r="D44" s="141">
        <f t="shared" ref="D44:AV44" si="22">SUM(D39:D43)</f>
        <v>56385</v>
      </c>
      <c r="E44" s="27">
        <f t="shared" si="22"/>
        <v>66883</v>
      </c>
      <c r="F44" s="27">
        <f t="shared" si="22"/>
        <v>62736</v>
      </c>
      <c r="G44" s="27">
        <f t="shared" si="22"/>
        <v>57199</v>
      </c>
      <c r="H44" s="27">
        <f t="shared" si="22"/>
        <v>64672</v>
      </c>
      <c r="I44" s="27">
        <f t="shared" si="22"/>
        <v>71207</v>
      </c>
      <c r="J44" s="27">
        <f t="shared" si="22"/>
        <v>55874</v>
      </c>
      <c r="K44" s="27">
        <f t="shared" si="22"/>
        <v>54273</v>
      </c>
      <c r="L44" s="27">
        <f t="shared" si="22"/>
        <v>81046</v>
      </c>
      <c r="M44" s="27">
        <f t="shared" si="22"/>
        <v>61917</v>
      </c>
      <c r="N44" s="27">
        <f t="shared" si="22"/>
        <v>0</v>
      </c>
      <c r="O44" s="27">
        <f t="shared" si="22"/>
        <v>53488</v>
      </c>
      <c r="P44" s="27">
        <f t="shared" si="22"/>
        <v>0</v>
      </c>
      <c r="Q44" s="27">
        <f t="shared" si="22"/>
        <v>61917</v>
      </c>
      <c r="R44" s="27">
        <f t="shared" si="22"/>
        <v>61917</v>
      </c>
      <c r="S44" s="27">
        <f t="shared" si="22"/>
        <v>49819</v>
      </c>
      <c r="T44" s="27">
        <f t="shared" si="22"/>
        <v>54729</v>
      </c>
      <c r="U44" s="27">
        <f t="shared" si="22"/>
        <v>54937</v>
      </c>
      <c r="V44" s="27">
        <f t="shared" si="22"/>
        <v>51135</v>
      </c>
      <c r="W44" s="27">
        <f t="shared" si="22"/>
        <v>54115</v>
      </c>
      <c r="X44" s="27">
        <f t="shared" si="22"/>
        <v>54115</v>
      </c>
      <c r="Y44" s="27">
        <f t="shared" si="22"/>
        <v>54115</v>
      </c>
      <c r="Z44" s="27">
        <f t="shared" si="22"/>
        <v>49635</v>
      </c>
      <c r="AA44" s="27">
        <f t="shared" si="22"/>
        <v>0</v>
      </c>
      <c r="AB44" s="27">
        <f t="shared" si="22"/>
        <v>0</v>
      </c>
      <c r="AC44" s="27">
        <f t="shared" si="22"/>
        <v>0</v>
      </c>
      <c r="AD44" s="27">
        <f t="shared" si="22"/>
        <v>0</v>
      </c>
      <c r="AE44" s="27">
        <f t="shared" si="22"/>
        <v>0</v>
      </c>
      <c r="AF44" s="27">
        <f t="shared" si="22"/>
        <v>0</v>
      </c>
      <c r="AG44" s="27">
        <f t="shared" si="22"/>
        <v>0</v>
      </c>
      <c r="AH44" s="27">
        <f t="shared" si="22"/>
        <v>0</v>
      </c>
      <c r="AI44" s="27">
        <f t="shared" si="22"/>
        <v>0</v>
      </c>
      <c r="AJ44" s="27">
        <f t="shared" si="22"/>
        <v>0</v>
      </c>
      <c r="AK44" s="27">
        <f t="shared" si="22"/>
        <v>0</v>
      </c>
      <c r="AL44" s="27">
        <f t="shared" si="22"/>
        <v>0</v>
      </c>
      <c r="AM44" s="27">
        <f t="shared" si="22"/>
        <v>0</v>
      </c>
      <c r="AN44" s="27">
        <f t="shared" si="22"/>
        <v>0</v>
      </c>
      <c r="AO44" s="27">
        <f t="shared" si="22"/>
        <v>0</v>
      </c>
      <c r="AP44" s="27">
        <f t="shared" si="22"/>
        <v>0</v>
      </c>
      <c r="AQ44" s="27">
        <f t="shared" si="22"/>
        <v>0</v>
      </c>
      <c r="AR44" s="27">
        <f t="shared" si="22"/>
        <v>0</v>
      </c>
      <c r="AS44" s="27">
        <f t="shared" si="22"/>
        <v>0</v>
      </c>
      <c r="AT44" s="27">
        <f t="shared" si="22"/>
        <v>0</v>
      </c>
      <c r="AU44" s="27">
        <f t="shared" si="22"/>
        <v>0</v>
      </c>
      <c r="AV44" s="27">
        <f t="shared" si="22"/>
        <v>49635</v>
      </c>
      <c r="AW44" s="3"/>
    </row>
    <row r="45" ht="18.0" customHeight="1">
      <c r="A45" s="17" t="s">
        <v>20</v>
      </c>
      <c r="B45" s="17" t="s">
        <v>7</v>
      </c>
      <c r="C45" s="18" t="s">
        <v>8</v>
      </c>
      <c r="D45" s="119">
        <v>5443.0</v>
      </c>
      <c r="E45" s="48">
        <v>5731.0</v>
      </c>
      <c r="F45" s="120">
        <v>7991.0</v>
      </c>
      <c r="G45" s="48">
        <v>7963.0</v>
      </c>
      <c r="H45" s="48">
        <v>8838.0</v>
      </c>
      <c r="I45" s="48">
        <v>18302.0</v>
      </c>
      <c r="J45" s="48">
        <v>14293.0</v>
      </c>
      <c r="K45" s="48">
        <v>10273.0</v>
      </c>
      <c r="L45" s="48">
        <v>11221.0</v>
      </c>
      <c r="M45" s="48">
        <v>8708.0</v>
      </c>
      <c r="N45" s="121"/>
      <c r="O45" s="122">
        <v>6470.0</v>
      </c>
      <c r="P45" s="123"/>
      <c r="Q45" s="65">
        <v>8708.0</v>
      </c>
      <c r="R45" s="65">
        <v>8708.0</v>
      </c>
      <c r="S45" s="65">
        <v>8164.0</v>
      </c>
      <c r="T45" s="65">
        <v>7236.0</v>
      </c>
      <c r="U45" s="65">
        <v>6818.0</v>
      </c>
      <c r="V45" s="65">
        <v>9450.0</v>
      </c>
      <c r="W45" s="65">
        <v>9426.0</v>
      </c>
      <c r="X45" s="65">
        <v>9426.0</v>
      </c>
      <c r="Y45" s="65">
        <v>9426.0</v>
      </c>
      <c r="Z45" s="66">
        <v>9233.0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52">
        <v>9233.0</v>
      </c>
      <c r="AW45" s="26"/>
      <c r="AY45" s="27"/>
      <c r="AZ45" s="27"/>
    </row>
    <row r="46" ht="18.0" customHeight="1">
      <c r="A46" s="28"/>
      <c r="B46" s="29"/>
      <c r="C46" s="30" t="s">
        <v>9</v>
      </c>
      <c r="D46" s="125">
        <v>89307.0</v>
      </c>
      <c r="E46" s="54">
        <v>102328.0</v>
      </c>
      <c r="F46" s="126">
        <v>108105.0</v>
      </c>
      <c r="G46" s="54">
        <v>106908.0</v>
      </c>
      <c r="H46" s="54">
        <v>98919.0</v>
      </c>
      <c r="I46" s="54">
        <v>147322.0</v>
      </c>
      <c r="J46" s="54">
        <v>138570.0</v>
      </c>
      <c r="K46" s="54">
        <v>128065.0</v>
      </c>
      <c r="L46" s="54">
        <v>133662.0</v>
      </c>
      <c r="M46" s="54">
        <v>118521.0</v>
      </c>
      <c r="N46" s="127"/>
      <c r="O46" s="128">
        <v>86854.0</v>
      </c>
      <c r="P46" s="129"/>
      <c r="Q46" s="130">
        <v>118521.0</v>
      </c>
      <c r="R46" s="130">
        <v>118521.0</v>
      </c>
      <c r="S46" s="130">
        <v>104349.0</v>
      </c>
      <c r="T46" s="130">
        <v>114413.0</v>
      </c>
      <c r="U46" s="130">
        <v>110453.0</v>
      </c>
      <c r="V46" s="130">
        <v>116661.0</v>
      </c>
      <c r="W46" s="130">
        <v>121963.0</v>
      </c>
      <c r="X46" s="130">
        <v>121963.0</v>
      </c>
      <c r="Y46" s="130">
        <v>121963.0</v>
      </c>
      <c r="Z46" s="60">
        <v>109793.0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78">
        <v>109793.0</v>
      </c>
      <c r="AW46" s="26"/>
      <c r="AY46" s="27"/>
      <c r="AZ46" s="27"/>
    </row>
    <row r="47" ht="18.0" customHeight="1">
      <c r="A47" s="28"/>
      <c r="B47" s="38" t="s">
        <v>10</v>
      </c>
      <c r="C47" s="39" t="s">
        <v>8</v>
      </c>
      <c r="D47" s="119">
        <v>0.0</v>
      </c>
      <c r="E47" s="48">
        <v>0.0</v>
      </c>
      <c r="F47" s="120">
        <v>0.0</v>
      </c>
      <c r="G47" s="48">
        <v>0.0</v>
      </c>
      <c r="H47" s="48">
        <v>0.0</v>
      </c>
      <c r="I47" s="48">
        <v>0.0</v>
      </c>
      <c r="J47" s="48">
        <v>0.0</v>
      </c>
      <c r="K47" s="48">
        <v>0.0</v>
      </c>
      <c r="L47" s="48">
        <v>0.0</v>
      </c>
      <c r="M47" s="48">
        <v>0.0</v>
      </c>
      <c r="N47" s="121"/>
      <c r="O47" s="122">
        <v>0.0</v>
      </c>
      <c r="P47" s="132"/>
      <c r="Q47" s="65">
        <v>0.0</v>
      </c>
      <c r="R47" s="65">
        <v>0.0</v>
      </c>
      <c r="S47" s="65">
        <v>0.0</v>
      </c>
      <c r="T47" s="65">
        <v>0.0</v>
      </c>
      <c r="U47" s="65">
        <v>0.0</v>
      </c>
      <c r="V47" s="65">
        <v>0.0</v>
      </c>
      <c r="W47" s="65">
        <v>0.0</v>
      </c>
      <c r="X47" s="65">
        <v>0.0</v>
      </c>
      <c r="Y47" s="65">
        <v>0.0</v>
      </c>
      <c r="Z47" s="66">
        <v>0.0</v>
      </c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7">
        <v>0.0</v>
      </c>
      <c r="AW47" s="26"/>
      <c r="AY47" s="27"/>
      <c r="AZ47" s="27"/>
    </row>
    <row r="48" ht="18.0" customHeight="1">
      <c r="A48" s="28"/>
      <c r="B48" s="40"/>
      <c r="C48" s="41" t="s">
        <v>9</v>
      </c>
      <c r="D48" s="125">
        <v>1431.0</v>
      </c>
      <c r="E48" s="54">
        <v>1235.0</v>
      </c>
      <c r="F48" s="126">
        <v>1462.0</v>
      </c>
      <c r="G48" s="54">
        <v>1842.0</v>
      </c>
      <c r="H48" s="54">
        <v>2801.0</v>
      </c>
      <c r="I48" s="54">
        <v>2900.0</v>
      </c>
      <c r="J48" s="54">
        <v>2318.0</v>
      </c>
      <c r="K48" s="54">
        <v>2694.0</v>
      </c>
      <c r="L48" s="54">
        <v>2589.0</v>
      </c>
      <c r="M48" s="54">
        <v>3209.0</v>
      </c>
      <c r="N48" s="127"/>
      <c r="O48" s="128">
        <v>1586.0</v>
      </c>
      <c r="P48" s="133"/>
      <c r="Q48" s="130">
        <v>3209.0</v>
      </c>
      <c r="R48" s="130">
        <v>3209.0</v>
      </c>
      <c r="S48" s="130">
        <v>3209.0</v>
      </c>
      <c r="T48" s="130">
        <v>3209.0</v>
      </c>
      <c r="U48" s="130">
        <v>3217.0</v>
      </c>
      <c r="V48" s="130">
        <v>3217.0</v>
      </c>
      <c r="W48" s="130">
        <v>3217.0</v>
      </c>
      <c r="X48" s="130">
        <v>3217.0</v>
      </c>
      <c r="Y48" s="130">
        <v>3217.0</v>
      </c>
      <c r="Z48" s="60">
        <v>3417.0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3">
        <v>3417.0</v>
      </c>
      <c r="AW48" s="26"/>
      <c r="AY48" s="27"/>
      <c r="AZ48" s="27"/>
    </row>
    <row r="49" ht="18.0" customHeight="1">
      <c r="A49" s="29"/>
      <c r="B49" s="43" t="s">
        <v>11</v>
      </c>
      <c r="C49" s="64" t="s">
        <v>9</v>
      </c>
      <c r="D49" s="134">
        <v>0.0</v>
      </c>
      <c r="E49" s="70">
        <v>0.0</v>
      </c>
      <c r="F49" s="135">
        <v>0.0</v>
      </c>
      <c r="G49" s="70">
        <v>0.0</v>
      </c>
      <c r="H49" s="70">
        <v>0.0</v>
      </c>
      <c r="I49" s="70">
        <v>0.0</v>
      </c>
      <c r="J49" s="70">
        <v>0.0</v>
      </c>
      <c r="K49" s="70">
        <v>0.0</v>
      </c>
      <c r="L49" s="70">
        <v>0.0</v>
      </c>
      <c r="M49" s="70">
        <v>0.0</v>
      </c>
      <c r="N49" s="136"/>
      <c r="O49" s="137">
        <v>0.0</v>
      </c>
      <c r="P49" s="138"/>
      <c r="Q49" s="139">
        <v>0.0</v>
      </c>
      <c r="R49" s="139">
        <v>0.0</v>
      </c>
      <c r="S49" s="139">
        <v>0.0</v>
      </c>
      <c r="T49" s="139">
        <v>0.0</v>
      </c>
      <c r="U49" s="139">
        <v>0.0</v>
      </c>
      <c r="V49" s="139">
        <v>0.0</v>
      </c>
      <c r="W49" s="139">
        <v>0.0</v>
      </c>
      <c r="X49" s="139">
        <v>0.0</v>
      </c>
      <c r="Y49" s="139">
        <v>0.0</v>
      </c>
      <c r="Z49" s="71">
        <v>0.0</v>
      </c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85">
        <v>0.0</v>
      </c>
      <c r="AW49" s="26"/>
      <c r="AY49" s="27"/>
      <c r="AZ49" s="27"/>
    </row>
    <row r="50" ht="16.5" customHeight="1">
      <c r="A50" s="1"/>
      <c r="B50" s="1"/>
      <c r="C50" s="1"/>
      <c r="D50" s="141">
        <f t="shared" ref="D50:AV50" si="23">SUM(D45:D49)</f>
        <v>96181</v>
      </c>
      <c r="E50" s="27">
        <f t="shared" si="23"/>
        <v>109294</v>
      </c>
      <c r="F50" s="27">
        <f t="shared" si="23"/>
        <v>117558</v>
      </c>
      <c r="G50" s="27">
        <f t="shared" si="23"/>
        <v>116713</v>
      </c>
      <c r="H50" s="27">
        <f t="shared" si="23"/>
        <v>110558</v>
      </c>
      <c r="I50" s="27">
        <f t="shared" si="23"/>
        <v>168524</v>
      </c>
      <c r="J50" s="27">
        <f t="shared" si="23"/>
        <v>155181</v>
      </c>
      <c r="K50" s="27">
        <f t="shared" si="23"/>
        <v>141032</v>
      </c>
      <c r="L50" s="27">
        <f t="shared" si="23"/>
        <v>147472</v>
      </c>
      <c r="M50" s="27">
        <f t="shared" si="23"/>
        <v>130438</v>
      </c>
      <c r="N50" s="27">
        <f t="shared" si="23"/>
        <v>0</v>
      </c>
      <c r="O50" s="27">
        <f t="shared" si="23"/>
        <v>94910</v>
      </c>
      <c r="P50" s="27">
        <f t="shared" si="23"/>
        <v>0</v>
      </c>
      <c r="Q50" s="27">
        <f t="shared" si="23"/>
        <v>130438</v>
      </c>
      <c r="R50" s="27">
        <f t="shared" si="23"/>
        <v>130438</v>
      </c>
      <c r="S50" s="27">
        <f t="shared" si="23"/>
        <v>115722</v>
      </c>
      <c r="T50" s="27">
        <f t="shared" si="23"/>
        <v>124858</v>
      </c>
      <c r="U50" s="27">
        <f t="shared" si="23"/>
        <v>120488</v>
      </c>
      <c r="V50" s="27">
        <f t="shared" si="23"/>
        <v>129328</v>
      </c>
      <c r="W50" s="27">
        <f t="shared" si="23"/>
        <v>134606</v>
      </c>
      <c r="X50" s="27">
        <f t="shared" si="23"/>
        <v>134606</v>
      </c>
      <c r="Y50" s="27">
        <f t="shared" si="23"/>
        <v>134606</v>
      </c>
      <c r="Z50" s="27">
        <f t="shared" si="23"/>
        <v>122443</v>
      </c>
      <c r="AA50" s="27">
        <f t="shared" si="23"/>
        <v>0</v>
      </c>
      <c r="AB50" s="27">
        <f t="shared" si="23"/>
        <v>0</v>
      </c>
      <c r="AC50" s="27">
        <f t="shared" si="23"/>
        <v>0</v>
      </c>
      <c r="AD50" s="27">
        <f t="shared" si="23"/>
        <v>0</v>
      </c>
      <c r="AE50" s="27">
        <f t="shared" si="23"/>
        <v>0</v>
      </c>
      <c r="AF50" s="27">
        <f t="shared" si="23"/>
        <v>0</v>
      </c>
      <c r="AG50" s="27">
        <f t="shared" si="23"/>
        <v>0</v>
      </c>
      <c r="AH50" s="27">
        <f t="shared" si="23"/>
        <v>0</v>
      </c>
      <c r="AI50" s="27">
        <f t="shared" si="23"/>
        <v>0</v>
      </c>
      <c r="AJ50" s="27">
        <f t="shared" si="23"/>
        <v>0</v>
      </c>
      <c r="AK50" s="27">
        <f t="shared" si="23"/>
        <v>0</v>
      </c>
      <c r="AL50" s="27">
        <f t="shared" si="23"/>
        <v>0</v>
      </c>
      <c r="AM50" s="27">
        <f t="shared" si="23"/>
        <v>0</v>
      </c>
      <c r="AN50" s="27">
        <f t="shared" si="23"/>
        <v>0</v>
      </c>
      <c r="AO50" s="27">
        <f t="shared" si="23"/>
        <v>0</v>
      </c>
      <c r="AP50" s="27">
        <f t="shared" si="23"/>
        <v>0</v>
      </c>
      <c r="AQ50" s="27">
        <f t="shared" si="23"/>
        <v>0</v>
      </c>
      <c r="AR50" s="27">
        <f t="shared" si="23"/>
        <v>0</v>
      </c>
      <c r="AS50" s="27">
        <f t="shared" si="23"/>
        <v>0</v>
      </c>
      <c r="AT50" s="27">
        <f t="shared" si="23"/>
        <v>0</v>
      </c>
      <c r="AU50" s="27">
        <f t="shared" si="23"/>
        <v>0</v>
      </c>
      <c r="AV50" s="27">
        <f t="shared" si="23"/>
        <v>122443</v>
      </c>
      <c r="AW50" s="3"/>
    </row>
    <row r="51" ht="16.5" customHeight="1">
      <c r="A51" s="1"/>
      <c r="B51" s="1"/>
      <c r="C51" s="1"/>
      <c r="D51" s="1"/>
      <c r="E51" s="1"/>
      <c r="F51" s="1"/>
      <c r="AV51" s="2"/>
      <c r="AW51" s="3"/>
    </row>
    <row r="52" ht="16.5" customHeight="1">
      <c r="A52" s="1"/>
      <c r="B52" s="1"/>
      <c r="C52" s="1"/>
      <c r="D52" s="1"/>
      <c r="E52" s="1"/>
      <c r="F52" s="1"/>
      <c r="AV52" s="2"/>
      <c r="AW52" s="3"/>
    </row>
    <row r="53" ht="16.5" customHeight="1">
      <c r="A53" s="1"/>
      <c r="B53" s="1"/>
      <c r="C53" s="1"/>
      <c r="D53" s="1"/>
      <c r="E53" s="1"/>
      <c r="F53" s="1"/>
      <c r="AV53" s="2"/>
      <c r="AW53" s="3"/>
    </row>
    <row r="54" ht="16.5" customHeight="1">
      <c r="A54" s="1"/>
      <c r="B54" s="1"/>
      <c r="C54" s="1"/>
      <c r="D54" s="1"/>
      <c r="E54" s="1"/>
      <c r="F54" s="1"/>
      <c r="AV54" s="2"/>
      <c r="AW54" s="3"/>
    </row>
    <row r="55" ht="16.5" customHeight="1">
      <c r="A55" s="1"/>
      <c r="B55" s="1"/>
      <c r="C55" s="1"/>
      <c r="D55" s="1"/>
      <c r="E55" s="1"/>
      <c r="F55" s="1"/>
      <c r="AV55" s="2"/>
      <c r="AW55" s="3"/>
    </row>
    <row r="56" ht="16.5" customHeight="1">
      <c r="A56" s="1"/>
      <c r="B56" s="1"/>
      <c r="C56" s="1"/>
      <c r="D56" s="1"/>
      <c r="E56" s="1"/>
      <c r="F56" s="1"/>
      <c r="AV56" s="2"/>
      <c r="AW56" s="3"/>
    </row>
    <row r="57" ht="16.5" customHeight="1">
      <c r="A57" s="1"/>
      <c r="B57" s="1"/>
      <c r="C57" s="1"/>
      <c r="D57" s="1"/>
      <c r="E57" s="1"/>
      <c r="F57" s="1"/>
      <c r="AV57" s="2"/>
      <c r="AW57" s="3"/>
    </row>
    <row r="58" ht="16.5" customHeight="1">
      <c r="A58" s="1"/>
      <c r="B58" s="1"/>
      <c r="C58" s="1"/>
      <c r="D58" s="1"/>
      <c r="E58" s="1"/>
      <c r="F58" s="1"/>
      <c r="AV58" s="2"/>
      <c r="AW58" s="3"/>
    </row>
    <row r="59" ht="16.5" customHeight="1">
      <c r="A59" s="1"/>
      <c r="B59" s="1"/>
      <c r="C59" s="1"/>
      <c r="D59" s="1"/>
      <c r="E59" s="1"/>
      <c r="F59" s="1"/>
      <c r="AV59" s="2"/>
      <c r="AW59" s="3"/>
    </row>
    <row r="60" ht="16.5" customHeight="1">
      <c r="A60" s="1"/>
      <c r="B60" s="1"/>
      <c r="C60" s="1"/>
      <c r="D60" s="1"/>
      <c r="E60" s="1"/>
      <c r="F60" s="1"/>
      <c r="AV60" s="2"/>
      <c r="AW60" s="3"/>
    </row>
    <row r="61" ht="16.5" customHeight="1">
      <c r="A61" s="1"/>
      <c r="B61" s="1"/>
      <c r="C61" s="1"/>
      <c r="D61" s="1"/>
      <c r="E61" s="1"/>
      <c r="F61" s="1"/>
      <c r="AV61" s="2"/>
      <c r="AW61" s="3"/>
    </row>
    <row r="62" ht="16.5" customHeight="1">
      <c r="A62" s="1"/>
      <c r="B62" s="1"/>
      <c r="C62" s="1"/>
      <c r="D62" s="1"/>
      <c r="E62" s="1"/>
      <c r="F62" s="1"/>
      <c r="AV62" s="2"/>
      <c r="AW62" s="3"/>
    </row>
    <row r="63" ht="16.5" customHeight="1">
      <c r="A63" s="1"/>
      <c r="B63" s="1"/>
      <c r="C63" s="1"/>
      <c r="D63" s="1"/>
      <c r="E63" s="1"/>
      <c r="F63" s="1"/>
      <c r="AV63" s="2"/>
      <c r="AW63" s="3"/>
    </row>
    <row r="64" ht="16.5" customHeight="1">
      <c r="A64" s="1"/>
      <c r="B64" s="1"/>
      <c r="C64" s="1"/>
      <c r="D64" s="1"/>
      <c r="E64" s="1"/>
      <c r="F64" s="1"/>
      <c r="AV64" s="2"/>
      <c r="AW64" s="3"/>
    </row>
    <row r="65" ht="16.5" customHeight="1">
      <c r="A65" s="1"/>
      <c r="B65" s="1"/>
      <c r="C65" s="1"/>
      <c r="D65" s="1"/>
      <c r="E65" s="1"/>
      <c r="F65" s="1"/>
      <c r="AV65" s="2"/>
      <c r="AW65" s="3"/>
    </row>
    <row r="66" ht="16.5" customHeight="1">
      <c r="A66" s="1"/>
      <c r="B66" s="1"/>
      <c r="C66" s="1"/>
      <c r="D66" s="1"/>
      <c r="E66" s="1"/>
      <c r="F66" s="1"/>
      <c r="AV66" s="2"/>
      <c r="AW66" s="3"/>
    </row>
    <row r="67" ht="16.5" customHeight="1">
      <c r="A67" s="1"/>
      <c r="B67" s="1"/>
      <c r="C67" s="1"/>
      <c r="D67" s="1"/>
      <c r="E67" s="1"/>
      <c r="F67" s="1"/>
      <c r="AV67" s="2"/>
      <c r="AW67" s="3"/>
    </row>
    <row r="68" ht="16.5" customHeight="1">
      <c r="A68" s="1"/>
      <c r="B68" s="1"/>
      <c r="C68" s="1"/>
      <c r="D68" s="1"/>
      <c r="E68" s="1"/>
      <c r="F68" s="1"/>
      <c r="AV68" s="2"/>
      <c r="AW68" s="3"/>
    </row>
    <row r="69" ht="16.5" customHeight="1">
      <c r="A69" s="1"/>
      <c r="B69" s="1"/>
      <c r="C69" s="1"/>
      <c r="D69" s="1"/>
      <c r="E69" s="1"/>
      <c r="F69" s="1"/>
      <c r="AV69" s="2"/>
      <c r="AW69" s="3"/>
    </row>
    <row r="70" ht="16.5" customHeight="1">
      <c r="A70" s="1"/>
      <c r="B70" s="1"/>
      <c r="C70" s="1"/>
      <c r="D70" s="1"/>
      <c r="E70" s="1"/>
      <c r="F70" s="1"/>
      <c r="AV70" s="2"/>
      <c r="AW70" s="3"/>
    </row>
    <row r="71" ht="16.5" customHeight="1">
      <c r="A71" s="1"/>
      <c r="B71" s="1"/>
      <c r="C71" s="1"/>
      <c r="D71" s="1"/>
      <c r="E71" s="1"/>
      <c r="F71" s="1"/>
      <c r="AV71" s="2"/>
      <c r="AW71" s="3"/>
    </row>
    <row r="72" ht="16.5" customHeight="1">
      <c r="A72" s="1"/>
      <c r="B72" s="1"/>
      <c r="C72" s="1"/>
      <c r="D72" s="1"/>
      <c r="E72" s="1"/>
      <c r="F72" s="1"/>
      <c r="AV72" s="2"/>
      <c r="AW72" s="3"/>
    </row>
    <row r="73" ht="16.5" customHeight="1">
      <c r="A73" s="1"/>
      <c r="B73" s="1"/>
      <c r="C73" s="1"/>
      <c r="D73" s="1"/>
      <c r="E73" s="1"/>
      <c r="F73" s="1"/>
      <c r="AV73" s="2"/>
      <c r="AW73" s="3"/>
    </row>
    <row r="74" ht="16.5" customHeight="1">
      <c r="A74" s="1"/>
      <c r="B74" s="1"/>
      <c r="C74" s="1"/>
      <c r="D74" s="1"/>
      <c r="E74" s="1"/>
      <c r="F74" s="1"/>
      <c r="AV74" s="2"/>
      <c r="AW74" s="3"/>
    </row>
    <row r="75" ht="16.5" customHeight="1">
      <c r="A75" s="1"/>
      <c r="B75" s="1"/>
      <c r="C75" s="1"/>
      <c r="D75" s="1"/>
      <c r="E75" s="1"/>
      <c r="F75" s="1"/>
      <c r="AV75" s="2"/>
      <c r="AW75" s="3"/>
    </row>
    <row r="76" ht="16.5" customHeight="1">
      <c r="A76" s="1"/>
      <c r="B76" s="1"/>
      <c r="C76" s="1"/>
      <c r="D76" s="1"/>
      <c r="E76" s="1"/>
      <c r="F76" s="1"/>
      <c r="AV76" s="2"/>
      <c r="AW76" s="3"/>
    </row>
    <row r="77" ht="16.5" customHeight="1">
      <c r="A77" s="1"/>
      <c r="B77" s="1"/>
      <c r="C77" s="1"/>
      <c r="D77" s="1"/>
      <c r="E77" s="1"/>
      <c r="F77" s="1"/>
      <c r="AV77" s="2"/>
      <c r="AW77" s="3"/>
    </row>
    <row r="78" ht="16.5" customHeight="1">
      <c r="A78" s="1"/>
      <c r="B78" s="1"/>
      <c r="C78" s="1"/>
      <c r="D78" s="1"/>
      <c r="E78" s="1"/>
      <c r="F78" s="1"/>
      <c r="AV78" s="2"/>
      <c r="AW78" s="3"/>
    </row>
    <row r="79" ht="16.5" customHeight="1">
      <c r="A79" s="1"/>
      <c r="B79" s="1"/>
      <c r="C79" s="1"/>
      <c r="D79" s="1"/>
      <c r="E79" s="1"/>
      <c r="F79" s="1"/>
      <c r="AV79" s="2"/>
      <c r="AW79" s="3"/>
    </row>
    <row r="80" ht="16.5" customHeight="1">
      <c r="A80" s="1"/>
      <c r="B80" s="1"/>
      <c r="C80" s="1"/>
      <c r="D80" s="1"/>
      <c r="E80" s="1"/>
      <c r="F80" s="1"/>
      <c r="AV80" s="2"/>
      <c r="AW80" s="3"/>
    </row>
    <row r="81" ht="16.5" customHeight="1">
      <c r="A81" s="1"/>
      <c r="B81" s="1"/>
      <c r="C81" s="1"/>
      <c r="D81" s="1"/>
      <c r="E81" s="1"/>
      <c r="F81" s="1"/>
      <c r="AV81" s="2"/>
      <c r="AW81" s="3"/>
    </row>
    <row r="82" ht="16.5" customHeight="1">
      <c r="A82" s="1"/>
      <c r="B82" s="1"/>
      <c r="C82" s="1"/>
      <c r="D82" s="1"/>
      <c r="E82" s="1"/>
      <c r="F82" s="1"/>
      <c r="AV82" s="2"/>
      <c r="AW82" s="3"/>
    </row>
    <row r="83" ht="16.5" customHeight="1">
      <c r="A83" s="1"/>
      <c r="B83" s="1"/>
      <c r="C83" s="1"/>
      <c r="D83" s="1"/>
      <c r="E83" s="1"/>
      <c r="F83" s="1"/>
      <c r="AV83" s="2"/>
      <c r="AW83" s="3"/>
    </row>
    <row r="84" ht="16.5" customHeight="1">
      <c r="A84" s="1"/>
      <c r="B84" s="1"/>
      <c r="C84" s="1"/>
      <c r="D84" s="1"/>
      <c r="E84" s="1"/>
      <c r="F84" s="1"/>
      <c r="AV84" s="2"/>
      <c r="AW84" s="3"/>
    </row>
    <row r="85" ht="16.5" customHeight="1">
      <c r="A85" s="1"/>
      <c r="B85" s="1"/>
      <c r="C85" s="1"/>
      <c r="D85" s="1"/>
      <c r="E85" s="1"/>
      <c r="F85" s="1"/>
      <c r="AV85" s="2"/>
      <c r="AW85" s="3"/>
    </row>
    <row r="86" ht="16.5" customHeight="1">
      <c r="A86" s="1"/>
      <c r="B86" s="1"/>
      <c r="C86" s="1"/>
      <c r="D86" s="1"/>
      <c r="E86" s="1"/>
      <c r="F86" s="1"/>
      <c r="AV86" s="2"/>
      <c r="AW86" s="3"/>
    </row>
    <row r="87" ht="16.5" customHeight="1">
      <c r="A87" s="1"/>
      <c r="B87" s="1"/>
      <c r="C87" s="1"/>
      <c r="D87" s="1"/>
      <c r="E87" s="1"/>
      <c r="F87" s="1"/>
      <c r="AV87" s="2"/>
      <c r="AW87" s="3"/>
    </row>
    <row r="88" ht="16.5" customHeight="1">
      <c r="A88" s="1"/>
      <c r="B88" s="1"/>
      <c r="C88" s="1"/>
      <c r="D88" s="1"/>
      <c r="E88" s="1"/>
      <c r="F88" s="1"/>
      <c r="AV88" s="2"/>
      <c r="AW88" s="3"/>
    </row>
    <row r="89" ht="16.5" customHeight="1">
      <c r="A89" s="1"/>
      <c r="B89" s="1"/>
      <c r="C89" s="1"/>
      <c r="D89" s="1"/>
      <c r="E89" s="1"/>
      <c r="F89" s="1"/>
      <c r="AV89" s="2"/>
      <c r="AW89" s="3"/>
    </row>
    <row r="90" ht="16.5" customHeight="1">
      <c r="A90" s="1"/>
      <c r="B90" s="1"/>
      <c r="C90" s="1"/>
      <c r="D90" s="1"/>
      <c r="E90" s="1"/>
      <c r="F90" s="1"/>
      <c r="AV90" s="2"/>
      <c r="AW90" s="3"/>
    </row>
    <row r="91" ht="16.5" customHeight="1">
      <c r="A91" s="1"/>
      <c r="B91" s="1"/>
      <c r="C91" s="1"/>
      <c r="D91" s="1"/>
      <c r="E91" s="1"/>
      <c r="F91" s="1"/>
      <c r="AV91" s="2"/>
      <c r="AW91" s="3"/>
    </row>
    <row r="92" ht="16.5" customHeight="1">
      <c r="A92" s="1"/>
      <c r="B92" s="1"/>
      <c r="C92" s="1"/>
      <c r="D92" s="1"/>
      <c r="E92" s="1"/>
      <c r="F92" s="1"/>
      <c r="AV92" s="2"/>
      <c r="AW92" s="3"/>
    </row>
    <row r="93" ht="16.5" customHeight="1">
      <c r="A93" s="1"/>
      <c r="B93" s="1"/>
      <c r="C93" s="1"/>
      <c r="D93" s="1"/>
      <c r="E93" s="1"/>
      <c r="F93" s="1"/>
      <c r="AV93" s="2"/>
      <c r="AW93" s="3"/>
    </row>
    <row r="94" ht="16.5" customHeight="1">
      <c r="A94" s="1"/>
      <c r="B94" s="1"/>
      <c r="C94" s="1"/>
      <c r="D94" s="1"/>
      <c r="E94" s="1"/>
      <c r="F94" s="1"/>
      <c r="AV94" s="2"/>
      <c r="AW94" s="3"/>
    </row>
    <row r="95" ht="16.5" customHeight="1">
      <c r="A95" s="1"/>
      <c r="B95" s="1"/>
      <c r="C95" s="1"/>
      <c r="D95" s="1"/>
      <c r="E95" s="1"/>
      <c r="F95" s="1"/>
      <c r="AV95" s="2"/>
      <c r="AW95" s="3"/>
    </row>
    <row r="96" ht="16.5" customHeight="1">
      <c r="A96" s="1"/>
      <c r="B96" s="1"/>
      <c r="C96" s="1"/>
      <c r="D96" s="1"/>
      <c r="E96" s="1"/>
      <c r="F96" s="1"/>
      <c r="AV96" s="2"/>
      <c r="AW96" s="3"/>
    </row>
    <row r="97" ht="16.5" customHeight="1">
      <c r="A97" s="1"/>
      <c r="B97" s="1"/>
      <c r="C97" s="1"/>
      <c r="D97" s="1"/>
      <c r="E97" s="1"/>
      <c r="F97" s="1"/>
      <c r="AV97" s="2"/>
      <c r="AW97" s="3"/>
    </row>
    <row r="98" ht="16.5" customHeight="1">
      <c r="A98" s="1"/>
      <c r="B98" s="1"/>
      <c r="C98" s="1"/>
      <c r="D98" s="1"/>
      <c r="E98" s="1"/>
      <c r="F98" s="1"/>
      <c r="AV98" s="2"/>
      <c r="AW98" s="3"/>
    </row>
    <row r="99" ht="16.5" customHeight="1">
      <c r="A99" s="1"/>
      <c r="B99" s="1"/>
      <c r="C99" s="1"/>
      <c r="D99" s="1"/>
      <c r="E99" s="1"/>
      <c r="F99" s="1"/>
      <c r="AV99" s="2"/>
      <c r="AW99" s="3"/>
    </row>
    <row r="100" ht="16.5" customHeight="1">
      <c r="A100" s="1"/>
      <c r="B100" s="1"/>
      <c r="C100" s="1"/>
      <c r="D100" s="1"/>
      <c r="E100" s="1"/>
      <c r="F100" s="1"/>
      <c r="AV100" s="2"/>
      <c r="AW100" s="3"/>
    </row>
    <row r="101" ht="16.5" customHeight="1">
      <c r="A101" s="1"/>
      <c r="B101" s="1"/>
      <c r="C101" s="1"/>
      <c r="D101" s="1"/>
      <c r="E101" s="1"/>
      <c r="F101" s="1"/>
      <c r="AV101" s="2"/>
      <c r="AW101" s="3"/>
    </row>
    <row r="102" ht="16.5" customHeight="1">
      <c r="A102" s="1"/>
      <c r="B102" s="1"/>
      <c r="C102" s="1"/>
      <c r="D102" s="1"/>
      <c r="E102" s="1"/>
      <c r="F102" s="1"/>
      <c r="AV102" s="2"/>
      <c r="AW102" s="3"/>
    </row>
    <row r="103" ht="16.5" customHeight="1">
      <c r="A103" s="1"/>
      <c r="B103" s="1"/>
      <c r="C103" s="1"/>
      <c r="D103" s="1"/>
      <c r="E103" s="1"/>
      <c r="F103" s="1"/>
      <c r="AV103" s="2"/>
      <c r="AW103" s="3"/>
    </row>
    <row r="104" ht="16.5" customHeight="1">
      <c r="A104" s="1"/>
      <c r="B104" s="1"/>
      <c r="C104" s="1"/>
      <c r="D104" s="1"/>
      <c r="E104" s="1"/>
      <c r="F104" s="1"/>
      <c r="AV104" s="2"/>
      <c r="AW104" s="3"/>
    </row>
    <row r="105" ht="16.5" customHeight="1">
      <c r="A105" s="1"/>
      <c r="B105" s="1"/>
      <c r="C105" s="1"/>
      <c r="D105" s="1"/>
      <c r="E105" s="1"/>
      <c r="F105" s="1"/>
      <c r="AV105" s="2"/>
      <c r="AW105" s="3"/>
    </row>
    <row r="106" ht="16.5" customHeight="1">
      <c r="A106" s="1"/>
      <c r="B106" s="1"/>
      <c r="C106" s="1"/>
      <c r="D106" s="1"/>
      <c r="E106" s="1"/>
      <c r="F106" s="1"/>
      <c r="AV106" s="2"/>
      <c r="AW106" s="3"/>
    </row>
    <row r="107" ht="16.5" customHeight="1">
      <c r="A107" s="1"/>
      <c r="B107" s="1"/>
      <c r="C107" s="1"/>
      <c r="D107" s="1"/>
      <c r="E107" s="1"/>
      <c r="F107" s="1"/>
      <c r="AV107" s="2"/>
      <c r="AW107" s="3"/>
    </row>
    <row r="108" ht="16.5" customHeight="1">
      <c r="A108" s="1"/>
      <c r="B108" s="1"/>
      <c r="C108" s="1"/>
      <c r="D108" s="1"/>
      <c r="E108" s="1"/>
      <c r="F108" s="1"/>
      <c r="AV108" s="2"/>
      <c r="AW108" s="3"/>
    </row>
    <row r="109" ht="16.5" customHeight="1">
      <c r="A109" s="1"/>
      <c r="B109" s="1"/>
      <c r="C109" s="1"/>
      <c r="D109" s="1"/>
      <c r="E109" s="1"/>
      <c r="F109" s="1"/>
      <c r="AV109" s="2"/>
      <c r="AW109" s="3"/>
    </row>
    <row r="110" ht="16.5" customHeight="1">
      <c r="A110" s="1"/>
      <c r="B110" s="1"/>
      <c r="C110" s="1"/>
      <c r="D110" s="1"/>
      <c r="E110" s="1"/>
      <c r="F110" s="1"/>
      <c r="AV110" s="2"/>
      <c r="AW110" s="3"/>
    </row>
    <row r="111" ht="16.5" customHeight="1">
      <c r="A111" s="1"/>
      <c r="B111" s="1"/>
      <c r="C111" s="1"/>
      <c r="D111" s="1"/>
      <c r="E111" s="1"/>
      <c r="F111" s="1"/>
      <c r="AV111" s="2"/>
      <c r="AW111" s="3"/>
    </row>
    <row r="112" ht="16.5" customHeight="1">
      <c r="A112" s="1"/>
      <c r="B112" s="1"/>
      <c r="C112" s="1"/>
      <c r="D112" s="1"/>
      <c r="E112" s="1"/>
      <c r="F112" s="1"/>
      <c r="AV112" s="2"/>
      <c r="AW112" s="3"/>
    </row>
    <row r="113" ht="16.5" customHeight="1">
      <c r="A113" s="1"/>
      <c r="B113" s="1"/>
      <c r="C113" s="1"/>
      <c r="D113" s="1"/>
      <c r="E113" s="1"/>
      <c r="F113" s="1"/>
      <c r="AV113" s="2"/>
      <c r="AW113" s="3"/>
    </row>
    <row r="114" ht="16.5" customHeight="1">
      <c r="A114" s="1"/>
      <c r="B114" s="1"/>
      <c r="C114" s="1"/>
      <c r="D114" s="1"/>
      <c r="E114" s="1"/>
      <c r="F114" s="1"/>
      <c r="AV114" s="2"/>
      <c r="AW114" s="3"/>
    </row>
    <row r="115" ht="16.5" customHeight="1">
      <c r="A115" s="1"/>
      <c r="B115" s="1"/>
      <c r="C115" s="1"/>
      <c r="D115" s="1"/>
      <c r="E115" s="1"/>
      <c r="F115" s="1"/>
      <c r="AV115" s="2"/>
      <c r="AW115" s="3"/>
    </row>
    <row r="116" ht="16.5" customHeight="1">
      <c r="A116" s="1"/>
      <c r="B116" s="1"/>
      <c r="C116" s="1"/>
      <c r="D116" s="1"/>
      <c r="E116" s="1"/>
      <c r="F116" s="1"/>
      <c r="AV116" s="2"/>
      <c r="AW116" s="3"/>
    </row>
    <row r="117" ht="16.5" customHeight="1">
      <c r="A117" s="1"/>
      <c r="B117" s="1"/>
      <c r="C117" s="1"/>
      <c r="D117" s="1"/>
      <c r="E117" s="1"/>
      <c r="F117" s="1"/>
      <c r="AV117" s="2"/>
      <c r="AW117" s="3"/>
    </row>
    <row r="118" ht="16.5" customHeight="1">
      <c r="A118" s="1"/>
      <c r="B118" s="1"/>
      <c r="C118" s="1"/>
      <c r="D118" s="1"/>
      <c r="E118" s="1"/>
      <c r="F118" s="1"/>
      <c r="AV118" s="2"/>
      <c r="AW118" s="3"/>
    </row>
    <row r="119" ht="16.5" customHeight="1">
      <c r="A119" s="1"/>
      <c r="B119" s="1"/>
      <c r="C119" s="1"/>
      <c r="D119" s="1"/>
      <c r="E119" s="1"/>
      <c r="F119" s="1"/>
      <c r="AV119" s="2"/>
      <c r="AW119" s="3"/>
    </row>
    <row r="120" ht="16.5" customHeight="1">
      <c r="A120" s="1"/>
      <c r="B120" s="1"/>
      <c r="C120" s="1"/>
      <c r="D120" s="1"/>
      <c r="E120" s="1"/>
      <c r="F120" s="1"/>
      <c r="AV120" s="2"/>
      <c r="AW120" s="3"/>
    </row>
    <row r="121" ht="16.5" customHeight="1">
      <c r="A121" s="1"/>
      <c r="B121" s="1"/>
      <c r="C121" s="1"/>
      <c r="D121" s="1"/>
      <c r="E121" s="1"/>
      <c r="F121" s="1"/>
      <c r="AV121" s="2"/>
      <c r="AW121" s="3"/>
    </row>
    <row r="122" ht="16.5" customHeight="1">
      <c r="A122" s="1"/>
      <c r="B122" s="1"/>
      <c r="C122" s="1"/>
      <c r="D122" s="1"/>
      <c r="E122" s="1"/>
      <c r="F122" s="1"/>
      <c r="AV122" s="2"/>
      <c r="AW122" s="3"/>
    </row>
    <row r="123" ht="16.5" customHeight="1">
      <c r="A123" s="1"/>
      <c r="B123" s="1"/>
      <c r="C123" s="1"/>
      <c r="D123" s="1"/>
      <c r="E123" s="1"/>
      <c r="F123" s="1"/>
      <c r="AV123" s="2"/>
      <c r="AW123" s="3"/>
    </row>
    <row r="124" ht="16.5" customHeight="1">
      <c r="A124" s="1"/>
      <c r="B124" s="1"/>
      <c r="C124" s="1"/>
      <c r="D124" s="1"/>
      <c r="E124" s="1"/>
      <c r="F124" s="1"/>
      <c r="AV124" s="2"/>
      <c r="AW124" s="3"/>
    </row>
    <row r="125" ht="16.5" customHeight="1">
      <c r="A125" s="1"/>
      <c r="B125" s="1"/>
      <c r="C125" s="1"/>
      <c r="D125" s="1"/>
      <c r="E125" s="1"/>
      <c r="F125" s="1"/>
      <c r="AV125" s="2"/>
      <c r="AW125" s="3"/>
    </row>
    <row r="126" ht="16.5" customHeight="1">
      <c r="A126" s="1"/>
      <c r="B126" s="1"/>
      <c r="C126" s="1"/>
      <c r="D126" s="1"/>
      <c r="E126" s="1"/>
      <c r="F126" s="1"/>
      <c r="AV126" s="2"/>
      <c r="AW126" s="3"/>
    </row>
    <row r="127" ht="16.5" customHeight="1">
      <c r="A127" s="1"/>
      <c r="B127" s="1"/>
      <c r="C127" s="1"/>
      <c r="D127" s="1"/>
      <c r="E127" s="1"/>
      <c r="F127" s="1"/>
      <c r="AV127" s="2"/>
      <c r="AW127" s="3"/>
    </row>
    <row r="128" ht="16.5" customHeight="1">
      <c r="A128" s="1"/>
      <c r="B128" s="1"/>
      <c r="C128" s="1"/>
      <c r="D128" s="1"/>
      <c r="E128" s="1"/>
      <c r="F128" s="1"/>
      <c r="AV128" s="2"/>
      <c r="AW128" s="3"/>
    </row>
    <row r="129" ht="16.5" customHeight="1">
      <c r="A129" s="1"/>
      <c r="B129" s="1"/>
      <c r="C129" s="1"/>
      <c r="D129" s="1"/>
      <c r="E129" s="1"/>
      <c r="F129" s="1"/>
      <c r="AV129" s="2"/>
      <c r="AW129" s="3"/>
    </row>
    <row r="130" ht="16.5" customHeight="1">
      <c r="A130" s="1"/>
      <c r="B130" s="1"/>
      <c r="C130" s="1"/>
      <c r="D130" s="1"/>
      <c r="E130" s="1"/>
      <c r="F130" s="1"/>
      <c r="AV130" s="2"/>
      <c r="AW130" s="3"/>
    </row>
    <row r="131" ht="16.5" customHeight="1">
      <c r="A131" s="1"/>
      <c r="B131" s="1"/>
      <c r="C131" s="1"/>
      <c r="D131" s="1"/>
      <c r="E131" s="1"/>
      <c r="F131" s="1"/>
      <c r="AV131" s="2"/>
      <c r="AW131" s="3"/>
    </row>
    <row r="132" ht="16.5" customHeight="1">
      <c r="A132" s="1"/>
      <c r="B132" s="1"/>
      <c r="C132" s="1"/>
      <c r="D132" s="1"/>
      <c r="E132" s="1"/>
      <c r="F132" s="1"/>
      <c r="AV132" s="2"/>
      <c r="AW132" s="3"/>
    </row>
    <row r="133" ht="16.5" customHeight="1">
      <c r="A133" s="1"/>
      <c r="B133" s="1"/>
      <c r="C133" s="1"/>
      <c r="D133" s="1"/>
      <c r="E133" s="1"/>
      <c r="F133" s="1"/>
      <c r="AV133" s="2"/>
      <c r="AW133" s="3"/>
    </row>
    <row r="134" ht="16.5" customHeight="1">
      <c r="A134" s="1"/>
      <c r="B134" s="1"/>
      <c r="C134" s="1"/>
      <c r="D134" s="1"/>
      <c r="E134" s="1"/>
      <c r="F134" s="1"/>
      <c r="AV134" s="2"/>
      <c r="AW134" s="3"/>
    </row>
    <row r="135" ht="16.5" customHeight="1">
      <c r="A135" s="1"/>
      <c r="B135" s="1"/>
      <c r="C135" s="1"/>
      <c r="D135" s="1"/>
      <c r="E135" s="1"/>
      <c r="F135" s="1"/>
      <c r="AV135" s="2"/>
      <c r="AW135" s="3"/>
    </row>
    <row r="136" ht="16.5" customHeight="1">
      <c r="A136" s="1"/>
      <c r="B136" s="1"/>
      <c r="C136" s="1"/>
      <c r="D136" s="1"/>
      <c r="E136" s="1"/>
      <c r="F136" s="1"/>
      <c r="AV136" s="2"/>
      <c r="AW136" s="3"/>
    </row>
    <row r="137" ht="16.5" customHeight="1">
      <c r="A137" s="1"/>
      <c r="B137" s="1"/>
      <c r="C137" s="1"/>
      <c r="D137" s="1"/>
      <c r="E137" s="1"/>
      <c r="F137" s="1"/>
      <c r="AV137" s="2"/>
      <c r="AW137" s="3"/>
    </row>
    <row r="138" ht="16.5" customHeight="1">
      <c r="A138" s="1"/>
      <c r="B138" s="1"/>
      <c r="C138" s="1"/>
      <c r="D138" s="1"/>
      <c r="E138" s="1"/>
      <c r="F138" s="1"/>
      <c r="AV138" s="2"/>
      <c r="AW138" s="3"/>
    </row>
    <row r="139" ht="16.5" customHeight="1">
      <c r="A139" s="1"/>
      <c r="B139" s="1"/>
      <c r="C139" s="1"/>
      <c r="D139" s="1"/>
      <c r="E139" s="1"/>
      <c r="F139" s="1"/>
      <c r="AV139" s="2"/>
      <c r="AW139" s="3"/>
    </row>
    <row r="140" ht="16.5" customHeight="1">
      <c r="A140" s="1"/>
      <c r="B140" s="1"/>
      <c r="C140" s="1"/>
      <c r="D140" s="1"/>
      <c r="E140" s="1"/>
      <c r="F140" s="1"/>
      <c r="AV140" s="2"/>
      <c r="AW140" s="3"/>
    </row>
    <row r="141" ht="16.5" customHeight="1">
      <c r="A141" s="1"/>
      <c r="B141" s="1"/>
      <c r="C141" s="1"/>
      <c r="D141" s="1"/>
      <c r="E141" s="1"/>
      <c r="F141" s="1"/>
      <c r="AV141" s="2"/>
      <c r="AW141" s="3"/>
    </row>
    <row r="142" ht="16.5" customHeight="1">
      <c r="A142" s="1"/>
      <c r="B142" s="1"/>
      <c r="C142" s="1"/>
      <c r="D142" s="1"/>
      <c r="E142" s="1"/>
      <c r="F142" s="1"/>
      <c r="AV142" s="2"/>
      <c r="AW142" s="3"/>
    </row>
    <row r="143" ht="16.5" customHeight="1">
      <c r="A143" s="1"/>
      <c r="B143" s="1"/>
      <c r="C143" s="1"/>
      <c r="D143" s="1"/>
      <c r="E143" s="1"/>
      <c r="F143" s="1"/>
      <c r="AV143" s="2"/>
      <c r="AW143" s="3"/>
    </row>
    <row r="144" ht="16.5" customHeight="1">
      <c r="A144" s="1"/>
      <c r="B144" s="1"/>
      <c r="C144" s="1"/>
      <c r="D144" s="1"/>
      <c r="E144" s="1"/>
      <c r="F144" s="1"/>
      <c r="AV144" s="2"/>
      <c r="AW144" s="3"/>
    </row>
    <row r="145" ht="16.5" customHeight="1">
      <c r="A145" s="1"/>
      <c r="B145" s="1"/>
      <c r="C145" s="1"/>
      <c r="D145" s="1"/>
      <c r="E145" s="1"/>
      <c r="F145" s="1"/>
      <c r="AV145" s="2"/>
      <c r="AW145" s="3"/>
    </row>
    <row r="146" ht="16.5" customHeight="1">
      <c r="A146" s="1"/>
      <c r="B146" s="1"/>
      <c r="C146" s="1"/>
      <c r="D146" s="1"/>
      <c r="E146" s="1"/>
      <c r="F146" s="1"/>
      <c r="AV146" s="2"/>
      <c r="AW146" s="3"/>
    </row>
    <row r="147" ht="16.5" customHeight="1">
      <c r="A147" s="1"/>
      <c r="B147" s="1"/>
      <c r="C147" s="1"/>
      <c r="D147" s="1"/>
      <c r="E147" s="1"/>
      <c r="F147" s="1"/>
      <c r="AV147" s="2"/>
      <c r="AW147" s="3"/>
    </row>
    <row r="148" ht="16.5" customHeight="1">
      <c r="A148" s="1"/>
      <c r="B148" s="1"/>
      <c r="C148" s="1"/>
      <c r="D148" s="1"/>
      <c r="E148" s="1"/>
      <c r="F148" s="1"/>
      <c r="AV148" s="2"/>
      <c r="AW148" s="3"/>
    </row>
    <row r="149" ht="16.5" customHeight="1">
      <c r="A149" s="1"/>
      <c r="B149" s="1"/>
      <c r="C149" s="1"/>
      <c r="D149" s="1"/>
      <c r="E149" s="1"/>
      <c r="F149" s="1"/>
      <c r="AV149" s="2"/>
      <c r="AW149" s="3"/>
    </row>
    <row r="150" ht="16.5" customHeight="1">
      <c r="A150" s="1"/>
      <c r="B150" s="1"/>
      <c r="C150" s="1"/>
      <c r="D150" s="1"/>
      <c r="E150" s="1"/>
      <c r="F150" s="1"/>
      <c r="AV150" s="2"/>
      <c r="AW150" s="3"/>
    </row>
    <row r="151" ht="16.5" customHeight="1">
      <c r="A151" s="1"/>
      <c r="B151" s="1"/>
      <c r="C151" s="1"/>
      <c r="D151" s="1"/>
      <c r="E151" s="1"/>
      <c r="F151" s="1"/>
      <c r="AV151" s="2"/>
      <c r="AW151" s="3"/>
    </row>
    <row r="152" ht="16.5" customHeight="1">
      <c r="A152" s="1"/>
      <c r="B152" s="1"/>
      <c r="C152" s="1"/>
      <c r="D152" s="1"/>
      <c r="E152" s="1"/>
      <c r="F152" s="1"/>
      <c r="AV152" s="2"/>
      <c r="AW152" s="3"/>
    </row>
    <row r="153" ht="16.5" customHeight="1">
      <c r="A153" s="1"/>
      <c r="B153" s="1"/>
      <c r="C153" s="1"/>
      <c r="D153" s="1"/>
      <c r="E153" s="1"/>
      <c r="F153" s="1"/>
      <c r="AV153" s="2"/>
      <c r="AW153" s="3"/>
    </row>
    <row r="154" ht="16.5" customHeight="1">
      <c r="A154" s="1"/>
      <c r="B154" s="1"/>
      <c r="C154" s="1"/>
      <c r="D154" s="1"/>
      <c r="E154" s="1"/>
      <c r="F154" s="1"/>
      <c r="AV154" s="2"/>
      <c r="AW154" s="3"/>
    </row>
    <row r="155" ht="16.5" customHeight="1">
      <c r="A155" s="1"/>
      <c r="B155" s="1"/>
      <c r="C155" s="1"/>
      <c r="D155" s="1"/>
      <c r="E155" s="1"/>
      <c r="F155" s="1"/>
      <c r="AV155" s="2"/>
      <c r="AW155" s="3"/>
    </row>
    <row r="156" ht="16.5" customHeight="1">
      <c r="A156" s="1"/>
      <c r="B156" s="1"/>
      <c r="C156" s="1"/>
      <c r="D156" s="1"/>
      <c r="E156" s="1"/>
      <c r="F156" s="1"/>
      <c r="AV156" s="2"/>
      <c r="AW156" s="3"/>
    </row>
    <row r="157" ht="16.5" customHeight="1">
      <c r="A157" s="1"/>
      <c r="B157" s="1"/>
      <c r="C157" s="1"/>
      <c r="D157" s="1"/>
      <c r="E157" s="1"/>
      <c r="F157" s="1"/>
      <c r="AV157" s="2"/>
      <c r="AW157" s="3"/>
    </row>
    <row r="158" ht="16.5" customHeight="1">
      <c r="A158" s="1"/>
      <c r="B158" s="1"/>
      <c r="C158" s="1"/>
      <c r="D158" s="1"/>
      <c r="E158" s="1"/>
      <c r="F158" s="1"/>
      <c r="AV158" s="2"/>
      <c r="AW158" s="3"/>
    </row>
    <row r="159" ht="16.5" customHeight="1">
      <c r="A159" s="1"/>
      <c r="B159" s="1"/>
      <c r="C159" s="1"/>
      <c r="D159" s="1"/>
      <c r="E159" s="1"/>
      <c r="F159" s="1"/>
      <c r="AV159" s="2"/>
      <c r="AW159" s="3"/>
    </row>
    <row r="160" ht="16.5" customHeight="1">
      <c r="A160" s="1"/>
      <c r="B160" s="1"/>
      <c r="C160" s="1"/>
      <c r="D160" s="1"/>
      <c r="E160" s="1"/>
      <c r="F160" s="1"/>
      <c r="AV160" s="2"/>
      <c r="AW160" s="3"/>
    </row>
    <row r="161" ht="16.5" customHeight="1">
      <c r="A161" s="1"/>
      <c r="B161" s="1"/>
      <c r="C161" s="1"/>
      <c r="D161" s="1"/>
      <c r="E161" s="1"/>
      <c r="F161" s="1"/>
      <c r="AV161" s="2"/>
      <c r="AW161" s="3"/>
    </row>
    <row r="162" ht="16.5" customHeight="1">
      <c r="A162" s="1"/>
      <c r="B162" s="1"/>
      <c r="C162" s="1"/>
      <c r="D162" s="1"/>
      <c r="E162" s="1"/>
      <c r="F162" s="1"/>
      <c r="AV162" s="2"/>
      <c r="AW162" s="3"/>
    </row>
    <row r="163" ht="16.5" customHeight="1">
      <c r="A163" s="1"/>
      <c r="B163" s="1"/>
      <c r="C163" s="1"/>
      <c r="D163" s="1"/>
      <c r="E163" s="1"/>
      <c r="F163" s="1"/>
      <c r="AV163" s="2"/>
      <c r="AW163" s="3"/>
    </row>
    <row r="164" ht="16.5" customHeight="1">
      <c r="A164" s="1"/>
      <c r="B164" s="1"/>
      <c r="C164" s="1"/>
      <c r="D164" s="1"/>
      <c r="E164" s="1"/>
      <c r="F164" s="1"/>
      <c r="AV164" s="2"/>
      <c r="AW164" s="3"/>
    </row>
    <row r="165" ht="16.5" customHeight="1">
      <c r="A165" s="1"/>
      <c r="B165" s="1"/>
      <c r="C165" s="1"/>
      <c r="D165" s="1"/>
      <c r="E165" s="1"/>
      <c r="F165" s="1"/>
      <c r="AV165" s="2"/>
      <c r="AW165" s="3"/>
    </row>
    <row r="166" ht="16.5" customHeight="1">
      <c r="A166" s="1"/>
      <c r="B166" s="1"/>
      <c r="C166" s="1"/>
      <c r="D166" s="1"/>
      <c r="E166" s="1"/>
      <c r="F166" s="1"/>
      <c r="AV166" s="2"/>
      <c r="AW166" s="3"/>
    </row>
    <row r="167" ht="16.5" customHeight="1">
      <c r="A167" s="1"/>
      <c r="B167" s="1"/>
      <c r="C167" s="1"/>
      <c r="D167" s="1"/>
      <c r="E167" s="1"/>
      <c r="F167" s="1"/>
      <c r="AV167" s="2"/>
      <c r="AW167" s="3"/>
    </row>
    <row r="168" ht="16.5" customHeight="1">
      <c r="A168" s="1"/>
      <c r="B168" s="1"/>
      <c r="C168" s="1"/>
      <c r="D168" s="1"/>
      <c r="E168" s="1"/>
      <c r="F168" s="1"/>
      <c r="AV168" s="2"/>
      <c r="AW168" s="3"/>
    </row>
    <row r="169" ht="16.5" customHeight="1">
      <c r="A169" s="1"/>
      <c r="B169" s="1"/>
      <c r="C169" s="1"/>
      <c r="D169" s="1"/>
      <c r="E169" s="1"/>
      <c r="F169" s="1"/>
      <c r="AV169" s="2"/>
      <c r="AW169" s="3"/>
    </row>
    <row r="170" ht="16.5" customHeight="1">
      <c r="A170" s="1"/>
      <c r="B170" s="1"/>
      <c r="C170" s="1"/>
      <c r="D170" s="1"/>
      <c r="E170" s="1"/>
      <c r="F170" s="1"/>
      <c r="AV170" s="2"/>
      <c r="AW170" s="3"/>
    </row>
    <row r="171" ht="16.5" customHeight="1">
      <c r="A171" s="1"/>
      <c r="B171" s="1"/>
      <c r="C171" s="1"/>
      <c r="D171" s="1"/>
      <c r="E171" s="1"/>
      <c r="F171" s="1"/>
      <c r="AV171" s="2"/>
      <c r="AW171" s="3"/>
    </row>
    <row r="172" ht="16.5" customHeight="1">
      <c r="A172" s="1"/>
      <c r="B172" s="1"/>
      <c r="C172" s="1"/>
      <c r="D172" s="1"/>
      <c r="E172" s="1"/>
      <c r="F172" s="1"/>
      <c r="AV172" s="2"/>
      <c r="AW172" s="3"/>
    </row>
    <row r="173" ht="16.5" customHeight="1">
      <c r="A173" s="1"/>
      <c r="B173" s="1"/>
      <c r="C173" s="1"/>
      <c r="D173" s="1"/>
      <c r="E173" s="1"/>
      <c r="F173" s="1"/>
      <c r="AV173" s="2"/>
      <c r="AW173" s="3"/>
    </row>
    <row r="174" ht="16.5" customHeight="1">
      <c r="A174" s="1"/>
      <c r="B174" s="1"/>
      <c r="C174" s="1"/>
      <c r="D174" s="1"/>
      <c r="E174" s="1"/>
      <c r="F174" s="1"/>
      <c r="AV174" s="2"/>
      <c r="AW174" s="3"/>
    </row>
    <row r="175" ht="16.5" customHeight="1">
      <c r="A175" s="1"/>
      <c r="B175" s="1"/>
      <c r="C175" s="1"/>
      <c r="D175" s="1"/>
      <c r="E175" s="1"/>
      <c r="F175" s="1"/>
      <c r="AV175" s="2"/>
      <c r="AW175" s="3"/>
    </row>
    <row r="176" ht="16.5" customHeight="1">
      <c r="A176" s="1"/>
      <c r="B176" s="1"/>
      <c r="C176" s="1"/>
      <c r="D176" s="1"/>
      <c r="E176" s="1"/>
      <c r="F176" s="1"/>
      <c r="AV176" s="2"/>
      <c r="AW176" s="3"/>
    </row>
    <row r="177" ht="16.5" customHeight="1">
      <c r="A177" s="1"/>
      <c r="B177" s="1"/>
      <c r="C177" s="1"/>
      <c r="D177" s="1"/>
      <c r="E177" s="1"/>
      <c r="F177" s="1"/>
      <c r="AV177" s="2"/>
      <c r="AW177" s="3"/>
    </row>
    <row r="178" ht="16.5" customHeight="1">
      <c r="A178" s="1"/>
      <c r="B178" s="1"/>
      <c r="C178" s="1"/>
      <c r="D178" s="1"/>
      <c r="E178" s="1"/>
      <c r="F178" s="1"/>
      <c r="AV178" s="2"/>
      <c r="AW178" s="3"/>
    </row>
    <row r="179" ht="16.5" customHeight="1">
      <c r="A179" s="1"/>
      <c r="B179" s="1"/>
      <c r="C179" s="1"/>
      <c r="D179" s="1"/>
      <c r="E179" s="1"/>
      <c r="F179" s="1"/>
      <c r="AV179" s="2"/>
      <c r="AW179" s="3"/>
    </row>
    <row r="180" ht="16.5" customHeight="1">
      <c r="A180" s="1"/>
      <c r="B180" s="1"/>
      <c r="C180" s="1"/>
      <c r="D180" s="1"/>
      <c r="E180" s="1"/>
      <c r="F180" s="1"/>
      <c r="AV180" s="2"/>
      <c r="AW180" s="3"/>
    </row>
    <row r="181" ht="16.5" customHeight="1">
      <c r="A181" s="1"/>
      <c r="B181" s="1"/>
      <c r="C181" s="1"/>
      <c r="D181" s="1"/>
      <c r="E181" s="1"/>
      <c r="F181" s="1"/>
      <c r="AV181" s="2"/>
      <c r="AW181" s="3"/>
    </row>
    <row r="182" ht="16.5" customHeight="1">
      <c r="A182" s="1"/>
      <c r="B182" s="1"/>
      <c r="C182" s="1"/>
      <c r="D182" s="1"/>
      <c r="E182" s="1"/>
      <c r="F182" s="1"/>
      <c r="AV182" s="2"/>
      <c r="AW182" s="3"/>
    </row>
    <row r="183" ht="16.5" customHeight="1">
      <c r="A183" s="1"/>
      <c r="B183" s="1"/>
      <c r="C183" s="1"/>
      <c r="D183" s="1"/>
      <c r="E183" s="1"/>
      <c r="F183" s="1"/>
      <c r="AV183" s="2"/>
      <c r="AW183" s="3"/>
    </row>
    <row r="184" ht="16.5" customHeight="1">
      <c r="A184" s="1"/>
      <c r="B184" s="1"/>
      <c r="C184" s="1"/>
      <c r="D184" s="1"/>
      <c r="E184" s="1"/>
      <c r="F184" s="1"/>
      <c r="AV184" s="2"/>
      <c r="AW184" s="3"/>
    </row>
    <row r="185" ht="16.5" customHeight="1">
      <c r="A185" s="1"/>
      <c r="B185" s="1"/>
      <c r="C185" s="1"/>
      <c r="D185" s="1"/>
      <c r="E185" s="1"/>
      <c r="F185" s="1"/>
      <c r="AV185" s="2"/>
      <c r="AW185" s="3"/>
    </row>
    <row r="186" ht="16.5" customHeight="1">
      <c r="A186" s="1"/>
      <c r="B186" s="1"/>
      <c r="C186" s="1"/>
      <c r="D186" s="1"/>
      <c r="E186" s="1"/>
      <c r="F186" s="1"/>
      <c r="AV186" s="2"/>
      <c r="AW186" s="3"/>
    </row>
    <row r="187" ht="16.5" customHeight="1">
      <c r="A187" s="1"/>
      <c r="B187" s="1"/>
      <c r="C187" s="1"/>
      <c r="D187" s="1"/>
      <c r="E187" s="1"/>
      <c r="F187" s="1"/>
      <c r="AV187" s="2"/>
      <c r="AW187" s="3"/>
    </row>
    <row r="188" ht="16.5" customHeight="1">
      <c r="A188" s="1"/>
      <c r="B188" s="1"/>
      <c r="C188" s="1"/>
      <c r="D188" s="1"/>
      <c r="E188" s="1"/>
      <c r="F188" s="1"/>
      <c r="AV188" s="2"/>
      <c r="AW188" s="3"/>
    </row>
    <row r="189" ht="16.5" customHeight="1">
      <c r="A189" s="1"/>
      <c r="B189" s="1"/>
      <c r="C189" s="1"/>
      <c r="D189" s="1"/>
      <c r="E189" s="1"/>
      <c r="F189" s="1"/>
      <c r="AV189" s="2"/>
      <c r="AW189" s="3"/>
    </row>
    <row r="190" ht="16.5" customHeight="1">
      <c r="A190" s="1"/>
      <c r="B190" s="1"/>
      <c r="C190" s="1"/>
      <c r="D190" s="1"/>
      <c r="E190" s="1"/>
      <c r="F190" s="1"/>
      <c r="AV190" s="2"/>
      <c r="AW190" s="3"/>
    </row>
    <row r="191" ht="16.5" customHeight="1">
      <c r="A191" s="1"/>
      <c r="B191" s="1"/>
      <c r="C191" s="1"/>
      <c r="D191" s="1"/>
      <c r="E191" s="1"/>
      <c r="F191" s="1"/>
      <c r="AV191" s="2"/>
      <c r="AW191" s="3"/>
    </row>
    <row r="192" ht="16.5" customHeight="1">
      <c r="A192" s="1"/>
      <c r="B192" s="1"/>
      <c r="C192" s="1"/>
      <c r="D192" s="1"/>
      <c r="E192" s="1"/>
      <c r="F192" s="1"/>
      <c r="AV192" s="2"/>
      <c r="AW192" s="3"/>
    </row>
    <row r="193" ht="16.5" customHeight="1">
      <c r="A193" s="1"/>
      <c r="B193" s="1"/>
      <c r="C193" s="1"/>
      <c r="D193" s="1"/>
      <c r="E193" s="1"/>
      <c r="F193" s="1"/>
      <c r="AV193" s="2"/>
      <c r="AW193" s="3"/>
    </row>
    <row r="194" ht="16.5" customHeight="1">
      <c r="A194" s="1"/>
      <c r="B194" s="1"/>
      <c r="C194" s="1"/>
      <c r="D194" s="1"/>
      <c r="E194" s="1"/>
      <c r="F194" s="1"/>
      <c r="AV194" s="2"/>
      <c r="AW194" s="3"/>
    </row>
    <row r="195" ht="16.5" customHeight="1">
      <c r="A195" s="1"/>
      <c r="B195" s="1"/>
      <c r="C195" s="1"/>
      <c r="D195" s="1"/>
      <c r="E195" s="1"/>
      <c r="F195" s="1"/>
      <c r="AV195" s="2"/>
      <c r="AW195" s="3"/>
    </row>
    <row r="196" ht="16.5" customHeight="1">
      <c r="A196" s="1"/>
      <c r="B196" s="1"/>
      <c r="C196" s="1"/>
      <c r="D196" s="1"/>
      <c r="E196" s="1"/>
      <c r="F196" s="1"/>
      <c r="AV196" s="2"/>
      <c r="AW196" s="3"/>
    </row>
    <row r="197" ht="16.5" customHeight="1">
      <c r="A197" s="1"/>
      <c r="B197" s="1"/>
      <c r="C197" s="1"/>
      <c r="D197" s="1"/>
      <c r="E197" s="1"/>
      <c r="F197" s="1"/>
      <c r="AV197" s="2"/>
      <c r="AW197" s="3"/>
    </row>
    <row r="198" ht="16.5" customHeight="1">
      <c r="A198" s="1"/>
      <c r="B198" s="1"/>
      <c r="C198" s="1"/>
      <c r="D198" s="1"/>
      <c r="E198" s="1"/>
      <c r="F198" s="1"/>
      <c r="AV198" s="2"/>
      <c r="AW198" s="3"/>
    </row>
    <row r="199" ht="16.5" customHeight="1">
      <c r="A199" s="1"/>
      <c r="B199" s="1"/>
      <c r="C199" s="1"/>
      <c r="D199" s="1"/>
      <c r="E199" s="1"/>
      <c r="F199" s="1"/>
      <c r="AV199" s="2"/>
      <c r="AW199" s="3"/>
    </row>
    <row r="200" ht="16.5" customHeight="1">
      <c r="A200" s="1"/>
      <c r="B200" s="1"/>
      <c r="C200" s="1"/>
      <c r="D200" s="1"/>
      <c r="E200" s="1"/>
      <c r="F200" s="1"/>
      <c r="AV200" s="2"/>
      <c r="AW200" s="3"/>
    </row>
    <row r="201" ht="16.5" customHeight="1">
      <c r="A201" s="1"/>
      <c r="B201" s="1"/>
      <c r="C201" s="1"/>
      <c r="D201" s="1"/>
      <c r="E201" s="1"/>
      <c r="F201" s="1"/>
      <c r="AV201" s="2"/>
      <c r="AW201" s="3"/>
    </row>
    <row r="202" ht="16.5" customHeight="1">
      <c r="A202" s="1"/>
      <c r="B202" s="1"/>
      <c r="C202" s="1"/>
      <c r="D202" s="1"/>
      <c r="E202" s="1"/>
      <c r="F202" s="1"/>
      <c r="AV202" s="2"/>
      <c r="AW202" s="3"/>
    </row>
    <row r="203" ht="16.5" customHeight="1">
      <c r="A203" s="1"/>
      <c r="B203" s="1"/>
      <c r="C203" s="1"/>
      <c r="D203" s="1"/>
      <c r="E203" s="1"/>
      <c r="F203" s="1"/>
      <c r="AV203" s="2"/>
      <c r="AW203" s="3"/>
    </row>
    <row r="204" ht="16.5" customHeight="1">
      <c r="A204" s="1"/>
      <c r="B204" s="1"/>
      <c r="C204" s="1"/>
      <c r="D204" s="1"/>
      <c r="E204" s="1"/>
      <c r="F204" s="1"/>
      <c r="AV204" s="2"/>
      <c r="AW204" s="3"/>
    </row>
    <row r="205" ht="16.5" customHeight="1">
      <c r="A205" s="1"/>
      <c r="B205" s="1"/>
      <c r="C205" s="1"/>
      <c r="D205" s="1"/>
      <c r="E205" s="1"/>
      <c r="F205" s="1"/>
      <c r="AV205" s="2"/>
      <c r="AW205" s="3"/>
    </row>
    <row r="206" ht="16.5" customHeight="1">
      <c r="A206" s="1"/>
      <c r="B206" s="1"/>
      <c r="C206" s="1"/>
      <c r="D206" s="1"/>
      <c r="E206" s="1"/>
      <c r="F206" s="1"/>
      <c r="AV206" s="2"/>
      <c r="AW206" s="3"/>
    </row>
    <row r="207" ht="16.5" customHeight="1">
      <c r="A207" s="1"/>
      <c r="B207" s="1"/>
      <c r="C207" s="1"/>
      <c r="D207" s="1"/>
      <c r="E207" s="1"/>
      <c r="F207" s="1"/>
      <c r="AV207" s="2"/>
      <c r="AW207" s="3"/>
    </row>
    <row r="208" ht="16.5" customHeight="1">
      <c r="A208" s="1"/>
      <c r="B208" s="1"/>
      <c r="C208" s="1"/>
      <c r="D208" s="1"/>
      <c r="E208" s="1"/>
      <c r="F208" s="1"/>
      <c r="AV208" s="2"/>
      <c r="AW208" s="3"/>
    </row>
    <row r="209" ht="16.5" customHeight="1">
      <c r="A209" s="1"/>
      <c r="B209" s="1"/>
      <c r="C209" s="1"/>
      <c r="D209" s="1"/>
      <c r="E209" s="1"/>
      <c r="F209" s="1"/>
      <c r="AV209" s="2"/>
      <c r="AW209" s="3"/>
    </row>
    <row r="210" ht="16.5" customHeight="1">
      <c r="A210" s="1"/>
      <c r="B210" s="1"/>
      <c r="C210" s="1"/>
      <c r="D210" s="1"/>
      <c r="E210" s="1"/>
      <c r="F210" s="1"/>
      <c r="AV210" s="2"/>
      <c r="AW210" s="3"/>
    </row>
    <row r="211" ht="16.5" customHeight="1">
      <c r="A211" s="1"/>
      <c r="B211" s="1"/>
      <c r="C211" s="1"/>
      <c r="D211" s="1"/>
      <c r="E211" s="1"/>
      <c r="F211" s="1"/>
      <c r="AV211" s="2"/>
      <c r="AW211" s="3"/>
    </row>
    <row r="212" ht="16.5" customHeight="1">
      <c r="A212" s="1"/>
      <c r="B212" s="1"/>
      <c r="C212" s="1"/>
      <c r="D212" s="1"/>
      <c r="E212" s="1"/>
      <c r="F212" s="1"/>
      <c r="AV212" s="2"/>
      <c r="AW212" s="3"/>
    </row>
    <row r="213" ht="16.5" customHeight="1">
      <c r="A213" s="1"/>
      <c r="B213" s="1"/>
      <c r="C213" s="1"/>
      <c r="D213" s="1"/>
      <c r="E213" s="1"/>
      <c r="F213" s="1"/>
      <c r="AV213" s="2"/>
      <c r="AW213" s="3"/>
    </row>
    <row r="214" ht="16.5" customHeight="1">
      <c r="A214" s="1"/>
      <c r="B214" s="1"/>
      <c r="C214" s="1"/>
      <c r="D214" s="1"/>
      <c r="E214" s="1"/>
      <c r="F214" s="1"/>
      <c r="AV214" s="2"/>
      <c r="AW214" s="3"/>
    </row>
    <row r="215" ht="16.5" customHeight="1">
      <c r="A215" s="1"/>
      <c r="B215" s="1"/>
      <c r="C215" s="1"/>
      <c r="D215" s="1"/>
      <c r="E215" s="1"/>
      <c r="F215" s="1"/>
      <c r="AV215" s="2"/>
      <c r="AW215" s="3"/>
    </row>
    <row r="216" ht="16.5" customHeight="1">
      <c r="A216" s="1"/>
      <c r="B216" s="1"/>
      <c r="C216" s="1"/>
      <c r="D216" s="1"/>
      <c r="E216" s="1"/>
      <c r="F216" s="1"/>
      <c r="AV216" s="2"/>
      <c r="AW216" s="3"/>
    </row>
    <row r="217" ht="16.5" customHeight="1">
      <c r="A217" s="1"/>
      <c r="B217" s="1"/>
      <c r="C217" s="1"/>
      <c r="D217" s="1"/>
      <c r="E217" s="1"/>
      <c r="F217" s="1"/>
      <c r="AV217" s="2"/>
      <c r="AW217" s="3"/>
    </row>
    <row r="218" ht="16.5" customHeight="1">
      <c r="A218" s="1"/>
      <c r="B218" s="1"/>
      <c r="C218" s="1"/>
      <c r="D218" s="1"/>
      <c r="E218" s="1"/>
      <c r="F218" s="1"/>
      <c r="AV218" s="2"/>
      <c r="AW218" s="3"/>
    </row>
    <row r="219" ht="16.5" customHeight="1">
      <c r="A219" s="1"/>
      <c r="B219" s="1"/>
      <c r="C219" s="1"/>
      <c r="D219" s="1"/>
      <c r="E219" s="1"/>
      <c r="F219" s="1"/>
      <c r="AV219" s="2"/>
      <c r="AW219" s="3"/>
    </row>
    <row r="220" ht="16.5" customHeight="1">
      <c r="A220" s="1"/>
      <c r="B220" s="1"/>
      <c r="C220" s="1"/>
      <c r="D220" s="1"/>
      <c r="E220" s="1"/>
      <c r="F220" s="1"/>
      <c r="AV220" s="2"/>
      <c r="AW220" s="3"/>
    </row>
    <row r="221" ht="16.5" customHeight="1">
      <c r="A221" s="1"/>
      <c r="B221" s="1"/>
      <c r="C221" s="1"/>
      <c r="D221" s="1"/>
      <c r="E221" s="1"/>
      <c r="F221" s="1"/>
      <c r="AV221" s="2"/>
      <c r="AW221" s="3"/>
    </row>
    <row r="222" ht="16.5" customHeight="1">
      <c r="A222" s="1"/>
      <c r="B222" s="1"/>
      <c r="C222" s="1"/>
      <c r="D222" s="1"/>
      <c r="E222" s="1"/>
      <c r="F222" s="1"/>
      <c r="AV222" s="2"/>
      <c r="AW222" s="3"/>
    </row>
    <row r="223" ht="16.5" customHeight="1">
      <c r="A223" s="1"/>
      <c r="B223" s="1"/>
      <c r="C223" s="1"/>
      <c r="D223" s="1"/>
      <c r="E223" s="1"/>
      <c r="F223" s="1"/>
      <c r="AV223" s="2"/>
      <c r="AW223" s="3"/>
    </row>
    <row r="224" ht="16.5" customHeight="1">
      <c r="A224" s="1"/>
      <c r="B224" s="1"/>
      <c r="C224" s="1"/>
      <c r="D224" s="1"/>
      <c r="E224" s="1"/>
      <c r="F224" s="1"/>
      <c r="AV224" s="2"/>
      <c r="AW224" s="3"/>
    </row>
    <row r="225" ht="16.5" customHeight="1">
      <c r="A225" s="1"/>
      <c r="B225" s="1"/>
      <c r="C225" s="1"/>
      <c r="D225" s="1"/>
      <c r="E225" s="1"/>
      <c r="F225" s="1"/>
      <c r="AV225" s="2"/>
      <c r="AW225" s="3"/>
    </row>
    <row r="226" ht="16.5" customHeight="1">
      <c r="A226" s="1"/>
      <c r="B226" s="1"/>
      <c r="C226" s="1"/>
      <c r="D226" s="1"/>
      <c r="E226" s="1"/>
      <c r="F226" s="1"/>
      <c r="AV226" s="2"/>
      <c r="AW226" s="3"/>
    </row>
    <row r="227" ht="16.5" customHeight="1">
      <c r="A227" s="1"/>
      <c r="B227" s="1"/>
      <c r="C227" s="1"/>
      <c r="D227" s="1"/>
      <c r="E227" s="1"/>
      <c r="F227" s="1"/>
      <c r="AV227" s="2"/>
      <c r="AW227" s="3"/>
    </row>
    <row r="228" ht="16.5" customHeight="1">
      <c r="A228" s="1"/>
      <c r="B228" s="1"/>
      <c r="C228" s="1"/>
      <c r="D228" s="1"/>
      <c r="E228" s="1"/>
      <c r="F228" s="1"/>
      <c r="AV228" s="2"/>
      <c r="AW228" s="3"/>
    </row>
    <row r="229" ht="16.5" customHeight="1">
      <c r="A229" s="1"/>
      <c r="B229" s="1"/>
      <c r="C229" s="1"/>
      <c r="D229" s="1"/>
      <c r="E229" s="1"/>
      <c r="F229" s="1"/>
      <c r="AV229" s="2"/>
      <c r="AW229" s="3"/>
    </row>
    <row r="230" ht="16.5" customHeight="1">
      <c r="A230" s="1"/>
      <c r="B230" s="1"/>
      <c r="C230" s="1"/>
      <c r="D230" s="1"/>
      <c r="E230" s="1"/>
      <c r="F230" s="1"/>
      <c r="AV230" s="2"/>
      <c r="AW230" s="3"/>
    </row>
    <row r="231" ht="16.5" customHeight="1">
      <c r="A231" s="1"/>
      <c r="B231" s="1"/>
      <c r="C231" s="1"/>
      <c r="D231" s="1"/>
      <c r="E231" s="1"/>
      <c r="F231" s="1"/>
      <c r="AV231" s="2"/>
      <c r="AW231" s="3"/>
    </row>
    <row r="232" ht="16.5" customHeight="1">
      <c r="A232" s="1"/>
      <c r="B232" s="1"/>
      <c r="C232" s="1"/>
      <c r="D232" s="1"/>
      <c r="E232" s="1"/>
      <c r="F232" s="1"/>
      <c r="AV232" s="2"/>
      <c r="AW232" s="3"/>
    </row>
    <row r="233" ht="16.5" customHeight="1">
      <c r="A233" s="1"/>
      <c r="B233" s="1"/>
      <c r="C233" s="1"/>
      <c r="D233" s="1"/>
      <c r="E233" s="1"/>
      <c r="F233" s="1"/>
      <c r="AV233" s="2"/>
      <c r="AW233" s="3"/>
    </row>
    <row r="234" ht="16.5" customHeight="1">
      <c r="A234" s="1"/>
      <c r="B234" s="1"/>
      <c r="C234" s="1"/>
      <c r="D234" s="1"/>
      <c r="E234" s="1"/>
      <c r="F234" s="1"/>
      <c r="AV234" s="2"/>
      <c r="AW234" s="3"/>
    </row>
    <row r="235" ht="16.5" customHeight="1">
      <c r="A235" s="1"/>
      <c r="B235" s="1"/>
      <c r="C235" s="1"/>
      <c r="D235" s="1"/>
      <c r="E235" s="1"/>
      <c r="F235" s="1"/>
      <c r="AV235" s="2"/>
      <c r="AW235" s="3"/>
    </row>
    <row r="236" ht="16.5" customHeight="1">
      <c r="A236" s="1"/>
      <c r="B236" s="1"/>
      <c r="C236" s="1"/>
      <c r="D236" s="1"/>
      <c r="E236" s="1"/>
      <c r="F236" s="1"/>
      <c r="AV236" s="2"/>
      <c r="AW236" s="3"/>
    </row>
    <row r="237" ht="16.5" customHeight="1">
      <c r="A237" s="1"/>
      <c r="B237" s="1"/>
      <c r="C237" s="1"/>
      <c r="D237" s="1"/>
      <c r="E237" s="1"/>
      <c r="F237" s="1"/>
      <c r="AV237" s="2"/>
      <c r="AW237" s="3"/>
    </row>
    <row r="238" ht="16.5" customHeight="1">
      <c r="A238" s="1"/>
      <c r="B238" s="1"/>
      <c r="C238" s="1"/>
      <c r="D238" s="1"/>
      <c r="E238" s="1"/>
      <c r="F238" s="1"/>
      <c r="AV238" s="2"/>
      <c r="AW238" s="3"/>
    </row>
    <row r="239" ht="16.5" customHeight="1">
      <c r="A239" s="1"/>
      <c r="B239" s="1"/>
      <c r="C239" s="1"/>
      <c r="D239" s="1"/>
      <c r="E239" s="1"/>
      <c r="F239" s="1"/>
      <c r="AV239" s="2"/>
      <c r="AW239" s="3"/>
    </row>
    <row r="240" ht="16.5" customHeight="1">
      <c r="A240" s="1"/>
      <c r="B240" s="1"/>
      <c r="C240" s="1"/>
      <c r="D240" s="1"/>
      <c r="E240" s="1"/>
      <c r="F240" s="1"/>
      <c r="AV240" s="2"/>
      <c r="AW240" s="3"/>
    </row>
    <row r="241" ht="16.5" customHeight="1">
      <c r="A241" s="1"/>
      <c r="B241" s="1"/>
      <c r="C241" s="1"/>
      <c r="D241" s="1"/>
      <c r="E241" s="1"/>
      <c r="F241" s="1"/>
      <c r="AV241" s="2"/>
      <c r="AW241" s="3"/>
    </row>
    <row r="242" ht="16.5" customHeight="1">
      <c r="A242" s="1"/>
      <c r="B242" s="1"/>
      <c r="C242" s="1"/>
      <c r="D242" s="1"/>
      <c r="E242" s="1"/>
      <c r="F242" s="1"/>
      <c r="AV242" s="2"/>
      <c r="AW242" s="3"/>
    </row>
    <row r="243" ht="16.5" customHeight="1">
      <c r="A243" s="1"/>
      <c r="B243" s="1"/>
      <c r="C243" s="1"/>
      <c r="D243" s="1"/>
      <c r="E243" s="1"/>
      <c r="F243" s="1"/>
      <c r="AV243" s="2"/>
      <c r="AW243" s="3"/>
    </row>
    <row r="244" ht="16.5" customHeight="1">
      <c r="A244" s="1"/>
      <c r="B244" s="1"/>
      <c r="C244" s="1"/>
      <c r="D244" s="1"/>
      <c r="E244" s="1"/>
      <c r="F244" s="1"/>
      <c r="AV244" s="2"/>
      <c r="AW244" s="3"/>
    </row>
    <row r="245" ht="16.5" customHeight="1">
      <c r="A245" s="1"/>
      <c r="B245" s="1"/>
      <c r="C245" s="1"/>
      <c r="D245" s="1"/>
      <c r="E245" s="1"/>
      <c r="F245" s="1"/>
      <c r="AV245" s="2"/>
      <c r="AW245" s="3"/>
    </row>
    <row r="246" ht="16.5" customHeight="1">
      <c r="A246" s="1"/>
      <c r="B246" s="1"/>
      <c r="C246" s="1"/>
      <c r="D246" s="1"/>
      <c r="E246" s="1"/>
      <c r="F246" s="1"/>
      <c r="AV246" s="2"/>
      <c r="AW246" s="3"/>
    </row>
    <row r="247" ht="16.5" customHeight="1">
      <c r="A247" s="1"/>
      <c r="B247" s="1"/>
      <c r="C247" s="1"/>
      <c r="D247" s="1"/>
      <c r="E247" s="1"/>
      <c r="F247" s="1"/>
      <c r="AV247" s="2"/>
      <c r="AW247" s="3"/>
    </row>
    <row r="248" ht="16.5" customHeight="1">
      <c r="A248" s="1"/>
      <c r="B248" s="1"/>
      <c r="C248" s="1"/>
      <c r="D248" s="1"/>
      <c r="E248" s="1"/>
      <c r="F248" s="1"/>
      <c r="AV248" s="2"/>
      <c r="AW248" s="3"/>
    </row>
    <row r="249" ht="16.5" customHeight="1">
      <c r="A249" s="1"/>
      <c r="B249" s="1"/>
      <c r="C249" s="1"/>
      <c r="D249" s="1"/>
      <c r="E249" s="1"/>
      <c r="F249" s="1"/>
      <c r="AV249" s="2"/>
      <c r="AW249" s="3"/>
    </row>
    <row r="250" ht="16.5" customHeight="1">
      <c r="A250" s="1"/>
      <c r="B250" s="1"/>
      <c r="C250" s="1"/>
      <c r="D250" s="1"/>
      <c r="E250" s="1"/>
      <c r="F250" s="1"/>
      <c r="AV250" s="2"/>
      <c r="AW250" s="3"/>
    </row>
    <row r="251" ht="16.5" customHeight="1">
      <c r="A251" s="1"/>
      <c r="B251" s="1"/>
      <c r="C251" s="1"/>
      <c r="D251" s="1"/>
      <c r="E251" s="1"/>
      <c r="F251" s="1"/>
      <c r="AV251" s="2"/>
      <c r="AW251" s="3"/>
    </row>
    <row r="252" ht="16.5" customHeight="1">
      <c r="A252" s="1"/>
      <c r="B252" s="1"/>
      <c r="C252" s="1"/>
      <c r="D252" s="1"/>
      <c r="E252" s="1"/>
      <c r="F252" s="1"/>
      <c r="AV252" s="2"/>
      <c r="AW252" s="3"/>
    </row>
    <row r="253" ht="16.5" customHeight="1">
      <c r="A253" s="1"/>
      <c r="B253" s="1"/>
      <c r="C253" s="1"/>
      <c r="D253" s="1"/>
      <c r="E253" s="1"/>
      <c r="F253" s="1"/>
      <c r="AV253" s="2"/>
      <c r="AW253" s="3"/>
    </row>
    <row r="254" ht="16.5" customHeight="1">
      <c r="A254" s="1"/>
      <c r="B254" s="1"/>
      <c r="C254" s="1"/>
      <c r="D254" s="1"/>
      <c r="E254" s="1"/>
      <c r="F254" s="1"/>
      <c r="AV254" s="2"/>
      <c r="AW254" s="3"/>
    </row>
    <row r="255" ht="16.5" customHeight="1">
      <c r="A255" s="1"/>
      <c r="B255" s="1"/>
      <c r="C255" s="1"/>
      <c r="D255" s="1"/>
      <c r="E255" s="1"/>
      <c r="F255" s="1"/>
      <c r="AV255" s="2"/>
      <c r="AW255" s="3"/>
    </row>
    <row r="256" ht="16.5" customHeight="1">
      <c r="A256" s="1"/>
      <c r="B256" s="1"/>
      <c r="C256" s="1"/>
      <c r="D256" s="1"/>
      <c r="E256" s="1"/>
      <c r="F256" s="1"/>
      <c r="AV256" s="2"/>
      <c r="AW256" s="3"/>
    </row>
    <row r="257" ht="16.5" customHeight="1">
      <c r="A257" s="1"/>
      <c r="B257" s="1"/>
      <c r="C257" s="1"/>
      <c r="D257" s="1"/>
      <c r="E257" s="1"/>
      <c r="F257" s="1"/>
      <c r="AV257" s="2"/>
      <c r="AW257" s="3"/>
    </row>
    <row r="258" ht="16.5" customHeight="1">
      <c r="A258" s="1"/>
      <c r="B258" s="1"/>
      <c r="C258" s="1"/>
      <c r="D258" s="1"/>
      <c r="E258" s="1"/>
      <c r="F258" s="1"/>
      <c r="AV258" s="2"/>
      <c r="AW258" s="3"/>
    </row>
    <row r="259" ht="16.5" customHeight="1">
      <c r="A259" s="1"/>
      <c r="B259" s="1"/>
      <c r="C259" s="1"/>
      <c r="D259" s="1"/>
      <c r="E259" s="1"/>
      <c r="F259" s="1"/>
      <c r="AV259" s="2"/>
      <c r="AW259" s="3"/>
    </row>
    <row r="260" ht="16.5" customHeight="1">
      <c r="A260" s="1"/>
      <c r="B260" s="1"/>
      <c r="C260" s="1"/>
      <c r="D260" s="1"/>
      <c r="E260" s="1"/>
      <c r="F260" s="1"/>
      <c r="AV260" s="2"/>
      <c r="AW260" s="3"/>
    </row>
    <row r="261" ht="16.5" customHeight="1">
      <c r="A261" s="1"/>
      <c r="B261" s="1"/>
      <c r="C261" s="1"/>
      <c r="D261" s="1"/>
      <c r="E261" s="1"/>
      <c r="F261" s="1"/>
      <c r="AV261" s="2"/>
      <c r="AW261" s="3"/>
    </row>
    <row r="262" ht="16.5" customHeight="1">
      <c r="A262" s="1"/>
      <c r="B262" s="1"/>
      <c r="C262" s="1"/>
      <c r="D262" s="1"/>
      <c r="E262" s="1"/>
      <c r="F262" s="1"/>
      <c r="AV262" s="2"/>
      <c r="AW262" s="3"/>
    </row>
    <row r="263" ht="16.5" customHeight="1">
      <c r="A263" s="1"/>
      <c r="B263" s="1"/>
      <c r="C263" s="1"/>
      <c r="D263" s="1"/>
      <c r="E263" s="1"/>
      <c r="F263" s="1"/>
      <c r="AV263" s="2"/>
      <c r="AW263" s="3"/>
    </row>
    <row r="264" ht="16.5" customHeight="1">
      <c r="A264" s="1"/>
      <c r="B264" s="1"/>
      <c r="C264" s="1"/>
      <c r="D264" s="1"/>
      <c r="E264" s="1"/>
      <c r="F264" s="1"/>
      <c r="AV264" s="2"/>
      <c r="AW264" s="3"/>
    </row>
    <row r="265" ht="16.5" customHeight="1">
      <c r="A265" s="1"/>
      <c r="B265" s="1"/>
      <c r="C265" s="1"/>
      <c r="D265" s="1"/>
      <c r="E265" s="1"/>
      <c r="F265" s="1"/>
      <c r="AV265" s="2"/>
      <c r="AW265" s="3"/>
    </row>
    <row r="266" ht="16.5" customHeight="1">
      <c r="A266" s="1"/>
      <c r="B266" s="1"/>
      <c r="C266" s="1"/>
      <c r="D266" s="1"/>
      <c r="E266" s="1"/>
      <c r="F266" s="1"/>
      <c r="AV266" s="2"/>
      <c r="AW266" s="3"/>
    </row>
    <row r="267" ht="16.5" customHeight="1">
      <c r="A267" s="1"/>
      <c r="B267" s="1"/>
      <c r="C267" s="1"/>
      <c r="D267" s="1"/>
      <c r="E267" s="1"/>
      <c r="F267" s="1"/>
      <c r="AV267" s="2"/>
      <c r="AW267" s="3"/>
    </row>
    <row r="268" ht="16.5" customHeight="1">
      <c r="A268" s="1"/>
      <c r="B268" s="1"/>
      <c r="C268" s="1"/>
      <c r="D268" s="1"/>
      <c r="E268" s="1"/>
      <c r="F268" s="1"/>
      <c r="AV268" s="2"/>
      <c r="AW268" s="3"/>
    </row>
    <row r="269" ht="16.5" customHeight="1">
      <c r="A269" s="1"/>
      <c r="B269" s="1"/>
      <c r="C269" s="1"/>
      <c r="D269" s="1"/>
      <c r="E269" s="1"/>
      <c r="F269" s="1"/>
      <c r="AV269" s="2"/>
      <c r="AW269" s="3"/>
    </row>
    <row r="270" ht="16.5" customHeight="1">
      <c r="A270" s="1"/>
      <c r="B270" s="1"/>
      <c r="C270" s="1"/>
      <c r="D270" s="1"/>
      <c r="E270" s="1"/>
      <c r="F270" s="1"/>
      <c r="AV270" s="2"/>
      <c r="AW270" s="3"/>
    </row>
    <row r="271" ht="16.5" customHeight="1">
      <c r="A271" s="1"/>
      <c r="B271" s="1"/>
      <c r="C271" s="1"/>
      <c r="D271" s="1"/>
      <c r="E271" s="1"/>
      <c r="F271" s="1"/>
      <c r="AV271" s="2"/>
      <c r="AW271" s="3"/>
    </row>
    <row r="272" ht="16.5" customHeight="1">
      <c r="A272" s="1"/>
      <c r="B272" s="1"/>
      <c r="C272" s="1"/>
      <c r="D272" s="1"/>
      <c r="E272" s="1"/>
      <c r="F272" s="1"/>
      <c r="AV272" s="2"/>
      <c r="AW272" s="3"/>
    </row>
    <row r="273" ht="16.5" customHeight="1">
      <c r="A273" s="1"/>
      <c r="B273" s="1"/>
      <c r="C273" s="1"/>
      <c r="D273" s="1"/>
      <c r="E273" s="1"/>
      <c r="F273" s="1"/>
      <c r="AV273" s="2"/>
      <c r="AW273" s="3"/>
    </row>
    <row r="274" ht="16.5" customHeight="1">
      <c r="A274" s="1"/>
      <c r="B274" s="1"/>
      <c r="C274" s="1"/>
      <c r="D274" s="1"/>
      <c r="E274" s="1"/>
      <c r="F274" s="1"/>
      <c r="AV274" s="2"/>
      <c r="AW274" s="3"/>
    </row>
    <row r="275" ht="16.5" customHeight="1">
      <c r="A275" s="1"/>
      <c r="B275" s="1"/>
      <c r="C275" s="1"/>
      <c r="D275" s="1"/>
      <c r="E275" s="1"/>
      <c r="F275" s="1"/>
      <c r="AV275" s="2"/>
      <c r="AW275" s="3"/>
    </row>
    <row r="276" ht="16.5" customHeight="1">
      <c r="A276" s="1"/>
      <c r="B276" s="1"/>
      <c r="C276" s="1"/>
      <c r="D276" s="1"/>
      <c r="E276" s="1"/>
      <c r="F276" s="1"/>
      <c r="AV276" s="2"/>
      <c r="AW276" s="3"/>
    </row>
    <row r="277" ht="16.5" customHeight="1">
      <c r="A277" s="1"/>
      <c r="B277" s="1"/>
      <c r="C277" s="1"/>
      <c r="D277" s="1"/>
      <c r="E277" s="1"/>
      <c r="F277" s="1"/>
      <c r="AV277" s="2"/>
      <c r="AW277" s="3"/>
    </row>
    <row r="278" ht="16.5" customHeight="1">
      <c r="A278" s="1"/>
      <c r="B278" s="1"/>
      <c r="C278" s="1"/>
      <c r="D278" s="1"/>
      <c r="E278" s="1"/>
      <c r="F278" s="1"/>
      <c r="AV278" s="2"/>
      <c r="AW278" s="3"/>
    </row>
    <row r="279" ht="16.5" customHeight="1">
      <c r="A279" s="1"/>
      <c r="B279" s="1"/>
      <c r="C279" s="1"/>
      <c r="D279" s="1"/>
      <c r="E279" s="1"/>
      <c r="F279" s="1"/>
      <c r="AV279" s="2"/>
      <c r="AW279" s="3"/>
    </row>
    <row r="280" ht="16.5" customHeight="1">
      <c r="A280" s="1"/>
      <c r="B280" s="1"/>
      <c r="C280" s="1"/>
      <c r="D280" s="1"/>
      <c r="E280" s="1"/>
      <c r="F280" s="1"/>
      <c r="AV280" s="2"/>
      <c r="AW280" s="3"/>
    </row>
    <row r="281" ht="16.5" customHeight="1">
      <c r="A281" s="1"/>
      <c r="B281" s="1"/>
      <c r="C281" s="1"/>
      <c r="D281" s="1"/>
      <c r="E281" s="1"/>
      <c r="F281" s="1"/>
      <c r="AV281" s="2"/>
      <c r="AW281" s="3"/>
    </row>
    <row r="282" ht="16.5" customHeight="1">
      <c r="A282" s="1"/>
      <c r="B282" s="1"/>
      <c r="C282" s="1"/>
      <c r="D282" s="1"/>
      <c r="E282" s="1"/>
      <c r="F282" s="1"/>
      <c r="AV282" s="2"/>
      <c r="AW282" s="3"/>
    </row>
    <row r="283" ht="16.5" customHeight="1">
      <c r="A283" s="1"/>
      <c r="B283" s="1"/>
      <c r="C283" s="1"/>
      <c r="D283" s="1"/>
      <c r="E283" s="1"/>
      <c r="F283" s="1"/>
      <c r="AV283" s="2"/>
      <c r="AW283" s="3"/>
    </row>
    <row r="284" ht="16.5" customHeight="1">
      <c r="A284" s="1"/>
      <c r="B284" s="1"/>
      <c r="C284" s="1"/>
      <c r="D284" s="1"/>
      <c r="E284" s="1"/>
      <c r="F284" s="1"/>
      <c r="AV284" s="2"/>
      <c r="AW284" s="3"/>
    </row>
    <row r="285" ht="16.5" customHeight="1">
      <c r="A285" s="1"/>
      <c r="B285" s="1"/>
      <c r="C285" s="1"/>
      <c r="D285" s="1"/>
      <c r="E285" s="1"/>
      <c r="F285" s="1"/>
      <c r="AV285" s="2"/>
      <c r="AW285" s="3"/>
    </row>
    <row r="286" ht="16.5" customHeight="1">
      <c r="A286" s="1"/>
      <c r="B286" s="1"/>
      <c r="C286" s="1"/>
      <c r="D286" s="1"/>
      <c r="E286" s="1"/>
      <c r="F286" s="1"/>
      <c r="AV286" s="2"/>
      <c r="AW286" s="3"/>
    </row>
    <row r="287" ht="16.5" customHeight="1">
      <c r="A287" s="1"/>
      <c r="B287" s="1"/>
      <c r="C287" s="1"/>
      <c r="D287" s="1"/>
      <c r="E287" s="1"/>
      <c r="F287" s="1"/>
      <c r="AV287" s="2"/>
      <c r="AW287" s="3"/>
    </row>
    <row r="288" ht="16.5" customHeight="1">
      <c r="A288" s="1"/>
      <c r="B288" s="1"/>
      <c r="C288" s="1"/>
      <c r="D288" s="1"/>
      <c r="E288" s="1"/>
      <c r="F288" s="1"/>
      <c r="AV288" s="2"/>
      <c r="AW288" s="3"/>
    </row>
    <row r="289" ht="16.5" customHeight="1">
      <c r="A289" s="1"/>
      <c r="B289" s="1"/>
      <c r="C289" s="1"/>
      <c r="D289" s="1"/>
      <c r="E289" s="1"/>
      <c r="F289" s="1"/>
      <c r="AV289" s="2"/>
      <c r="AW289" s="3"/>
    </row>
    <row r="290" ht="16.5" customHeight="1">
      <c r="A290" s="1"/>
      <c r="B290" s="1"/>
      <c r="C290" s="1"/>
      <c r="D290" s="1"/>
      <c r="E290" s="1"/>
      <c r="F290" s="1"/>
      <c r="AV290" s="2"/>
      <c r="AW290" s="3"/>
    </row>
    <row r="291" ht="16.5" customHeight="1">
      <c r="A291" s="1"/>
      <c r="B291" s="1"/>
      <c r="C291" s="1"/>
      <c r="D291" s="1"/>
      <c r="E291" s="1"/>
      <c r="F291" s="1"/>
      <c r="AV291" s="2"/>
      <c r="AW291" s="3"/>
    </row>
    <row r="292" ht="16.5" customHeight="1">
      <c r="A292" s="1"/>
      <c r="B292" s="1"/>
      <c r="C292" s="1"/>
      <c r="D292" s="1"/>
      <c r="E292" s="1"/>
      <c r="F292" s="1"/>
      <c r="AV292" s="2"/>
      <c r="AW292" s="3"/>
    </row>
    <row r="293" ht="16.5" customHeight="1">
      <c r="A293" s="1"/>
      <c r="B293" s="1"/>
      <c r="C293" s="1"/>
      <c r="D293" s="1"/>
      <c r="E293" s="1"/>
      <c r="F293" s="1"/>
      <c r="AV293" s="2"/>
      <c r="AW293" s="3"/>
    </row>
    <row r="294" ht="16.5" customHeight="1">
      <c r="A294" s="1"/>
      <c r="B294" s="1"/>
      <c r="C294" s="1"/>
      <c r="D294" s="1"/>
      <c r="E294" s="1"/>
      <c r="F294" s="1"/>
      <c r="AV294" s="2"/>
      <c r="AW294" s="3"/>
    </row>
    <row r="295" ht="16.5" customHeight="1">
      <c r="A295" s="1"/>
      <c r="B295" s="1"/>
      <c r="C295" s="1"/>
      <c r="D295" s="1"/>
      <c r="E295" s="1"/>
      <c r="F295" s="1"/>
      <c r="AV295" s="2"/>
      <c r="AW295" s="3"/>
    </row>
    <row r="296" ht="16.5" customHeight="1">
      <c r="A296" s="1"/>
      <c r="B296" s="1"/>
      <c r="C296" s="1"/>
      <c r="D296" s="1"/>
      <c r="E296" s="1"/>
      <c r="F296" s="1"/>
      <c r="AV296" s="2"/>
      <c r="AW296" s="3"/>
    </row>
    <row r="297" ht="16.5" customHeight="1">
      <c r="A297" s="1"/>
      <c r="B297" s="1"/>
      <c r="C297" s="1"/>
      <c r="D297" s="1"/>
      <c r="E297" s="1"/>
      <c r="F297" s="1"/>
      <c r="AV297" s="2"/>
      <c r="AW297" s="3"/>
    </row>
    <row r="298" ht="16.5" customHeight="1">
      <c r="A298" s="1"/>
      <c r="B298" s="1"/>
      <c r="C298" s="1"/>
      <c r="D298" s="1"/>
      <c r="E298" s="1"/>
      <c r="F298" s="1"/>
      <c r="AV298" s="2"/>
      <c r="AW298" s="3"/>
    </row>
    <row r="299" ht="16.5" customHeight="1">
      <c r="A299" s="1"/>
      <c r="B299" s="1"/>
      <c r="C299" s="1"/>
      <c r="D299" s="1"/>
      <c r="E299" s="1"/>
      <c r="F299" s="1"/>
      <c r="AV299" s="2"/>
      <c r="AW299" s="3"/>
    </row>
    <row r="300" ht="16.5" customHeight="1">
      <c r="A300" s="1"/>
      <c r="B300" s="1"/>
      <c r="C300" s="1"/>
      <c r="D300" s="1"/>
      <c r="E300" s="1"/>
      <c r="F300" s="1"/>
      <c r="AV300" s="2"/>
      <c r="AW300" s="3"/>
    </row>
    <row r="301" ht="16.5" customHeight="1">
      <c r="A301" s="1"/>
      <c r="B301" s="1"/>
      <c r="C301" s="1"/>
      <c r="D301" s="1"/>
      <c r="E301" s="1"/>
      <c r="F301" s="1"/>
      <c r="AV301" s="2"/>
      <c r="AW301" s="3"/>
    </row>
    <row r="302" ht="16.5" customHeight="1">
      <c r="A302" s="1"/>
      <c r="B302" s="1"/>
      <c r="C302" s="1"/>
      <c r="D302" s="1"/>
      <c r="E302" s="1"/>
      <c r="F302" s="1"/>
      <c r="AV302" s="2"/>
      <c r="AW302" s="3"/>
    </row>
    <row r="303" ht="16.5" customHeight="1">
      <c r="A303" s="1"/>
      <c r="B303" s="1"/>
      <c r="C303" s="1"/>
      <c r="D303" s="1"/>
      <c r="E303" s="1"/>
      <c r="F303" s="1"/>
      <c r="AV303" s="2"/>
      <c r="AW303" s="3"/>
    </row>
    <row r="304" ht="16.5" customHeight="1">
      <c r="A304" s="1"/>
      <c r="B304" s="1"/>
      <c r="C304" s="1"/>
      <c r="D304" s="1"/>
      <c r="E304" s="1"/>
      <c r="F304" s="1"/>
      <c r="AV304" s="2"/>
      <c r="AW304" s="3"/>
    </row>
    <row r="305" ht="16.5" customHeight="1">
      <c r="A305" s="1"/>
      <c r="B305" s="1"/>
      <c r="C305" s="1"/>
      <c r="D305" s="1"/>
      <c r="E305" s="1"/>
      <c r="F305" s="1"/>
      <c r="AV305" s="2"/>
      <c r="AW305" s="3"/>
    </row>
    <row r="306" ht="16.5" customHeight="1">
      <c r="A306" s="1"/>
      <c r="B306" s="1"/>
      <c r="C306" s="1"/>
      <c r="D306" s="1"/>
      <c r="E306" s="1"/>
      <c r="F306" s="1"/>
      <c r="AV306" s="2"/>
      <c r="AW306" s="3"/>
    </row>
    <row r="307" ht="16.5" customHeight="1">
      <c r="A307" s="1"/>
      <c r="B307" s="1"/>
      <c r="C307" s="1"/>
      <c r="D307" s="1"/>
      <c r="E307" s="1"/>
      <c r="F307" s="1"/>
      <c r="AV307" s="2"/>
      <c r="AW307" s="3"/>
    </row>
    <row r="308" ht="16.5" customHeight="1">
      <c r="A308" s="1"/>
      <c r="B308" s="1"/>
      <c r="C308" s="1"/>
      <c r="D308" s="1"/>
      <c r="E308" s="1"/>
      <c r="F308" s="1"/>
      <c r="AV308" s="2"/>
      <c r="AW308" s="3"/>
    </row>
    <row r="309" ht="16.5" customHeight="1">
      <c r="A309" s="1"/>
      <c r="B309" s="1"/>
      <c r="C309" s="1"/>
      <c r="D309" s="1"/>
      <c r="E309" s="1"/>
      <c r="F309" s="1"/>
      <c r="AV309" s="2"/>
      <c r="AW309" s="3"/>
    </row>
    <row r="310" ht="16.5" customHeight="1">
      <c r="A310" s="1"/>
      <c r="B310" s="1"/>
      <c r="C310" s="1"/>
      <c r="D310" s="1"/>
      <c r="E310" s="1"/>
      <c r="F310" s="1"/>
      <c r="AV310" s="2"/>
      <c r="AW310" s="3"/>
    </row>
    <row r="311" ht="16.5" customHeight="1">
      <c r="A311" s="1"/>
      <c r="B311" s="1"/>
      <c r="C311" s="1"/>
      <c r="D311" s="1"/>
      <c r="E311" s="1"/>
      <c r="F311" s="1"/>
      <c r="AV311" s="2"/>
      <c r="AW311" s="3"/>
    </row>
    <row r="312" ht="16.5" customHeight="1">
      <c r="A312" s="1"/>
      <c r="B312" s="1"/>
      <c r="C312" s="1"/>
      <c r="D312" s="1"/>
      <c r="E312" s="1"/>
      <c r="F312" s="1"/>
      <c r="AV312" s="2"/>
      <c r="AW312" s="3"/>
    </row>
    <row r="313" ht="16.5" customHeight="1">
      <c r="A313" s="1"/>
      <c r="B313" s="1"/>
      <c r="C313" s="1"/>
      <c r="D313" s="1"/>
      <c r="E313" s="1"/>
      <c r="F313" s="1"/>
      <c r="AV313" s="2"/>
      <c r="AW313" s="3"/>
    </row>
    <row r="314" ht="16.5" customHeight="1">
      <c r="A314" s="1"/>
      <c r="B314" s="1"/>
      <c r="C314" s="1"/>
      <c r="D314" s="1"/>
      <c r="E314" s="1"/>
      <c r="F314" s="1"/>
      <c r="AV314" s="2"/>
      <c r="AW314" s="3"/>
    </row>
    <row r="315" ht="16.5" customHeight="1">
      <c r="A315" s="1"/>
      <c r="B315" s="1"/>
      <c r="C315" s="1"/>
      <c r="D315" s="1"/>
      <c r="E315" s="1"/>
      <c r="F315" s="1"/>
      <c r="AV315" s="2"/>
      <c r="AW315" s="3"/>
    </row>
    <row r="316" ht="16.5" customHeight="1">
      <c r="A316" s="1"/>
      <c r="B316" s="1"/>
      <c r="C316" s="1"/>
      <c r="D316" s="1"/>
      <c r="E316" s="1"/>
      <c r="F316" s="1"/>
      <c r="AV316" s="2"/>
      <c r="AW316" s="3"/>
    </row>
    <row r="317" ht="16.5" customHeight="1">
      <c r="A317" s="1"/>
      <c r="B317" s="1"/>
      <c r="C317" s="1"/>
      <c r="D317" s="1"/>
      <c r="E317" s="1"/>
      <c r="F317" s="1"/>
      <c r="AV317" s="2"/>
      <c r="AW317" s="3"/>
    </row>
    <row r="318" ht="16.5" customHeight="1">
      <c r="A318" s="1"/>
      <c r="B318" s="1"/>
      <c r="C318" s="1"/>
      <c r="D318" s="1"/>
      <c r="E318" s="1"/>
      <c r="F318" s="1"/>
      <c r="AV318" s="2"/>
      <c r="AW318" s="3"/>
    </row>
    <row r="319" ht="16.5" customHeight="1">
      <c r="A319" s="1"/>
      <c r="B319" s="1"/>
      <c r="C319" s="1"/>
      <c r="D319" s="1"/>
      <c r="E319" s="1"/>
      <c r="F319" s="1"/>
      <c r="AV319" s="2"/>
      <c r="AW319" s="3"/>
    </row>
    <row r="320" ht="16.5" customHeight="1">
      <c r="A320" s="1"/>
      <c r="B320" s="1"/>
      <c r="C320" s="1"/>
      <c r="D320" s="1"/>
      <c r="E320" s="1"/>
      <c r="F320" s="1"/>
      <c r="AV320" s="2"/>
      <c r="AW320" s="3"/>
    </row>
    <row r="321" ht="16.5" customHeight="1">
      <c r="A321" s="1"/>
      <c r="B321" s="1"/>
      <c r="C321" s="1"/>
      <c r="D321" s="1"/>
      <c r="E321" s="1"/>
      <c r="F321" s="1"/>
      <c r="AV321" s="2"/>
      <c r="AW321" s="3"/>
    </row>
    <row r="322" ht="16.5" customHeight="1">
      <c r="A322" s="1"/>
      <c r="B322" s="1"/>
      <c r="C322" s="1"/>
      <c r="D322" s="1"/>
      <c r="E322" s="1"/>
      <c r="F322" s="1"/>
      <c r="AV322" s="2"/>
      <c r="AW322" s="3"/>
    </row>
    <row r="323" ht="16.5" customHeight="1">
      <c r="A323" s="1"/>
      <c r="B323" s="1"/>
      <c r="C323" s="1"/>
      <c r="D323" s="1"/>
      <c r="E323" s="1"/>
      <c r="F323" s="1"/>
      <c r="AV323" s="2"/>
      <c r="AW323" s="3"/>
    </row>
    <row r="324" ht="16.5" customHeight="1">
      <c r="A324" s="1"/>
      <c r="B324" s="1"/>
      <c r="C324" s="1"/>
      <c r="D324" s="1"/>
      <c r="E324" s="1"/>
      <c r="F324" s="1"/>
      <c r="AV324" s="2"/>
      <c r="AW324" s="3"/>
    </row>
    <row r="325" ht="16.5" customHeight="1">
      <c r="A325" s="1"/>
      <c r="B325" s="1"/>
      <c r="C325" s="1"/>
      <c r="D325" s="1"/>
      <c r="E325" s="1"/>
      <c r="F325" s="1"/>
      <c r="AV325" s="2"/>
      <c r="AW325" s="3"/>
    </row>
    <row r="326" ht="16.5" customHeight="1">
      <c r="A326" s="1"/>
      <c r="B326" s="1"/>
      <c r="C326" s="1"/>
      <c r="D326" s="1"/>
      <c r="E326" s="1"/>
      <c r="F326" s="1"/>
      <c r="AV326" s="2"/>
      <c r="AW326" s="3"/>
    </row>
    <row r="327" ht="16.5" customHeight="1">
      <c r="A327" s="1"/>
      <c r="B327" s="1"/>
      <c r="C327" s="1"/>
      <c r="D327" s="1"/>
      <c r="E327" s="1"/>
      <c r="F327" s="1"/>
      <c r="AV327" s="2"/>
      <c r="AW327" s="3"/>
    </row>
    <row r="328" ht="16.5" customHeight="1">
      <c r="A328" s="1"/>
      <c r="B328" s="1"/>
      <c r="C328" s="1"/>
      <c r="D328" s="1"/>
      <c r="E328" s="1"/>
      <c r="F328" s="1"/>
      <c r="AV328" s="2"/>
      <c r="AW328" s="3"/>
    </row>
    <row r="329" ht="16.5" customHeight="1">
      <c r="A329" s="1"/>
      <c r="B329" s="1"/>
      <c r="C329" s="1"/>
      <c r="D329" s="1"/>
      <c r="E329" s="1"/>
      <c r="F329" s="1"/>
      <c r="AV329" s="2"/>
      <c r="AW329" s="3"/>
    </row>
    <row r="330" ht="16.5" customHeight="1">
      <c r="A330" s="1"/>
      <c r="B330" s="1"/>
      <c r="C330" s="1"/>
      <c r="D330" s="1"/>
      <c r="E330" s="1"/>
      <c r="F330" s="1"/>
      <c r="AV330" s="2"/>
      <c r="AW330" s="3"/>
    </row>
    <row r="331" ht="16.5" customHeight="1">
      <c r="A331" s="1"/>
      <c r="B331" s="1"/>
      <c r="C331" s="1"/>
      <c r="D331" s="1"/>
      <c r="E331" s="1"/>
      <c r="F331" s="1"/>
      <c r="AV331" s="2"/>
      <c r="AW331" s="3"/>
    </row>
    <row r="332" ht="16.5" customHeight="1">
      <c r="A332" s="1"/>
      <c r="B332" s="1"/>
      <c r="C332" s="1"/>
      <c r="D332" s="1"/>
      <c r="E332" s="1"/>
      <c r="F332" s="1"/>
      <c r="AV332" s="2"/>
      <c r="AW332" s="3"/>
    </row>
    <row r="333" ht="16.5" customHeight="1">
      <c r="A333" s="1"/>
      <c r="B333" s="1"/>
      <c r="C333" s="1"/>
      <c r="D333" s="1"/>
      <c r="E333" s="1"/>
      <c r="F333" s="1"/>
      <c r="AV333" s="2"/>
      <c r="AW333" s="3"/>
    </row>
    <row r="334" ht="16.5" customHeight="1">
      <c r="A334" s="1"/>
      <c r="B334" s="1"/>
      <c r="C334" s="1"/>
      <c r="D334" s="1"/>
      <c r="E334" s="1"/>
      <c r="F334" s="1"/>
      <c r="AV334" s="2"/>
      <c r="AW334" s="3"/>
    </row>
    <row r="335" ht="16.5" customHeight="1">
      <c r="A335" s="1"/>
      <c r="B335" s="1"/>
      <c r="C335" s="1"/>
      <c r="D335" s="1"/>
      <c r="E335" s="1"/>
      <c r="F335" s="1"/>
      <c r="AV335" s="2"/>
      <c r="AW335" s="3"/>
    </row>
    <row r="336" ht="16.5" customHeight="1">
      <c r="A336" s="1"/>
      <c r="B336" s="1"/>
      <c r="C336" s="1"/>
      <c r="D336" s="1"/>
      <c r="E336" s="1"/>
      <c r="F336" s="1"/>
      <c r="AV336" s="2"/>
      <c r="AW336" s="3"/>
    </row>
    <row r="337" ht="16.5" customHeight="1">
      <c r="A337" s="1"/>
      <c r="B337" s="1"/>
      <c r="C337" s="1"/>
      <c r="D337" s="1"/>
      <c r="E337" s="1"/>
      <c r="F337" s="1"/>
      <c r="AV337" s="2"/>
      <c r="AW337" s="3"/>
    </row>
    <row r="338" ht="16.5" customHeight="1">
      <c r="A338" s="1"/>
      <c r="B338" s="1"/>
      <c r="C338" s="1"/>
      <c r="D338" s="1"/>
      <c r="E338" s="1"/>
      <c r="F338" s="1"/>
      <c r="AV338" s="2"/>
      <c r="AW338" s="3"/>
    </row>
    <row r="339" ht="16.5" customHeight="1">
      <c r="A339" s="1"/>
      <c r="B339" s="1"/>
      <c r="C339" s="1"/>
      <c r="D339" s="1"/>
      <c r="E339" s="1"/>
      <c r="F339" s="1"/>
      <c r="AV339" s="2"/>
      <c r="AW339" s="3"/>
    </row>
    <row r="340" ht="16.5" customHeight="1">
      <c r="A340" s="1"/>
      <c r="B340" s="1"/>
      <c r="C340" s="1"/>
      <c r="D340" s="1"/>
      <c r="E340" s="1"/>
      <c r="F340" s="1"/>
      <c r="AV340" s="2"/>
      <c r="AW340" s="3"/>
    </row>
    <row r="341" ht="16.5" customHeight="1">
      <c r="A341" s="1"/>
      <c r="B341" s="1"/>
      <c r="C341" s="1"/>
      <c r="D341" s="1"/>
      <c r="E341" s="1"/>
      <c r="F341" s="1"/>
      <c r="AV341" s="2"/>
      <c r="AW341" s="3"/>
    </row>
    <row r="342" ht="16.5" customHeight="1">
      <c r="A342" s="1"/>
      <c r="B342" s="1"/>
      <c r="C342" s="1"/>
      <c r="D342" s="1"/>
      <c r="E342" s="1"/>
      <c r="F342" s="1"/>
      <c r="AV342" s="2"/>
      <c r="AW342" s="3"/>
    </row>
    <row r="343" ht="16.5" customHeight="1">
      <c r="A343" s="1"/>
      <c r="B343" s="1"/>
      <c r="C343" s="1"/>
      <c r="D343" s="1"/>
      <c r="E343" s="1"/>
      <c r="F343" s="1"/>
      <c r="AV343" s="2"/>
      <c r="AW343" s="3"/>
    </row>
    <row r="344" ht="16.5" customHeight="1">
      <c r="A344" s="1"/>
      <c r="B344" s="1"/>
      <c r="C344" s="1"/>
      <c r="D344" s="1"/>
      <c r="E344" s="1"/>
      <c r="F344" s="1"/>
      <c r="AV344" s="2"/>
      <c r="AW344" s="3"/>
    </row>
    <row r="345" ht="16.5" customHeight="1">
      <c r="A345" s="1"/>
      <c r="B345" s="1"/>
      <c r="C345" s="1"/>
      <c r="D345" s="1"/>
      <c r="E345" s="1"/>
      <c r="F345" s="1"/>
      <c r="AV345" s="2"/>
      <c r="AW345" s="3"/>
    </row>
    <row r="346" ht="16.5" customHeight="1">
      <c r="A346" s="1"/>
      <c r="B346" s="1"/>
      <c r="C346" s="1"/>
      <c r="D346" s="1"/>
      <c r="E346" s="1"/>
      <c r="F346" s="1"/>
      <c r="AV346" s="2"/>
      <c r="AW346" s="3"/>
    </row>
    <row r="347" ht="16.5" customHeight="1">
      <c r="A347" s="1"/>
      <c r="B347" s="1"/>
      <c r="C347" s="1"/>
      <c r="D347" s="1"/>
      <c r="E347" s="1"/>
      <c r="F347" s="1"/>
      <c r="AV347" s="2"/>
      <c r="AW347" s="3"/>
    </row>
    <row r="348" ht="16.5" customHeight="1">
      <c r="A348" s="1"/>
      <c r="B348" s="1"/>
      <c r="C348" s="1"/>
      <c r="D348" s="1"/>
      <c r="E348" s="1"/>
      <c r="F348" s="1"/>
      <c r="AV348" s="2"/>
      <c r="AW348" s="3"/>
    </row>
    <row r="349" ht="16.5" customHeight="1">
      <c r="A349" s="1"/>
      <c r="B349" s="1"/>
      <c r="C349" s="1"/>
      <c r="D349" s="1"/>
      <c r="E349" s="1"/>
      <c r="F349" s="1"/>
      <c r="AV349" s="2"/>
      <c r="AW349" s="3"/>
    </row>
    <row r="350" ht="16.5" customHeight="1">
      <c r="A350" s="1"/>
      <c r="B350" s="1"/>
      <c r="C350" s="1"/>
      <c r="D350" s="1"/>
      <c r="E350" s="1"/>
      <c r="F350" s="1"/>
      <c r="AV350" s="2"/>
      <c r="AW350" s="3"/>
    </row>
    <row r="351" ht="16.5" customHeight="1">
      <c r="A351" s="1"/>
      <c r="B351" s="1"/>
      <c r="C351" s="1"/>
      <c r="D351" s="1"/>
      <c r="E351" s="1"/>
      <c r="F351" s="1"/>
      <c r="AV351" s="2"/>
      <c r="AW351" s="3"/>
    </row>
    <row r="352" ht="16.5" customHeight="1">
      <c r="A352" s="1"/>
      <c r="B352" s="1"/>
      <c r="C352" s="1"/>
      <c r="D352" s="1"/>
      <c r="E352" s="1"/>
      <c r="F352" s="1"/>
      <c r="AV352" s="2"/>
      <c r="AW352" s="3"/>
    </row>
    <row r="353" ht="16.5" customHeight="1">
      <c r="A353" s="1"/>
      <c r="B353" s="1"/>
      <c r="C353" s="1"/>
      <c r="D353" s="1"/>
      <c r="E353" s="1"/>
      <c r="F353" s="1"/>
      <c r="AV353" s="2"/>
      <c r="AW353" s="3"/>
    </row>
    <row r="354" ht="16.5" customHeight="1">
      <c r="A354" s="1"/>
      <c r="B354" s="1"/>
      <c r="C354" s="1"/>
      <c r="D354" s="1"/>
      <c r="E354" s="1"/>
      <c r="F354" s="1"/>
      <c r="AV354" s="2"/>
      <c r="AW354" s="3"/>
    </row>
    <row r="355" ht="16.5" customHeight="1">
      <c r="A355" s="1"/>
      <c r="B355" s="1"/>
      <c r="C355" s="1"/>
      <c r="D355" s="1"/>
      <c r="E355" s="1"/>
      <c r="F355" s="1"/>
      <c r="AV355" s="2"/>
      <c r="AW355" s="3"/>
    </row>
    <row r="356" ht="16.5" customHeight="1">
      <c r="A356" s="1"/>
      <c r="B356" s="1"/>
      <c r="C356" s="1"/>
      <c r="D356" s="1"/>
      <c r="E356" s="1"/>
      <c r="F356" s="1"/>
      <c r="AV356" s="2"/>
      <c r="AW356" s="3"/>
    </row>
    <row r="357" ht="16.5" customHeight="1">
      <c r="A357" s="1"/>
      <c r="B357" s="1"/>
      <c r="C357" s="1"/>
      <c r="D357" s="1"/>
      <c r="E357" s="1"/>
      <c r="F357" s="1"/>
      <c r="AV357" s="2"/>
      <c r="AW357" s="3"/>
    </row>
    <row r="358" ht="16.5" customHeight="1">
      <c r="A358" s="1"/>
      <c r="B358" s="1"/>
      <c r="C358" s="1"/>
      <c r="D358" s="1"/>
      <c r="E358" s="1"/>
      <c r="F358" s="1"/>
      <c r="AV358" s="2"/>
      <c r="AW358" s="3"/>
    </row>
    <row r="359" ht="16.5" customHeight="1">
      <c r="A359" s="1"/>
      <c r="B359" s="1"/>
      <c r="C359" s="1"/>
      <c r="D359" s="1"/>
      <c r="E359" s="1"/>
      <c r="F359" s="1"/>
      <c r="AV359" s="2"/>
      <c r="AW359" s="3"/>
    </row>
    <row r="360" ht="16.5" customHeight="1">
      <c r="A360" s="1"/>
      <c r="B360" s="1"/>
      <c r="C360" s="1"/>
      <c r="D360" s="1"/>
      <c r="E360" s="1"/>
      <c r="F360" s="1"/>
      <c r="AV360" s="2"/>
      <c r="AW360" s="3"/>
    </row>
    <row r="361" ht="16.5" customHeight="1">
      <c r="A361" s="1"/>
      <c r="B361" s="1"/>
      <c r="C361" s="1"/>
      <c r="D361" s="1"/>
      <c r="E361" s="1"/>
      <c r="F361" s="1"/>
      <c r="AV361" s="2"/>
      <c r="AW361" s="3"/>
    </row>
    <row r="362" ht="16.5" customHeight="1">
      <c r="A362" s="1"/>
      <c r="B362" s="1"/>
      <c r="C362" s="1"/>
      <c r="D362" s="1"/>
      <c r="E362" s="1"/>
      <c r="F362" s="1"/>
      <c r="AV362" s="2"/>
      <c r="AW362" s="3"/>
    </row>
    <row r="363" ht="16.5" customHeight="1">
      <c r="A363" s="1"/>
      <c r="B363" s="1"/>
      <c r="C363" s="1"/>
      <c r="D363" s="1"/>
      <c r="E363" s="1"/>
      <c r="F363" s="1"/>
      <c r="AV363" s="2"/>
      <c r="AW363" s="3"/>
    </row>
    <row r="364" ht="16.5" customHeight="1">
      <c r="A364" s="1"/>
      <c r="B364" s="1"/>
      <c r="C364" s="1"/>
      <c r="D364" s="1"/>
      <c r="E364" s="1"/>
      <c r="F364" s="1"/>
      <c r="AV364" s="2"/>
      <c r="AW364" s="3"/>
    </row>
    <row r="365" ht="16.5" customHeight="1">
      <c r="A365" s="1"/>
      <c r="B365" s="1"/>
      <c r="C365" s="1"/>
      <c r="D365" s="1"/>
      <c r="E365" s="1"/>
      <c r="F365" s="1"/>
      <c r="AV365" s="2"/>
      <c r="AW365" s="3"/>
    </row>
    <row r="366" ht="16.5" customHeight="1">
      <c r="A366" s="1"/>
      <c r="B366" s="1"/>
      <c r="C366" s="1"/>
      <c r="D366" s="1"/>
      <c r="E366" s="1"/>
      <c r="F366" s="1"/>
      <c r="AV366" s="2"/>
      <c r="AW366" s="3"/>
    </row>
    <row r="367" ht="16.5" customHeight="1">
      <c r="A367" s="1"/>
      <c r="B367" s="1"/>
      <c r="C367" s="1"/>
      <c r="D367" s="1"/>
      <c r="E367" s="1"/>
      <c r="F367" s="1"/>
      <c r="AV367" s="2"/>
      <c r="AW367" s="3"/>
    </row>
    <row r="368" ht="16.5" customHeight="1">
      <c r="A368" s="1"/>
      <c r="B368" s="1"/>
      <c r="C368" s="1"/>
      <c r="D368" s="1"/>
      <c r="E368" s="1"/>
      <c r="F368" s="1"/>
      <c r="AV368" s="2"/>
      <c r="AW368" s="3"/>
    </row>
    <row r="369" ht="16.5" customHeight="1">
      <c r="A369" s="1"/>
      <c r="B369" s="1"/>
      <c r="C369" s="1"/>
      <c r="D369" s="1"/>
      <c r="E369" s="1"/>
      <c r="F369" s="1"/>
      <c r="AV369" s="2"/>
      <c r="AW369" s="3"/>
    </row>
    <row r="370" ht="16.5" customHeight="1">
      <c r="A370" s="1"/>
      <c r="B370" s="1"/>
      <c r="C370" s="1"/>
      <c r="D370" s="1"/>
      <c r="E370" s="1"/>
      <c r="F370" s="1"/>
      <c r="AV370" s="2"/>
      <c r="AW370" s="3"/>
    </row>
    <row r="371" ht="16.5" customHeight="1">
      <c r="A371" s="1"/>
      <c r="B371" s="1"/>
      <c r="C371" s="1"/>
      <c r="D371" s="1"/>
      <c r="E371" s="1"/>
      <c r="F371" s="1"/>
      <c r="AV371" s="2"/>
      <c r="AW371" s="3"/>
    </row>
    <row r="372" ht="16.5" customHeight="1">
      <c r="A372" s="1"/>
      <c r="B372" s="1"/>
      <c r="C372" s="1"/>
      <c r="D372" s="1"/>
      <c r="E372" s="1"/>
      <c r="F372" s="1"/>
      <c r="AV372" s="2"/>
      <c r="AW372" s="3"/>
    </row>
    <row r="373" ht="16.5" customHeight="1">
      <c r="A373" s="1"/>
      <c r="B373" s="1"/>
      <c r="C373" s="1"/>
      <c r="D373" s="1"/>
      <c r="E373" s="1"/>
      <c r="F373" s="1"/>
      <c r="AV373" s="2"/>
      <c r="AW373" s="3"/>
    </row>
    <row r="374" ht="16.5" customHeight="1">
      <c r="A374" s="1"/>
      <c r="B374" s="1"/>
      <c r="C374" s="1"/>
      <c r="D374" s="1"/>
      <c r="E374" s="1"/>
      <c r="F374" s="1"/>
      <c r="AV374" s="2"/>
      <c r="AW374" s="3"/>
    </row>
    <row r="375" ht="16.5" customHeight="1">
      <c r="A375" s="1"/>
      <c r="B375" s="1"/>
      <c r="C375" s="1"/>
      <c r="D375" s="1"/>
      <c r="E375" s="1"/>
      <c r="F375" s="1"/>
      <c r="AV375" s="2"/>
      <c r="AW375" s="3"/>
    </row>
    <row r="376" ht="16.5" customHeight="1">
      <c r="A376" s="1"/>
      <c r="B376" s="1"/>
      <c r="C376" s="1"/>
      <c r="D376" s="1"/>
      <c r="E376" s="1"/>
      <c r="F376" s="1"/>
      <c r="AV376" s="2"/>
      <c r="AW376" s="3"/>
    </row>
    <row r="377" ht="16.5" customHeight="1">
      <c r="A377" s="1"/>
      <c r="B377" s="1"/>
      <c r="C377" s="1"/>
      <c r="D377" s="1"/>
      <c r="E377" s="1"/>
      <c r="F377" s="1"/>
      <c r="AV377" s="2"/>
      <c r="AW377" s="3"/>
    </row>
    <row r="378" ht="16.5" customHeight="1">
      <c r="A378" s="1"/>
      <c r="B378" s="1"/>
      <c r="C378" s="1"/>
      <c r="D378" s="1"/>
      <c r="E378" s="1"/>
      <c r="F378" s="1"/>
      <c r="AV378" s="2"/>
      <c r="AW378" s="3"/>
    </row>
    <row r="379" ht="16.5" customHeight="1">
      <c r="A379" s="1"/>
      <c r="B379" s="1"/>
      <c r="C379" s="1"/>
      <c r="D379" s="1"/>
      <c r="E379" s="1"/>
      <c r="F379" s="1"/>
      <c r="AV379" s="2"/>
      <c r="AW379" s="3"/>
    </row>
    <row r="380" ht="16.5" customHeight="1">
      <c r="A380" s="1"/>
      <c r="B380" s="1"/>
      <c r="C380" s="1"/>
      <c r="D380" s="1"/>
      <c r="E380" s="1"/>
      <c r="F380" s="1"/>
      <c r="AV380" s="2"/>
      <c r="AW380" s="3"/>
    </row>
    <row r="381" ht="16.5" customHeight="1">
      <c r="A381" s="1"/>
      <c r="B381" s="1"/>
      <c r="C381" s="1"/>
      <c r="D381" s="1"/>
      <c r="E381" s="1"/>
      <c r="F381" s="1"/>
      <c r="AV381" s="2"/>
      <c r="AW381" s="3"/>
    </row>
    <row r="382" ht="16.5" customHeight="1">
      <c r="A382" s="1"/>
      <c r="B382" s="1"/>
      <c r="C382" s="1"/>
      <c r="D382" s="1"/>
      <c r="E382" s="1"/>
      <c r="F382" s="1"/>
      <c r="AV382" s="2"/>
      <c r="AW382" s="3"/>
    </row>
    <row r="383" ht="16.5" customHeight="1">
      <c r="A383" s="1"/>
      <c r="B383" s="1"/>
      <c r="C383" s="1"/>
      <c r="D383" s="1"/>
      <c r="E383" s="1"/>
      <c r="F383" s="1"/>
      <c r="AV383" s="2"/>
      <c r="AW383" s="3"/>
    </row>
    <row r="384" ht="16.5" customHeight="1">
      <c r="A384" s="1"/>
      <c r="B384" s="1"/>
      <c r="C384" s="1"/>
      <c r="D384" s="1"/>
      <c r="E384" s="1"/>
      <c r="F384" s="1"/>
      <c r="AV384" s="2"/>
      <c r="AW384" s="3"/>
    </row>
    <row r="385" ht="16.5" customHeight="1">
      <c r="A385" s="1"/>
      <c r="B385" s="1"/>
      <c r="C385" s="1"/>
      <c r="D385" s="1"/>
      <c r="E385" s="1"/>
      <c r="F385" s="1"/>
      <c r="AV385" s="2"/>
      <c r="AW385" s="3"/>
    </row>
    <row r="386" ht="16.5" customHeight="1">
      <c r="A386" s="1"/>
      <c r="B386" s="1"/>
      <c r="C386" s="1"/>
      <c r="D386" s="1"/>
      <c r="E386" s="1"/>
      <c r="F386" s="1"/>
      <c r="AV386" s="2"/>
      <c r="AW386" s="3"/>
    </row>
    <row r="387" ht="16.5" customHeight="1">
      <c r="A387" s="1"/>
      <c r="B387" s="1"/>
      <c r="C387" s="1"/>
      <c r="D387" s="1"/>
      <c r="E387" s="1"/>
      <c r="F387" s="1"/>
      <c r="AV387" s="2"/>
      <c r="AW387" s="3"/>
    </row>
    <row r="388" ht="16.5" customHeight="1">
      <c r="A388" s="1"/>
      <c r="B388" s="1"/>
      <c r="C388" s="1"/>
      <c r="D388" s="1"/>
      <c r="E388" s="1"/>
      <c r="F388" s="1"/>
      <c r="AV388" s="2"/>
      <c r="AW388" s="3"/>
    </row>
    <row r="389" ht="16.5" customHeight="1">
      <c r="A389" s="1"/>
      <c r="B389" s="1"/>
      <c r="C389" s="1"/>
      <c r="D389" s="1"/>
      <c r="E389" s="1"/>
      <c r="F389" s="1"/>
      <c r="AV389" s="2"/>
      <c r="AW389" s="3"/>
    </row>
    <row r="390" ht="16.5" customHeight="1">
      <c r="A390" s="1"/>
      <c r="B390" s="1"/>
      <c r="C390" s="1"/>
      <c r="D390" s="1"/>
      <c r="E390" s="1"/>
      <c r="F390" s="1"/>
      <c r="AV390" s="2"/>
      <c r="AW390" s="3"/>
    </row>
    <row r="391" ht="16.5" customHeight="1">
      <c r="A391" s="1"/>
      <c r="B391" s="1"/>
      <c r="C391" s="1"/>
      <c r="D391" s="1"/>
      <c r="E391" s="1"/>
      <c r="F391" s="1"/>
      <c r="AV391" s="2"/>
      <c r="AW391" s="3"/>
    </row>
    <row r="392" ht="16.5" customHeight="1">
      <c r="A392" s="1"/>
      <c r="B392" s="1"/>
      <c r="C392" s="1"/>
      <c r="D392" s="1"/>
      <c r="E392" s="1"/>
      <c r="F392" s="1"/>
      <c r="AV392" s="2"/>
      <c r="AW392" s="3"/>
    </row>
    <row r="393" ht="16.5" customHeight="1">
      <c r="A393" s="1"/>
      <c r="B393" s="1"/>
      <c r="C393" s="1"/>
      <c r="D393" s="1"/>
      <c r="E393" s="1"/>
      <c r="F393" s="1"/>
      <c r="AV393" s="2"/>
      <c r="AW393" s="3"/>
    </row>
    <row r="394" ht="16.5" customHeight="1">
      <c r="A394" s="1"/>
      <c r="B394" s="1"/>
      <c r="C394" s="1"/>
      <c r="D394" s="1"/>
      <c r="E394" s="1"/>
      <c r="F394" s="1"/>
      <c r="AV394" s="2"/>
      <c r="AW394" s="3"/>
    </row>
    <row r="395" ht="16.5" customHeight="1">
      <c r="A395" s="1"/>
      <c r="B395" s="1"/>
      <c r="C395" s="1"/>
      <c r="D395" s="1"/>
      <c r="E395" s="1"/>
      <c r="F395" s="1"/>
      <c r="AV395" s="2"/>
      <c r="AW395" s="3"/>
    </row>
    <row r="396" ht="16.5" customHeight="1">
      <c r="A396" s="1"/>
      <c r="B396" s="1"/>
      <c r="C396" s="1"/>
      <c r="D396" s="1"/>
      <c r="E396" s="1"/>
      <c r="F396" s="1"/>
      <c r="AV396" s="2"/>
      <c r="AW396" s="3"/>
    </row>
    <row r="397" ht="16.5" customHeight="1">
      <c r="A397" s="1"/>
      <c r="B397" s="1"/>
      <c r="C397" s="1"/>
      <c r="D397" s="1"/>
      <c r="E397" s="1"/>
      <c r="F397" s="1"/>
      <c r="AV397" s="2"/>
      <c r="AW397" s="3"/>
    </row>
    <row r="398" ht="16.5" customHeight="1">
      <c r="A398" s="1"/>
      <c r="B398" s="1"/>
      <c r="C398" s="1"/>
      <c r="D398" s="1"/>
      <c r="E398" s="1"/>
      <c r="F398" s="1"/>
      <c r="AV398" s="2"/>
      <c r="AW398" s="3"/>
    </row>
    <row r="399" ht="16.5" customHeight="1">
      <c r="A399" s="1"/>
      <c r="B399" s="1"/>
      <c r="C399" s="1"/>
      <c r="D399" s="1"/>
      <c r="E399" s="1"/>
      <c r="F399" s="1"/>
      <c r="AV399" s="2"/>
      <c r="AW399" s="3"/>
    </row>
    <row r="400" ht="16.5" customHeight="1">
      <c r="A400" s="1"/>
      <c r="B400" s="1"/>
      <c r="C400" s="1"/>
      <c r="D400" s="1"/>
      <c r="E400" s="1"/>
      <c r="F400" s="1"/>
      <c r="AV400" s="2"/>
      <c r="AW400" s="3"/>
    </row>
    <row r="401" ht="16.5" customHeight="1">
      <c r="A401" s="1"/>
      <c r="B401" s="1"/>
      <c r="C401" s="1"/>
      <c r="D401" s="1"/>
      <c r="E401" s="1"/>
      <c r="F401" s="1"/>
      <c r="AV401" s="2"/>
      <c r="AW401" s="3"/>
    </row>
    <row r="402" ht="16.5" customHeight="1">
      <c r="A402" s="1"/>
      <c r="B402" s="1"/>
      <c r="C402" s="1"/>
      <c r="D402" s="1"/>
      <c r="E402" s="1"/>
      <c r="F402" s="1"/>
      <c r="AV402" s="2"/>
      <c r="AW402" s="3"/>
    </row>
    <row r="403" ht="16.5" customHeight="1">
      <c r="A403" s="1"/>
      <c r="B403" s="1"/>
      <c r="C403" s="1"/>
      <c r="D403" s="1"/>
      <c r="E403" s="1"/>
      <c r="F403" s="1"/>
      <c r="AV403" s="2"/>
      <c r="AW403" s="3"/>
    </row>
    <row r="404" ht="16.5" customHeight="1">
      <c r="A404" s="1"/>
      <c r="B404" s="1"/>
      <c r="C404" s="1"/>
      <c r="D404" s="1"/>
      <c r="E404" s="1"/>
      <c r="F404" s="1"/>
      <c r="AV404" s="2"/>
      <c r="AW404" s="3"/>
    </row>
    <row r="405" ht="16.5" customHeight="1">
      <c r="A405" s="1"/>
      <c r="B405" s="1"/>
      <c r="C405" s="1"/>
      <c r="D405" s="1"/>
      <c r="E405" s="1"/>
      <c r="F405" s="1"/>
      <c r="AV405" s="2"/>
      <c r="AW405" s="3"/>
    </row>
    <row r="406" ht="16.5" customHeight="1">
      <c r="A406" s="1"/>
      <c r="B406" s="1"/>
      <c r="C406" s="1"/>
      <c r="D406" s="1"/>
      <c r="E406" s="1"/>
      <c r="F406" s="1"/>
      <c r="AV406" s="2"/>
      <c r="AW406" s="3"/>
    </row>
    <row r="407" ht="16.5" customHeight="1">
      <c r="A407" s="1"/>
      <c r="B407" s="1"/>
      <c r="C407" s="1"/>
      <c r="D407" s="1"/>
      <c r="E407" s="1"/>
      <c r="F407" s="1"/>
      <c r="AV407" s="2"/>
      <c r="AW407" s="3"/>
    </row>
    <row r="408" ht="16.5" customHeight="1">
      <c r="A408" s="1"/>
      <c r="B408" s="1"/>
      <c r="C408" s="1"/>
      <c r="D408" s="1"/>
      <c r="E408" s="1"/>
      <c r="F408" s="1"/>
      <c r="AV408" s="2"/>
      <c r="AW408" s="3"/>
    </row>
    <row r="409" ht="16.5" customHeight="1">
      <c r="A409" s="1"/>
      <c r="B409" s="1"/>
      <c r="C409" s="1"/>
      <c r="D409" s="1"/>
      <c r="E409" s="1"/>
      <c r="F409" s="1"/>
      <c r="AV409" s="2"/>
      <c r="AW409" s="3"/>
    </row>
    <row r="410" ht="16.5" customHeight="1">
      <c r="A410" s="1"/>
      <c r="B410" s="1"/>
      <c r="C410" s="1"/>
      <c r="D410" s="1"/>
      <c r="E410" s="1"/>
      <c r="F410" s="1"/>
      <c r="AV410" s="2"/>
      <c r="AW410" s="3"/>
    </row>
    <row r="411" ht="16.5" customHeight="1">
      <c r="A411" s="1"/>
      <c r="B411" s="1"/>
      <c r="C411" s="1"/>
      <c r="D411" s="1"/>
      <c r="E411" s="1"/>
      <c r="F411" s="1"/>
      <c r="AV411" s="2"/>
      <c r="AW411" s="3"/>
    </row>
    <row r="412" ht="16.5" customHeight="1">
      <c r="A412" s="1"/>
      <c r="B412" s="1"/>
      <c r="C412" s="1"/>
      <c r="D412" s="1"/>
      <c r="E412" s="1"/>
      <c r="F412" s="1"/>
      <c r="AV412" s="2"/>
      <c r="AW412" s="3"/>
    </row>
    <row r="413" ht="16.5" customHeight="1">
      <c r="A413" s="1"/>
      <c r="B413" s="1"/>
      <c r="C413" s="1"/>
      <c r="D413" s="1"/>
      <c r="E413" s="1"/>
      <c r="F413" s="1"/>
      <c r="AV413" s="2"/>
      <c r="AW413" s="3"/>
    </row>
    <row r="414" ht="16.5" customHeight="1">
      <c r="A414" s="1"/>
      <c r="B414" s="1"/>
      <c r="C414" s="1"/>
      <c r="D414" s="1"/>
      <c r="E414" s="1"/>
      <c r="F414" s="1"/>
      <c r="AV414" s="2"/>
      <c r="AW414" s="3"/>
    </row>
    <row r="415" ht="16.5" customHeight="1">
      <c r="A415" s="1"/>
      <c r="B415" s="1"/>
      <c r="C415" s="1"/>
      <c r="D415" s="1"/>
      <c r="E415" s="1"/>
      <c r="F415" s="1"/>
      <c r="AV415" s="2"/>
      <c r="AW415" s="3"/>
    </row>
    <row r="416" ht="16.5" customHeight="1">
      <c r="A416" s="1"/>
      <c r="B416" s="1"/>
      <c r="C416" s="1"/>
      <c r="D416" s="1"/>
      <c r="E416" s="1"/>
      <c r="F416" s="1"/>
      <c r="AV416" s="2"/>
      <c r="AW416" s="3"/>
    </row>
    <row r="417" ht="16.5" customHeight="1">
      <c r="A417" s="1"/>
      <c r="B417" s="1"/>
      <c r="C417" s="1"/>
      <c r="D417" s="1"/>
      <c r="E417" s="1"/>
      <c r="F417" s="1"/>
      <c r="AV417" s="2"/>
      <c r="AW417" s="3"/>
    </row>
    <row r="418" ht="16.5" customHeight="1">
      <c r="A418" s="1"/>
      <c r="B418" s="1"/>
      <c r="C418" s="1"/>
      <c r="D418" s="1"/>
      <c r="E418" s="1"/>
      <c r="F418" s="1"/>
      <c r="AV418" s="2"/>
      <c r="AW418" s="3"/>
    </row>
    <row r="419" ht="16.5" customHeight="1">
      <c r="A419" s="1"/>
      <c r="B419" s="1"/>
      <c r="C419" s="1"/>
      <c r="D419" s="1"/>
      <c r="E419" s="1"/>
      <c r="F419" s="1"/>
      <c r="AV419" s="2"/>
      <c r="AW419" s="3"/>
    </row>
    <row r="420" ht="16.5" customHeight="1">
      <c r="A420" s="1"/>
      <c r="B420" s="1"/>
      <c r="C420" s="1"/>
      <c r="D420" s="1"/>
      <c r="E420" s="1"/>
      <c r="F420" s="1"/>
      <c r="AV420" s="2"/>
      <c r="AW420" s="3"/>
    </row>
    <row r="421" ht="16.5" customHeight="1">
      <c r="A421" s="1"/>
      <c r="B421" s="1"/>
      <c r="C421" s="1"/>
      <c r="D421" s="1"/>
      <c r="E421" s="1"/>
      <c r="F421" s="1"/>
      <c r="AV421" s="2"/>
      <c r="AW421" s="3"/>
    </row>
    <row r="422" ht="16.5" customHeight="1">
      <c r="A422" s="1"/>
      <c r="B422" s="1"/>
      <c r="C422" s="1"/>
      <c r="D422" s="1"/>
      <c r="E422" s="1"/>
      <c r="F422" s="1"/>
      <c r="AV422" s="2"/>
      <c r="AW422" s="3"/>
    </row>
    <row r="423" ht="16.5" customHeight="1">
      <c r="A423" s="1"/>
      <c r="B423" s="1"/>
      <c r="C423" s="1"/>
      <c r="D423" s="1"/>
      <c r="E423" s="1"/>
      <c r="F423" s="1"/>
      <c r="AV423" s="2"/>
      <c r="AW423" s="3"/>
    </row>
    <row r="424" ht="16.5" customHeight="1">
      <c r="A424" s="1"/>
      <c r="B424" s="1"/>
      <c r="C424" s="1"/>
      <c r="D424" s="1"/>
      <c r="E424" s="1"/>
      <c r="F424" s="1"/>
      <c r="AV424" s="2"/>
      <c r="AW424" s="3"/>
    </row>
    <row r="425" ht="16.5" customHeight="1">
      <c r="A425" s="1"/>
      <c r="B425" s="1"/>
      <c r="C425" s="1"/>
      <c r="D425" s="1"/>
      <c r="E425" s="1"/>
      <c r="F425" s="1"/>
      <c r="AV425" s="2"/>
      <c r="AW425" s="3"/>
    </row>
    <row r="426" ht="16.5" customHeight="1">
      <c r="A426" s="1"/>
      <c r="B426" s="1"/>
      <c r="C426" s="1"/>
      <c r="D426" s="1"/>
      <c r="E426" s="1"/>
      <c r="F426" s="1"/>
      <c r="AV426" s="2"/>
      <c r="AW426" s="3"/>
    </row>
    <row r="427" ht="16.5" customHeight="1">
      <c r="A427" s="1"/>
      <c r="B427" s="1"/>
      <c r="C427" s="1"/>
      <c r="D427" s="1"/>
      <c r="E427" s="1"/>
      <c r="F427" s="1"/>
      <c r="AV427" s="2"/>
      <c r="AW427" s="3"/>
    </row>
    <row r="428" ht="16.5" customHeight="1">
      <c r="A428" s="1"/>
      <c r="B428" s="1"/>
      <c r="C428" s="1"/>
      <c r="D428" s="1"/>
      <c r="E428" s="1"/>
      <c r="F428" s="1"/>
      <c r="AV428" s="2"/>
      <c r="AW428" s="3"/>
    </row>
    <row r="429" ht="16.5" customHeight="1">
      <c r="A429" s="1"/>
      <c r="B429" s="1"/>
      <c r="C429" s="1"/>
      <c r="D429" s="1"/>
      <c r="E429" s="1"/>
      <c r="F429" s="1"/>
      <c r="AV429" s="2"/>
      <c r="AW429" s="3"/>
    </row>
    <row r="430" ht="16.5" customHeight="1">
      <c r="A430" s="1"/>
      <c r="B430" s="1"/>
      <c r="C430" s="1"/>
      <c r="D430" s="1"/>
      <c r="E430" s="1"/>
      <c r="F430" s="1"/>
      <c r="AV430" s="2"/>
      <c r="AW430" s="3"/>
    </row>
    <row r="431" ht="16.5" customHeight="1">
      <c r="A431" s="1"/>
      <c r="B431" s="1"/>
      <c r="C431" s="1"/>
      <c r="D431" s="1"/>
      <c r="E431" s="1"/>
      <c r="F431" s="1"/>
      <c r="AV431" s="2"/>
      <c r="AW431" s="3"/>
    </row>
    <row r="432" ht="16.5" customHeight="1">
      <c r="A432" s="1"/>
      <c r="B432" s="1"/>
      <c r="C432" s="1"/>
      <c r="D432" s="1"/>
      <c r="E432" s="1"/>
      <c r="F432" s="1"/>
      <c r="AV432" s="2"/>
      <c r="AW432" s="3"/>
    </row>
    <row r="433" ht="16.5" customHeight="1">
      <c r="A433" s="1"/>
      <c r="B433" s="1"/>
      <c r="C433" s="1"/>
      <c r="D433" s="1"/>
      <c r="E433" s="1"/>
      <c r="F433" s="1"/>
      <c r="AV433" s="2"/>
      <c r="AW433" s="3"/>
    </row>
    <row r="434" ht="16.5" customHeight="1">
      <c r="A434" s="1"/>
      <c r="B434" s="1"/>
      <c r="C434" s="1"/>
      <c r="D434" s="1"/>
      <c r="E434" s="1"/>
      <c r="F434" s="1"/>
      <c r="AV434" s="2"/>
      <c r="AW434" s="3"/>
    </row>
    <row r="435" ht="16.5" customHeight="1">
      <c r="A435" s="1"/>
      <c r="B435" s="1"/>
      <c r="C435" s="1"/>
      <c r="D435" s="1"/>
      <c r="E435" s="1"/>
      <c r="F435" s="1"/>
      <c r="AV435" s="2"/>
      <c r="AW435" s="3"/>
    </row>
    <row r="436" ht="16.5" customHeight="1">
      <c r="A436" s="1"/>
      <c r="B436" s="1"/>
      <c r="C436" s="1"/>
      <c r="D436" s="1"/>
      <c r="E436" s="1"/>
      <c r="F436" s="1"/>
      <c r="AV436" s="2"/>
      <c r="AW436" s="3"/>
    </row>
    <row r="437" ht="16.5" customHeight="1">
      <c r="A437" s="1"/>
      <c r="B437" s="1"/>
      <c r="C437" s="1"/>
      <c r="D437" s="1"/>
      <c r="E437" s="1"/>
      <c r="F437" s="1"/>
      <c r="AV437" s="2"/>
      <c r="AW437" s="3"/>
    </row>
    <row r="438" ht="16.5" customHeight="1">
      <c r="A438" s="1"/>
      <c r="B438" s="1"/>
      <c r="C438" s="1"/>
      <c r="D438" s="1"/>
      <c r="E438" s="1"/>
      <c r="F438" s="1"/>
      <c r="AV438" s="2"/>
      <c r="AW438" s="3"/>
    </row>
    <row r="439" ht="16.5" customHeight="1">
      <c r="A439" s="1"/>
      <c r="B439" s="1"/>
      <c r="C439" s="1"/>
      <c r="D439" s="1"/>
      <c r="E439" s="1"/>
      <c r="F439" s="1"/>
      <c r="AV439" s="2"/>
      <c r="AW439" s="3"/>
    </row>
    <row r="440" ht="16.5" customHeight="1">
      <c r="A440" s="1"/>
      <c r="B440" s="1"/>
      <c r="C440" s="1"/>
      <c r="D440" s="1"/>
      <c r="E440" s="1"/>
      <c r="F440" s="1"/>
      <c r="AV440" s="2"/>
      <c r="AW440" s="3"/>
    </row>
    <row r="441" ht="16.5" customHeight="1">
      <c r="A441" s="1"/>
      <c r="B441" s="1"/>
      <c r="C441" s="1"/>
      <c r="D441" s="1"/>
      <c r="E441" s="1"/>
      <c r="F441" s="1"/>
      <c r="AV441" s="2"/>
      <c r="AW441" s="3"/>
    </row>
    <row r="442" ht="16.5" customHeight="1">
      <c r="A442" s="1"/>
      <c r="B442" s="1"/>
      <c r="C442" s="1"/>
      <c r="D442" s="1"/>
      <c r="E442" s="1"/>
      <c r="F442" s="1"/>
      <c r="AV442" s="2"/>
      <c r="AW442" s="3"/>
    </row>
    <row r="443" ht="16.5" customHeight="1">
      <c r="A443" s="1"/>
      <c r="B443" s="1"/>
      <c r="C443" s="1"/>
      <c r="D443" s="1"/>
      <c r="E443" s="1"/>
      <c r="F443" s="1"/>
      <c r="AV443" s="2"/>
      <c r="AW443" s="3"/>
    </row>
    <row r="444" ht="16.5" customHeight="1">
      <c r="A444" s="1"/>
      <c r="B444" s="1"/>
      <c r="C444" s="1"/>
      <c r="D444" s="1"/>
      <c r="E444" s="1"/>
      <c r="F444" s="1"/>
      <c r="AV444" s="2"/>
      <c r="AW444" s="3"/>
    </row>
    <row r="445" ht="16.5" customHeight="1">
      <c r="A445" s="1"/>
      <c r="B445" s="1"/>
      <c r="C445" s="1"/>
      <c r="D445" s="1"/>
      <c r="E445" s="1"/>
      <c r="F445" s="1"/>
      <c r="AV445" s="2"/>
      <c r="AW445" s="3"/>
    </row>
    <row r="446" ht="16.5" customHeight="1">
      <c r="A446" s="1"/>
      <c r="B446" s="1"/>
      <c r="C446" s="1"/>
      <c r="D446" s="1"/>
      <c r="E446" s="1"/>
      <c r="F446" s="1"/>
      <c r="AV446" s="2"/>
      <c r="AW446" s="3"/>
    </row>
    <row r="447" ht="16.5" customHeight="1">
      <c r="A447" s="1"/>
      <c r="B447" s="1"/>
      <c r="C447" s="1"/>
      <c r="D447" s="1"/>
      <c r="E447" s="1"/>
      <c r="F447" s="1"/>
      <c r="AV447" s="2"/>
      <c r="AW447" s="3"/>
    </row>
    <row r="448" ht="16.5" customHeight="1">
      <c r="A448" s="1"/>
      <c r="B448" s="1"/>
      <c r="C448" s="1"/>
      <c r="D448" s="1"/>
      <c r="E448" s="1"/>
      <c r="F448" s="1"/>
      <c r="AV448" s="2"/>
      <c r="AW448" s="3"/>
    </row>
    <row r="449" ht="16.5" customHeight="1">
      <c r="A449" s="1"/>
      <c r="B449" s="1"/>
      <c r="C449" s="1"/>
      <c r="D449" s="1"/>
      <c r="E449" s="1"/>
      <c r="F449" s="1"/>
      <c r="AV449" s="2"/>
      <c r="AW449" s="3"/>
    </row>
    <row r="450" ht="16.5" customHeight="1">
      <c r="A450" s="1"/>
      <c r="B450" s="1"/>
      <c r="C450" s="1"/>
      <c r="D450" s="1"/>
      <c r="E450" s="1"/>
      <c r="F450" s="1"/>
      <c r="AV450" s="2"/>
      <c r="AW450" s="3"/>
    </row>
    <row r="451" ht="16.5" customHeight="1">
      <c r="A451" s="1"/>
      <c r="B451" s="1"/>
      <c r="C451" s="1"/>
      <c r="D451" s="1"/>
      <c r="E451" s="1"/>
      <c r="F451" s="1"/>
      <c r="AV451" s="2"/>
      <c r="AW451" s="3"/>
    </row>
    <row r="452" ht="16.5" customHeight="1">
      <c r="A452" s="1"/>
      <c r="B452" s="1"/>
      <c r="C452" s="1"/>
      <c r="D452" s="1"/>
      <c r="E452" s="1"/>
      <c r="F452" s="1"/>
      <c r="AV452" s="2"/>
      <c r="AW452" s="3"/>
    </row>
    <row r="453" ht="16.5" customHeight="1">
      <c r="A453" s="1"/>
      <c r="B453" s="1"/>
      <c r="C453" s="1"/>
      <c r="D453" s="1"/>
      <c r="E453" s="1"/>
      <c r="F453" s="1"/>
      <c r="AV453" s="2"/>
      <c r="AW453" s="3"/>
    </row>
    <row r="454" ht="16.5" customHeight="1">
      <c r="A454" s="1"/>
      <c r="B454" s="1"/>
      <c r="C454" s="1"/>
      <c r="D454" s="1"/>
      <c r="E454" s="1"/>
      <c r="F454" s="1"/>
      <c r="AV454" s="2"/>
      <c r="AW454" s="3"/>
    </row>
    <row r="455" ht="16.5" customHeight="1">
      <c r="A455" s="1"/>
      <c r="B455" s="1"/>
      <c r="C455" s="1"/>
      <c r="D455" s="1"/>
      <c r="E455" s="1"/>
      <c r="F455" s="1"/>
      <c r="AV455" s="2"/>
      <c r="AW455" s="3"/>
    </row>
    <row r="456" ht="16.5" customHeight="1">
      <c r="A456" s="1"/>
      <c r="B456" s="1"/>
      <c r="C456" s="1"/>
      <c r="D456" s="1"/>
      <c r="E456" s="1"/>
      <c r="F456" s="1"/>
      <c r="AV456" s="2"/>
      <c r="AW456" s="3"/>
    </row>
    <row r="457" ht="16.5" customHeight="1">
      <c r="A457" s="1"/>
      <c r="B457" s="1"/>
      <c r="C457" s="1"/>
      <c r="D457" s="1"/>
      <c r="E457" s="1"/>
      <c r="F457" s="1"/>
      <c r="AV457" s="2"/>
      <c r="AW457" s="3"/>
    </row>
    <row r="458" ht="16.5" customHeight="1">
      <c r="A458" s="1"/>
      <c r="B458" s="1"/>
      <c r="C458" s="1"/>
      <c r="D458" s="1"/>
      <c r="E458" s="1"/>
      <c r="F458" s="1"/>
      <c r="AV458" s="2"/>
      <c r="AW458" s="3"/>
    </row>
    <row r="459" ht="16.5" customHeight="1">
      <c r="A459" s="1"/>
      <c r="B459" s="1"/>
      <c r="C459" s="1"/>
      <c r="D459" s="1"/>
      <c r="E459" s="1"/>
      <c r="F459" s="1"/>
      <c r="AV459" s="2"/>
      <c r="AW459" s="3"/>
    </row>
    <row r="460" ht="16.5" customHeight="1">
      <c r="A460" s="1"/>
      <c r="B460" s="1"/>
      <c r="C460" s="1"/>
      <c r="D460" s="1"/>
      <c r="E460" s="1"/>
      <c r="F460" s="1"/>
      <c r="AV460" s="2"/>
      <c r="AW460" s="3"/>
    </row>
    <row r="461" ht="16.5" customHeight="1">
      <c r="A461" s="1"/>
      <c r="B461" s="1"/>
      <c r="C461" s="1"/>
      <c r="D461" s="1"/>
      <c r="E461" s="1"/>
      <c r="F461" s="1"/>
      <c r="AV461" s="2"/>
      <c r="AW461" s="3"/>
    </row>
    <row r="462" ht="16.5" customHeight="1">
      <c r="A462" s="1"/>
      <c r="B462" s="1"/>
      <c r="C462" s="1"/>
      <c r="D462" s="1"/>
      <c r="E462" s="1"/>
      <c r="F462" s="1"/>
      <c r="AV462" s="2"/>
      <c r="AW462" s="3"/>
    </row>
    <row r="463" ht="16.5" customHeight="1">
      <c r="A463" s="1"/>
      <c r="B463" s="1"/>
      <c r="C463" s="1"/>
      <c r="D463" s="1"/>
      <c r="E463" s="1"/>
      <c r="F463" s="1"/>
      <c r="AV463" s="2"/>
      <c r="AW463" s="3"/>
    </row>
    <row r="464" ht="16.5" customHeight="1">
      <c r="A464" s="1"/>
      <c r="B464" s="1"/>
      <c r="C464" s="1"/>
      <c r="D464" s="1"/>
      <c r="E464" s="1"/>
      <c r="F464" s="1"/>
      <c r="AV464" s="2"/>
      <c r="AW464" s="3"/>
    </row>
    <row r="465" ht="16.5" customHeight="1">
      <c r="A465" s="1"/>
      <c r="B465" s="1"/>
      <c r="C465" s="1"/>
      <c r="D465" s="1"/>
      <c r="E465" s="1"/>
      <c r="F465" s="1"/>
      <c r="AV465" s="2"/>
      <c r="AW465" s="3"/>
    </row>
    <row r="466" ht="16.5" customHeight="1">
      <c r="A466" s="1"/>
      <c r="B466" s="1"/>
      <c r="C466" s="1"/>
      <c r="D466" s="1"/>
      <c r="E466" s="1"/>
      <c r="F466" s="1"/>
      <c r="AV466" s="2"/>
      <c r="AW466" s="3"/>
    </row>
    <row r="467" ht="16.5" customHeight="1">
      <c r="A467" s="1"/>
      <c r="B467" s="1"/>
      <c r="C467" s="1"/>
      <c r="D467" s="1"/>
      <c r="E467" s="1"/>
      <c r="F467" s="1"/>
      <c r="AV467" s="2"/>
      <c r="AW467" s="3"/>
    </row>
    <row r="468" ht="16.5" customHeight="1">
      <c r="A468" s="1"/>
      <c r="B468" s="1"/>
      <c r="C468" s="1"/>
      <c r="D468" s="1"/>
      <c r="E468" s="1"/>
      <c r="F468" s="1"/>
      <c r="AV468" s="2"/>
      <c r="AW468" s="3"/>
    </row>
    <row r="469" ht="16.5" customHeight="1">
      <c r="A469" s="1"/>
      <c r="B469" s="1"/>
      <c r="C469" s="1"/>
      <c r="D469" s="1"/>
      <c r="E469" s="1"/>
      <c r="F469" s="1"/>
      <c r="AV469" s="2"/>
      <c r="AW469" s="3"/>
    </row>
    <row r="470" ht="16.5" customHeight="1">
      <c r="A470" s="1"/>
      <c r="B470" s="1"/>
      <c r="C470" s="1"/>
      <c r="D470" s="1"/>
      <c r="E470" s="1"/>
      <c r="F470" s="1"/>
      <c r="AV470" s="2"/>
      <c r="AW470" s="3"/>
    </row>
    <row r="471" ht="16.5" customHeight="1">
      <c r="A471" s="1"/>
      <c r="B471" s="1"/>
      <c r="C471" s="1"/>
      <c r="D471" s="1"/>
      <c r="E471" s="1"/>
      <c r="F471" s="1"/>
      <c r="AV471" s="2"/>
      <c r="AW471" s="3"/>
    </row>
    <row r="472" ht="16.5" customHeight="1">
      <c r="A472" s="1"/>
      <c r="B472" s="1"/>
      <c r="C472" s="1"/>
      <c r="D472" s="1"/>
      <c r="E472" s="1"/>
      <c r="F472" s="1"/>
      <c r="AV472" s="2"/>
      <c r="AW472" s="3"/>
    </row>
    <row r="473" ht="16.5" customHeight="1">
      <c r="A473" s="1"/>
      <c r="B473" s="1"/>
      <c r="C473" s="1"/>
      <c r="D473" s="1"/>
      <c r="E473" s="1"/>
      <c r="F473" s="1"/>
      <c r="AV473" s="2"/>
      <c r="AW473" s="3"/>
    </row>
    <row r="474" ht="16.5" customHeight="1">
      <c r="A474" s="1"/>
      <c r="B474" s="1"/>
      <c r="C474" s="1"/>
      <c r="D474" s="1"/>
      <c r="E474" s="1"/>
      <c r="F474" s="1"/>
      <c r="AV474" s="2"/>
      <c r="AW474" s="3"/>
    </row>
    <row r="475" ht="16.5" customHeight="1">
      <c r="A475" s="1"/>
      <c r="B475" s="1"/>
      <c r="C475" s="1"/>
      <c r="D475" s="1"/>
      <c r="E475" s="1"/>
      <c r="F475" s="1"/>
      <c r="AV475" s="2"/>
      <c r="AW475" s="3"/>
    </row>
    <row r="476" ht="16.5" customHeight="1">
      <c r="A476" s="1"/>
      <c r="B476" s="1"/>
      <c r="C476" s="1"/>
      <c r="D476" s="1"/>
      <c r="E476" s="1"/>
      <c r="F476" s="1"/>
      <c r="AV476" s="2"/>
      <c r="AW476" s="3"/>
    </row>
    <row r="477" ht="16.5" customHeight="1">
      <c r="A477" s="1"/>
      <c r="B477" s="1"/>
      <c r="C477" s="1"/>
      <c r="D477" s="1"/>
      <c r="E477" s="1"/>
      <c r="F477" s="1"/>
      <c r="AV477" s="2"/>
      <c r="AW477" s="3"/>
    </row>
    <row r="478" ht="16.5" customHeight="1">
      <c r="A478" s="1"/>
      <c r="B478" s="1"/>
      <c r="C478" s="1"/>
      <c r="D478" s="1"/>
      <c r="E478" s="1"/>
      <c r="F478" s="1"/>
      <c r="AV478" s="2"/>
      <c r="AW478" s="3"/>
    </row>
    <row r="479" ht="16.5" customHeight="1">
      <c r="A479" s="1"/>
      <c r="B479" s="1"/>
      <c r="C479" s="1"/>
      <c r="D479" s="1"/>
      <c r="E479" s="1"/>
      <c r="F479" s="1"/>
      <c r="AV479" s="2"/>
      <c r="AW479" s="3"/>
    </row>
    <row r="480" ht="16.5" customHeight="1">
      <c r="A480" s="1"/>
      <c r="B480" s="1"/>
      <c r="C480" s="1"/>
      <c r="D480" s="1"/>
      <c r="E480" s="1"/>
      <c r="F480" s="1"/>
      <c r="AV480" s="2"/>
      <c r="AW480" s="3"/>
    </row>
    <row r="481" ht="16.5" customHeight="1">
      <c r="A481" s="1"/>
      <c r="B481" s="1"/>
      <c r="C481" s="1"/>
      <c r="D481" s="1"/>
      <c r="E481" s="1"/>
      <c r="F481" s="1"/>
      <c r="AV481" s="2"/>
      <c r="AW481" s="3"/>
    </row>
    <row r="482" ht="16.5" customHeight="1">
      <c r="A482" s="1"/>
      <c r="B482" s="1"/>
      <c r="C482" s="1"/>
      <c r="D482" s="1"/>
      <c r="E482" s="1"/>
      <c r="F482" s="1"/>
      <c r="AV482" s="2"/>
      <c r="AW482" s="3"/>
    </row>
    <row r="483" ht="16.5" customHeight="1">
      <c r="A483" s="1"/>
      <c r="B483" s="1"/>
      <c r="C483" s="1"/>
      <c r="D483" s="1"/>
      <c r="E483" s="1"/>
      <c r="F483" s="1"/>
      <c r="AV483" s="2"/>
      <c r="AW483" s="3"/>
    </row>
    <row r="484" ht="16.5" customHeight="1">
      <c r="A484" s="1"/>
      <c r="B484" s="1"/>
      <c r="C484" s="1"/>
      <c r="D484" s="1"/>
      <c r="E484" s="1"/>
      <c r="F484" s="1"/>
      <c r="AV484" s="2"/>
      <c r="AW484" s="3"/>
    </row>
    <row r="485" ht="16.5" customHeight="1">
      <c r="A485" s="1"/>
      <c r="B485" s="1"/>
      <c r="C485" s="1"/>
      <c r="D485" s="1"/>
      <c r="E485" s="1"/>
      <c r="F485" s="1"/>
      <c r="AV485" s="2"/>
      <c r="AW485" s="3"/>
    </row>
    <row r="486" ht="16.5" customHeight="1">
      <c r="A486" s="1"/>
      <c r="B486" s="1"/>
      <c r="C486" s="1"/>
      <c r="D486" s="1"/>
      <c r="E486" s="1"/>
      <c r="F486" s="1"/>
      <c r="AV486" s="2"/>
      <c r="AW486" s="3"/>
    </row>
    <row r="487" ht="16.5" customHeight="1">
      <c r="A487" s="1"/>
      <c r="B487" s="1"/>
      <c r="C487" s="1"/>
      <c r="D487" s="1"/>
      <c r="E487" s="1"/>
      <c r="F487" s="1"/>
      <c r="AV487" s="2"/>
      <c r="AW487" s="3"/>
    </row>
    <row r="488" ht="16.5" customHeight="1">
      <c r="A488" s="1"/>
      <c r="B488" s="1"/>
      <c r="C488" s="1"/>
      <c r="D488" s="1"/>
      <c r="E488" s="1"/>
      <c r="F488" s="1"/>
      <c r="AV488" s="2"/>
      <c r="AW488" s="3"/>
    </row>
    <row r="489" ht="16.5" customHeight="1">
      <c r="A489" s="1"/>
      <c r="B489" s="1"/>
      <c r="C489" s="1"/>
      <c r="D489" s="1"/>
      <c r="E489" s="1"/>
      <c r="F489" s="1"/>
      <c r="AV489" s="2"/>
      <c r="AW489" s="3"/>
    </row>
    <row r="490" ht="16.5" customHeight="1">
      <c r="A490" s="1"/>
      <c r="B490" s="1"/>
      <c r="C490" s="1"/>
      <c r="D490" s="1"/>
      <c r="E490" s="1"/>
      <c r="F490" s="1"/>
      <c r="AV490" s="2"/>
      <c r="AW490" s="3"/>
    </row>
    <row r="491" ht="16.5" customHeight="1">
      <c r="A491" s="1"/>
      <c r="B491" s="1"/>
      <c r="C491" s="1"/>
      <c r="D491" s="1"/>
      <c r="E491" s="1"/>
      <c r="F491" s="1"/>
      <c r="AV491" s="2"/>
      <c r="AW491" s="3"/>
    </row>
    <row r="492" ht="16.5" customHeight="1">
      <c r="A492" s="1"/>
      <c r="B492" s="1"/>
      <c r="C492" s="1"/>
      <c r="D492" s="1"/>
      <c r="E492" s="1"/>
      <c r="F492" s="1"/>
      <c r="AV492" s="2"/>
      <c r="AW492" s="3"/>
    </row>
    <row r="493" ht="16.5" customHeight="1">
      <c r="A493" s="1"/>
      <c r="B493" s="1"/>
      <c r="C493" s="1"/>
      <c r="D493" s="1"/>
      <c r="E493" s="1"/>
      <c r="F493" s="1"/>
      <c r="AV493" s="2"/>
      <c r="AW493" s="3"/>
    </row>
    <row r="494" ht="16.5" customHeight="1">
      <c r="A494" s="1"/>
      <c r="B494" s="1"/>
      <c r="C494" s="1"/>
      <c r="D494" s="1"/>
      <c r="E494" s="1"/>
      <c r="F494" s="1"/>
      <c r="AV494" s="2"/>
      <c r="AW494" s="3"/>
    </row>
    <row r="495" ht="16.5" customHeight="1">
      <c r="A495" s="1"/>
      <c r="B495" s="1"/>
      <c r="C495" s="1"/>
      <c r="D495" s="1"/>
      <c r="E495" s="1"/>
      <c r="F495" s="1"/>
      <c r="AV495" s="2"/>
      <c r="AW495" s="3"/>
    </row>
    <row r="496" ht="16.5" customHeight="1">
      <c r="A496" s="1"/>
      <c r="B496" s="1"/>
      <c r="C496" s="1"/>
      <c r="D496" s="1"/>
      <c r="E496" s="1"/>
      <c r="F496" s="1"/>
      <c r="AV496" s="2"/>
      <c r="AW496" s="3"/>
    </row>
    <row r="497" ht="16.5" customHeight="1">
      <c r="A497" s="1"/>
      <c r="B497" s="1"/>
      <c r="C497" s="1"/>
      <c r="D497" s="1"/>
      <c r="E497" s="1"/>
      <c r="F497" s="1"/>
      <c r="AV497" s="2"/>
      <c r="AW497" s="3"/>
    </row>
    <row r="498" ht="16.5" customHeight="1">
      <c r="A498" s="1"/>
      <c r="B498" s="1"/>
      <c r="C498" s="1"/>
      <c r="D498" s="1"/>
      <c r="E498" s="1"/>
      <c r="F498" s="1"/>
      <c r="AV498" s="2"/>
      <c r="AW498" s="3"/>
    </row>
    <row r="499" ht="16.5" customHeight="1">
      <c r="A499" s="1"/>
      <c r="B499" s="1"/>
      <c r="C499" s="1"/>
      <c r="D499" s="1"/>
      <c r="E499" s="1"/>
      <c r="F499" s="1"/>
      <c r="AV499" s="2"/>
      <c r="AW499" s="3"/>
    </row>
    <row r="500" ht="16.5" customHeight="1">
      <c r="A500" s="1"/>
      <c r="B500" s="1"/>
      <c r="C500" s="1"/>
      <c r="D500" s="1"/>
      <c r="E500" s="1"/>
      <c r="F500" s="1"/>
      <c r="AV500" s="2"/>
      <c r="AW500" s="3"/>
    </row>
    <row r="501" ht="16.5" customHeight="1">
      <c r="A501" s="1"/>
      <c r="B501" s="1"/>
      <c r="C501" s="1"/>
      <c r="D501" s="1"/>
      <c r="E501" s="1"/>
      <c r="F501" s="1"/>
      <c r="AV501" s="2"/>
      <c r="AW501" s="3"/>
    </row>
    <row r="502" ht="16.5" customHeight="1">
      <c r="A502" s="1"/>
      <c r="B502" s="1"/>
      <c r="C502" s="1"/>
      <c r="D502" s="1"/>
      <c r="E502" s="1"/>
      <c r="F502" s="1"/>
      <c r="AV502" s="2"/>
      <c r="AW502" s="3"/>
    </row>
    <row r="503" ht="16.5" customHeight="1">
      <c r="A503" s="1"/>
      <c r="B503" s="1"/>
      <c r="C503" s="1"/>
      <c r="D503" s="1"/>
      <c r="E503" s="1"/>
      <c r="F503" s="1"/>
      <c r="AV503" s="2"/>
      <c r="AW503" s="3"/>
    </row>
    <row r="504" ht="16.5" customHeight="1">
      <c r="A504" s="1"/>
      <c r="B504" s="1"/>
      <c r="C504" s="1"/>
      <c r="D504" s="1"/>
      <c r="E504" s="1"/>
      <c r="F504" s="1"/>
      <c r="AV504" s="2"/>
      <c r="AW504" s="3"/>
    </row>
    <row r="505" ht="16.5" customHeight="1">
      <c r="A505" s="1"/>
      <c r="B505" s="1"/>
      <c r="C505" s="1"/>
      <c r="D505" s="1"/>
      <c r="E505" s="1"/>
      <c r="F505" s="1"/>
      <c r="AV505" s="2"/>
      <c r="AW505" s="3"/>
    </row>
    <row r="506" ht="16.5" customHeight="1">
      <c r="A506" s="1"/>
      <c r="B506" s="1"/>
      <c r="C506" s="1"/>
      <c r="D506" s="1"/>
      <c r="E506" s="1"/>
      <c r="F506" s="1"/>
      <c r="AV506" s="2"/>
      <c r="AW506" s="3"/>
    </row>
    <row r="507" ht="16.5" customHeight="1">
      <c r="A507" s="1"/>
      <c r="B507" s="1"/>
      <c r="C507" s="1"/>
      <c r="D507" s="1"/>
      <c r="E507" s="1"/>
      <c r="F507" s="1"/>
      <c r="AV507" s="2"/>
      <c r="AW507" s="3"/>
    </row>
    <row r="508" ht="16.5" customHeight="1">
      <c r="A508" s="1"/>
      <c r="B508" s="1"/>
      <c r="C508" s="1"/>
      <c r="D508" s="1"/>
      <c r="E508" s="1"/>
      <c r="F508" s="1"/>
      <c r="AV508" s="2"/>
      <c r="AW508" s="3"/>
    </row>
    <row r="509" ht="16.5" customHeight="1">
      <c r="A509" s="1"/>
      <c r="B509" s="1"/>
      <c r="C509" s="1"/>
      <c r="D509" s="1"/>
      <c r="E509" s="1"/>
      <c r="F509" s="1"/>
      <c r="AV509" s="2"/>
      <c r="AW509" s="3"/>
    </row>
    <row r="510" ht="16.5" customHeight="1">
      <c r="A510" s="1"/>
      <c r="B510" s="1"/>
      <c r="C510" s="1"/>
      <c r="D510" s="1"/>
      <c r="E510" s="1"/>
      <c r="F510" s="1"/>
      <c r="AV510" s="2"/>
      <c r="AW510" s="3"/>
    </row>
    <row r="511" ht="16.5" customHeight="1">
      <c r="A511" s="1"/>
      <c r="B511" s="1"/>
      <c r="C511" s="1"/>
      <c r="D511" s="1"/>
      <c r="E511" s="1"/>
      <c r="F511" s="1"/>
      <c r="AV511" s="2"/>
      <c r="AW511" s="3"/>
    </row>
    <row r="512" ht="16.5" customHeight="1">
      <c r="A512" s="1"/>
      <c r="B512" s="1"/>
      <c r="C512" s="1"/>
      <c r="D512" s="1"/>
      <c r="E512" s="1"/>
      <c r="F512" s="1"/>
      <c r="AV512" s="2"/>
      <c r="AW512" s="3"/>
    </row>
    <row r="513" ht="16.5" customHeight="1">
      <c r="A513" s="1"/>
      <c r="B513" s="1"/>
      <c r="C513" s="1"/>
      <c r="D513" s="1"/>
      <c r="E513" s="1"/>
      <c r="F513" s="1"/>
      <c r="AV513" s="2"/>
      <c r="AW513" s="3"/>
    </row>
    <row r="514" ht="16.5" customHeight="1">
      <c r="A514" s="1"/>
      <c r="B514" s="1"/>
      <c r="C514" s="1"/>
      <c r="D514" s="1"/>
      <c r="E514" s="1"/>
      <c r="F514" s="1"/>
      <c r="AV514" s="2"/>
      <c r="AW514" s="3"/>
    </row>
    <row r="515" ht="16.5" customHeight="1">
      <c r="A515" s="1"/>
      <c r="B515" s="1"/>
      <c r="C515" s="1"/>
      <c r="D515" s="1"/>
      <c r="E515" s="1"/>
      <c r="F515" s="1"/>
      <c r="AV515" s="2"/>
      <c r="AW515" s="3"/>
    </row>
    <row r="516" ht="16.5" customHeight="1">
      <c r="A516" s="1"/>
      <c r="B516" s="1"/>
      <c r="C516" s="1"/>
      <c r="D516" s="1"/>
      <c r="E516" s="1"/>
      <c r="F516" s="1"/>
      <c r="AV516" s="2"/>
      <c r="AW516" s="3"/>
    </row>
    <row r="517" ht="16.5" customHeight="1">
      <c r="A517" s="1"/>
      <c r="B517" s="1"/>
      <c r="C517" s="1"/>
      <c r="D517" s="1"/>
      <c r="E517" s="1"/>
      <c r="F517" s="1"/>
      <c r="AV517" s="2"/>
      <c r="AW517" s="3"/>
    </row>
    <row r="518" ht="16.5" customHeight="1">
      <c r="A518" s="1"/>
      <c r="B518" s="1"/>
      <c r="C518" s="1"/>
      <c r="D518" s="1"/>
      <c r="E518" s="1"/>
      <c r="F518" s="1"/>
      <c r="AV518" s="2"/>
      <c r="AW518" s="3"/>
    </row>
    <row r="519" ht="16.5" customHeight="1">
      <c r="A519" s="1"/>
      <c r="B519" s="1"/>
      <c r="C519" s="1"/>
      <c r="D519" s="1"/>
      <c r="E519" s="1"/>
      <c r="F519" s="1"/>
      <c r="AV519" s="2"/>
      <c r="AW519" s="3"/>
    </row>
    <row r="520" ht="16.5" customHeight="1">
      <c r="A520" s="1"/>
      <c r="B520" s="1"/>
      <c r="C520" s="1"/>
      <c r="D520" s="1"/>
      <c r="E520" s="1"/>
      <c r="F520" s="1"/>
      <c r="AV520" s="2"/>
      <c r="AW520" s="3"/>
    </row>
    <row r="521" ht="16.5" customHeight="1">
      <c r="A521" s="1"/>
      <c r="B521" s="1"/>
      <c r="C521" s="1"/>
      <c r="D521" s="1"/>
      <c r="E521" s="1"/>
      <c r="F521" s="1"/>
      <c r="AV521" s="2"/>
      <c r="AW521" s="3"/>
    </row>
    <row r="522" ht="16.5" customHeight="1">
      <c r="A522" s="1"/>
      <c r="B522" s="1"/>
      <c r="C522" s="1"/>
      <c r="D522" s="1"/>
      <c r="E522" s="1"/>
      <c r="F522" s="1"/>
      <c r="AV522" s="2"/>
      <c r="AW522" s="3"/>
    </row>
    <row r="523" ht="16.5" customHeight="1">
      <c r="A523" s="1"/>
      <c r="B523" s="1"/>
      <c r="C523" s="1"/>
      <c r="D523" s="1"/>
      <c r="E523" s="1"/>
      <c r="F523" s="1"/>
      <c r="AV523" s="2"/>
      <c r="AW523" s="3"/>
    </row>
    <row r="524" ht="16.5" customHeight="1">
      <c r="A524" s="1"/>
      <c r="B524" s="1"/>
      <c r="C524" s="1"/>
      <c r="D524" s="1"/>
      <c r="E524" s="1"/>
      <c r="F524" s="1"/>
      <c r="AV524" s="2"/>
      <c r="AW524" s="3"/>
    </row>
    <row r="525" ht="16.5" customHeight="1">
      <c r="A525" s="1"/>
      <c r="B525" s="1"/>
      <c r="C525" s="1"/>
      <c r="D525" s="1"/>
      <c r="E525" s="1"/>
      <c r="F525" s="1"/>
      <c r="AV525" s="2"/>
      <c r="AW525" s="3"/>
    </row>
    <row r="526" ht="16.5" customHeight="1">
      <c r="A526" s="1"/>
      <c r="B526" s="1"/>
      <c r="C526" s="1"/>
      <c r="D526" s="1"/>
      <c r="E526" s="1"/>
      <c r="F526" s="1"/>
      <c r="AV526" s="2"/>
      <c r="AW526" s="3"/>
    </row>
    <row r="527" ht="16.5" customHeight="1">
      <c r="A527" s="1"/>
      <c r="B527" s="1"/>
      <c r="C527" s="1"/>
      <c r="D527" s="1"/>
      <c r="E527" s="1"/>
      <c r="F527" s="1"/>
      <c r="AV527" s="2"/>
      <c r="AW527" s="3"/>
    </row>
    <row r="528" ht="16.5" customHeight="1">
      <c r="A528" s="1"/>
      <c r="B528" s="1"/>
      <c r="C528" s="1"/>
      <c r="D528" s="1"/>
      <c r="E528" s="1"/>
      <c r="F528" s="1"/>
      <c r="AV528" s="2"/>
      <c r="AW528" s="3"/>
    </row>
    <row r="529" ht="16.5" customHeight="1">
      <c r="A529" s="1"/>
      <c r="B529" s="1"/>
      <c r="C529" s="1"/>
      <c r="D529" s="1"/>
      <c r="E529" s="1"/>
      <c r="F529" s="1"/>
      <c r="AV529" s="2"/>
      <c r="AW529" s="3"/>
    </row>
    <row r="530" ht="16.5" customHeight="1">
      <c r="A530" s="1"/>
      <c r="B530" s="1"/>
      <c r="C530" s="1"/>
      <c r="D530" s="1"/>
      <c r="E530" s="1"/>
      <c r="F530" s="1"/>
      <c r="AV530" s="2"/>
      <c r="AW530" s="3"/>
    </row>
    <row r="531" ht="16.5" customHeight="1">
      <c r="A531" s="1"/>
      <c r="B531" s="1"/>
      <c r="C531" s="1"/>
      <c r="D531" s="1"/>
      <c r="E531" s="1"/>
      <c r="F531" s="1"/>
      <c r="AV531" s="2"/>
      <c r="AW531" s="3"/>
    </row>
    <row r="532" ht="16.5" customHeight="1">
      <c r="A532" s="1"/>
      <c r="B532" s="1"/>
      <c r="C532" s="1"/>
      <c r="D532" s="1"/>
      <c r="E532" s="1"/>
      <c r="F532" s="1"/>
      <c r="AV532" s="2"/>
      <c r="AW532" s="3"/>
    </row>
    <row r="533" ht="16.5" customHeight="1">
      <c r="A533" s="1"/>
      <c r="B533" s="1"/>
      <c r="C533" s="1"/>
      <c r="D533" s="1"/>
      <c r="E533" s="1"/>
      <c r="F533" s="1"/>
      <c r="AV533" s="2"/>
      <c r="AW533" s="3"/>
    </row>
    <row r="534" ht="16.5" customHeight="1">
      <c r="A534" s="1"/>
      <c r="B534" s="1"/>
      <c r="C534" s="1"/>
      <c r="D534" s="1"/>
      <c r="E534" s="1"/>
      <c r="F534" s="1"/>
      <c r="AV534" s="2"/>
      <c r="AW534" s="3"/>
    </row>
    <row r="535" ht="16.5" customHeight="1">
      <c r="A535" s="1"/>
      <c r="B535" s="1"/>
      <c r="C535" s="1"/>
      <c r="D535" s="1"/>
      <c r="E535" s="1"/>
      <c r="F535" s="1"/>
      <c r="AV535" s="2"/>
      <c r="AW535" s="3"/>
    </row>
    <row r="536" ht="16.5" customHeight="1">
      <c r="A536" s="1"/>
      <c r="B536" s="1"/>
      <c r="C536" s="1"/>
      <c r="D536" s="1"/>
      <c r="E536" s="1"/>
      <c r="F536" s="1"/>
      <c r="AV536" s="2"/>
      <c r="AW536" s="3"/>
    </row>
    <row r="537" ht="16.5" customHeight="1">
      <c r="A537" s="1"/>
      <c r="B537" s="1"/>
      <c r="C537" s="1"/>
      <c r="D537" s="1"/>
      <c r="E537" s="1"/>
      <c r="F537" s="1"/>
      <c r="AV537" s="2"/>
      <c r="AW537" s="3"/>
    </row>
    <row r="538" ht="16.5" customHeight="1">
      <c r="A538" s="1"/>
      <c r="B538" s="1"/>
      <c r="C538" s="1"/>
      <c r="D538" s="1"/>
      <c r="E538" s="1"/>
      <c r="F538" s="1"/>
      <c r="AV538" s="2"/>
      <c r="AW538" s="3"/>
    </row>
    <row r="539" ht="16.5" customHeight="1">
      <c r="A539" s="1"/>
      <c r="B539" s="1"/>
      <c r="C539" s="1"/>
      <c r="D539" s="1"/>
      <c r="E539" s="1"/>
      <c r="F539" s="1"/>
      <c r="AV539" s="2"/>
      <c r="AW539" s="3"/>
    </row>
    <row r="540" ht="16.5" customHeight="1">
      <c r="A540" s="1"/>
      <c r="B540" s="1"/>
      <c r="C540" s="1"/>
      <c r="D540" s="1"/>
      <c r="E540" s="1"/>
      <c r="F540" s="1"/>
      <c r="AV540" s="2"/>
      <c r="AW540" s="3"/>
    </row>
    <row r="541" ht="16.5" customHeight="1">
      <c r="A541" s="1"/>
      <c r="B541" s="1"/>
      <c r="C541" s="1"/>
      <c r="D541" s="1"/>
      <c r="E541" s="1"/>
      <c r="F541" s="1"/>
      <c r="AV541" s="2"/>
      <c r="AW541" s="3"/>
    </row>
    <row r="542" ht="16.5" customHeight="1">
      <c r="A542" s="1"/>
      <c r="B542" s="1"/>
      <c r="C542" s="1"/>
      <c r="D542" s="1"/>
      <c r="E542" s="1"/>
      <c r="F542" s="1"/>
      <c r="AV542" s="2"/>
      <c r="AW542" s="3"/>
    </row>
    <row r="543" ht="16.5" customHeight="1">
      <c r="A543" s="1"/>
      <c r="B543" s="1"/>
      <c r="C543" s="1"/>
      <c r="D543" s="1"/>
      <c r="E543" s="1"/>
      <c r="F543" s="1"/>
      <c r="AV543" s="2"/>
      <c r="AW543" s="3"/>
    </row>
    <row r="544" ht="16.5" customHeight="1">
      <c r="A544" s="1"/>
      <c r="B544" s="1"/>
      <c r="C544" s="1"/>
      <c r="D544" s="1"/>
      <c r="E544" s="1"/>
      <c r="F544" s="1"/>
      <c r="AV544" s="2"/>
      <c r="AW544" s="3"/>
    </row>
    <row r="545" ht="16.5" customHeight="1">
      <c r="A545" s="1"/>
      <c r="B545" s="1"/>
      <c r="C545" s="1"/>
      <c r="D545" s="1"/>
      <c r="E545" s="1"/>
      <c r="F545" s="1"/>
      <c r="AV545" s="2"/>
      <c r="AW545" s="3"/>
    </row>
    <row r="546" ht="16.5" customHeight="1">
      <c r="A546" s="1"/>
      <c r="B546" s="1"/>
      <c r="C546" s="1"/>
      <c r="D546" s="1"/>
      <c r="E546" s="1"/>
      <c r="F546" s="1"/>
      <c r="AV546" s="2"/>
      <c r="AW546" s="3"/>
    </row>
    <row r="547" ht="16.5" customHeight="1">
      <c r="A547" s="1"/>
      <c r="B547" s="1"/>
      <c r="C547" s="1"/>
      <c r="D547" s="1"/>
      <c r="E547" s="1"/>
      <c r="F547" s="1"/>
      <c r="AV547" s="2"/>
      <c r="AW547" s="3"/>
    </row>
    <row r="548" ht="16.5" customHeight="1">
      <c r="A548" s="1"/>
      <c r="B548" s="1"/>
      <c r="C548" s="1"/>
      <c r="D548" s="1"/>
      <c r="E548" s="1"/>
      <c r="F548" s="1"/>
      <c r="AV548" s="2"/>
      <c r="AW548" s="3"/>
    </row>
    <row r="549" ht="16.5" customHeight="1">
      <c r="A549" s="1"/>
      <c r="B549" s="1"/>
      <c r="C549" s="1"/>
      <c r="D549" s="1"/>
      <c r="E549" s="1"/>
      <c r="F549" s="1"/>
      <c r="AV549" s="2"/>
      <c r="AW549" s="3"/>
    </row>
    <row r="550" ht="16.5" customHeight="1">
      <c r="A550" s="1"/>
      <c r="B550" s="1"/>
      <c r="C550" s="1"/>
      <c r="D550" s="1"/>
      <c r="E550" s="1"/>
      <c r="F550" s="1"/>
      <c r="AV550" s="2"/>
      <c r="AW550" s="3"/>
    </row>
    <row r="551" ht="16.5" customHeight="1">
      <c r="A551" s="1"/>
      <c r="B551" s="1"/>
      <c r="C551" s="1"/>
      <c r="D551" s="1"/>
      <c r="E551" s="1"/>
      <c r="F551" s="1"/>
      <c r="AV551" s="2"/>
      <c r="AW551" s="3"/>
    </row>
    <row r="552" ht="16.5" customHeight="1">
      <c r="A552" s="1"/>
      <c r="B552" s="1"/>
      <c r="C552" s="1"/>
      <c r="D552" s="1"/>
      <c r="E552" s="1"/>
      <c r="F552" s="1"/>
      <c r="AV552" s="2"/>
      <c r="AW552" s="3"/>
    </row>
    <row r="553" ht="16.5" customHeight="1">
      <c r="A553" s="1"/>
      <c r="B553" s="1"/>
      <c r="C553" s="1"/>
      <c r="D553" s="1"/>
      <c r="E553" s="1"/>
      <c r="F553" s="1"/>
      <c r="AV553" s="2"/>
      <c r="AW553" s="3"/>
    </row>
    <row r="554" ht="16.5" customHeight="1">
      <c r="A554" s="1"/>
      <c r="B554" s="1"/>
      <c r="C554" s="1"/>
      <c r="D554" s="1"/>
      <c r="E554" s="1"/>
      <c r="F554" s="1"/>
      <c r="AV554" s="2"/>
      <c r="AW554" s="3"/>
    </row>
    <row r="555" ht="16.5" customHeight="1">
      <c r="A555" s="1"/>
      <c r="B555" s="1"/>
      <c r="C555" s="1"/>
      <c r="D555" s="1"/>
      <c r="E555" s="1"/>
      <c r="F555" s="1"/>
      <c r="AV555" s="2"/>
      <c r="AW555" s="3"/>
    </row>
    <row r="556" ht="16.5" customHeight="1">
      <c r="A556" s="1"/>
      <c r="B556" s="1"/>
      <c r="C556" s="1"/>
      <c r="D556" s="1"/>
      <c r="E556" s="1"/>
      <c r="F556" s="1"/>
      <c r="AV556" s="2"/>
      <c r="AW556" s="3"/>
    </row>
    <row r="557" ht="16.5" customHeight="1">
      <c r="A557" s="1"/>
      <c r="B557" s="1"/>
      <c r="C557" s="1"/>
      <c r="D557" s="1"/>
      <c r="E557" s="1"/>
      <c r="F557" s="1"/>
      <c r="AV557" s="2"/>
      <c r="AW557" s="3"/>
    </row>
    <row r="558" ht="16.5" customHeight="1">
      <c r="A558" s="1"/>
      <c r="B558" s="1"/>
      <c r="C558" s="1"/>
      <c r="D558" s="1"/>
      <c r="E558" s="1"/>
      <c r="F558" s="1"/>
      <c r="AV558" s="2"/>
      <c r="AW558" s="3"/>
    </row>
    <row r="559" ht="16.5" customHeight="1">
      <c r="A559" s="1"/>
      <c r="B559" s="1"/>
      <c r="C559" s="1"/>
      <c r="D559" s="1"/>
      <c r="E559" s="1"/>
      <c r="F559" s="1"/>
      <c r="AV559" s="2"/>
      <c r="AW559" s="3"/>
    </row>
    <row r="560" ht="16.5" customHeight="1">
      <c r="A560" s="1"/>
      <c r="B560" s="1"/>
      <c r="C560" s="1"/>
      <c r="D560" s="1"/>
      <c r="E560" s="1"/>
      <c r="F560" s="1"/>
      <c r="AV560" s="2"/>
      <c r="AW560" s="3"/>
    </row>
    <row r="561" ht="16.5" customHeight="1">
      <c r="A561" s="1"/>
      <c r="B561" s="1"/>
      <c r="C561" s="1"/>
      <c r="D561" s="1"/>
      <c r="E561" s="1"/>
      <c r="F561" s="1"/>
      <c r="AV561" s="2"/>
      <c r="AW561" s="3"/>
    </row>
    <row r="562" ht="16.5" customHeight="1">
      <c r="A562" s="1"/>
      <c r="B562" s="1"/>
      <c r="C562" s="1"/>
      <c r="D562" s="1"/>
      <c r="E562" s="1"/>
      <c r="F562" s="1"/>
      <c r="AV562" s="2"/>
      <c r="AW562" s="3"/>
    </row>
    <row r="563" ht="16.5" customHeight="1">
      <c r="A563" s="1"/>
      <c r="B563" s="1"/>
      <c r="C563" s="1"/>
      <c r="D563" s="1"/>
      <c r="E563" s="1"/>
      <c r="F563" s="1"/>
      <c r="AV563" s="2"/>
      <c r="AW563" s="3"/>
    </row>
    <row r="564" ht="16.5" customHeight="1">
      <c r="A564" s="1"/>
      <c r="B564" s="1"/>
      <c r="C564" s="1"/>
      <c r="D564" s="1"/>
      <c r="E564" s="1"/>
      <c r="F564" s="1"/>
      <c r="AV564" s="2"/>
      <c r="AW564" s="3"/>
    </row>
    <row r="565" ht="16.5" customHeight="1">
      <c r="A565" s="1"/>
      <c r="B565" s="1"/>
      <c r="C565" s="1"/>
      <c r="D565" s="1"/>
      <c r="E565" s="1"/>
      <c r="F565" s="1"/>
      <c r="AV565" s="2"/>
      <c r="AW565" s="3"/>
    </row>
    <row r="566" ht="16.5" customHeight="1">
      <c r="A566" s="1"/>
      <c r="B566" s="1"/>
      <c r="C566" s="1"/>
      <c r="D566" s="1"/>
      <c r="E566" s="1"/>
      <c r="F566" s="1"/>
      <c r="AV566" s="2"/>
      <c r="AW566" s="3"/>
    </row>
    <row r="567" ht="16.5" customHeight="1">
      <c r="A567" s="1"/>
      <c r="B567" s="1"/>
      <c r="C567" s="1"/>
      <c r="D567" s="1"/>
      <c r="E567" s="1"/>
      <c r="F567" s="1"/>
      <c r="AV567" s="2"/>
      <c r="AW567" s="3"/>
    </row>
    <row r="568" ht="16.5" customHeight="1">
      <c r="A568" s="1"/>
      <c r="B568" s="1"/>
      <c r="C568" s="1"/>
      <c r="D568" s="1"/>
      <c r="E568" s="1"/>
      <c r="F568" s="1"/>
      <c r="AV568" s="2"/>
      <c r="AW568" s="3"/>
    </row>
    <row r="569" ht="16.5" customHeight="1">
      <c r="A569" s="1"/>
      <c r="B569" s="1"/>
      <c r="C569" s="1"/>
      <c r="D569" s="1"/>
      <c r="E569" s="1"/>
      <c r="F569" s="1"/>
      <c r="AV569" s="2"/>
      <c r="AW569" s="3"/>
    </row>
    <row r="570" ht="16.5" customHeight="1">
      <c r="A570" s="1"/>
      <c r="B570" s="1"/>
      <c r="C570" s="1"/>
      <c r="D570" s="1"/>
      <c r="E570" s="1"/>
      <c r="F570" s="1"/>
      <c r="AV570" s="2"/>
      <c r="AW570" s="3"/>
    </row>
    <row r="571" ht="16.5" customHeight="1">
      <c r="A571" s="1"/>
      <c r="B571" s="1"/>
      <c r="C571" s="1"/>
      <c r="D571" s="1"/>
      <c r="E571" s="1"/>
      <c r="F571" s="1"/>
      <c r="AV571" s="2"/>
      <c r="AW571" s="3"/>
    </row>
    <row r="572" ht="16.5" customHeight="1">
      <c r="A572" s="1"/>
      <c r="B572" s="1"/>
      <c r="C572" s="1"/>
      <c r="D572" s="1"/>
      <c r="E572" s="1"/>
      <c r="F572" s="1"/>
      <c r="AV572" s="2"/>
      <c r="AW572" s="3"/>
    </row>
    <row r="573" ht="16.5" customHeight="1">
      <c r="A573" s="1"/>
      <c r="B573" s="1"/>
      <c r="C573" s="1"/>
      <c r="D573" s="1"/>
      <c r="E573" s="1"/>
      <c r="F573" s="1"/>
      <c r="AV573" s="2"/>
      <c r="AW573" s="3"/>
    </row>
    <row r="574" ht="16.5" customHeight="1">
      <c r="A574" s="1"/>
      <c r="B574" s="1"/>
      <c r="C574" s="1"/>
      <c r="D574" s="1"/>
      <c r="E574" s="1"/>
      <c r="F574" s="1"/>
      <c r="AV574" s="2"/>
      <c r="AW574" s="3"/>
    </row>
    <row r="575" ht="16.5" customHeight="1">
      <c r="A575" s="1"/>
      <c r="B575" s="1"/>
      <c r="C575" s="1"/>
      <c r="D575" s="1"/>
      <c r="E575" s="1"/>
      <c r="F575" s="1"/>
      <c r="AV575" s="2"/>
      <c r="AW575" s="3"/>
    </row>
    <row r="576" ht="16.5" customHeight="1">
      <c r="A576" s="1"/>
      <c r="B576" s="1"/>
      <c r="C576" s="1"/>
      <c r="D576" s="1"/>
      <c r="E576" s="1"/>
      <c r="F576" s="1"/>
      <c r="AV576" s="2"/>
      <c r="AW576" s="3"/>
    </row>
    <row r="577" ht="16.5" customHeight="1">
      <c r="A577" s="1"/>
      <c r="B577" s="1"/>
      <c r="C577" s="1"/>
      <c r="D577" s="1"/>
      <c r="E577" s="1"/>
      <c r="F577" s="1"/>
      <c r="AV577" s="2"/>
      <c r="AW577" s="3"/>
    </row>
    <row r="578" ht="16.5" customHeight="1">
      <c r="A578" s="1"/>
      <c r="B578" s="1"/>
      <c r="C578" s="1"/>
      <c r="D578" s="1"/>
      <c r="E578" s="1"/>
      <c r="F578" s="1"/>
      <c r="AV578" s="2"/>
      <c r="AW578" s="3"/>
    </row>
    <row r="579" ht="16.5" customHeight="1">
      <c r="A579" s="1"/>
      <c r="B579" s="1"/>
      <c r="C579" s="1"/>
      <c r="D579" s="1"/>
      <c r="E579" s="1"/>
      <c r="F579" s="1"/>
      <c r="AV579" s="2"/>
      <c r="AW579" s="3"/>
    </row>
    <row r="580" ht="16.5" customHeight="1">
      <c r="A580" s="1"/>
      <c r="B580" s="1"/>
      <c r="C580" s="1"/>
      <c r="D580" s="1"/>
      <c r="E580" s="1"/>
      <c r="F580" s="1"/>
      <c r="AV580" s="2"/>
      <c r="AW580" s="3"/>
    </row>
    <row r="581" ht="16.5" customHeight="1">
      <c r="A581" s="1"/>
      <c r="B581" s="1"/>
      <c r="C581" s="1"/>
      <c r="D581" s="1"/>
      <c r="E581" s="1"/>
      <c r="F581" s="1"/>
      <c r="AV581" s="2"/>
      <c r="AW581" s="3"/>
    </row>
    <row r="582" ht="16.5" customHeight="1">
      <c r="A582" s="1"/>
      <c r="B582" s="1"/>
      <c r="C582" s="1"/>
      <c r="D582" s="1"/>
      <c r="E582" s="1"/>
      <c r="F582" s="1"/>
      <c r="AV582" s="2"/>
      <c r="AW582" s="3"/>
    </row>
    <row r="583" ht="16.5" customHeight="1">
      <c r="A583" s="1"/>
      <c r="B583" s="1"/>
      <c r="C583" s="1"/>
      <c r="D583" s="1"/>
      <c r="E583" s="1"/>
      <c r="F583" s="1"/>
      <c r="AV583" s="2"/>
      <c r="AW583" s="3"/>
    </row>
    <row r="584" ht="16.5" customHeight="1">
      <c r="A584" s="1"/>
      <c r="B584" s="1"/>
      <c r="C584" s="1"/>
      <c r="D584" s="1"/>
      <c r="E584" s="1"/>
      <c r="F584" s="1"/>
      <c r="AV584" s="2"/>
      <c r="AW584" s="3"/>
    </row>
    <row r="585" ht="16.5" customHeight="1">
      <c r="A585" s="1"/>
      <c r="B585" s="1"/>
      <c r="C585" s="1"/>
      <c r="D585" s="1"/>
      <c r="E585" s="1"/>
      <c r="F585" s="1"/>
      <c r="AV585" s="2"/>
      <c r="AW585" s="3"/>
    </row>
    <row r="586" ht="16.5" customHeight="1">
      <c r="A586" s="1"/>
      <c r="B586" s="1"/>
      <c r="C586" s="1"/>
      <c r="D586" s="1"/>
      <c r="E586" s="1"/>
      <c r="F586" s="1"/>
      <c r="AV586" s="2"/>
      <c r="AW586" s="3"/>
    </row>
    <row r="587" ht="16.5" customHeight="1">
      <c r="A587" s="1"/>
      <c r="B587" s="1"/>
      <c r="C587" s="1"/>
      <c r="D587" s="1"/>
      <c r="E587" s="1"/>
      <c r="F587" s="1"/>
      <c r="AV587" s="2"/>
      <c r="AW587" s="3"/>
    </row>
    <row r="588" ht="16.5" customHeight="1">
      <c r="A588" s="1"/>
      <c r="B588" s="1"/>
      <c r="C588" s="1"/>
      <c r="D588" s="1"/>
      <c r="E588" s="1"/>
      <c r="F588" s="1"/>
      <c r="AV588" s="2"/>
      <c r="AW588" s="3"/>
    </row>
    <row r="589" ht="16.5" customHeight="1">
      <c r="A589" s="1"/>
      <c r="B589" s="1"/>
      <c r="C589" s="1"/>
      <c r="D589" s="1"/>
      <c r="E589" s="1"/>
      <c r="F589" s="1"/>
      <c r="AV589" s="2"/>
      <c r="AW589" s="3"/>
    </row>
    <row r="590" ht="16.5" customHeight="1">
      <c r="A590" s="1"/>
      <c r="B590" s="1"/>
      <c r="C590" s="1"/>
      <c r="D590" s="1"/>
      <c r="E590" s="1"/>
      <c r="F590" s="1"/>
      <c r="AV590" s="2"/>
      <c r="AW590" s="3"/>
    </row>
    <row r="591" ht="16.5" customHeight="1">
      <c r="A591" s="1"/>
      <c r="B591" s="1"/>
      <c r="C591" s="1"/>
      <c r="D591" s="1"/>
      <c r="E591" s="1"/>
      <c r="F591" s="1"/>
      <c r="AV591" s="2"/>
      <c r="AW591" s="3"/>
    </row>
    <row r="592" ht="16.5" customHeight="1">
      <c r="A592" s="1"/>
      <c r="B592" s="1"/>
      <c r="C592" s="1"/>
      <c r="D592" s="1"/>
      <c r="E592" s="1"/>
      <c r="F592" s="1"/>
      <c r="AV592" s="2"/>
      <c r="AW592" s="3"/>
    </row>
    <row r="593" ht="16.5" customHeight="1">
      <c r="A593" s="1"/>
      <c r="B593" s="1"/>
      <c r="C593" s="1"/>
      <c r="D593" s="1"/>
      <c r="E593" s="1"/>
      <c r="F593" s="1"/>
      <c r="AV593" s="2"/>
      <c r="AW593" s="3"/>
    </row>
    <row r="594" ht="16.5" customHeight="1">
      <c r="A594" s="1"/>
      <c r="B594" s="1"/>
      <c r="C594" s="1"/>
      <c r="D594" s="1"/>
      <c r="E594" s="1"/>
      <c r="F594" s="1"/>
      <c r="AV594" s="2"/>
      <c r="AW594" s="3"/>
    </row>
    <row r="595" ht="16.5" customHeight="1">
      <c r="A595" s="1"/>
      <c r="B595" s="1"/>
      <c r="C595" s="1"/>
      <c r="D595" s="1"/>
      <c r="E595" s="1"/>
      <c r="F595" s="1"/>
      <c r="AV595" s="2"/>
      <c r="AW595" s="3"/>
    </row>
    <row r="596" ht="16.5" customHeight="1">
      <c r="A596" s="1"/>
      <c r="B596" s="1"/>
      <c r="C596" s="1"/>
      <c r="D596" s="1"/>
      <c r="E596" s="1"/>
      <c r="F596" s="1"/>
      <c r="AV596" s="2"/>
      <c r="AW596" s="3"/>
    </row>
    <row r="597" ht="16.5" customHeight="1">
      <c r="A597" s="1"/>
      <c r="B597" s="1"/>
      <c r="C597" s="1"/>
      <c r="D597" s="1"/>
      <c r="E597" s="1"/>
      <c r="F597" s="1"/>
      <c r="AV597" s="2"/>
      <c r="AW597" s="3"/>
    </row>
    <row r="598" ht="16.5" customHeight="1">
      <c r="A598" s="1"/>
      <c r="B598" s="1"/>
      <c r="C598" s="1"/>
      <c r="D598" s="1"/>
      <c r="E598" s="1"/>
      <c r="F598" s="1"/>
      <c r="AV598" s="2"/>
      <c r="AW598" s="3"/>
    </row>
    <row r="599" ht="16.5" customHeight="1">
      <c r="A599" s="1"/>
      <c r="B599" s="1"/>
      <c r="C599" s="1"/>
      <c r="D599" s="1"/>
      <c r="E599" s="1"/>
      <c r="F599" s="1"/>
      <c r="AV599" s="2"/>
      <c r="AW599" s="3"/>
    </row>
    <row r="600" ht="16.5" customHeight="1">
      <c r="A600" s="1"/>
      <c r="B600" s="1"/>
      <c r="C600" s="1"/>
      <c r="D600" s="1"/>
      <c r="E600" s="1"/>
      <c r="F600" s="1"/>
      <c r="AV600" s="2"/>
      <c r="AW600" s="3"/>
    </row>
    <row r="601" ht="16.5" customHeight="1">
      <c r="A601" s="1"/>
      <c r="B601" s="1"/>
      <c r="C601" s="1"/>
      <c r="D601" s="1"/>
      <c r="E601" s="1"/>
      <c r="F601" s="1"/>
      <c r="AV601" s="2"/>
      <c r="AW601" s="3"/>
    </row>
    <row r="602" ht="16.5" customHeight="1">
      <c r="A602" s="1"/>
      <c r="B602" s="1"/>
      <c r="C602" s="1"/>
      <c r="D602" s="1"/>
      <c r="E602" s="1"/>
      <c r="F602" s="1"/>
      <c r="AV602" s="2"/>
      <c r="AW602" s="3"/>
    </row>
    <row r="603" ht="16.5" customHeight="1">
      <c r="A603" s="1"/>
      <c r="B603" s="1"/>
      <c r="C603" s="1"/>
      <c r="D603" s="1"/>
      <c r="E603" s="1"/>
      <c r="F603" s="1"/>
      <c r="AV603" s="2"/>
      <c r="AW603" s="3"/>
    </row>
    <row r="604" ht="16.5" customHeight="1">
      <c r="A604" s="1"/>
      <c r="B604" s="1"/>
      <c r="C604" s="1"/>
      <c r="D604" s="1"/>
      <c r="E604" s="1"/>
      <c r="F604" s="1"/>
      <c r="AV604" s="2"/>
      <c r="AW604" s="3"/>
    </row>
    <row r="605" ht="16.5" customHeight="1">
      <c r="A605" s="1"/>
      <c r="B605" s="1"/>
      <c r="C605" s="1"/>
      <c r="D605" s="1"/>
      <c r="E605" s="1"/>
      <c r="F605" s="1"/>
      <c r="AV605" s="2"/>
      <c r="AW605" s="3"/>
    </row>
    <row r="606" ht="16.5" customHeight="1">
      <c r="A606" s="1"/>
      <c r="B606" s="1"/>
      <c r="C606" s="1"/>
      <c r="D606" s="1"/>
      <c r="E606" s="1"/>
      <c r="F606" s="1"/>
      <c r="AV606" s="2"/>
      <c r="AW606" s="3"/>
    </row>
    <row r="607" ht="16.5" customHeight="1">
      <c r="A607" s="1"/>
      <c r="B607" s="1"/>
      <c r="C607" s="1"/>
      <c r="D607" s="1"/>
      <c r="E607" s="1"/>
      <c r="F607" s="1"/>
      <c r="AV607" s="2"/>
      <c r="AW607" s="3"/>
    </row>
    <row r="608" ht="16.5" customHeight="1">
      <c r="A608" s="1"/>
      <c r="B608" s="1"/>
      <c r="C608" s="1"/>
      <c r="D608" s="1"/>
      <c r="E608" s="1"/>
      <c r="F608" s="1"/>
      <c r="AV608" s="2"/>
      <c r="AW608" s="3"/>
    </row>
    <row r="609" ht="16.5" customHeight="1">
      <c r="A609" s="1"/>
      <c r="B609" s="1"/>
      <c r="C609" s="1"/>
      <c r="D609" s="1"/>
      <c r="E609" s="1"/>
      <c r="F609" s="1"/>
      <c r="AV609" s="2"/>
      <c r="AW609" s="3"/>
    </row>
    <row r="610" ht="16.5" customHeight="1">
      <c r="A610" s="1"/>
      <c r="B610" s="1"/>
      <c r="C610" s="1"/>
      <c r="D610" s="1"/>
      <c r="E610" s="1"/>
      <c r="F610" s="1"/>
      <c r="AV610" s="2"/>
      <c r="AW610" s="3"/>
    </row>
    <row r="611" ht="16.5" customHeight="1">
      <c r="A611" s="1"/>
      <c r="B611" s="1"/>
      <c r="C611" s="1"/>
      <c r="D611" s="1"/>
      <c r="E611" s="1"/>
      <c r="F611" s="1"/>
      <c r="AV611" s="2"/>
      <c r="AW611" s="3"/>
    </row>
    <row r="612" ht="16.5" customHeight="1">
      <c r="A612" s="1"/>
      <c r="B612" s="1"/>
      <c r="C612" s="1"/>
      <c r="D612" s="1"/>
      <c r="E612" s="1"/>
      <c r="F612" s="1"/>
      <c r="AV612" s="2"/>
      <c r="AW612" s="3"/>
    </row>
    <row r="613" ht="16.5" customHeight="1">
      <c r="A613" s="1"/>
      <c r="B613" s="1"/>
      <c r="C613" s="1"/>
      <c r="D613" s="1"/>
      <c r="E613" s="1"/>
      <c r="F613" s="1"/>
      <c r="AV613" s="2"/>
      <c r="AW613" s="3"/>
    </row>
    <row r="614" ht="16.5" customHeight="1">
      <c r="A614" s="1"/>
      <c r="B614" s="1"/>
      <c r="C614" s="1"/>
      <c r="D614" s="1"/>
      <c r="E614" s="1"/>
      <c r="F614" s="1"/>
      <c r="AV614" s="2"/>
      <c r="AW614" s="3"/>
    </row>
    <row r="615" ht="16.5" customHeight="1">
      <c r="A615" s="1"/>
      <c r="B615" s="1"/>
      <c r="C615" s="1"/>
      <c r="D615" s="1"/>
      <c r="E615" s="1"/>
      <c r="F615" s="1"/>
      <c r="AV615" s="2"/>
      <c r="AW615" s="3"/>
    </row>
    <row r="616" ht="16.5" customHeight="1">
      <c r="A616" s="1"/>
      <c r="B616" s="1"/>
      <c r="C616" s="1"/>
      <c r="D616" s="1"/>
      <c r="E616" s="1"/>
      <c r="F616" s="1"/>
      <c r="AV616" s="2"/>
      <c r="AW616" s="3"/>
    </row>
    <row r="617" ht="16.5" customHeight="1">
      <c r="A617" s="1"/>
      <c r="B617" s="1"/>
      <c r="C617" s="1"/>
      <c r="D617" s="1"/>
      <c r="E617" s="1"/>
      <c r="F617" s="1"/>
      <c r="AV617" s="2"/>
      <c r="AW617" s="3"/>
    </row>
    <row r="618" ht="16.5" customHeight="1">
      <c r="A618" s="1"/>
      <c r="B618" s="1"/>
      <c r="C618" s="1"/>
      <c r="D618" s="1"/>
      <c r="E618" s="1"/>
      <c r="F618" s="1"/>
      <c r="AV618" s="2"/>
      <c r="AW618" s="3"/>
    </row>
    <row r="619" ht="16.5" customHeight="1">
      <c r="A619" s="1"/>
      <c r="B619" s="1"/>
      <c r="C619" s="1"/>
      <c r="D619" s="1"/>
      <c r="E619" s="1"/>
      <c r="F619" s="1"/>
      <c r="AV619" s="2"/>
      <c r="AW619" s="3"/>
    </row>
    <row r="620" ht="16.5" customHeight="1">
      <c r="A620" s="1"/>
      <c r="B620" s="1"/>
      <c r="C620" s="1"/>
      <c r="D620" s="1"/>
      <c r="E620" s="1"/>
      <c r="F620" s="1"/>
      <c r="AV620" s="2"/>
      <c r="AW620" s="3"/>
    </row>
    <row r="621" ht="16.5" customHeight="1">
      <c r="A621" s="1"/>
      <c r="B621" s="1"/>
      <c r="C621" s="1"/>
      <c r="D621" s="1"/>
      <c r="E621" s="1"/>
      <c r="F621" s="1"/>
      <c r="AV621" s="2"/>
      <c r="AW621" s="3"/>
    </row>
    <row r="622" ht="16.5" customHeight="1">
      <c r="A622" s="1"/>
      <c r="B622" s="1"/>
      <c r="C622" s="1"/>
      <c r="D622" s="1"/>
      <c r="E622" s="1"/>
      <c r="F622" s="1"/>
      <c r="AV622" s="2"/>
      <c r="AW622" s="3"/>
    </row>
    <row r="623" ht="16.5" customHeight="1">
      <c r="A623" s="1"/>
      <c r="B623" s="1"/>
      <c r="C623" s="1"/>
      <c r="D623" s="1"/>
      <c r="E623" s="1"/>
      <c r="F623" s="1"/>
      <c r="AV623" s="2"/>
      <c r="AW623" s="3"/>
    </row>
    <row r="624" ht="16.5" customHeight="1">
      <c r="A624" s="1"/>
      <c r="B624" s="1"/>
      <c r="C624" s="1"/>
      <c r="D624" s="1"/>
      <c r="E624" s="1"/>
      <c r="F624" s="1"/>
      <c r="AV624" s="2"/>
      <c r="AW624" s="3"/>
    </row>
    <row r="625" ht="16.5" customHeight="1">
      <c r="A625" s="1"/>
      <c r="B625" s="1"/>
      <c r="C625" s="1"/>
      <c r="D625" s="1"/>
      <c r="E625" s="1"/>
      <c r="F625" s="1"/>
      <c r="AV625" s="2"/>
      <c r="AW625" s="3"/>
    </row>
    <row r="626" ht="16.5" customHeight="1">
      <c r="A626" s="1"/>
      <c r="B626" s="1"/>
      <c r="C626" s="1"/>
      <c r="D626" s="1"/>
      <c r="E626" s="1"/>
      <c r="F626" s="1"/>
      <c r="AV626" s="2"/>
      <c r="AW626" s="3"/>
    </row>
    <row r="627" ht="16.5" customHeight="1">
      <c r="A627" s="1"/>
      <c r="B627" s="1"/>
      <c r="C627" s="1"/>
      <c r="D627" s="1"/>
      <c r="E627" s="1"/>
      <c r="F627" s="1"/>
      <c r="AV627" s="2"/>
      <c r="AW627" s="3"/>
    </row>
    <row r="628" ht="16.5" customHeight="1">
      <c r="A628" s="1"/>
      <c r="B628" s="1"/>
      <c r="C628" s="1"/>
      <c r="D628" s="1"/>
      <c r="E628" s="1"/>
      <c r="F628" s="1"/>
      <c r="AV628" s="2"/>
      <c r="AW628" s="3"/>
    </row>
    <row r="629" ht="16.5" customHeight="1">
      <c r="A629" s="1"/>
      <c r="B629" s="1"/>
      <c r="C629" s="1"/>
      <c r="D629" s="1"/>
      <c r="E629" s="1"/>
      <c r="F629" s="1"/>
      <c r="AV629" s="2"/>
      <c r="AW629" s="3"/>
    </row>
    <row r="630" ht="16.5" customHeight="1">
      <c r="A630" s="1"/>
      <c r="B630" s="1"/>
      <c r="C630" s="1"/>
      <c r="D630" s="1"/>
      <c r="E630" s="1"/>
      <c r="F630" s="1"/>
      <c r="AV630" s="2"/>
      <c r="AW630" s="3"/>
    </row>
    <row r="631" ht="16.5" customHeight="1">
      <c r="A631" s="1"/>
      <c r="B631" s="1"/>
      <c r="C631" s="1"/>
      <c r="D631" s="1"/>
      <c r="E631" s="1"/>
      <c r="F631" s="1"/>
      <c r="AV631" s="2"/>
      <c r="AW631" s="3"/>
    </row>
    <row r="632" ht="16.5" customHeight="1">
      <c r="A632" s="1"/>
      <c r="B632" s="1"/>
      <c r="C632" s="1"/>
      <c r="D632" s="1"/>
      <c r="E632" s="1"/>
      <c r="F632" s="1"/>
      <c r="AV632" s="2"/>
      <c r="AW632" s="3"/>
    </row>
    <row r="633" ht="16.5" customHeight="1">
      <c r="A633" s="1"/>
      <c r="B633" s="1"/>
      <c r="C633" s="1"/>
      <c r="D633" s="1"/>
      <c r="E633" s="1"/>
      <c r="F633" s="1"/>
      <c r="AV633" s="2"/>
      <c r="AW633" s="3"/>
    </row>
    <row r="634" ht="16.5" customHeight="1">
      <c r="A634" s="1"/>
      <c r="B634" s="1"/>
      <c r="C634" s="1"/>
      <c r="D634" s="1"/>
      <c r="E634" s="1"/>
      <c r="F634" s="1"/>
      <c r="AV634" s="2"/>
      <c r="AW634" s="3"/>
    </row>
    <row r="635" ht="16.5" customHeight="1">
      <c r="A635" s="1"/>
      <c r="B635" s="1"/>
      <c r="C635" s="1"/>
      <c r="D635" s="1"/>
      <c r="E635" s="1"/>
      <c r="F635" s="1"/>
      <c r="AV635" s="2"/>
      <c r="AW635" s="3"/>
    </row>
    <row r="636" ht="16.5" customHeight="1">
      <c r="A636" s="1"/>
      <c r="B636" s="1"/>
      <c r="C636" s="1"/>
      <c r="D636" s="1"/>
      <c r="E636" s="1"/>
      <c r="F636" s="1"/>
      <c r="AV636" s="2"/>
      <c r="AW636" s="3"/>
    </row>
    <row r="637" ht="16.5" customHeight="1">
      <c r="A637" s="1"/>
      <c r="B637" s="1"/>
      <c r="C637" s="1"/>
      <c r="D637" s="1"/>
      <c r="E637" s="1"/>
      <c r="F637" s="1"/>
      <c r="AV637" s="2"/>
      <c r="AW637" s="3"/>
    </row>
    <row r="638" ht="16.5" customHeight="1">
      <c r="A638" s="1"/>
      <c r="B638" s="1"/>
      <c r="C638" s="1"/>
      <c r="D638" s="1"/>
      <c r="E638" s="1"/>
      <c r="F638" s="1"/>
      <c r="AV638" s="2"/>
      <c r="AW638" s="3"/>
    </row>
    <row r="639" ht="16.5" customHeight="1">
      <c r="A639" s="1"/>
      <c r="B639" s="1"/>
      <c r="C639" s="1"/>
      <c r="D639" s="1"/>
      <c r="E639" s="1"/>
      <c r="F639" s="1"/>
      <c r="AV639" s="2"/>
      <c r="AW639" s="3"/>
    </row>
    <row r="640" ht="16.5" customHeight="1">
      <c r="A640" s="1"/>
      <c r="B640" s="1"/>
      <c r="C640" s="1"/>
      <c r="D640" s="1"/>
      <c r="E640" s="1"/>
      <c r="F640" s="1"/>
      <c r="AV640" s="2"/>
      <c r="AW640" s="3"/>
    </row>
    <row r="641" ht="16.5" customHeight="1">
      <c r="A641" s="1"/>
      <c r="B641" s="1"/>
      <c r="C641" s="1"/>
      <c r="D641" s="1"/>
      <c r="E641" s="1"/>
      <c r="F641" s="1"/>
      <c r="AV641" s="2"/>
      <c r="AW641" s="3"/>
    </row>
    <row r="642" ht="16.5" customHeight="1">
      <c r="A642" s="1"/>
      <c r="B642" s="1"/>
      <c r="C642" s="1"/>
      <c r="D642" s="1"/>
      <c r="E642" s="1"/>
      <c r="F642" s="1"/>
      <c r="AV642" s="2"/>
      <c r="AW642" s="3"/>
    </row>
    <row r="643" ht="16.5" customHeight="1">
      <c r="A643" s="1"/>
      <c r="B643" s="1"/>
      <c r="C643" s="1"/>
      <c r="D643" s="1"/>
      <c r="E643" s="1"/>
      <c r="F643" s="1"/>
      <c r="AV643" s="2"/>
      <c r="AW643" s="3"/>
    </row>
    <row r="644" ht="16.5" customHeight="1">
      <c r="A644" s="1"/>
      <c r="B644" s="1"/>
      <c r="C644" s="1"/>
      <c r="D644" s="1"/>
      <c r="E644" s="1"/>
      <c r="F644" s="1"/>
      <c r="AV644" s="2"/>
      <c r="AW644" s="3"/>
    </row>
    <row r="645" ht="16.5" customHeight="1">
      <c r="A645" s="1"/>
      <c r="B645" s="1"/>
      <c r="C645" s="1"/>
      <c r="D645" s="1"/>
      <c r="E645" s="1"/>
      <c r="F645" s="1"/>
      <c r="AV645" s="2"/>
      <c r="AW645" s="3"/>
    </row>
    <row r="646" ht="16.5" customHeight="1">
      <c r="A646" s="1"/>
      <c r="B646" s="1"/>
      <c r="C646" s="1"/>
      <c r="D646" s="1"/>
      <c r="E646" s="1"/>
      <c r="F646" s="1"/>
      <c r="AV646" s="2"/>
      <c r="AW646" s="3"/>
    </row>
    <row r="647" ht="16.5" customHeight="1">
      <c r="A647" s="1"/>
      <c r="B647" s="1"/>
      <c r="C647" s="1"/>
      <c r="D647" s="1"/>
      <c r="E647" s="1"/>
      <c r="F647" s="1"/>
      <c r="AV647" s="2"/>
      <c r="AW647" s="3"/>
    </row>
    <row r="648" ht="16.5" customHeight="1">
      <c r="A648" s="1"/>
      <c r="B648" s="1"/>
      <c r="C648" s="1"/>
      <c r="D648" s="1"/>
      <c r="E648" s="1"/>
      <c r="F648" s="1"/>
      <c r="AV648" s="2"/>
      <c r="AW648" s="3"/>
    </row>
    <row r="649" ht="16.5" customHeight="1">
      <c r="A649" s="1"/>
      <c r="B649" s="1"/>
      <c r="C649" s="1"/>
      <c r="D649" s="1"/>
      <c r="E649" s="1"/>
      <c r="F649" s="1"/>
      <c r="AV649" s="2"/>
      <c r="AW649" s="3"/>
    </row>
    <row r="650" ht="16.5" customHeight="1">
      <c r="A650" s="1"/>
      <c r="B650" s="1"/>
      <c r="C650" s="1"/>
      <c r="D650" s="1"/>
      <c r="E650" s="1"/>
      <c r="F650" s="1"/>
      <c r="AV650" s="2"/>
      <c r="AW650" s="3"/>
    </row>
    <row r="651" ht="16.5" customHeight="1">
      <c r="A651" s="1"/>
      <c r="B651" s="1"/>
      <c r="C651" s="1"/>
      <c r="D651" s="1"/>
      <c r="E651" s="1"/>
      <c r="F651" s="1"/>
      <c r="AV651" s="2"/>
      <c r="AW651" s="3"/>
    </row>
    <row r="652" ht="16.5" customHeight="1">
      <c r="A652" s="1"/>
      <c r="B652" s="1"/>
      <c r="C652" s="1"/>
      <c r="D652" s="1"/>
      <c r="E652" s="1"/>
      <c r="F652" s="1"/>
      <c r="AV652" s="2"/>
      <c r="AW652" s="3"/>
    </row>
    <row r="653" ht="16.5" customHeight="1">
      <c r="A653" s="1"/>
      <c r="B653" s="1"/>
      <c r="C653" s="1"/>
      <c r="D653" s="1"/>
      <c r="E653" s="1"/>
      <c r="F653" s="1"/>
      <c r="AV653" s="2"/>
      <c r="AW653" s="3"/>
    </row>
    <row r="654" ht="16.5" customHeight="1">
      <c r="A654" s="1"/>
      <c r="B654" s="1"/>
      <c r="C654" s="1"/>
      <c r="D654" s="1"/>
      <c r="E654" s="1"/>
      <c r="F654" s="1"/>
      <c r="AV654" s="2"/>
      <c r="AW654" s="3"/>
    </row>
    <row r="655" ht="16.5" customHeight="1">
      <c r="A655" s="1"/>
      <c r="B655" s="1"/>
      <c r="C655" s="1"/>
      <c r="D655" s="1"/>
      <c r="E655" s="1"/>
      <c r="F655" s="1"/>
      <c r="AV655" s="2"/>
      <c r="AW655" s="3"/>
    </row>
    <row r="656" ht="16.5" customHeight="1">
      <c r="A656" s="1"/>
      <c r="B656" s="1"/>
      <c r="C656" s="1"/>
      <c r="D656" s="1"/>
      <c r="E656" s="1"/>
      <c r="F656" s="1"/>
      <c r="AV656" s="2"/>
      <c r="AW656" s="3"/>
    </row>
    <row r="657" ht="16.5" customHeight="1">
      <c r="A657" s="1"/>
      <c r="B657" s="1"/>
      <c r="C657" s="1"/>
      <c r="D657" s="1"/>
      <c r="E657" s="1"/>
      <c r="F657" s="1"/>
      <c r="AV657" s="2"/>
      <c r="AW657" s="3"/>
    </row>
    <row r="658" ht="16.5" customHeight="1">
      <c r="A658" s="1"/>
      <c r="B658" s="1"/>
      <c r="C658" s="1"/>
      <c r="D658" s="1"/>
      <c r="E658" s="1"/>
      <c r="F658" s="1"/>
      <c r="AV658" s="2"/>
      <c r="AW658" s="3"/>
    </row>
    <row r="659" ht="16.5" customHeight="1">
      <c r="A659" s="1"/>
      <c r="B659" s="1"/>
      <c r="C659" s="1"/>
      <c r="D659" s="1"/>
      <c r="E659" s="1"/>
      <c r="F659" s="1"/>
      <c r="AV659" s="2"/>
      <c r="AW659" s="3"/>
    </row>
    <row r="660" ht="16.5" customHeight="1">
      <c r="A660" s="1"/>
      <c r="B660" s="1"/>
      <c r="C660" s="1"/>
      <c r="D660" s="1"/>
      <c r="E660" s="1"/>
      <c r="F660" s="1"/>
      <c r="AV660" s="2"/>
      <c r="AW660" s="3"/>
    </row>
    <row r="661" ht="16.5" customHeight="1">
      <c r="A661" s="1"/>
      <c r="B661" s="1"/>
      <c r="C661" s="1"/>
      <c r="D661" s="1"/>
      <c r="E661" s="1"/>
      <c r="F661" s="1"/>
      <c r="AV661" s="2"/>
      <c r="AW661" s="3"/>
    </row>
    <row r="662" ht="16.5" customHeight="1">
      <c r="A662" s="1"/>
      <c r="B662" s="1"/>
      <c r="C662" s="1"/>
      <c r="D662" s="1"/>
      <c r="E662" s="1"/>
      <c r="F662" s="1"/>
      <c r="AV662" s="2"/>
      <c r="AW662" s="3"/>
    </row>
    <row r="663" ht="16.5" customHeight="1">
      <c r="A663" s="1"/>
      <c r="B663" s="1"/>
      <c r="C663" s="1"/>
      <c r="D663" s="1"/>
      <c r="E663" s="1"/>
      <c r="F663" s="1"/>
      <c r="AV663" s="2"/>
      <c r="AW663" s="3"/>
    </row>
    <row r="664" ht="16.5" customHeight="1">
      <c r="A664" s="1"/>
      <c r="B664" s="1"/>
      <c r="C664" s="1"/>
      <c r="D664" s="1"/>
      <c r="E664" s="1"/>
      <c r="F664" s="1"/>
      <c r="AV664" s="2"/>
      <c r="AW664" s="3"/>
    </row>
    <row r="665" ht="16.5" customHeight="1">
      <c r="A665" s="1"/>
      <c r="B665" s="1"/>
      <c r="C665" s="1"/>
      <c r="D665" s="1"/>
      <c r="E665" s="1"/>
      <c r="F665" s="1"/>
      <c r="AV665" s="2"/>
      <c r="AW665" s="3"/>
    </row>
    <row r="666" ht="16.5" customHeight="1">
      <c r="A666" s="1"/>
      <c r="B666" s="1"/>
      <c r="C666" s="1"/>
      <c r="D666" s="1"/>
      <c r="E666" s="1"/>
      <c r="F666" s="1"/>
      <c r="AV666" s="2"/>
      <c r="AW666" s="3"/>
    </row>
    <row r="667" ht="16.5" customHeight="1">
      <c r="A667" s="1"/>
      <c r="B667" s="1"/>
      <c r="C667" s="1"/>
      <c r="D667" s="1"/>
      <c r="E667" s="1"/>
      <c r="F667" s="1"/>
      <c r="AV667" s="2"/>
      <c r="AW667" s="3"/>
    </row>
    <row r="668" ht="16.5" customHeight="1">
      <c r="A668" s="1"/>
      <c r="B668" s="1"/>
      <c r="C668" s="1"/>
      <c r="D668" s="1"/>
      <c r="E668" s="1"/>
      <c r="F668" s="1"/>
      <c r="AV668" s="2"/>
      <c r="AW668" s="3"/>
    </row>
    <row r="669" ht="16.5" customHeight="1">
      <c r="A669" s="1"/>
      <c r="B669" s="1"/>
      <c r="C669" s="1"/>
      <c r="D669" s="1"/>
      <c r="E669" s="1"/>
      <c r="F669" s="1"/>
      <c r="AV669" s="2"/>
      <c r="AW669" s="3"/>
    </row>
    <row r="670" ht="16.5" customHeight="1">
      <c r="A670" s="1"/>
      <c r="B670" s="1"/>
      <c r="C670" s="1"/>
      <c r="D670" s="1"/>
      <c r="E670" s="1"/>
      <c r="F670" s="1"/>
      <c r="AV670" s="2"/>
      <c r="AW670" s="3"/>
    </row>
    <row r="671" ht="16.5" customHeight="1">
      <c r="A671" s="1"/>
      <c r="B671" s="1"/>
      <c r="C671" s="1"/>
      <c r="D671" s="1"/>
      <c r="E671" s="1"/>
      <c r="F671" s="1"/>
      <c r="AV671" s="2"/>
      <c r="AW671" s="3"/>
    </row>
    <row r="672" ht="16.5" customHeight="1">
      <c r="A672" s="1"/>
      <c r="B672" s="1"/>
      <c r="C672" s="1"/>
      <c r="D672" s="1"/>
      <c r="E672" s="1"/>
      <c r="F672" s="1"/>
      <c r="AV672" s="2"/>
      <c r="AW672" s="3"/>
    </row>
    <row r="673" ht="16.5" customHeight="1">
      <c r="A673" s="1"/>
      <c r="B673" s="1"/>
      <c r="C673" s="1"/>
      <c r="D673" s="1"/>
      <c r="E673" s="1"/>
      <c r="F673" s="1"/>
      <c r="AV673" s="2"/>
      <c r="AW673" s="3"/>
    </row>
    <row r="674" ht="16.5" customHeight="1">
      <c r="A674" s="1"/>
      <c r="B674" s="1"/>
      <c r="C674" s="1"/>
      <c r="D674" s="1"/>
      <c r="E674" s="1"/>
      <c r="F674" s="1"/>
      <c r="AV674" s="2"/>
      <c r="AW674" s="3"/>
    </row>
    <row r="675" ht="16.5" customHeight="1">
      <c r="A675" s="1"/>
      <c r="B675" s="1"/>
      <c r="C675" s="1"/>
      <c r="D675" s="1"/>
      <c r="E675" s="1"/>
      <c r="F675" s="1"/>
      <c r="AV675" s="2"/>
      <c r="AW675" s="3"/>
    </row>
    <row r="676" ht="16.5" customHeight="1">
      <c r="A676" s="1"/>
      <c r="B676" s="1"/>
      <c r="C676" s="1"/>
      <c r="D676" s="1"/>
      <c r="E676" s="1"/>
      <c r="F676" s="1"/>
      <c r="AV676" s="2"/>
      <c r="AW676" s="3"/>
    </row>
    <row r="677" ht="16.5" customHeight="1">
      <c r="A677" s="1"/>
      <c r="B677" s="1"/>
      <c r="C677" s="1"/>
      <c r="D677" s="1"/>
      <c r="E677" s="1"/>
      <c r="F677" s="1"/>
      <c r="AV677" s="2"/>
      <c r="AW677" s="3"/>
    </row>
    <row r="678" ht="16.5" customHeight="1">
      <c r="A678" s="1"/>
      <c r="B678" s="1"/>
      <c r="C678" s="1"/>
      <c r="D678" s="1"/>
      <c r="E678" s="1"/>
      <c r="F678" s="1"/>
      <c r="AV678" s="2"/>
      <c r="AW678" s="3"/>
    </row>
    <row r="679" ht="16.5" customHeight="1">
      <c r="A679" s="1"/>
      <c r="B679" s="1"/>
      <c r="C679" s="1"/>
      <c r="D679" s="1"/>
      <c r="E679" s="1"/>
      <c r="F679" s="1"/>
      <c r="AV679" s="2"/>
      <c r="AW679" s="3"/>
    </row>
    <row r="680" ht="16.5" customHeight="1">
      <c r="A680" s="1"/>
      <c r="B680" s="1"/>
      <c r="C680" s="1"/>
      <c r="D680" s="1"/>
      <c r="E680" s="1"/>
      <c r="F680" s="1"/>
      <c r="AV680" s="2"/>
      <c r="AW680" s="3"/>
    </row>
    <row r="681" ht="16.5" customHeight="1">
      <c r="A681" s="1"/>
      <c r="B681" s="1"/>
      <c r="C681" s="1"/>
      <c r="D681" s="1"/>
      <c r="E681" s="1"/>
      <c r="F681" s="1"/>
      <c r="AV681" s="2"/>
      <c r="AW681" s="3"/>
    </row>
    <row r="682" ht="16.5" customHeight="1">
      <c r="A682" s="1"/>
      <c r="B682" s="1"/>
      <c r="C682" s="1"/>
      <c r="D682" s="1"/>
      <c r="E682" s="1"/>
      <c r="F682" s="1"/>
      <c r="AV682" s="2"/>
      <c r="AW682" s="3"/>
    </row>
    <row r="683" ht="16.5" customHeight="1">
      <c r="A683" s="1"/>
      <c r="B683" s="1"/>
      <c r="C683" s="1"/>
      <c r="D683" s="1"/>
      <c r="E683" s="1"/>
      <c r="F683" s="1"/>
      <c r="AV683" s="2"/>
      <c r="AW683" s="3"/>
    </row>
    <row r="684" ht="16.5" customHeight="1">
      <c r="A684" s="1"/>
      <c r="B684" s="1"/>
      <c r="C684" s="1"/>
      <c r="D684" s="1"/>
      <c r="E684" s="1"/>
      <c r="F684" s="1"/>
      <c r="AV684" s="2"/>
      <c r="AW684" s="3"/>
    </row>
    <row r="685" ht="16.5" customHeight="1">
      <c r="A685" s="1"/>
      <c r="B685" s="1"/>
      <c r="C685" s="1"/>
      <c r="D685" s="1"/>
      <c r="E685" s="1"/>
      <c r="F685" s="1"/>
      <c r="AV685" s="2"/>
      <c r="AW685" s="3"/>
    </row>
    <row r="686" ht="16.5" customHeight="1">
      <c r="A686" s="1"/>
      <c r="B686" s="1"/>
      <c r="C686" s="1"/>
      <c r="D686" s="1"/>
      <c r="E686" s="1"/>
      <c r="F686" s="1"/>
      <c r="AV686" s="2"/>
      <c r="AW686" s="3"/>
    </row>
    <row r="687" ht="16.5" customHeight="1">
      <c r="A687" s="1"/>
      <c r="B687" s="1"/>
      <c r="C687" s="1"/>
      <c r="D687" s="1"/>
      <c r="E687" s="1"/>
      <c r="F687" s="1"/>
      <c r="AV687" s="2"/>
      <c r="AW687" s="3"/>
    </row>
    <row r="688" ht="16.5" customHeight="1">
      <c r="A688" s="1"/>
      <c r="B688" s="1"/>
      <c r="C688" s="1"/>
      <c r="D688" s="1"/>
      <c r="E688" s="1"/>
      <c r="F688" s="1"/>
      <c r="AV688" s="2"/>
      <c r="AW688" s="3"/>
    </row>
    <row r="689" ht="16.5" customHeight="1">
      <c r="A689" s="1"/>
      <c r="B689" s="1"/>
      <c r="C689" s="1"/>
      <c r="D689" s="1"/>
      <c r="E689" s="1"/>
      <c r="F689" s="1"/>
      <c r="AV689" s="2"/>
      <c r="AW689" s="3"/>
    </row>
    <row r="690" ht="16.5" customHeight="1">
      <c r="A690" s="1"/>
      <c r="B690" s="1"/>
      <c r="C690" s="1"/>
      <c r="D690" s="1"/>
      <c r="E690" s="1"/>
      <c r="F690" s="1"/>
      <c r="AV690" s="2"/>
      <c r="AW690" s="3"/>
    </row>
    <row r="691" ht="16.5" customHeight="1">
      <c r="A691" s="1"/>
      <c r="B691" s="1"/>
      <c r="C691" s="1"/>
      <c r="D691" s="1"/>
      <c r="E691" s="1"/>
      <c r="F691" s="1"/>
      <c r="AV691" s="2"/>
      <c r="AW691" s="3"/>
    </row>
    <row r="692" ht="16.5" customHeight="1">
      <c r="A692" s="1"/>
      <c r="B692" s="1"/>
      <c r="C692" s="1"/>
      <c r="D692" s="1"/>
      <c r="E692" s="1"/>
      <c r="F692" s="1"/>
      <c r="AV692" s="2"/>
      <c r="AW692" s="3"/>
    </row>
    <row r="693" ht="16.5" customHeight="1">
      <c r="A693" s="1"/>
      <c r="B693" s="1"/>
      <c r="C693" s="1"/>
      <c r="D693" s="1"/>
      <c r="E693" s="1"/>
      <c r="F693" s="1"/>
      <c r="AV693" s="2"/>
      <c r="AW693" s="3"/>
    </row>
    <row r="694" ht="16.5" customHeight="1">
      <c r="A694" s="1"/>
      <c r="B694" s="1"/>
      <c r="C694" s="1"/>
      <c r="D694" s="1"/>
      <c r="E694" s="1"/>
      <c r="F694" s="1"/>
      <c r="AV694" s="2"/>
      <c r="AW694" s="3"/>
    </row>
    <row r="695" ht="16.5" customHeight="1">
      <c r="A695" s="1"/>
      <c r="B695" s="1"/>
      <c r="C695" s="1"/>
      <c r="D695" s="1"/>
      <c r="E695" s="1"/>
      <c r="F695" s="1"/>
      <c r="AV695" s="2"/>
      <c r="AW695" s="3"/>
    </row>
    <row r="696" ht="16.5" customHeight="1">
      <c r="A696" s="1"/>
      <c r="B696" s="1"/>
      <c r="C696" s="1"/>
      <c r="D696" s="1"/>
      <c r="E696" s="1"/>
      <c r="F696" s="1"/>
      <c r="AV696" s="2"/>
      <c r="AW696" s="3"/>
    </row>
    <row r="697" ht="16.5" customHeight="1">
      <c r="A697" s="1"/>
      <c r="B697" s="1"/>
      <c r="C697" s="1"/>
      <c r="D697" s="1"/>
      <c r="E697" s="1"/>
      <c r="F697" s="1"/>
      <c r="AV697" s="2"/>
      <c r="AW697" s="3"/>
    </row>
    <row r="698" ht="16.5" customHeight="1">
      <c r="A698" s="1"/>
      <c r="B698" s="1"/>
      <c r="C698" s="1"/>
      <c r="D698" s="1"/>
      <c r="E698" s="1"/>
      <c r="F698" s="1"/>
      <c r="AV698" s="2"/>
      <c r="AW698" s="3"/>
    </row>
    <row r="699" ht="16.5" customHeight="1">
      <c r="A699" s="1"/>
      <c r="B699" s="1"/>
      <c r="C699" s="1"/>
      <c r="D699" s="1"/>
      <c r="E699" s="1"/>
      <c r="F699" s="1"/>
      <c r="AV699" s="2"/>
      <c r="AW699" s="3"/>
    </row>
    <row r="700" ht="16.5" customHeight="1">
      <c r="A700" s="1"/>
      <c r="B700" s="1"/>
      <c r="C700" s="1"/>
      <c r="D700" s="1"/>
      <c r="E700" s="1"/>
      <c r="F700" s="1"/>
      <c r="AV700" s="2"/>
      <c r="AW700" s="3"/>
    </row>
    <row r="701" ht="16.5" customHeight="1">
      <c r="A701" s="1"/>
      <c r="B701" s="1"/>
      <c r="C701" s="1"/>
      <c r="D701" s="1"/>
      <c r="E701" s="1"/>
      <c r="F701" s="1"/>
      <c r="AV701" s="2"/>
      <c r="AW701" s="3"/>
    </row>
    <row r="702" ht="16.5" customHeight="1">
      <c r="A702" s="1"/>
      <c r="B702" s="1"/>
      <c r="C702" s="1"/>
      <c r="D702" s="1"/>
      <c r="E702" s="1"/>
      <c r="F702" s="1"/>
      <c r="AV702" s="2"/>
      <c r="AW702" s="3"/>
    </row>
    <row r="703" ht="16.5" customHeight="1">
      <c r="A703" s="1"/>
      <c r="B703" s="1"/>
      <c r="C703" s="1"/>
      <c r="D703" s="1"/>
      <c r="E703" s="1"/>
      <c r="F703" s="1"/>
      <c r="AV703" s="2"/>
      <c r="AW703" s="3"/>
    </row>
    <row r="704" ht="16.5" customHeight="1">
      <c r="A704" s="1"/>
      <c r="B704" s="1"/>
      <c r="C704" s="1"/>
      <c r="D704" s="1"/>
      <c r="E704" s="1"/>
      <c r="F704" s="1"/>
      <c r="AV704" s="2"/>
      <c r="AW704" s="3"/>
    </row>
    <row r="705" ht="16.5" customHeight="1">
      <c r="A705" s="1"/>
      <c r="B705" s="1"/>
      <c r="C705" s="1"/>
      <c r="D705" s="1"/>
      <c r="E705" s="1"/>
      <c r="F705" s="1"/>
      <c r="AV705" s="2"/>
      <c r="AW705" s="3"/>
    </row>
    <row r="706" ht="16.5" customHeight="1">
      <c r="A706" s="1"/>
      <c r="B706" s="1"/>
      <c r="C706" s="1"/>
      <c r="D706" s="1"/>
      <c r="E706" s="1"/>
      <c r="F706" s="1"/>
      <c r="AV706" s="2"/>
      <c r="AW706" s="3"/>
    </row>
    <row r="707" ht="16.5" customHeight="1">
      <c r="A707" s="1"/>
      <c r="B707" s="1"/>
      <c r="C707" s="1"/>
      <c r="D707" s="1"/>
      <c r="E707" s="1"/>
      <c r="F707" s="1"/>
      <c r="AV707" s="2"/>
      <c r="AW707" s="3"/>
    </row>
    <row r="708" ht="16.5" customHeight="1">
      <c r="A708" s="1"/>
      <c r="B708" s="1"/>
      <c r="C708" s="1"/>
      <c r="D708" s="1"/>
      <c r="E708" s="1"/>
      <c r="F708" s="1"/>
      <c r="AV708" s="2"/>
      <c r="AW708" s="3"/>
    </row>
    <row r="709" ht="16.5" customHeight="1">
      <c r="A709" s="1"/>
      <c r="B709" s="1"/>
      <c r="C709" s="1"/>
      <c r="D709" s="1"/>
      <c r="E709" s="1"/>
      <c r="F709" s="1"/>
      <c r="AV709" s="2"/>
      <c r="AW709" s="3"/>
    </row>
    <row r="710" ht="16.5" customHeight="1">
      <c r="A710" s="1"/>
      <c r="B710" s="1"/>
      <c r="C710" s="1"/>
      <c r="D710" s="1"/>
      <c r="E710" s="1"/>
      <c r="F710" s="1"/>
      <c r="AV710" s="2"/>
      <c r="AW710" s="3"/>
    </row>
    <row r="711" ht="16.5" customHeight="1">
      <c r="A711" s="1"/>
      <c r="B711" s="1"/>
      <c r="C711" s="1"/>
      <c r="D711" s="1"/>
      <c r="E711" s="1"/>
      <c r="F711" s="1"/>
      <c r="AV711" s="2"/>
      <c r="AW711" s="3"/>
    </row>
    <row r="712" ht="16.5" customHeight="1">
      <c r="A712" s="1"/>
      <c r="B712" s="1"/>
      <c r="C712" s="1"/>
      <c r="D712" s="1"/>
      <c r="E712" s="1"/>
      <c r="F712" s="1"/>
      <c r="AV712" s="2"/>
      <c r="AW712" s="3"/>
    </row>
    <row r="713" ht="16.5" customHeight="1">
      <c r="A713" s="1"/>
      <c r="B713" s="1"/>
      <c r="C713" s="1"/>
      <c r="D713" s="1"/>
      <c r="E713" s="1"/>
      <c r="F713" s="1"/>
      <c r="AV713" s="2"/>
      <c r="AW713" s="3"/>
    </row>
    <row r="714" ht="16.5" customHeight="1">
      <c r="A714" s="1"/>
      <c r="B714" s="1"/>
      <c r="C714" s="1"/>
      <c r="D714" s="1"/>
      <c r="E714" s="1"/>
      <c r="F714" s="1"/>
      <c r="AV714" s="2"/>
      <c r="AW714" s="3"/>
    </row>
    <row r="715" ht="16.5" customHeight="1">
      <c r="A715" s="1"/>
      <c r="B715" s="1"/>
      <c r="C715" s="1"/>
      <c r="D715" s="1"/>
      <c r="E715" s="1"/>
      <c r="F715" s="1"/>
      <c r="AV715" s="2"/>
      <c r="AW715" s="3"/>
    </row>
    <row r="716" ht="16.5" customHeight="1">
      <c r="A716" s="1"/>
      <c r="B716" s="1"/>
      <c r="C716" s="1"/>
      <c r="D716" s="1"/>
      <c r="E716" s="1"/>
      <c r="F716" s="1"/>
      <c r="AV716" s="2"/>
      <c r="AW716" s="3"/>
    </row>
    <row r="717" ht="16.5" customHeight="1">
      <c r="A717" s="1"/>
      <c r="B717" s="1"/>
      <c r="C717" s="1"/>
      <c r="D717" s="1"/>
      <c r="E717" s="1"/>
      <c r="F717" s="1"/>
      <c r="AV717" s="2"/>
      <c r="AW717" s="3"/>
    </row>
    <row r="718" ht="16.5" customHeight="1">
      <c r="A718" s="1"/>
      <c r="B718" s="1"/>
      <c r="C718" s="1"/>
      <c r="D718" s="1"/>
      <c r="E718" s="1"/>
      <c r="F718" s="1"/>
      <c r="AV718" s="2"/>
      <c r="AW718" s="3"/>
    </row>
    <row r="719" ht="16.5" customHeight="1">
      <c r="A719" s="1"/>
      <c r="B719" s="1"/>
      <c r="C719" s="1"/>
      <c r="D719" s="1"/>
      <c r="E719" s="1"/>
      <c r="F719" s="1"/>
      <c r="AV719" s="2"/>
      <c r="AW719" s="3"/>
    </row>
    <row r="720" ht="16.5" customHeight="1">
      <c r="A720" s="1"/>
      <c r="B720" s="1"/>
      <c r="C720" s="1"/>
      <c r="D720" s="1"/>
      <c r="E720" s="1"/>
      <c r="F720" s="1"/>
      <c r="AV720" s="2"/>
      <c r="AW720" s="3"/>
    </row>
    <row r="721" ht="16.5" customHeight="1">
      <c r="A721" s="1"/>
      <c r="B721" s="1"/>
      <c r="C721" s="1"/>
      <c r="D721" s="1"/>
      <c r="E721" s="1"/>
      <c r="F721" s="1"/>
      <c r="AV721" s="2"/>
      <c r="AW721" s="3"/>
    </row>
    <row r="722" ht="16.5" customHeight="1">
      <c r="A722" s="1"/>
      <c r="B722" s="1"/>
      <c r="C722" s="1"/>
      <c r="D722" s="1"/>
      <c r="E722" s="1"/>
      <c r="F722" s="1"/>
      <c r="AV722" s="2"/>
      <c r="AW722" s="3"/>
    </row>
    <row r="723" ht="16.5" customHeight="1">
      <c r="A723" s="1"/>
      <c r="B723" s="1"/>
      <c r="C723" s="1"/>
      <c r="D723" s="1"/>
      <c r="E723" s="1"/>
      <c r="F723" s="1"/>
      <c r="AV723" s="2"/>
      <c r="AW723" s="3"/>
    </row>
    <row r="724" ht="16.5" customHeight="1">
      <c r="A724" s="1"/>
      <c r="B724" s="1"/>
      <c r="C724" s="1"/>
      <c r="D724" s="1"/>
      <c r="E724" s="1"/>
      <c r="F724" s="1"/>
      <c r="AV724" s="2"/>
      <c r="AW724" s="3"/>
    </row>
    <row r="725" ht="16.5" customHeight="1">
      <c r="A725" s="1"/>
      <c r="B725" s="1"/>
      <c r="C725" s="1"/>
      <c r="D725" s="1"/>
      <c r="E725" s="1"/>
      <c r="F725" s="1"/>
      <c r="AV725" s="2"/>
      <c r="AW725" s="3"/>
    </row>
    <row r="726" ht="16.5" customHeight="1">
      <c r="A726" s="1"/>
      <c r="B726" s="1"/>
      <c r="C726" s="1"/>
      <c r="D726" s="1"/>
      <c r="E726" s="1"/>
      <c r="F726" s="1"/>
      <c r="AV726" s="2"/>
      <c r="AW726" s="3"/>
    </row>
    <row r="727" ht="16.5" customHeight="1">
      <c r="A727" s="1"/>
      <c r="B727" s="1"/>
      <c r="C727" s="1"/>
      <c r="D727" s="1"/>
      <c r="E727" s="1"/>
      <c r="F727" s="1"/>
      <c r="AV727" s="2"/>
      <c r="AW727" s="3"/>
    </row>
    <row r="728" ht="16.5" customHeight="1">
      <c r="A728" s="1"/>
      <c r="B728" s="1"/>
      <c r="C728" s="1"/>
      <c r="D728" s="1"/>
      <c r="E728" s="1"/>
      <c r="F728" s="1"/>
      <c r="AV728" s="2"/>
      <c r="AW728" s="3"/>
    </row>
    <row r="729" ht="16.5" customHeight="1">
      <c r="A729" s="1"/>
      <c r="B729" s="1"/>
      <c r="C729" s="1"/>
      <c r="D729" s="1"/>
      <c r="E729" s="1"/>
      <c r="F729" s="1"/>
      <c r="AV729" s="2"/>
      <c r="AW729" s="3"/>
    </row>
    <row r="730" ht="16.5" customHeight="1">
      <c r="A730" s="1"/>
      <c r="B730" s="1"/>
      <c r="C730" s="1"/>
      <c r="D730" s="1"/>
      <c r="E730" s="1"/>
      <c r="F730" s="1"/>
      <c r="AV730" s="2"/>
      <c r="AW730" s="3"/>
    </row>
    <row r="731" ht="16.5" customHeight="1">
      <c r="A731" s="1"/>
      <c r="B731" s="1"/>
      <c r="C731" s="1"/>
      <c r="D731" s="1"/>
      <c r="E731" s="1"/>
      <c r="F731" s="1"/>
      <c r="AV731" s="2"/>
      <c r="AW731" s="3"/>
    </row>
    <row r="732" ht="16.5" customHeight="1">
      <c r="A732" s="1"/>
      <c r="B732" s="1"/>
      <c r="C732" s="1"/>
      <c r="D732" s="1"/>
      <c r="E732" s="1"/>
      <c r="F732" s="1"/>
      <c r="AV732" s="2"/>
      <c r="AW732" s="3"/>
    </row>
    <row r="733" ht="16.5" customHeight="1">
      <c r="A733" s="1"/>
      <c r="B733" s="1"/>
      <c r="C733" s="1"/>
      <c r="D733" s="1"/>
      <c r="E733" s="1"/>
      <c r="F733" s="1"/>
      <c r="AV733" s="2"/>
      <c r="AW733" s="3"/>
    </row>
    <row r="734" ht="16.5" customHeight="1">
      <c r="A734" s="1"/>
      <c r="B734" s="1"/>
      <c r="C734" s="1"/>
      <c r="D734" s="1"/>
      <c r="E734" s="1"/>
      <c r="F734" s="1"/>
      <c r="AV734" s="2"/>
      <c r="AW734" s="3"/>
    </row>
    <row r="735" ht="16.5" customHeight="1">
      <c r="A735" s="1"/>
      <c r="B735" s="1"/>
      <c r="C735" s="1"/>
      <c r="D735" s="1"/>
      <c r="E735" s="1"/>
      <c r="F735" s="1"/>
      <c r="AV735" s="2"/>
      <c r="AW735" s="3"/>
    </row>
    <row r="736" ht="16.5" customHeight="1">
      <c r="A736" s="1"/>
      <c r="B736" s="1"/>
      <c r="C736" s="1"/>
      <c r="D736" s="1"/>
      <c r="E736" s="1"/>
      <c r="F736" s="1"/>
      <c r="AV736" s="2"/>
      <c r="AW736" s="3"/>
    </row>
    <row r="737" ht="16.5" customHeight="1">
      <c r="A737" s="1"/>
      <c r="B737" s="1"/>
      <c r="C737" s="1"/>
      <c r="D737" s="1"/>
      <c r="E737" s="1"/>
      <c r="F737" s="1"/>
      <c r="AV737" s="2"/>
      <c r="AW737" s="3"/>
    </row>
    <row r="738" ht="16.5" customHeight="1">
      <c r="A738" s="1"/>
      <c r="B738" s="1"/>
      <c r="C738" s="1"/>
      <c r="D738" s="1"/>
      <c r="E738" s="1"/>
      <c r="F738" s="1"/>
      <c r="AV738" s="2"/>
      <c r="AW738" s="3"/>
    </row>
    <row r="739" ht="16.5" customHeight="1">
      <c r="A739" s="1"/>
      <c r="B739" s="1"/>
      <c r="C739" s="1"/>
      <c r="D739" s="1"/>
      <c r="E739" s="1"/>
      <c r="F739" s="1"/>
      <c r="AV739" s="2"/>
      <c r="AW739" s="3"/>
    </row>
    <row r="740" ht="16.5" customHeight="1">
      <c r="A740" s="1"/>
      <c r="B740" s="1"/>
      <c r="C740" s="1"/>
      <c r="D740" s="1"/>
      <c r="E740" s="1"/>
      <c r="F740" s="1"/>
      <c r="AV740" s="2"/>
      <c r="AW740" s="3"/>
    </row>
    <row r="741" ht="16.5" customHeight="1">
      <c r="A741" s="1"/>
      <c r="B741" s="1"/>
      <c r="C741" s="1"/>
      <c r="D741" s="1"/>
      <c r="E741" s="1"/>
      <c r="F741" s="1"/>
      <c r="AV741" s="2"/>
      <c r="AW741" s="3"/>
    </row>
    <row r="742" ht="16.5" customHeight="1">
      <c r="A742" s="1"/>
      <c r="B742" s="1"/>
      <c r="C742" s="1"/>
      <c r="D742" s="1"/>
      <c r="E742" s="1"/>
      <c r="F742" s="1"/>
      <c r="AV742" s="2"/>
      <c r="AW742" s="3"/>
    </row>
    <row r="743" ht="16.5" customHeight="1">
      <c r="A743" s="1"/>
      <c r="B743" s="1"/>
      <c r="C743" s="1"/>
      <c r="D743" s="1"/>
      <c r="E743" s="1"/>
      <c r="F743" s="1"/>
      <c r="AV743" s="2"/>
      <c r="AW743" s="3"/>
    </row>
    <row r="744" ht="16.5" customHeight="1">
      <c r="A744" s="1"/>
      <c r="B744" s="1"/>
      <c r="C744" s="1"/>
      <c r="D744" s="1"/>
      <c r="E744" s="1"/>
      <c r="F744" s="1"/>
      <c r="AV744" s="2"/>
      <c r="AW744" s="3"/>
    </row>
    <row r="745" ht="16.5" customHeight="1">
      <c r="A745" s="1"/>
      <c r="B745" s="1"/>
      <c r="C745" s="1"/>
      <c r="D745" s="1"/>
      <c r="E745" s="1"/>
      <c r="F745" s="1"/>
      <c r="AV745" s="2"/>
      <c r="AW745" s="3"/>
    </row>
    <row r="746" ht="16.5" customHeight="1">
      <c r="A746" s="1"/>
      <c r="B746" s="1"/>
      <c r="C746" s="1"/>
      <c r="D746" s="1"/>
      <c r="E746" s="1"/>
      <c r="F746" s="1"/>
      <c r="AV746" s="2"/>
      <c r="AW746" s="3"/>
    </row>
    <row r="747" ht="16.5" customHeight="1">
      <c r="A747" s="1"/>
      <c r="B747" s="1"/>
      <c r="C747" s="1"/>
      <c r="D747" s="1"/>
      <c r="E747" s="1"/>
      <c r="F747" s="1"/>
      <c r="AV747" s="2"/>
      <c r="AW747" s="3"/>
    </row>
    <row r="748" ht="16.5" customHeight="1">
      <c r="A748" s="1"/>
      <c r="B748" s="1"/>
      <c r="C748" s="1"/>
      <c r="D748" s="1"/>
      <c r="E748" s="1"/>
      <c r="F748" s="1"/>
      <c r="AV748" s="2"/>
      <c r="AW748" s="3"/>
    </row>
    <row r="749" ht="16.5" customHeight="1">
      <c r="A749" s="1"/>
      <c r="B749" s="1"/>
      <c r="C749" s="1"/>
      <c r="D749" s="1"/>
      <c r="E749" s="1"/>
      <c r="F749" s="1"/>
      <c r="AV749" s="2"/>
      <c r="AW749" s="3"/>
    </row>
    <row r="750" ht="16.5" customHeight="1">
      <c r="A750" s="1"/>
      <c r="B750" s="1"/>
      <c r="C750" s="1"/>
      <c r="D750" s="1"/>
      <c r="E750" s="1"/>
      <c r="F750" s="1"/>
      <c r="AV750" s="2"/>
      <c r="AW750" s="3"/>
    </row>
    <row r="751" ht="16.5" customHeight="1">
      <c r="A751" s="1"/>
      <c r="B751" s="1"/>
      <c r="C751" s="1"/>
      <c r="D751" s="1"/>
      <c r="E751" s="1"/>
      <c r="F751" s="1"/>
      <c r="AV751" s="2"/>
      <c r="AW751" s="3"/>
    </row>
    <row r="752" ht="16.5" customHeight="1">
      <c r="A752" s="1"/>
      <c r="B752" s="1"/>
      <c r="C752" s="1"/>
      <c r="D752" s="1"/>
      <c r="E752" s="1"/>
      <c r="F752" s="1"/>
      <c r="AV752" s="2"/>
      <c r="AW752" s="3"/>
    </row>
    <row r="753" ht="16.5" customHeight="1">
      <c r="A753" s="1"/>
      <c r="B753" s="1"/>
      <c r="C753" s="1"/>
      <c r="D753" s="1"/>
      <c r="E753" s="1"/>
      <c r="F753" s="1"/>
      <c r="AV753" s="2"/>
      <c r="AW753" s="3"/>
    </row>
    <row r="754" ht="16.5" customHeight="1">
      <c r="A754" s="1"/>
      <c r="B754" s="1"/>
      <c r="C754" s="1"/>
      <c r="D754" s="1"/>
      <c r="E754" s="1"/>
      <c r="F754" s="1"/>
      <c r="AV754" s="2"/>
      <c r="AW754" s="3"/>
    </row>
    <row r="755" ht="16.5" customHeight="1">
      <c r="A755" s="1"/>
      <c r="B755" s="1"/>
      <c r="C755" s="1"/>
      <c r="D755" s="1"/>
      <c r="E755" s="1"/>
      <c r="F755" s="1"/>
      <c r="AV755" s="2"/>
      <c r="AW755" s="3"/>
    </row>
    <row r="756" ht="16.5" customHeight="1">
      <c r="A756" s="1"/>
      <c r="B756" s="1"/>
      <c r="C756" s="1"/>
      <c r="D756" s="1"/>
      <c r="E756" s="1"/>
      <c r="F756" s="1"/>
      <c r="AV756" s="2"/>
      <c r="AW756" s="3"/>
    </row>
    <row r="757" ht="16.5" customHeight="1">
      <c r="A757" s="1"/>
      <c r="B757" s="1"/>
      <c r="C757" s="1"/>
      <c r="D757" s="1"/>
      <c r="E757" s="1"/>
      <c r="F757" s="1"/>
      <c r="AV757" s="2"/>
      <c r="AW757" s="3"/>
    </row>
    <row r="758" ht="16.5" customHeight="1">
      <c r="A758" s="1"/>
      <c r="B758" s="1"/>
      <c r="C758" s="1"/>
      <c r="D758" s="1"/>
      <c r="E758" s="1"/>
      <c r="F758" s="1"/>
      <c r="AV758" s="2"/>
      <c r="AW758" s="3"/>
    </row>
    <row r="759" ht="16.5" customHeight="1">
      <c r="A759" s="1"/>
      <c r="B759" s="1"/>
      <c r="C759" s="1"/>
      <c r="D759" s="1"/>
      <c r="E759" s="1"/>
      <c r="F759" s="1"/>
      <c r="AV759" s="2"/>
      <c r="AW759" s="3"/>
    </row>
    <row r="760" ht="16.5" customHeight="1">
      <c r="A760" s="1"/>
      <c r="B760" s="1"/>
      <c r="C760" s="1"/>
      <c r="D760" s="1"/>
      <c r="E760" s="1"/>
      <c r="F760" s="1"/>
      <c r="AV760" s="2"/>
      <c r="AW760" s="3"/>
    </row>
    <row r="761" ht="16.5" customHeight="1">
      <c r="A761" s="1"/>
      <c r="B761" s="1"/>
      <c r="C761" s="1"/>
      <c r="D761" s="1"/>
      <c r="E761" s="1"/>
      <c r="F761" s="1"/>
      <c r="AV761" s="2"/>
      <c r="AW761" s="3"/>
    </row>
    <row r="762" ht="16.5" customHeight="1">
      <c r="A762" s="1"/>
      <c r="B762" s="1"/>
      <c r="C762" s="1"/>
      <c r="D762" s="1"/>
      <c r="E762" s="1"/>
      <c r="F762" s="1"/>
      <c r="AV762" s="2"/>
      <c r="AW762" s="3"/>
    </row>
    <row r="763" ht="16.5" customHeight="1">
      <c r="A763" s="1"/>
      <c r="B763" s="1"/>
      <c r="C763" s="1"/>
      <c r="D763" s="1"/>
      <c r="E763" s="1"/>
      <c r="F763" s="1"/>
      <c r="AV763" s="2"/>
      <c r="AW763" s="3"/>
    </row>
    <row r="764" ht="16.5" customHeight="1">
      <c r="A764" s="1"/>
      <c r="B764" s="1"/>
      <c r="C764" s="1"/>
      <c r="D764" s="1"/>
      <c r="E764" s="1"/>
      <c r="F764" s="1"/>
      <c r="AV764" s="2"/>
      <c r="AW764" s="3"/>
    </row>
    <row r="765" ht="16.5" customHeight="1">
      <c r="A765" s="1"/>
      <c r="B765" s="1"/>
      <c r="C765" s="1"/>
      <c r="D765" s="1"/>
      <c r="E765" s="1"/>
      <c r="F765" s="1"/>
      <c r="AV765" s="2"/>
      <c r="AW765" s="3"/>
    </row>
    <row r="766" ht="16.5" customHeight="1">
      <c r="A766" s="1"/>
      <c r="B766" s="1"/>
      <c r="C766" s="1"/>
      <c r="D766" s="1"/>
      <c r="E766" s="1"/>
      <c r="F766" s="1"/>
      <c r="AV766" s="2"/>
      <c r="AW766" s="3"/>
    </row>
    <row r="767" ht="16.5" customHeight="1">
      <c r="A767" s="1"/>
      <c r="B767" s="1"/>
      <c r="C767" s="1"/>
      <c r="D767" s="1"/>
      <c r="E767" s="1"/>
      <c r="F767" s="1"/>
      <c r="AV767" s="2"/>
      <c r="AW767" s="3"/>
    </row>
    <row r="768" ht="16.5" customHeight="1">
      <c r="A768" s="1"/>
      <c r="B768" s="1"/>
      <c r="C768" s="1"/>
      <c r="D768" s="1"/>
      <c r="E768" s="1"/>
      <c r="F768" s="1"/>
      <c r="AV768" s="2"/>
      <c r="AW768" s="3"/>
    </row>
    <row r="769" ht="16.5" customHeight="1">
      <c r="A769" s="1"/>
      <c r="B769" s="1"/>
      <c r="C769" s="1"/>
      <c r="D769" s="1"/>
      <c r="E769" s="1"/>
      <c r="F769" s="1"/>
      <c r="AV769" s="2"/>
      <c r="AW769" s="3"/>
    </row>
    <row r="770" ht="16.5" customHeight="1">
      <c r="A770" s="1"/>
      <c r="B770" s="1"/>
      <c r="C770" s="1"/>
      <c r="D770" s="1"/>
      <c r="E770" s="1"/>
      <c r="F770" s="1"/>
      <c r="AV770" s="2"/>
      <c r="AW770" s="3"/>
    </row>
    <row r="771" ht="16.5" customHeight="1">
      <c r="A771" s="1"/>
      <c r="B771" s="1"/>
      <c r="C771" s="1"/>
      <c r="D771" s="1"/>
      <c r="E771" s="1"/>
      <c r="F771" s="1"/>
      <c r="AV771" s="2"/>
      <c r="AW771" s="3"/>
    </row>
    <row r="772" ht="16.5" customHeight="1">
      <c r="A772" s="1"/>
      <c r="B772" s="1"/>
      <c r="C772" s="1"/>
      <c r="D772" s="1"/>
      <c r="E772" s="1"/>
      <c r="F772" s="1"/>
      <c r="AV772" s="2"/>
      <c r="AW772" s="3"/>
    </row>
    <row r="773" ht="16.5" customHeight="1">
      <c r="A773" s="1"/>
      <c r="B773" s="1"/>
      <c r="C773" s="1"/>
      <c r="D773" s="1"/>
      <c r="E773" s="1"/>
      <c r="F773" s="1"/>
      <c r="AV773" s="2"/>
      <c r="AW773" s="3"/>
    </row>
    <row r="774" ht="16.5" customHeight="1">
      <c r="A774" s="1"/>
      <c r="B774" s="1"/>
      <c r="C774" s="1"/>
      <c r="D774" s="1"/>
      <c r="E774" s="1"/>
      <c r="F774" s="1"/>
      <c r="AV774" s="2"/>
      <c r="AW774" s="3"/>
    </row>
    <row r="775" ht="16.5" customHeight="1">
      <c r="A775" s="1"/>
      <c r="B775" s="1"/>
      <c r="C775" s="1"/>
      <c r="D775" s="1"/>
      <c r="E775" s="1"/>
      <c r="F775" s="1"/>
      <c r="AV775" s="2"/>
      <c r="AW775" s="3"/>
    </row>
    <row r="776" ht="16.5" customHeight="1">
      <c r="A776" s="1"/>
      <c r="B776" s="1"/>
      <c r="C776" s="1"/>
      <c r="D776" s="1"/>
      <c r="E776" s="1"/>
      <c r="F776" s="1"/>
      <c r="AV776" s="2"/>
      <c r="AW776" s="3"/>
    </row>
    <row r="777" ht="16.5" customHeight="1">
      <c r="A777" s="1"/>
      <c r="B777" s="1"/>
      <c r="C777" s="1"/>
      <c r="D777" s="1"/>
      <c r="E777" s="1"/>
      <c r="F777" s="1"/>
      <c r="AV777" s="2"/>
      <c r="AW777" s="3"/>
    </row>
    <row r="778" ht="16.5" customHeight="1">
      <c r="A778" s="1"/>
      <c r="B778" s="1"/>
      <c r="C778" s="1"/>
      <c r="D778" s="1"/>
      <c r="E778" s="1"/>
      <c r="F778" s="1"/>
      <c r="AV778" s="2"/>
      <c r="AW778" s="3"/>
    </row>
    <row r="779" ht="16.5" customHeight="1">
      <c r="A779" s="1"/>
      <c r="B779" s="1"/>
      <c r="C779" s="1"/>
      <c r="D779" s="1"/>
      <c r="E779" s="1"/>
      <c r="F779" s="1"/>
      <c r="AV779" s="2"/>
      <c r="AW779" s="3"/>
    </row>
    <row r="780" ht="16.5" customHeight="1">
      <c r="A780" s="1"/>
      <c r="B780" s="1"/>
      <c r="C780" s="1"/>
      <c r="D780" s="1"/>
      <c r="E780" s="1"/>
      <c r="F780" s="1"/>
      <c r="AV780" s="2"/>
      <c r="AW780" s="3"/>
    </row>
    <row r="781" ht="16.5" customHeight="1">
      <c r="A781" s="1"/>
      <c r="B781" s="1"/>
      <c r="C781" s="1"/>
      <c r="D781" s="1"/>
      <c r="E781" s="1"/>
      <c r="F781" s="1"/>
      <c r="AV781" s="2"/>
      <c r="AW781" s="3"/>
    </row>
    <row r="782" ht="16.5" customHeight="1">
      <c r="A782" s="1"/>
      <c r="B782" s="1"/>
      <c r="C782" s="1"/>
      <c r="D782" s="1"/>
      <c r="E782" s="1"/>
      <c r="F782" s="1"/>
      <c r="AV782" s="2"/>
      <c r="AW782" s="3"/>
    </row>
    <row r="783" ht="16.5" customHeight="1">
      <c r="A783" s="1"/>
      <c r="B783" s="1"/>
      <c r="C783" s="1"/>
      <c r="D783" s="1"/>
      <c r="E783" s="1"/>
      <c r="F783" s="1"/>
      <c r="AV783" s="2"/>
      <c r="AW783" s="3"/>
    </row>
    <row r="784" ht="16.5" customHeight="1">
      <c r="A784" s="1"/>
      <c r="B784" s="1"/>
      <c r="C784" s="1"/>
      <c r="D784" s="1"/>
      <c r="E784" s="1"/>
      <c r="F784" s="1"/>
      <c r="AV784" s="2"/>
      <c r="AW784" s="3"/>
    </row>
    <row r="785" ht="16.5" customHeight="1">
      <c r="A785" s="1"/>
      <c r="B785" s="1"/>
      <c r="C785" s="1"/>
      <c r="D785" s="1"/>
      <c r="E785" s="1"/>
      <c r="F785" s="1"/>
      <c r="AV785" s="2"/>
      <c r="AW785" s="3"/>
    </row>
    <row r="786" ht="16.5" customHeight="1">
      <c r="A786" s="1"/>
      <c r="B786" s="1"/>
      <c r="C786" s="1"/>
      <c r="D786" s="1"/>
      <c r="E786" s="1"/>
      <c r="F786" s="1"/>
      <c r="AV786" s="2"/>
      <c r="AW786" s="3"/>
    </row>
    <row r="787" ht="16.5" customHeight="1">
      <c r="A787" s="1"/>
      <c r="B787" s="1"/>
      <c r="C787" s="1"/>
      <c r="D787" s="1"/>
      <c r="E787" s="1"/>
      <c r="F787" s="1"/>
      <c r="AV787" s="2"/>
      <c r="AW787" s="3"/>
    </row>
    <row r="788" ht="16.5" customHeight="1">
      <c r="A788" s="1"/>
      <c r="B788" s="1"/>
      <c r="C788" s="1"/>
      <c r="D788" s="1"/>
      <c r="E788" s="1"/>
      <c r="F788" s="1"/>
      <c r="AV788" s="2"/>
      <c r="AW788" s="3"/>
    </row>
    <row r="789" ht="16.5" customHeight="1">
      <c r="A789" s="1"/>
      <c r="B789" s="1"/>
      <c r="C789" s="1"/>
      <c r="D789" s="1"/>
      <c r="E789" s="1"/>
      <c r="F789" s="1"/>
      <c r="AV789" s="2"/>
      <c r="AW789" s="3"/>
    </row>
    <row r="790" ht="16.5" customHeight="1">
      <c r="A790" s="1"/>
      <c r="B790" s="1"/>
      <c r="C790" s="1"/>
      <c r="D790" s="1"/>
      <c r="E790" s="1"/>
      <c r="F790" s="1"/>
      <c r="AV790" s="2"/>
      <c r="AW790" s="3"/>
    </row>
    <row r="791" ht="16.5" customHeight="1">
      <c r="A791" s="1"/>
      <c r="B791" s="1"/>
      <c r="C791" s="1"/>
      <c r="D791" s="1"/>
      <c r="E791" s="1"/>
      <c r="F791" s="1"/>
      <c r="AV791" s="2"/>
      <c r="AW791" s="3"/>
    </row>
    <row r="792" ht="16.5" customHeight="1">
      <c r="A792" s="1"/>
      <c r="B792" s="1"/>
      <c r="C792" s="1"/>
      <c r="D792" s="1"/>
      <c r="E792" s="1"/>
      <c r="F792" s="1"/>
      <c r="AV792" s="2"/>
      <c r="AW792" s="3"/>
    </row>
    <row r="793" ht="16.5" customHeight="1">
      <c r="A793" s="1"/>
      <c r="B793" s="1"/>
      <c r="C793" s="1"/>
      <c r="D793" s="1"/>
      <c r="E793" s="1"/>
      <c r="F793" s="1"/>
      <c r="AV793" s="2"/>
      <c r="AW793" s="3"/>
    </row>
    <row r="794" ht="16.5" customHeight="1">
      <c r="A794" s="1"/>
      <c r="B794" s="1"/>
      <c r="C794" s="1"/>
      <c r="D794" s="1"/>
      <c r="E794" s="1"/>
      <c r="F794" s="1"/>
      <c r="AV794" s="2"/>
      <c r="AW794" s="3"/>
    </row>
    <row r="795" ht="16.5" customHeight="1">
      <c r="A795" s="1"/>
      <c r="B795" s="1"/>
      <c r="C795" s="1"/>
      <c r="D795" s="1"/>
      <c r="E795" s="1"/>
      <c r="F795" s="1"/>
      <c r="AV795" s="2"/>
      <c r="AW795" s="3"/>
    </row>
    <row r="796" ht="16.5" customHeight="1">
      <c r="A796" s="1"/>
      <c r="B796" s="1"/>
      <c r="C796" s="1"/>
      <c r="D796" s="1"/>
      <c r="E796" s="1"/>
      <c r="F796" s="1"/>
      <c r="AV796" s="2"/>
      <c r="AW796" s="3"/>
    </row>
    <row r="797" ht="16.5" customHeight="1">
      <c r="A797" s="1"/>
      <c r="B797" s="1"/>
      <c r="C797" s="1"/>
      <c r="D797" s="1"/>
      <c r="E797" s="1"/>
      <c r="F797" s="1"/>
      <c r="AV797" s="2"/>
      <c r="AW797" s="3"/>
    </row>
    <row r="798" ht="16.5" customHeight="1">
      <c r="A798" s="1"/>
      <c r="B798" s="1"/>
      <c r="C798" s="1"/>
      <c r="D798" s="1"/>
      <c r="E798" s="1"/>
      <c r="F798" s="1"/>
      <c r="AV798" s="2"/>
      <c r="AW798" s="3"/>
    </row>
    <row r="799" ht="16.5" customHeight="1">
      <c r="A799" s="1"/>
      <c r="B799" s="1"/>
      <c r="C799" s="1"/>
      <c r="D799" s="1"/>
      <c r="E799" s="1"/>
      <c r="F799" s="1"/>
      <c r="AV799" s="2"/>
      <c r="AW799" s="3"/>
    </row>
    <row r="800" ht="16.5" customHeight="1">
      <c r="A800" s="1"/>
      <c r="B800" s="1"/>
      <c r="C800" s="1"/>
      <c r="D800" s="1"/>
      <c r="E800" s="1"/>
      <c r="F800" s="1"/>
      <c r="AV800" s="2"/>
      <c r="AW800" s="3"/>
    </row>
    <row r="801" ht="16.5" customHeight="1">
      <c r="A801" s="1"/>
      <c r="B801" s="1"/>
      <c r="C801" s="1"/>
      <c r="D801" s="1"/>
      <c r="E801" s="1"/>
      <c r="F801" s="1"/>
      <c r="AV801" s="2"/>
      <c r="AW801" s="3"/>
    </row>
    <row r="802" ht="16.5" customHeight="1">
      <c r="A802" s="1"/>
      <c r="B802" s="1"/>
      <c r="C802" s="1"/>
      <c r="D802" s="1"/>
      <c r="E802" s="1"/>
      <c r="F802" s="1"/>
      <c r="AV802" s="2"/>
      <c r="AW802" s="3"/>
    </row>
    <row r="803" ht="16.5" customHeight="1">
      <c r="A803" s="1"/>
      <c r="B803" s="1"/>
      <c r="C803" s="1"/>
      <c r="D803" s="1"/>
      <c r="E803" s="1"/>
      <c r="F803" s="1"/>
      <c r="AV803" s="2"/>
      <c r="AW803" s="3"/>
    </row>
    <row r="804" ht="16.5" customHeight="1">
      <c r="A804" s="1"/>
      <c r="B804" s="1"/>
      <c r="C804" s="1"/>
      <c r="D804" s="1"/>
      <c r="E804" s="1"/>
      <c r="F804" s="1"/>
      <c r="AV804" s="2"/>
      <c r="AW804" s="3"/>
    </row>
    <row r="805" ht="16.5" customHeight="1">
      <c r="A805" s="1"/>
      <c r="B805" s="1"/>
      <c r="C805" s="1"/>
      <c r="D805" s="1"/>
      <c r="E805" s="1"/>
      <c r="F805" s="1"/>
      <c r="AV805" s="2"/>
      <c r="AW805" s="3"/>
    </row>
    <row r="806" ht="16.5" customHeight="1">
      <c r="A806" s="1"/>
      <c r="B806" s="1"/>
      <c r="C806" s="1"/>
      <c r="D806" s="1"/>
      <c r="E806" s="1"/>
      <c r="F806" s="1"/>
      <c r="AV806" s="2"/>
      <c r="AW806" s="3"/>
    </row>
    <row r="807" ht="16.5" customHeight="1">
      <c r="A807" s="1"/>
      <c r="B807" s="1"/>
      <c r="C807" s="1"/>
      <c r="D807" s="1"/>
      <c r="E807" s="1"/>
      <c r="F807" s="1"/>
      <c r="AV807" s="2"/>
      <c r="AW807" s="3"/>
    </row>
    <row r="808" ht="16.5" customHeight="1">
      <c r="A808" s="1"/>
      <c r="B808" s="1"/>
      <c r="C808" s="1"/>
      <c r="D808" s="1"/>
      <c r="E808" s="1"/>
      <c r="F808" s="1"/>
      <c r="AV808" s="2"/>
      <c r="AW808" s="3"/>
    </row>
    <row r="809" ht="16.5" customHeight="1">
      <c r="A809" s="1"/>
      <c r="B809" s="1"/>
      <c r="C809" s="1"/>
      <c r="D809" s="1"/>
      <c r="E809" s="1"/>
      <c r="F809" s="1"/>
      <c r="AV809" s="2"/>
      <c r="AW809" s="3"/>
    </row>
    <row r="810" ht="16.5" customHeight="1">
      <c r="A810" s="1"/>
      <c r="B810" s="1"/>
      <c r="C810" s="1"/>
      <c r="D810" s="1"/>
      <c r="E810" s="1"/>
      <c r="F810" s="1"/>
      <c r="AV810" s="2"/>
      <c r="AW810" s="3"/>
    </row>
    <row r="811" ht="16.5" customHeight="1">
      <c r="A811" s="1"/>
      <c r="B811" s="1"/>
      <c r="C811" s="1"/>
      <c r="D811" s="1"/>
      <c r="E811" s="1"/>
      <c r="F811" s="1"/>
      <c r="AV811" s="2"/>
      <c r="AW811" s="3"/>
    </row>
    <row r="812" ht="16.5" customHeight="1">
      <c r="A812" s="1"/>
      <c r="B812" s="1"/>
      <c r="C812" s="1"/>
      <c r="D812" s="1"/>
      <c r="E812" s="1"/>
      <c r="F812" s="1"/>
      <c r="AV812" s="2"/>
      <c r="AW812" s="3"/>
    </row>
    <row r="813" ht="16.5" customHeight="1">
      <c r="A813" s="1"/>
      <c r="B813" s="1"/>
      <c r="C813" s="1"/>
      <c r="D813" s="1"/>
      <c r="E813" s="1"/>
      <c r="F813" s="1"/>
      <c r="AV813" s="2"/>
      <c r="AW813" s="3"/>
    </row>
    <row r="814" ht="16.5" customHeight="1">
      <c r="A814" s="1"/>
      <c r="B814" s="1"/>
      <c r="C814" s="1"/>
      <c r="D814" s="1"/>
      <c r="E814" s="1"/>
      <c r="F814" s="1"/>
      <c r="AV814" s="2"/>
      <c r="AW814" s="3"/>
    </row>
    <row r="815" ht="16.5" customHeight="1">
      <c r="A815" s="1"/>
      <c r="B815" s="1"/>
      <c r="C815" s="1"/>
      <c r="D815" s="1"/>
      <c r="E815" s="1"/>
      <c r="F815" s="1"/>
      <c r="AV815" s="2"/>
      <c r="AW815" s="3"/>
    </row>
    <row r="816" ht="16.5" customHeight="1">
      <c r="A816" s="1"/>
      <c r="B816" s="1"/>
      <c r="C816" s="1"/>
      <c r="D816" s="1"/>
      <c r="E816" s="1"/>
      <c r="F816" s="1"/>
      <c r="AV816" s="2"/>
      <c r="AW816" s="3"/>
    </row>
    <row r="817" ht="16.5" customHeight="1">
      <c r="A817" s="1"/>
      <c r="B817" s="1"/>
      <c r="C817" s="1"/>
      <c r="D817" s="1"/>
      <c r="E817" s="1"/>
      <c r="F817" s="1"/>
      <c r="AV817" s="2"/>
      <c r="AW817" s="3"/>
    </row>
    <row r="818" ht="16.5" customHeight="1">
      <c r="A818" s="1"/>
      <c r="B818" s="1"/>
      <c r="C818" s="1"/>
      <c r="D818" s="1"/>
      <c r="E818" s="1"/>
      <c r="F818" s="1"/>
      <c r="AV818" s="2"/>
      <c r="AW818" s="3"/>
    </row>
    <row r="819" ht="16.5" customHeight="1">
      <c r="A819" s="1"/>
      <c r="B819" s="1"/>
      <c r="C819" s="1"/>
      <c r="D819" s="1"/>
      <c r="E819" s="1"/>
      <c r="F819" s="1"/>
      <c r="AV819" s="2"/>
      <c r="AW819" s="3"/>
    </row>
    <row r="820" ht="16.5" customHeight="1">
      <c r="A820" s="1"/>
      <c r="B820" s="1"/>
      <c r="C820" s="1"/>
      <c r="D820" s="1"/>
      <c r="E820" s="1"/>
      <c r="F820" s="1"/>
      <c r="AV820" s="2"/>
      <c r="AW820" s="3"/>
    </row>
    <row r="821" ht="16.5" customHeight="1">
      <c r="A821" s="1"/>
      <c r="B821" s="1"/>
      <c r="C821" s="1"/>
      <c r="D821" s="1"/>
      <c r="E821" s="1"/>
      <c r="F821" s="1"/>
      <c r="AV821" s="2"/>
      <c r="AW821" s="3"/>
    </row>
    <row r="822" ht="16.5" customHeight="1">
      <c r="A822" s="1"/>
      <c r="B822" s="1"/>
      <c r="C822" s="1"/>
      <c r="D822" s="1"/>
      <c r="E822" s="1"/>
      <c r="F822" s="1"/>
      <c r="AV822" s="2"/>
      <c r="AW822" s="3"/>
    </row>
    <row r="823" ht="16.5" customHeight="1">
      <c r="A823" s="1"/>
      <c r="B823" s="1"/>
      <c r="C823" s="1"/>
      <c r="D823" s="1"/>
      <c r="E823" s="1"/>
      <c r="F823" s="1"/>
      <c r="AV823" s="2"/>
      <c r="AW823" s="3"/>
    </row>
    <row r="824" ht="16.5" customHeight="1">
      <c r="A824" s="1"/>
      <c r="B824" s="1"/>
      <c r="C824" s="1"/>
      <c r="D824" s="1"/>
      <c r="E824" s="1"/>
      <c r="F824" s="1"/>
      <c r="AV824" s="2"/>
      <c r="AW824" s="3"/>
    </row>
    <row r="825" ht="16.5" customHeight="1">
      <c r="A825" s="1"/>
      <c r="B825" s="1"/>
      <c r="C825" s="1"/>
      <c r="D825" s="1"/>
      <c r="E825" s="1"/>
      <c r="F825" s="1"/>
      <c r="AV825" s="2"/>
      <c r="AW825" s="3"/>
    </row>
    <row r="826" ht="16.5" customHeight="1">
      <c r="A826" s="1"/>
      <c r="B826" s="1"/>
      <c r="C826" s="1"/>
      <c r="D826" s="1"/>
      <c r="E826" s="1"/>
      <c r="F826" s="1"/>
      <c r="AV826" s="2"/>
      <c r="AW826" s="3"/>
    </row>
    <row r="827" ht="16.5" customHeight="1">
      <c r="A827" s="1"/>
      <c r="B827" s="1"/>
      <c r="C827" s="1"/>
      <c r="D827" s="1"/>
      <c r="E827" s="1"/>
      <c r="F827" s="1"/>
      <c r="AV827" s="2"/>
      <c r="AW827" s="3"/>
    </row>
    <row r="828" ht="16.5" customHeight="1">
      <c r="A828" s="1"/>
      <c r="B828" s="1"/>
      <c r="C828" s="1"/>
      <c r="D828" s="1"/>
      <c r="E828" s="1"/>
      <c r="F828" s="1"/>
      <c r="AV828" s="2"/>
      <c r="AW828" s="3"/>
    </row>
    <row r="829" ht="16.5" customHeight="1">
      <c r="A829" s="1"/>
      <c r="B829" s="1"/>
      <c r="C829" s="1"/>
      <c r="D829" s="1"/>
      <c r="E829" s="1"/>
      <c r="F829" s="1"/>
      <c r="AV829" s="2"/>
      <c r="AW829" s="3"/>
    </row>
    <row r="830" ht="16.5" customHeight="1">
      <c r="A830" s="1"/>
      <c r="B830" s="1"/>
      <c r="C830" s="1"/>
      <c r="D830" s="1"/>
      <c r="E830" s="1"/>
      <c r="F830" s="1"/>
      <c r="AV830" s="2"/>
      <c r="AW830" s="3"/>
    </row>
    <row r="831" ht="16.5" customHeight="1">
      <c r="A831" s="1"/>
      <c r="B831" s="1"/>
      <c r="C831" s="1"/>
      <c r="D831" s="1"/>
      <c r="E831" s="1"/>
      <c r="F831" s="1"/>
      <c r="AV831" s="2"/>
      <c r="AW831" s="3"/>
    </row>
    <row r="832" ht="16.5" customHeight="1">
      <c r="A832" s="1"/>
      <c r="B832" s="1"/>
      <c r="C832" s="1"/>
      <c r="D832" s="1"/>
      <c r="E832" s="1"/>
      <c r="F832" s="1"/>
      <c r="AV832" s="2"/>
      <c r="AW832" s="3"/>
    </row>
    <row r="833" ht="16.5" customHeight="1">
      <c r="A833" s="1"/>
      <c r="B833" s="1"/>
      <c r="C833" s="1"/>
      <c r="D833" s="1"/>
      <c r="E833" s="1"/>
      <c r="F833" s="1"/>
      <c r="AV833" s="2"/>
      <c r="AW833" s="3"/>
    </row>
    <row r="834" ht="16.5" customHeight="1">
      <c r="A834" s="1"/>
      <c r="B834" s="1"/>
      <c r="C834" s="1"/>
      <c r="D834" s="1"/>
      <c r="E834" s="1"/>
      <c r="F834" s="1"/>
      <c r="AV834" s="2"/>
      <c r="AW834" s="3"/>
    </row>
    <row r="835" ht="16.5" customHeight="1">
      <c r="A835" s="1"/>
      <c r="B835" s="1"/>
      <c r="C835" s="1"/>
      <c r="D835" s="1"/>
      <c r="E835" s="1"/>
      <c r="F835" s="1"/>
      <c r="AV835" s="2"/>
      <c r="AW835" s="3"/>
    </row>
    <row r="836" ht="16.5" customHeight="1">
      <c r="A836" s="1"/>
      <c r="B836" s="1"/>
      <c r="C836" s="1"/>
      <c r="D836" s="1"/>
      <c r="E836" s="1"/>
      <c r="F836" s="1"/>
      <c r="AV836" s="2"/>
      <c r="AW836" s="3"/>
    </row>
    <row r="837" ht="16.5" customHeight="1">
      <c r="A837" s="1"/>
      <c r="B837" s="1"/>
      <c r="C837" s="1"/>
      <c r="D837" s="1"/>
      <c r="E837" s="1"/>
      <c r="F837" s="1"/>
      <c r="AV837" s="2"/>
      <c r="AW837" s="3"/>
    </row>
    <row r="838" ht="16.5" customHeight="1">
      <c r="A838" s="1"/>
      <c r="B838" s="1"/>
      <c r="C838" s="1"/>
      <c r="D838" s="1"/>
      <c r="E838" s="1"/>
      <c r="F838" s="1"/>
      <c r="AV838" s="2"/>
      <c r="AW838" s="3"/>
    </row>
    <row r="839" ht="16.5" customHeight="1">
      <c r="A839" s="1"/>
      <c r="B839" s="1"/>
      <c r="C839" s="1"/>
      <c r="D839" s="1"/>
      <c r="E839" s="1"/>
      <c r="F839" s="1"/>
      <c r="AV839" s="2"/>
      <c r="AW839" s="3"/>
    </row>
    <row r="840" ht="16.5" customHeight="1">
      <c r="A840" s="1"/>
      <c r="B840" s="1"/>
      <c r="C840" s="1"/>
      <c r="D840" s="1"/>
      <c r="E840" s="1"/>
      <c r="F840" s="1"/>
      <c r="AV840" s="2"/>
      <c r="AW840" s="3"/>
    </row>
    <row r="841" ht="16.5" customHeight="1">
      <c r="A841" s="1"/>
      <c r="B841" s="1"/>
      <c r="C841" s="1"/>
      <c r="D841" s="1"/>
      <c r="E841" s="1"/>
      <c r="F841" s="1"/>
      <c r="AV841" s="2"/>
      <c r="AW841" s="3"/>
    </row>
    <row r="842" ht="16.5" customHeight="1">
      <c r="A842" s="1"/>
      <c r="B842" s="1"/>
      <c r="C842" s="1"/>
      <c r="D842" s="1"/>
      <c r="E842" s="1"/>
      <c r="F842" s="1"/>
      <c r="AV842" s="2"/>
      <c r="AW842" s="3"/>
    </row>
    <row r="843" ht="16.5" customHeight="1">
      <c r="A843" s="1"/>
      <c r="B843" s="1"/>
      <c r="C843" s="1"/>
      <c r="D843" s="1"/>
      <c r="E843" s="1"/>
      <c r="F843" s="1"/>
      <c r="AV843" s="2"/>
      <c r="AW843" s="3"/>
    </row>
    <row r="844" ht="16.5" customHeight="1">
      <c r="A844" s="1"/>
      <c r="B844" s="1"/>
      <c r="C844" s="1"/>
      <c r="D844" s="1"/>
      <c r="E844" s="1"/>
      <c r="F844" s="1"/>
      <c r="AV844" s="2"/>
      <c r="AW844" s="3"/>
    </row>
    <row r="845" ht="16.5" customHeight="1">
      <c r="A845" s="1"/>
      <c r="B845" s="1"/>
      <c r="C845" s="1"/>
      <c r="D845" s="1"/>
      <c r="E845" s="1"/>
      <c r="F845" s="1"/>
      <c r="AV845" s="2"/>
      <c r="AW845" s="3"/>
    </row>
    <row r="846" ht="16.5" customHeight="1">
      <c r="A846" s="1"/>
      <c r="B846" s="1"/>
      <c r="C846" s="1"/>
      <c r="D846" s="1"/>
      <c r="E846" s="1"/>
      <c r="F846" s="1"/>
      <c r="AV846" s="2"/>
      <c r="AW846" s="3"/>
    </row>
    <row r="847" ht="16.5" customHeight="1">
      <c r="A847" s="1"/>
      <c r="B847" s="1"/>
      <c r="C847" s="1"/>
      <c r="D847" s="1"/>
      <c r="E847" s="1"/>
      <c r="F847" s="1"/>
      <c r="AV847" s="2"/>
      <c r="AW847" s="3"/>
    </row>
    <row r="848" ht="16.5" customHeight="1">
      <c r="A848" s="1"/>
      <c r="B848" s="1"/>
      <c r="C848" s="1"/>
      <c r="D848" s="1"/>
      <c r="E848" s="1"/>
      <c r="F848" s="1"/>
      <c r="AV848" s="2"/>
      <c r="AW848" s="3"/>
    </row>
    <row r="849" ht="16.5" customHeight="1">
      <c r="A849" s="1"/>
      <c r="B849" s="1"/>
      <c r="C849" s="1"/>
      <c r="D849" s="1"/>
      <c r="E849" s="1"/>
      <c r="F849" s="1"/>
      <c r="AV849" s="2"/>
      <c r="AW849" s="3"/>
    </row>
    <row r="850" ht="16.5" customHeight="1">
      <c r="A850" s="1"/>
      <c r="B850" s="1"/>
      <c r="C850" s="1"/>
      <c r="D850" s="1"/>
      <c r="E850" s="1"/>
      <c r="F850" s="1"/>
      <c r="AV850" s="2"/>
      <c r="AW850" s="3"/>
    </row>
    <row r="851" ht="16.5" customHeight="1">
      <c r="A851" s="1"/>
      <c r="B851" s="1"/>
      <c r="C851" s="1"/>
      <c r="D851" s="1"/>
      <c r="E851" s="1"/>
      <c r="F851" s="1"/>
      <c r="AV851" s="2"/>
      <c r="AW851" s="3"/>
    </row>
    <row r="852" ht="16.5" customHeight="1">
      <c r="A852" s="1"/>
      <c r="B852" s="1"/>
      <c r="C852" s="1"/>
      <c r="D852" s="1"/>
      <c r="E852" s="1"/>
      <c r="F852" s="1"/>
      <c r="AV852" s="2"/>
      <c r="AW852" s="3"/>
    </row>
    <row r="853" ht="16.5" customHeight="1">
      <c r="A853" s="1"/>
      <c r="B853" s="1"/>
      <c r="C853" s="1"/>
      <c r="D853" s="1"/>
      <c r="E853" s="1"/>
      <c r="F853" s="1"/>
      <c r="AV853" s="2"/>
      <c r="AW853" s="3"/>
    </row>
    <row r="854" ht="16.5" customHeight="1">
      <c r="A854" s="1"/>
      <c r="B854" s="1"/>
      <c r="C854" s="1"/>
      <c r="D854" s="1"/>
      <c r="E854" s="1"/>
      <c r="F854" s="1"/>
      <c r="AV854" s="2"/>
      <c r="AW854" s="3"/>
    </row>
    <row r="855" ht="16.5" customHeight="1">
      <c r="A855" s="1"/>
      <c r="B855" s="1"/>
      <c r="C855" s="1"/>
      <c r="D855" s="1"/>
      <c r="E855" s="1"/>
      <c r="F855" s="1"/>
      <c r="AV855" s="2"/>
      <c r="AW855" s="3"/>
    </row>
    <row r="856" ht="16.5" customHeight="1">
      <c r="A856" s="1"/>
      <c r="B856" s="1"/>
      <c r="C856" s="1"/>
      <c r="D856" s="1"/>
      <c r="E856" s="1"/>
      <c r="F856" s="1"/>
      <c r="AV856" s="2"/>
      <c r="AW856" s="3"/>
    </row>
    <row r="857" ht="16.5" customHeight="1">
      <c r="A857" s="1"/>
      <c r="B857" s="1"/>
      <c r="C857" s="1"/>
      <c r="D857" s="1"/>
      <c r="E857" s="1"/>
      <c r="F857" s="1"/>
      <c r="AV857" s="2"/>
      <c r="AW857" s="3"/>
    </row>
    <row r="858" ht="16.5" customHeight="1">
      <c r="A858" s="1"/>
      <c r="B858" s="1"/>
      <c r="C858" s="1"/>
      <c r="D858" s="1"/>
      <c r="E858" s="1"/>
      <c r="F858" s="1"/>
      <c r="AV858" s="2"/>
      <c r="AW858" s="3"/>
    </row>
    <row r="859" ht="16.5" customHeight="1">
      <c r="A859" s="1"/>
      <c r="B859" s="1"/>
      <c r="C859" s="1"/>
      <c r="D859" s="1"/>
      <c r="E859" s="1"/>
      <c r="F859" s="1"/>
      <c r="AV859" s="2"/>
      <c r="AW859" s="3"/>
    </row>
    <row r="860" ht="16.5" customHeight="1">
      <c r="A860" s="1"/>
      <c r="B860" s="1"/>
      <c r="C860" s="1"/>
      <c r="D860" s="1"/>
      <c r="E860" s="1"/>
      <c r="F860" s="1"/>
      <c r="AV860" s="2"/>
      <c r="AW860" s="3"/>
    </row>
    <row r="861" ht="16.5" customHeight="1">
      <c r="A861" s="1"/>
      <c r="B861" s="1"/>
      <c r="C861" s="1"/>
      <c r="D861" s="1"/>
      <c r="E861" s="1"/>
      <c r="F861" s="1"/>
      <c r="AV861" s="2"/>
      <c r="AW861" s="3"/>
    </row>
    <row r="862" ht="16.5" customHeight="1">
      <c r="A862" s="1"/>
      <c r="B862" s="1"/>
      <c r="C862" s="1"/>
      <c r="D862" s="1"/>
      <c r="E862" s="1"/>
      <c r="F862" s="1"/>
      <c r="AV862" s="2"/>
      <c r="AW862" s="3"/>
    </row>
    <row r="863" ht="16.5" customHeight="1">
      <c r="A863" s="1"/>
      <c r="B863" s="1"/>
      <c r="C863" s="1"/>
      <c r="D863" s="1"/>
      <c r="E863" s="1"/>
      <c r="F863" s="1"/>
      <c r="AV863" s="2"/>
      <c r="AW863" s="3"/>
    </row>
    <row r="864" ht="16.5" customHeight="1">
      <c r="A864" s="1"/>
      <c r="B864" s="1"/>
      <c r="C864" s="1"/>
      <c r="D864" s="1"/>
      <c r="E864" s="1"/>
      <c r="F864" s="1"/>
      <c r="AV864" s="2"/>
      <c r="AW864" s="3"/>
    </row>
    <row r="865" ht="16.5" customHeight="1">
      <c r="A865" s="1"/>
      <c r="B865" s="1"/>
      <c r="C865" s="1"/>
      <c r="D865" s="1"/>
      <c r="E865" s="1"/>
      <c r="F865" s="1"/>
      <c r="AV865" s="2"/>
      <c r="AW865" s="3"/>
    </row>
    <row r="866" ht="16.5" customHeight="1">
      <c r="A866" s="1"/>
      <c r="B866" s="1"/>
      <c r="C866" s="1"/>
      <c r="D866" s="1"/>
      <c r="E866" s="1"/>
      <c r="F866" s="1"/>
      <c r="AV866" s="2"/>
      <c r="AW866" s="3"/>
    </row>
    <row r="867" ht="16.5" customHeight="1">
      <c r="A867" s="1"/>
      <c r="B867" s="1"/>
      <c r="C867" s="1"/>
      <c r="D867" s="1"/>
      <c r="E867" s="1"/>
      <c r="F867" s="1"/>
      <c r="AV867" s="2"/>
      <c r="AW867" s="3"/>
    </row>
    <row r="868" ht="16.5" customHeight="1">
      <c r="A868" s="1"/>
      <c r="B868" s="1"/>
      <c r="C868" s="1"/>
      <c r="D868" s="1"/>
      <c r="E868" s="1"/>
      <c r="F868" s="1"/>
      <c r="AV868" s="2"/>
      <c r="AW868" s="3"/>
    </row>
    <row r="869" ht="16.5" customHeight="1">
      <c r="A869" s="1"/>
      <c r="B869" s="1"/>
      <c r="C869" s="1"/>
      <c r="D869" s="1"/>
      <c r="E869" s="1"/>
      <c r="F869" s="1"/>
      <c r="AV869" s="2"/>
      <c r="AW869" s="3"/>
    </row>
    <row r="870" ht="16.5" customHeight="1">
      <c r="A870" s="1"/>
      <c r="B870" s="1"/>
      <c r="C870" s="1"/>
      <c r="D870" s="1"/>
      <c r="E870" s="1"/>
      <c r="F870" s="1"/>
      <c r="AV870" s="2"/>
      <c r="AW870" s="3"/>
    </row>
    <row r="871" ht="16.5" customHeight="1">
      <c r="A871" s="1"/>
      <c r="B871" s="1"/>
      <c r="C871" s="1"/>
      <c r="D871" s="1"/>
      <c r="E871" s="1"/>
      <c r="F871" s="1"/>
      <c r="AV871" s="2"/>
      <c r="AW871" s="3"/>
    </row>
    <row r="872" ht="16.5" customHeight="1">
      <c r="A872" s="1"/>
      <c r="B872" s="1"/>
      <c r="C872" s="1"/>
      <c r="D872" s="1"/>
      <c r="E872" s="1"/>
      <c r="F872" s="1"/>
      <c r="AV872" s="2"/>
      <c r="AW872" s="3"/>
    </row>
    <row r="873" ht="16.5" customHeight="1">
      <c r="A873" s="1"/>
      <c r="B873" s="1"/>
      <c r="C873" s="1"/>
      <c r="D873" s="1"/>
      <c r="E873" s="1"/>
      <c r="F873" s="1"/>
      <c r="AV873" s="2"/>
      <c r="AW873" s="3"/>
    </row>
    <row r="874" ht="16.5" customHeight="1">
      <c r="A874" s="1"/>
      <c r="B874" s="1"/>
      <c r="C874" s="1"/>
      <c r="D874" s="1"/>
      <c r="E874" s="1"/>
      <c r="F874" s="1"/>
      <c r="AV874" s="2"/>
      <c r="AW874" s="3"/>
    </row>
    <row r="875" ht="16.5" customHeight="1">
      <c r="A875" s="1"/>
      <c r="B875" s="1"/>
      <c r="C875" s="1"/>
      <c r="D875" s="1"/>
      <c r="E875" s="1"/>
      <c r="F875" s="1"/>
      <c r="AV875" s="2"/>
      <c r="AW875" s="3"/>
    </row>
    <row r="876" ht="16.5" customHeight="1">
      <c r="A876" s="1"/>
      <c r="B876" s="1"/>
      <c r="C876" s="1"/>
      <c r="D876" s="1"/>
      <c r="E876" s="1"/>
      <c r="F876" s="1"/>
      <c r="AV876" s="2"/>
      <c r="AW876" s="3"/>
    </row>
    <row r="877" ht="16.5" customHeight="1">
      <c r="A877" s="1"/>
      <c r="B877" s="1"/>
      <c r="C877" s="1"/>
      <c r="D877" s="1"/>
      <c r="E877" s="1"/>
      <c r="F877" s="1"/>
      <c r="AV877" s="2"/>
      <c r="AW877" s="3"/>
    </row>
    <row r="878" ht="16.5" customHeight="1">
      <c r="A878" s="1"/>
      <c r="B878" s="1"/>
      <c r="C878" s="1"/>
      <c r="D878" s="1"/>
      <c r="E878" s="1"/>
      <c r="F878" s="1"/>
      <c r="AV878" s="2"/>
      <c r="AW878" s="3"/>
    </row>
    <row r="879" ht="16.5" customHeight="1">
      <c r="A879" s="1"/>
      <c r="B879" s="1"/>
      <c r="C879" s="1"/>
      <c r="D879" s="1"/>
      <c r="E879" s="1"/>
      <c r="F879" s="1"/>
      <c r="AV879" s="2"/>
      <c r="AW879" s="3"/>
    </row>
    <row r="880" ht="16.5" customHeight="1">
      <c r="A880" s="1"/>
      <c r="B880" s="1"/>
      <c r="C880" s="1"/>
      <c r="D880" s="1"/>
      <c r="E880" s="1"/>
      <c r="F880" s="1"/>
      <c r="AV880" s="2"/>
      <c r="AW880" s="3"/>
    </row>
    <row r="881" ht="16.5" customHeight="1">
      <c r="A881" s="1"/>
      <c r="B881" s="1"/>
      <c r="C881" s="1"/>
      <c r="D881" s="1"/>
      <c r="E881" s="1"/>
      <c r="F881" s="1"/>
      <c r="AV881" s="2"/>
      <c r="AW881" s="3"/>
    </row>
    <row r="882" ht="16.5" customHeight="1">
      <c r="A882" s="1"/>
      <c r="B882" s="1"/>
      <c r="C882" s="1"/>
      <c r="D882" s="1"/>
      <c r="E882" s="1"/>
      <c r="F882" s="1"/>
      <c r="AV882" s="2"/>
      <c r="AW882" s="3"/>
    </row>
    <row r="883" ht="16.5" customHeight="1">
      <c r="A883" s="1"/>
      <c r="B883" s="1"/>
      <c r="C883" s="1"/>
      <c r="D883" s="1"/>
      <c r="E883" s="1"/>
      <c r="F883" s="1"/>
      <c r="AV883" s="2"/>
      <c r="AW883" s="3"/>
    </row>
    <row r="884" ht="16.5" customHeight="1">
      <c r="A884" s="1"/>
      <c r="B884" s="1"/>
      <c r="C884" s="1"/>
      <c r="D884" s="1"/>
      <c r="E884" s="1"/>
      <c r="F884" s="1"/>
      <c r="AV884" s="2"/>
      <c r="AW884" s="3"/>
    </row>
    <row r="885" ht="16.5" customHeight="1">
      <c r="A885" s="1"/>
      <c r="B885" s="1"/>
      <c r="C885" s="1"/>
      <c r="D885" s="1"/>
      <c r="E885" s="1"/>
      <c r="F885" s="1"/>
      <c r="AV885" s="2"/>
      <c r="AW885" s="3"/>
    </row>
    <row r="886" ht="16.5" customHeight="1">
      <c r="A886" s="1"/>
      <c r="B886" s="1"/>
      <c r="C886" s="1"/>
      <c r="D886" s="1"/>
      <c r="E886" s="1"/>
      <c r="F886" s="1"/>
      <c r="AV886" s="2"/>
      <c r="AW886" s="3"/>
    </row>
    <row r="887" ht="16.5" customHeight="1">
      <c r="A887" s="1"/>
      <c r="B887" s="1"/>
      <c r="C887" s="1"/>
      <c r="D887" s="1"/>
      <c r="E887" s="1"/>
      <c r="F887" s="1"/>
      <c r="AV887" s="2"/>
      <c r="AW887" s="3"/>
    </row>
    <row r="888" ht="16.5" customHeight="1">
      <c r="A888" s="1"/>
      <c r="B888" s="1"/>
      <c r="C888" s="1"/>
      <c r="D888" s="1"/>
      <c r="E888" s="1"/>
      <c r="F888" s="1"/>
      <c r="AV888" s="2"/>
      <c r="AW888" s="3"/>
    </row>
    <row r="889" ht="16.5" customHeight="1">
      <c r="A889" s="1"/>
      <c r="B889" s="1"/>
      <c r="C889" s="1"/>
      <c r="D889" s="1"/>
      <c r="E889" s="1"/>
      <c r="F889" s="1"/>
      <c r="AV889" s="2"/>
      <c r="AW889" s="3"/>
    </row>
    <row r="890" ht="16.5" customHeight="1">
      <c r="A890" s="1"/>
      <c r="B890" s="1"/>
      <c r="C890" s="1"/>
      <c r="D890" s="1"/>
      <c r="E890" s="1"/>
      <c r="F890" s="1"/>
      <c r="AV890" s="2"/>
      <c r="AW890" s="3"/>
    </row>
    <row r="891" ht="16.5" customHeight="1">
      <c r="A891" s="1"/>
      <c r="B891" s="1"/>
      <c r="C891" s="1"/>
      <c r="D891" s="1"/>
      <c r="E891" s="1"/>
      <c r="F891" s="1"/>
      <c r="AV891" s="2"/>
      <c r="AW891" s="3"/>
    </row>
    <row r="892" ht="16.5" customHeight="1">
      <c r="A892" s="1"/>
      <c r="B892" s="1"/>
      <c r="C892" s="1"/>
      <c r="D892" s="1"/>
      <c r="E892" s="1"/>
      <c r="F892" s="1"/>
      <c r="AV892" s="2"/>
      <c r="AW892" s="3"/>
    </row>
    <row r="893" ht="16.5" customHeight="1">
      <c r="A893" s="1"/>
      <c r="B893" s="1"/>
      <c r="C893" s="1"/>
      <c r="D893" s="1"/>
      <c r="E893" s="1"/>
      <c r="F893" s="1"/>
      <c r="AV893" s="2"/>
      <c r="AW893" s="3"/>
    </row>
    <row r="894" ht="16.5" customHeight="1">
      <c r="A894" s="1"/>
      <c r="B894" s="1"/>
      <c r="C894" s="1"/>
      <c r="D894" s="1"/>
      <c r="E894" s="1"/>
      <c r="F894" s="1"/>
      <c r="AV894" s="2"/>
      <c r="AW894" s="3"/>
    </row>
    <row r="895" ht="16.5" customHeight="1">
      <c r="A895" s="1"/>
      <c r="B895" s="1"/>
      <c r="C895" s="1"/>
      <c r="D895" s="1"/>
      <c r="E895" s="1"/>
      <c r="F895" s="1"/>
      <c r="AV895" s="2"/>
      <c r="AW895" s="3"/>
    </row>
    <row r="896" ht="16.5" customHeight="1">
      <c r="A896" s="1"/>
      <c r="B896" s="1"/>
      <c r="C896" s="1"/>
      <c r="D896" s="1"/>
      <c r="E896" s="1"/>
      <c r="F896" s="1"/>
      <c r="AV896" s="2"/>
      <c r="AW896" s="3"/>
    </row>
    <row r="897" ht="16.5" customHeight="1">
      <c r="A897" s="1"/>
      <c r="B897" s="1"/>
      <c r="C897" s="1"/>
      <c r="D897" s="1"/>
      <c r="E897" s="1"/>
      <c r="F897" s="1"/>
      <c r="AV897" s="2"/>
      <c r="AW897" s="3"/>
    </row>
    <row r="898" ht="16.5" customHeight="1">
      <c r="A898" s="1"/>
      <c r="B898" s="1"/>
      <c r="C898" s="1"/>
      <c r="D898" s="1"/>
      <c r="E898" s="1"/>
      <c r="F898" s="1"/>
      <c r="AV898" s="2"/>
      <c r="AW898" s="3"/>
    </row>
    <row r="899" ht="16.5" customHeight="1">
      <c r="A899" s="1"/>
      <c r="B899" s="1"/>
      <c r="C899" s="1"/>
      <c r="D899" s="1"/>
      <c r="E899" s="1"/>
      <c r="F899" s="1"/>
      <c r="AV899" s="2"/>
      <c r="AW899" s="3"/>
    </row>
    <row r="900" ht="16.5" customHeight="1">
      <c r="A900" s="1"/>
      <c r="B900" s="1"/>
      <c r="C900" s="1"/>
      <c r="D900" s="1"/>
      <c r="E900" s="1"/>
      <c r="F900" s="1"/>
      <c r="AV900" s="2"/>
      <c r="AW900" s="3"/>
    </row>
    <row r="901" ht="16.5" customHeight="1">
      <c r="A901" s="1"/>
      <c r="B901" s="1"/>
      <c r="C901" s="1"/>
      <c r="D901" s="1"/>
      <c r="E901" s="1"/>
      <c r="F901" s="1"/>
      <c r="AV901" s="2"/>
      <c r="AW901" s="3"/>
    </row>
    <row r="902" ht="16.5" customHeight="1">
      <c r="A902" s="1"/>
      <c r="B902" s="1"/>
      <c r="C902" s="1"/>
      <c r="D902" s="1"/>
      <c r="E902" s="1"/>
      <c r="F902" s="1"/>
      <c r="AV902" s="2"/>
      <c r="AW902" s="3"/>
    </row>
    <row r="903" ht="16.5" customHeight="1">
      <c r="A903" s="1"/>
      <c r="B903" s="1"/>
      <c r="C903" s="1"/>
      <c r="D903" s="1"/>
      <c r="E903" s="1"/>
      <c r="F903" s="1"/>
      <c r="AV903" s="2"/>
      <c r="AW903" s="3"/>
    </row>
    <row r="904" ht="16.5" customHeight="1">
      <c r="A904" s="1"/>
      <c r="B904" s="1"/>
      <c r="C904" s="1"/>
      <c r="D904" s="1"/>
      <c r="E904" s="1"/>
      <c r="F904" s="1"/>
      <c r="AV904" s="2"/>
      <c r="AW904" s="3"/>
    </row>
    <row r="905" ht="16.5" customHeight="1">
      <c r="A905" s="1"/>
      <c r="B905" s="1"/>
      <c r="C905" s="1"/>
      <c r="D905" s="1"/>
      <c r="E905" s="1"/>
      <c r="F905" s="1"/>
      <c r="AV905" s="2"/>
      <c r="AW905" s="3"/>
    </row>
    <row r="906" ht="16.5" customHeight="1">
      <c r="A906" s="1"/>
      <c r="B906" s="1"/>
      <c r="C906" s="1"/>
      <c r="D906" s="1"/>
      <c r="E906" s="1"/>
      <c r="F906" s="1"/>
      <c r="AV906" s="2"/>
      <c r="AW906" s="3"/>
    </row>
    <row r="907" ht="16.5" customHeight="1">
      <c r="A907" s="1"/>
      <c r="B907" s="1"/>
      <c r="C907" s="1"/>
      <c r="D907" s="1"/>
      <c r="E907" s="1"/>
      <c r="F907" s="1"/>
      <c r="AV907" s="2"/>
      <c r="AW907" s="3"/>
    </row>
    <row r="908" ht="16.5" customHeight="1">
      <c r="A908" s="1"/>
      <c r="B908" s="1"/>
      <c r="C908" s="1"/>
      <c r="D908" s="1"/>
      <c r="E908" s="1"/>
      <c r="F908" s="1"/>
      <c r="AV908" s="2"/>
      <c r="AW908" s="3"/>
    </row>
    <row r="909" ht="16.5" customHeight="1">
      <c r="A909" s="1"/>
      <c r="B909" s="1"/>
      <c r="C909" s="1"/>
      <c r="D909" s="1"/>
      <c r="E909" s="1"/>
      <c r="F909" s="1"/>
      <c r="AV909" s="2"/>
      <c r="AW909" s="3"/>
    </row>
    <row r="910" ht="16.5" customHeight="1">
      <c r="A910" s="1"/>
      <c r="B910" s="1"/>
      <c r="C910" s="1"/>
      <c r="D910" s="1"/>
      <c r="E910" s="1"/>
      <c r="F910" s="1"/>
      <c r="AV910" s="2"/>
      <c r="AW910" s="3"/>
    </row>
    <row r="911" ht="16.5" customHeight="1">
      <c r="A911" s="1"/>
      <c r="B911" s="1"/>
      <c r="C911" s="1"/>
      <c r="D911" s="1"/>
      <c r="E911" s="1"/>
      <c r="F911" s="1"/>
      <c r="AV911" s="2"/>
      <c r="AW911" s="3"/>
    </row>
    <row r="912" ht="16.5" customHeight="1">
      <c r="A912" s="1"/>
      <c r="B912" s="1"/>
      <c r="C912" s="1"/>
      <c r="D912" s="1"/>
      <c r="E912" s="1"/>
      <c r="F912" s="1"/>
      <c r="AV912" s="2"/>
      <c r="AW912" s="3"/>
    </row>
    <row r="913" ht="16.5" customHeight="1">
      <c r="A913" s="1"/>
      <c r="B913" s="1"/>
      <c r="C913" s="1"/>
      <c r="D913" s="1"/>
      <c r="E913" s="1"/>
      <c r="F913" s="1"/>
      <c r="AV913" s="2"/>
      <c r="AW913" s="3"/>
    </row>
    <row r="914" ht="16.5" customHeight="1">
      <c r="A914" s="1"/>
      <c r="B914" s="1"/>
      <c r="C914" s="1"/>
      <c r="D914" s="1"/>
      <c r="E914" s="1"/>
      <c r="F914" s="1"/>
      <c r="AV914" s="2"/>
      <c r="AW914" s="3"/>
    </row>
    <row r="915" ht="16.5" customHeight="1">
      <c r="A915" s="1"/>
      <c r="B915" s="1"/>
      <c r="C915" s="1"/>
      <c r="D915" s="1"/>
      <c r="E915" s="1"/>
      <c r="F915" s="1"/>
      <c r="AV915" s="2"/>
      <c r="AW915" s="3"/>
    </row>
    <row r="916" ht="16.5" customHeight="1">
      <c r="A916" s="1"/>
      <c r="B916" s="1"/>
      <c r="C916" s="1"/>
      <c r="D916" s="1"/>
      <c r="E916" s="1"/>
      <c r="F916" s="1"/>
      <c r="AV916" s="2"/>
      <c r="AW916" s="3"/>
    </row>
    <row r="917" ht="16.5" customHeight="1">
      <c r="A917" s="1"/>
      <c r="B917" s="1"/>
      <c r="C917" s="1"/>
      <c r="D917" s="1"/>
      <c r="E917" s="1"/>
      <c r="F917" s="1"/>
      <c r="AV917" s="2"/>
      <c r="AW917" s="3"/>
    </row>
    <row r="918" ht="16.5" customHeight="1">
      <c r="A918" s="1"/>
      <c r="B918" s="1"/>
      <c r="C918" s="1"/>
      <c r="D918" s="1"/>
      <c r="E918" s="1"/>
      <c r="F918" s="1"/>
      <c r="AV918" s="2"/>
      <c r="AW918" s="3"/>
    </row>
    <row r="919" ht="16.5" customHeight="1">
      <c r="A919" s="1"/>
      <c r="B919" s="1"/>
      <c r="C919" s="1"/>
      <c r="D919" s="1"/>
      <c r="E919" s="1"/>
      <c r="F919" s="1"/>
      <c r="AV919" s="2"/>
      <c r="AW919" s="3"/>
    </row>
    <row r="920" ht="16.5" customHeight="1">
      <c r="A920" s="1"/>
      <c r="B920" s="1"/>
      <c r="C920" s="1"/>
      <c r="D920" s="1"/>
      <c r="E920" s="1"/>
      <c r="F920" s="1"/>
      <c r="AV920" s="2"/>
      <c r="AW920" s="3"/>
    </row>
    <row r="921" ht="16.5" customHeight="1">
      <c r="A921" s="1"/>
      <c r="B921" s="1"/>
      <c r="C921" s="1"/>
      <c r="D921" s="1"/>
      <c r="E921" s="1"/>
      <c r="F921" s="1"/>
      <c r="AV921" s="2"/>
      <c r="AW921" s="3"/>
    </row>
    <row r="922" ht="16.5" customHeight="1">
      <c r="A922" s="1"/>
      <c r="B922" s="1"/>
      <c r="C922" s="1"/>
      <c r="D922" s="1"/>
      <c r="E922" s="1"/>
      <c r="F922" s="1"/>
      <c r="AV922" s="2"/>
      <c r="AW922" s="3"/>
    </row>
    <row r="923" ht="16.5" customHeight="1">
      <c r="A923" s="1"/>
      <c r="B923" s="1"/>
      <c r="C923" s="1"/>
      <c r="D923" s="1"/>
      <c r="E923" s="1"/>
      <c r="F923" s="1"/>
      <c r="AV923" s="2"/>
      <c r="AW923" s="3"/>
    </row>
    <row r="924" ht="16.5" customHeight="1">
      <c r="A924" s="1"/>
      <c r="B924" s="1"/>
      <c r="C924" s="1"/>
      <c r="D924" s="1"/>
      <c r="E924" s="1"/>
      <c r="F924" s="1"/>
      <c r="AV924" s="2"/>
      <c r="AW924" s="3"/>
    </row>
    <row r="925" ht="16.5" customHeight="1">
      <c r="A925" s="1"/>
      <c r="B925" s="1"/>
      <c r="C925" s="1"/>
      <c r="D925" s="1"/>
      <c r="E925" s="1"/>
      <c r="F925" s="1"/>
      <c r="AV925" s="2"/>
      <c r="AW925" s="3"/>
    </row>
    <row r="926" ht="16.5" customHeight="1">
      <c r="A926" s="1"/>
      <c r="B926" s="1"/>
      <c r="C926" s="1"/>
      <c r="D926" s="1"/>
      <c r="E926" s="1"/>
      <c r="F926" s="1"/>
      <c r="AV926" s="2"/>
      <c r="AW926" s="3"/>
    </row>
    <row r="927" ht="16.5" customHeight="1">
      <c r="A927" s="1"/>
      <c r="B927" s="1"/>
      <c r="C927" s="1"/>
      <c r="D927" s="1"/>
      <c r="E927" s="1"/>
      <c r="F927" s="1"/>
      <c r="AV927" s="2"/>
      <c r="AW927" s="3"/>
    </row>
    <row r="928" ht="16.5" customHeight="1">
      <c r="A928" s="1"/>
      <c r="B928" s="1"/>
      <c r="C928" s="1"/>
      <c r="D928" s="1"/>
      <c r="E928" s="1"/>
      <c r="F928" s="1"/>
      <c r="AV928" s="2"/>
      <c r="AW928" s="3"/>
    </row>
    <row r="929" ht="16.5" customHeight="1">
      <c r="A929" s="1"/>
      <c r="B929" s="1"/>
      <c r="C929" s="1"/>
      <c r="D929" s="1"/>
      <c r="E929" s="1"/>
      <c r="F929" s="1"/>
      <c r="AV929" s="2"/>
      <c r="AW929" s="3"/>
    </row>
    <row r="930" ht="16.5" customHeight="1">
      <c r="A930" s="1"/>
      <c r="B930" s="1"/>
      <c r="C930" s="1"/>
      <c r="D930" s="1"/>
      <c r="E930" s="1"/>
      <c r="F930" s="1"/>
      <c r="AV930" s="2"/>
      <c r="AW930" s="3"/>
    </row>
    <row r="931" ht="16.5" customHeight="1">
      <c r="A931" s="1"/>
      <c r="B931" s="1"/>
      <c r="C931" s="1"/>
      <c r="D931" s="1"/>
      <c r="E931" s="1"/>
      <c r="F931" s="1"/>
      <c r="AV931" s="2"/>
      <c r="AW931" s="3"/>
    </row>
    <row r="932" ht="16.5" customHeight="1">
      <c r="A932" s="1"/>
      <c r="B932" s="1"/>
      <c r="C932" s="1"/>
      <c r="D932" s="1"/>
      <c r="E932" s="1"/>
      <c r="F932" s="1"/>
      <c r="AV932" s="2"/>
      <c r="AW932" s="3"/>
    </row>
    <row r="933" ht="16.5" customHeight="1">
      <c r="A933" s="1"/>
      <c r="B933" s="1"/>
      <c r="C933" s="1"/>
      <c r="D933" s="1"/>
      <c r="E933" s="1"/>
      <c r="F933" s="1"/>
      <c r="AV933" s="2"/>
      <c r="AW933" s="3"/>
    </row>
    <row r="934" ht="16.5" customHeight="1">
      <c r="A934" s="1"/>
      <c r="B934" s="1"/>
      <c r="C934" s="1"/>
      <c r="D934" s="1"/>
      <c r="E934" s="1"/>
      <c r="F934" s="1"/>
      <c r="AV934" s="2"/>
      <c r="AW934" s="3"/>
    </row>
    <row r="935" ht="16.5" customHeight="1">
      <c r="A935" s="1"/>
      <c r="B935" s="1"/>
      <c r="C935" s="1"/>
      <c r="D935" s="1"/>
      <c r="E935" s="1"/>
      <c r="F935" s="1"/>
      <c r="AV935" s="2"/>
      <c r="AW935" s="3"/>
    </row>
    <row r="936" ht="16.5" customHeight="1">
      <c r="A936" s="1"/>
      <c r="B936" s="1"/>
      <c r="C936" s="1"/>
      <c r="D936" s="1"/>
      <c r="E936" s="1"/>
      <c r="F936" s="1"/>
      <c r="AV936" s="2"/>
      <c r="AW936" s="3"/>
    </row>
    <row r="937" ht="16.5" customHeight="1">
      <c r="A937" s="1"/>
      <c r="B937" s="1"/>
      <c r="C937" s="1"/>
      <c r="D937" s="1"/>
      <c r="E937" s="1"/>
      <c r="F937" s="1"/>
      <c r="AV937" s="2"/>
      <c r="AW937" s="3"/>
    </row>
    <row r="938" ht="16.5" customHeight="1">
      <c r="A938" s="1"/>
      <c r="B938" s="1"/>
      <c r="C938" s="1"/>
      <c r="D938" s="1"/>
      <c r="E938" s="1"/>
      <c r="F938" s="1"/>
      <c r="AV938" s="2"/>
      <c r="AW938" s="3"/>
    </row>
    <row r="939" ht="16.5" customHeight="1">
      <c r="A939" s="1"/>
      <c r="B939" s="1"/>
      <c r="C939" s="1"/>
      <c r="D939" s="1"/>
      <c r="E939" s="1"/>
      <c r="F939" s="1"/>
      <c r="AV939" s="2"/>
      <c r="AW939" s="3"/>
    </row>
    <row r="940" ht="16.5" customHeight="1">
      <c r="A940" s="1"/>
      <c r="B940" s="1"/>
      <c r="C940" s="1"/>
      <c r="D940" s="1"/>
      <c r="E940" s="1"/>
      <c r="F940" s="1"/>
      <c r="AV940" s="2"/>
      <c r="AW940" s="3"/>
    </row>
    <row r="941" ht="16.5" customHeight="1">
      <c r="A941" s="1"/>
      <c r="B941" s="1"/>
      <c r="C941" s="1"/>
      <c r="D941" s="1"/>
      <c r="E941" s="1"/>
      <c r="F941" s="1"/>
      <c r="AV941" s="2"/>
      <c r="AW941" s="3"/>
    </row>
    <row r="942" ht="16.5" customHeight="1">
      <c r="A942" s="1"/>
      <c r="B942" s="1"/>
      <c r="C942" s="1"/>
      <c r="D942" s="1"/>
      <c r="E942" s="1"/>
      <c r="F942" s="1"/>
      <c r="AV942" s="2"/>
      <c r="AW942" s="3"/>
    </row>
    <row r="943" ht="16.5" customHeight="1">
      <c r="A943" s="1"/>
      <c r="B943" s="1"/>
      <c r="C943" s="1"/>
      <c r="D943" s="1"/>
      <c r="E943" s="1"/>
      <c r="F943" s="1"/>
      <c r="AV943" s="2"/>
      <c r="AW943" s="3"/>
    </row>
    <row r="944" ht="16.5" customHeight="1">
      <c r="A944" s="1"/>
      <c r="B944" s="1"/>
      <c r="C944" s="1"/>
      <c r="D944" s="1"/>
      <c r="E944" s="1"/>
      <c r="F944" s="1"/>
      <c r="AV944" s="2"/>
      <c r="AW944" s="3"/>
    </row>
    <row r="945" ht="16.5" customHeight="1">
      <c r="A945" s="1"/>
      <c r="B945" s="1"/>
      <c r="C945" s="1"/>
      <c r="D945" s="1"/>
      <c r="E945" s="1"/>
      <c r="F945" s="1"/>
      <c r="AV945" s="2"/>
      <c r="AW945" s="3"/>
    </row>
    <row r="946" ht="16.5" customHeight="1">
      <c r="A946" s="1"/>
      <c r="B946" s="1"/>
      <c r="C946" s="1"/>
      <c r="D946" s="1"/>
      <c r="E946" s="1"/>
      <c r="F946" s="1"/>
      <c r="AV946" s="2"/>
      <c r="AW946" s="3"/>
    </row>
    <row r="947" ht="16.5" customHeight="1">
      <c r="A947" s="1"/>
      <c r="B947" s="1"/>
      <c r="C947" s="1"/>
      <c r="D947" s="1"/>
      <c r="E947" s="1"/>
      <c r="F947" s="1"/>
      <c r="AV947" s="2"/>
      <c r="AW947" s="3"/>
    </row>
    <row r="948" ht="16.5" customHeight="1">
      <c r="A948" s="1"/>
      <c r="B948" s="1"/>
      <c r="C948" s="1"/>
      <c r="D948" s="1"/>
      <c r="E948" s="1"/>
      <c r="F948" s="1"/>
      <c r="AV948" s="2"/>
      <c r="AW948" s="3"/>
    </row>
    <row r="949" ht="16.5" customHeight="1">
      <c r="A949" s="1"/>
      <c r="B949" s="1"/>
      <c r="C949" s="1"/>
      <c r="D949" s="1"/>
      <c r="E949" s="1"/>
      <c r="F949" s="1"/>
      <c r="AV949" s="2"/>
      <c r="AW949" s="3"/>
    </row>
    <row r="950" ht="16.5" customHeight="1">
      <c r="A950" s="1"/>
      <c r="B950" s="1"/>
      <c r="C950" s="1"/>
      <c r="D950" s="1"/>
      <c r="E950" s="1"/>
      <c r="F950" s="1"/>
      <c r="AV950" s="2"/>
      <c r="AW950" s="3"/>
    </row>
    <row r="951" ht="16.5" customHeight="1">
      <c r="A951" s="1"/>
      <c r="B951" s="1"/>
      <c r="C951" s="1"/>
      <c r="D951" s="1"/>
      <c r="E951" s="1"/>
      <c r="F951" s="1"/>
      <c r="AV951" s="2"/>
      <c r="AW951" s="3"/>
    </row>
    <row r="952" ht="16.5" customHeight="1">
      <c r="A952" s="1"/>
      <c r="B952" s="1"/>
      <c r="C952" s="1"/>
      <c r="D952" s="1"/>
      <c r="E952" s="1"/>
      <c r="F952" s="1"/>
      <c r="AV952" s="2"/>
      <c r="AW952" s="3"/>
    </row>
    <row r="953" ht="16.5" customHeight="1">
      <c r="A953" s="1"/>
      <c r="B953" s="1"/>
      <c r="C953" s="1"/>
      <c r="D953" s="1"/>
      <c r="E953" s="1"/>
      <c r="F953" s="1"/>
      <c r="AV953" s="2"/>
      <c r="AW953" s="3"/>
    </row>
    <row r="954" ht="16.5" customHeight="1">
      <c r="A954" s="1"/>
      <c r="B954" s="1"/>
      <c r="C954" s="1"/>
      <c r="D954" s="1"/>
      <c r="E954" s="1"/>
      <c r="F954" s="1"/>
      <c r="AV954" s="2"/>
      <c r="AW954" s="3"/>
    </row>
    <row r="955" ht="16.5" customHeight="1">
      <c r="A955" s="1"/>
      <c r="B955" s="1"/>
      <c r="C955" s="1"/>
      <c r="D955" s="1"/>
      <c r="E955" s="1"/>
      <c r="F955" s="1"/>
      <c r="AV955" s="2"/>
      <c r="AW955" s="3"/>
    </row>
    <row r="956" ht="16.5" customHeight="1">
      <c r="A956" s="1"/>
      <c r="B956" s="1"/>
      <c r="C956" s="1"/>
      <c r="D956" s="1"/>
      <c r="E956" s="1"/>
      <c r="F956" s="1"/>
      <c r="AV956" s="2"/>
      <c r="AW956" s="3"/>
    </row>
    <row r="957" ht="16.5" customHeight="1">
      <c r="A957" s="1"/>
      <c r="B957" s="1"/>
      <c r="C957" s="1"/>
      <c r="D957" s="1"/>
      <c r="E957" s="1"/>
      <c r="F957" s="1"/>
      <c r="AV957" s="2"/>
      <c r="AW957" s="3"/>
    </row>
    <row r="958" ht="16.5" customHeight="1">
      <c r="A958" s="1"/>
      <c r="B958" s="1"/>
      <c r="C958" s="1"/>
      <c r="D958" s="1"/>
      <c r="E958" s="1"/>
      <c r="F958" s="1"/>
      <c r="AV958" s="2"/>
      <c r="AW958" s="3"/>
    </row>
    <row r="959" ht="16.5" customHeight="1">
      <c r="A959" s="1"/>
      <c r="B959" s="1"/>
      <c r="C959" s="1"/>
      <c r="D959" s="1"/>
      <c r="E959" s="1"/>
      <c r="F959" s="1"/>
      <c r="AV959" s="2"/>
      <c r="AW959" s="3"/>
    </row>
    <row r="960" ht="16.5" customHeight="1">
      <c r="A960" s="1"/>
      <c r="B960" s="1"/>
      <c r="C960" s="1"/>
      <c r="D960" s="1"/>
      <c r="E960" s="1"/>
      <c r="F960" s="1"/>
      <c r="AV960" s="2"/>
      <c r="AW960" s="3"/>
    </row>
    <row r="961" ht="16.5" customHeight="1">
      <c r="A961" s="1"/>
      <c r="B961" s="1"/>
      <c r="C961" s="1"/>
      <c r="D961" s="1"/>
      <c r="E961" s="1"/>
      <c r="F961" s="1"/>
      <c r="AV961" s="2"/>
      <c r="AW961" s="3"/>
    </row>
    <row r="962" ht="16.5" customHeight="1">
      <c r="A962" s="1"/>
      <c r="B962" s="1"/>
      <c r="C962" s="1"/>
      <c r="D962" s="1"/>
      <c r="E962" s="1"/>
      <c r="F962" s="1"/>
      <c r="AV962" s="2"/>
      <c r="AW962" s="3"/>
    </row>
    <row r="963" ht="16.5" customHeight="1">
      <c r="A963" s="1"/>
      <c r="B963" s="1"/>
      <c r="C963" s="1"/>
      <c r="D963" s="1"/>
      <c r="E963" s="1"/>
      <c r="F963" s="1"/>
      <c r="AV963" s="2"/>
      <c r="AW963" s="3"/>
    </row>
    <row r="964" ht="16.5" customHeight="1">
      <c r="A964" s="1"/>
      <c r="B964" s="1"/>
      <c r="C964" s="1"/>
      <c r="D964" s="1"/>
      <c r="E964" s="1"/>
      <c r="F964" s="1"/>
      <c r="AV964" s="2"/>
      <c r="AW964" s="3"/>
    </row>
    <row r="965" ht="16.5" customHeight="1">
      <c r="A965" s="1"/>
      <c r="B965" s="1"/>
      <c r="C965" s="1"/>
      <c r="D965" s="1"/>
      <c r="E965" s="1"/>
      <c r="F965" s="1"/>
      <c r="AV965" s="2"/>
      <c r="AW965" s="3"/>
    </row>
    <row r="966" ht="16.5" customHeight="1">
      <c r="A966" s="1"/>
      <c r="B966" s="1"/>
      <c r="C966" s="1"/>
      <c r="D966" s="1"/>
      <c r="E966" s="1"/>
      <c r="F966" s="1"/>
      <c r="AV966" s="2"/>
      <c r="AW966" s="3"/>
    </row>
    <row r="967" ht="16.5" customHeight="1">
      <c r="A967" s="1"/>
      <c r="B967" s="1"/>
      <c r="C967" s="1"/>
      <c r="D967" s="1"/>
      <c r="E967" s="1"/>
      <c r="F967" s="1"/>
      <c r="AV967" s="2"/>
      <c r="AW967" s="3"/>
    </row>
    <row r="968" ht="16.5" customHeight="1">
      <c r="A968" s="1"/>
      <c r="B968" s="1"/>
      <c r="C968" s="1"/>
      <c r="D968" s="1"/>
      <c r="E968" s="1"/>
      <c r="F968" s="1"/>
      <c r="AV968" s="2"/>
      <c r="AW968" s="3"/>
    </row>
    <row r="969" ht="16.5" customHeight="1">
      <c r="A969" s="1"/>
      <c r="B969" s="1"/>
      <c r="C969" s="1"/>
      <c r="D969" s="1"/>
      <c r="E969" s="1"/>
      <c r="F969" s="1"/>
      <c r="AV969" s="2"/>
      <c r="AW969" s="3"/>
    </row>
    <row r="970" ht="16.5" customHeight="1">
      <c r="A970" s="1"/>
      <c r="B970" s="1"/>
      <c r="C970" s="1"/>
      <c r="D970" s="1"/>
      <c r="E970" s="1"/>
      <c r="F970" s="1"/>
      <c r="AV970" s="2"/>
      <c r="AW970" s="3"/>
    </row>
    <row r="971" ht="16.5" customHeight="1">
      <c r="A971" s="1"/>
      <c r="B971" s="1"/>
      <c r="C971" s="1"/>
      <c r="D971" s="1"/>
      <c r="E971" s="1"/>
      <c r="F971" s="1"/>
      <c r="AV971" s="2"/>
      <c r="AW971" s="3"/>
    </row>
    <row r="972" ht="16.5" customHeight="1">
      <c r="A972" s="1"/>
      <c r="B972" s="1"/>
      <c r="C972" s="1"/>
      <c r="D972" s="1"/>
      <c r="E972" s="1"/>
      <c r="F972" s="1"/>
      <c r="AV972" s="2"/>
      <c r="AW972" s="3"/>
    </row>
    <row r="973" ht="16.5" customHeight="1">
      <c r="A973" s="1"/>
      <c r="B973" s="1"/>
      <c r="C973" s="1"/>
      <c r="D973" s="1"/>
      <c r="E973" s="1"/>
      <c r="F973" s="1"/>
      <c r="AV973" s="2"/>
      <c r="AW973" s="3"/>
    </row>
    <row r="974" ht="16.5" customHeight="1">
      <c r="A974" s="1"/>
      <c r="B974" s="1"/>
      <c r="C974" s="1"/>
      <c r="D974" s="1"/>
      <c r="E974" s="1"/>
      <c r="F974" s="1"/>
      <c r="AV974" s="2"/>
      <c r="AW974" s="3"/>
    </row>
    <row r="975" ht="16.5" customHeight="1">
      <c r="A975" s="1"/>
      <c r="B975" s="1"/>
      <c r="C975" s="1"/>
      <c r="D975" s="1"/>
      <c r="E975" s="1"/>
      <c r="F975" s="1"/>
      <c r="AV975" s="2"/>
      <c r="AW975" s="3"/>
    </row>
    <row r="976" ht="16.5" customHeight="1">
      <c r="A976" s="1"/>
      <c r="B976" s="1"/>
      <c r="C976" s="1"/>
      <c r="D976" s="1"/>
      <c r="E976" s="1"/>
      <c r="F976" s="1"/>
      <c r="AV976" s="2"/>
      <c r="AW976" s="3"/>
    </row>
    <row r="977" ht="16.5" customHeight="1">
      <c r="A977" s="1"/>
      <c r="B977" s="1"/>
      <c r="C977" s="1"/>
      <c r="D977" s="1"/>
      <c r="E977" s="1"/>
      <c r="F977" s="1"/>
      <c r="AV977" s="2"/>
      <c r="AW977" s="3"/>
    </row>
    <row r="978" ht="16.5" customHeight="1">
      <c r="A978" s="1"/>
      <c r="B978" s="1"/>
      <c r="C978" s="1"/>
      <c r="D978" s="1"/>
      <c r="E978" s="1"/>
      <c r="F978" s="1"/>
      <c r="AV978" s="2"/>
      <c r="AW978" s="3"/>
    </row>
    <row r="979" ht="16.5" customHeight="1">
      <c r="A979" s="1"/>
      <c r="B979" s="1"/>
      <c r="C979" s="1"/>
      <c r="D979" s="1"/>
      <c r="E979" s="1"/>
      <c r="F979" s="1"/>
      <c r="AV979" s="2"/>
      <c r="AW979" s="3"/>
    </row>
    <row r="980" ht="16.5" customHeight="1">
      <c r="A980" s="1"/>
      <c r="B980" s="1"/>
      <c r="C980" s="1"/>
      <c r="D980" s="1"/>
      <c r="E980" s="1"/>
      <c r="F980" s="1"/>
      <c r="AV980" s="2"/>
      <c r="AW980" s="3"/>
    </row>
    <row r="981" ht="16.5" customHeight="1">
      <c r="A981" s="1"/>
      <c r="B981" s="1"/>
      <c r="C981" s="1"/>
      <c r="D981" s="1"/>
      <c r="E981" s="1"/>
      <c r="F981" s="1"/>
      <c r="AV981" s="2"/>
      <c r="AW981" s="3"/>
    </row>
    <row r="982" ht="16.5" customHeight="1">
      <c r="A982" s="1"/>
      <c r="B982" s="1"/>
      <c r="C982" s="1"/>
      <c r="D982" s="1"/>
      <c r="E982" s="1"/>
      <c r="F982" s="1"/>
      <c r="AV982" s="2"/>
      <c r="AW982" s="3"/>
    </row>
    <row r="983" ht="16.5" customHeight="1">
      <c r="A983" s="1"/>
      <c r="B983" s="1"/>
      <c r="C983" s="1"/>
      <c r="D983" s="1"/>
      <c r="E983" s="1"/>
      <c r="F983" s="1"/>
      <c r="AV983" s="2"/>
      <c r="AW983" s="3"/>
    </row>
    <row r="984" ht="16.5" customHeight="1">
      <c r="A984" s="1"/>
      <c r="B984" s="1"/>
      <c r="C984" s="1"/>
      <c r="D984" s="1"/>
      <c r="E984" s="1"/>
      <c r="F984" s="1"/>
      <c r="AV984" s="2"/>
      <c r="AW984" s="3"/>
    </row>
    <row r="985" ht="16.5" customHeight="1">
      <c r="A985" s="1"/>
      <c r="B985" s="1"/>
      <c r="C985" s="1"/>
      <c r="D985" s="1"/>
      <c r="E985" s="1"/>
      <c r="F985" s="1"/>
      <c r="AV985" s="2"/>
      <c r="AW985" s="3"/>
    </row>
    <row r="986" ht="16.5" customHeight="1">
      <c r="A986" s="1"/>
      <c r="B986" s="1"/>
      <c r="C986" s="1"/>
      <c r="D986" s="1"/>
      <c r="E986" s="1"/>
      <c r="F986" s="1"/>
      <c r="AV986" s="2"/>
      <c r="AW986" s="3"/>
    </row>
    <row r="987" ht="16.5" customHeight="1">
      <c r="A987" s="1"/>
      <c r="B987" s="1"/>
      <c r="C987" s="1"/>
      <c r="D987" s="1"/>
      <c r="E987" s="1"/>
      <c r="F987" s="1"/>
      <c r="AV987" s="2"/>
      <c r="AW987" s="3"/>
    </row>
    <row r="988" ht="16.5" customHeight="1">
      <c r="A988" s="1"/>
      <c r="B988" s="1"/>
      <c r="C988" s="1"/>
      <c r="D988" s="1"/>
      <c r="E988" s="1"/>
      <c r="F988" s="1"/>
      <c r="AV988" s="2"/>
      <c r="AW988" s="3"/>
    </row>
    <row r="989" ht="16.5" customHeight="1">
      <c r="A989" s="1"/>
      <c r="B989" s="1"/>
      <c r="C989" s="1"/>
      <c r="D989" s="1"/>
      <c r="E989" s="1"/>
      <c r="F989" s="1"/>
      <c r="AV989" s="2"/>
      <c r="AW989" s="3"/>
    </row>
    <row r="990" ht="16.5" customHeight="1">
      <c r="A990" s="1"/>
      <c r="B990" s="1"/>
      <c r="C990" s="1"/>
      <c r="D990" s="1"/>
      <c r="E990" s="1"/>
      <c r="F990" s="1"/>
      <c r="AV990" s="2"/>
      <c r="AW990" s="3"/>
    </row>
    <row r="991" ht="16.5" customHeight="1">
      <c r="A991" s="1"/>
      <c r="B991" s="1"/>
      <c r="C991" s="1"/>
      <c r="D991" s="1"/>
      <c r="E991" s="1"/>
      <c r="F991" s="1"/>
      <c r="AV991" s="2"/>
      <c r="AW991" s="3"/>
    </row>
    <row r="992" ht="16.5" customHeight="1">
      <c r="A992" s="1"/>
      <c r="B992" s="1"/>
      <c r="C992" s="1"/>
      <c r="D992" s="1"/>
      <c r="E992" s="1"/>
      <c r="F992" s="1"/>
      <c r="AV992" s="2"/>
      <c r="AW992" s="3"/>
    </row>
    <row r="993" ht="16.5" customHeight="1">
      <c r="A993" s="1"/>
      <c r="B993" s="1"/>
      <c r="C993" s="1"/>
      <c r="D993" s="1"/>
      <c r="E993" s="1"/>
      <c r="F993" s="1"/>
      <c r="AV993" s="2"/>
      <c r="AW993" s="3"/>
    </row>
    <row r="994" ht="16.5" customHeight="1">
      <c r="A994" s="1"/>
      <c r="B994" s="1"/>
      <c r="C994" s="1"/>
      <c r="D994" s="1"/>
      <c r="E994" s="1"/>
      <c r="F994" s="1"/>
      <c r="AV994" s="2"/>
      <c r="AW994" s="3"/>
    </row>
    <row r="995" ht="16.5" customHeight="1">
      <c r="A995" s="1"/>
      <c r="B995" s="1"/>
      <c r="C995" s="1"/>
      <c r="D995" s="1"/>
      <c r="E995" s="1"/>
      <c r="F995" s="1"/>
      <c r="AV995" s="2"/>
      <c r="AW995" s="3"/>
    </row>
    <row r="996" ht="16.5" customHeight="1">
      <c r="A996" s="1"/>
      <c r="B996" s="1"/>
      <c r="C996" s="1"/>
      <c r="D996" s="1"/>
      <c r="E996" s="1"/>
      <c r="F996" s="1"/>
      <c r="AV996" s="2"/>
      <c r="AW996" s="3"/>
    </row>
    <row r="997" ht="16.5" customHeight="1">
      <c r="A997" s="1"/>
      <c r="B997" s="1"/>
      <c r="C997" s="1"/>
      <c r="D997" s="1"/>
      <c r="E997" s="1"/>
      <c r="F997" s="1"/>
      <c r="AV997" s="2"/>
      <c r="AW997" s="3"/>
    </row>
    <row r="998" ht="16.5" customHeight="1">
      <c r="A998" s="1"/>
      <c r="B998" s="1"/>
      <c r="C998" s="1"/>
      <c r="D998" s="1"/>
      <c r="E998" s="1"/>
      <c r="F998" s="1"/>
      <c r="AV998" s="2"/>
      <c r="AW998" s="3"/>
    </row>
    <row r="999" ht="16.5" customHeight="1">
      <c r="A999" s="1"/>
      <c r="B999" s="1"/>
      <c r="C999" s="1"/>
      <c r="D999" s="1"/>
      <c r="E999" s="1"/>
      <c r="F999" s="1"/>
      <c r="AV999" s="2"/>
      <c r="AW999" s="3"/>
    </row>
    <row r="1000" ht="16.5" customHeight="1">
      <c r="A1000" s="1"/>
      <c r="B1000" s="1"/>
      <c r="C1000" s="1"/>
      <c r="D1000" s="1"/>
      <c r="E1000" s="1"/>
      <c r="F1000" s="1"/>
      <c r="AV1000" s="2"/>
      <c r="AW1000" s="3"/>
    </row>
  </sheetData>
  <mergeCells count="28">
    <mergeCell ref="A9:A13"/>
    <mergeCell ref="A14:A18"/>
    <mergeCell ref="A19:A23"/>
    <mergeCell ref="A24:A28"/>
    <mergeCell ref="A31:A35"/>
    <mergeCell ref="A39:A43"/>
    <mergeCell ref="A45:A49"/>
    <mergeCell ref="A2:B2"/>
    <mergeCell ref="A3:C3"/>
    <mergeCell ref="A4:A8"/>
    <mergeCell ref="B4:B5"/>
    <mergeCell ref="B6:B7"/>
    <mergeCell ref="B9:B10"/>
    <mergeCell ref="B11:B12"/>
    <mergeCell ref="B26:B27"/>
    <mergeCell ref="B31:B32"/>
    <mergeCell ref="B33:B34"/>
    <mergeCell ref="B39:B40"/>
    <mergeCell ref="B41:B42"/>
    <mergeCell ref="B45:B46"/>
    <mergeCell ref="B47:B48"/>
    <mergeCell ref="B14:B15"/>
    <mergeCell ref="B16:B17"/>
    <mergeCell ref="B19:B20"/>
    <mergeCell ref="B21:B22"/>
    <mergeCell ref="B24:B25"/>
    <mergeCell ref="A29:C29"/>
    <mergeCell ref="A30:C30"/>
  </mergeCells>
  <printOptions horizontalCentered="1"/>
  <pageMargins bottom="0.7479166388511658" footer="0.0" header="0.0" left="0.2361111044883728" right="0.2361111044883728" top="0.747916638851165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4" width="12.57"/>
    <col customWidth="1" min="5" max="5" width="12.43"/>
    <col customWidth="1" min="6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12.43"/>
  </cols>
  <sheetData>
    <row r="1" ht="12.0" customHeight="1">
      <c r="A1" s="1"/>
      <c r="B1" s="1"/>
      <c r="C1" s="1"/>
      <c r="D1" s="1"/>
      <c r="E1" s="1"/>
      <c r="F1" s="1"/>
      <c r="Q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142"/>
    </row>
    <row r="2" ht="30.0" customHeight="1">
      <c r="A2" s="4" t="s">
        <v>21</v>
      </c>
      <c r="B2" s="5"/>
      <c r="C2" s="1"/>
      <c r="D2" s="1"/>
      <c r="E2" s="1"/>
      <c r="F2" s="1"/>
      <c r="Q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142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12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14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44">
        <v>10119.0</v>
      </c>
      <c r="E4" s="145">
        <f t="shared" ref="E4:O4" si="1">D24</f>
        <v>9008</v>
      </c>
      <c r="F4" s="145">
        <f t="shared" si="1"/>
        <v>8440</v>
      </c>
      <c r="G4" s="145">
        <f t="shared" si="1"/>
        <v>14400</v>
      </c>
      <c r="H4" s="145">
        <f t="shared" si="1"/>
        <v>19564</v>
      </c>
      <c r="I4" s="145">
        <f t="shared" si="1"/>
        <v>13960</v>
      </c>
      <c r="J4" s="145">
        <f t="shared" si="1"/>
        <v>16164</v>
      </c>
      <c r="K4" s="145">
        <f t="shared" si="1"/>
        <v>17523</v>
      </c>
      <c r="L4" s="145">
        <f t="shared" si="1"/>
        <v>16736</v>
      </c>
      <c r="M4" s="145">
        <f t="shared" si="1"/>
        <v>15056</v>
      </c>
      <c r="N4" s="145">
        <f t="shared" si="1"/>
        <v>11324</v>
      </c>
      <c r="O4" s="146">
        <f t="shared" si="1"/>
        <v>11324</v>
      </c>
      <c r="P4" s="22">
        <v>11324.0</v>
      </c>
      <c r="Q4" s="147">
        <f t="shared" ref="Q4:AU4" si="2">+P24</f>
        <v>11324</v>
      </c>
      <c r="R4" s="148">
        <f t="shared" si="2"/>
        <v>11324</v>
      </c>
      <c r="S4" s="148">
        <f t="shared" si="2"/>
        <v>11324</v>
      </c>
      <c r="T4" s="148">
        <f t="shared" si="2"/>
        <v>8438</v>
      </c>
      <c r="U4" s="148">
        <f t="shared" si="2"/>
        <v>7322</v>
      </c>
      <c r="V4" s="148">
        <f t="shared" si="2"/>
        <v>-592</v>
      </c>
      <c r="W4" s="148">
        <f t="shared" si="2"/>
        <v>-4152</v>
      </c>
      <c r="X4" s="148">
        <f t="shared" si="2"/>
        <v>-5744</v>
      </c>
      <c r="Y4" s="148">
        <f t="shared" si="2"/>
        <v>-5744</v>
      </c>
      <c r="Z4" s="148">
        <f t="shared" si="2"/>
        <v>-5744</v>
      </c>
      <c r="AA4" s="148">
        <f t="shared" si="2"/>
        <v>-5804</v>
      </c>
      <c r="AB4" s="148">
        <f t="shared" si="2"/>
        <v>-5804</v>
      </c>
      <c r="AC4" s="148">
        <f t="shared" si="2"/>
        <v>-5804</v>
      </c>
      <c r="AD4" s="148">
        <f t="shared" si="2"/>
        <v>-5804</v>
      </c>
      <c r="AE4" s="148">
        <f t="shared" si="2"/>
        <v>-5804</v>
      </c>
      <c r="AF4" s="148">
        <f t="shared" si="2"/>
        <v>-5804</v>
      </c>
      <c r="AG4" s="148">
        <f t="shared" si="2"/>
        <v>-5804</v>
      </c>
      <c r="AH4" s="148">
        <f t="shared" si="2"/>
        <v>-5804</v>
      </c>
      <c r="AI4" s="148">
        <f t="shared" si="2"/>
        <v>-5804</v>
      </c>
      <c r="AJ4" s="148">
        <f t="shared" si="2"/>
        <v>-5804</v>
      </c>
      <c r="AK4" s="148">
        <f t="shared" si="2"/>
        <v>-5804</v>
      </c>
      <c r="AL4" s="148">
        <f t="shared" si="2"/>
        <v>-5804</v>
      </c>
      <c r="AM4" s="148">
        <f t="shared" si="2"/>
        <v>-5804</v>
      </c>
      <c r="AN4" s="148">
        <f t="shared" si="2"/>
        <v>-5804</v>
      </c>
      <c r="AO4" s="148">
        <f t="shared" si="2"/>
        <v>-5804</v>
      </c>
      <c r="AP4" s="148">
        <f t="shared" si="2"/>
        <v>-5804</v>
      </c>
      <c r="AQ4" s="148">
        <f t="shared" si="2"/>
        <v>-5804</v>
      </c>
      <c r="AR4" s="148">
        <f t="shared" si="2"/>
        <v>-5804</v>
      </c>
      <c r="AS4" s="148">
        <f t="shared" si="2"/>
        <v>-5804</v>
      </c>
      <c r="AT4" s="148">
        <f t="shared" si="2"/>
        <v>-5804</v>
      </c>
      <c r="AU4" s="149">
        <f t="shared" si="2"/>
        <v>-5804</v>
      </c>
      <c r="AV4" s="25">
        <f t="shared" ref="AV4:AV8" si="5">P24</f>
        <v>11324</v>
      </c>
    </row>
    <row r="5" ht="18.0" customHeight="1">
      <c r="A5" s="28"/>
      <c r="B5" s="29"/>
      <c r="C5" s="100" t="s">
        <v>9</v>
      </c>
      <c r="D5" s="150">
        <v>14321.0</v>
      </c>
      <c r="E5" s="151">
        <f t="shared" ref="E5:O5" si="3">D25</f>
        <v>12889</v>
      </c>
      <c r="F5" s="151">
        <f t="shared" si="3"/>
        <v>12979</v>
      </c>
      <c r="G5" s="151">
        <f t="shared" si="3"/>
        <v>24115</v>
      </c>
      <c r="H5" s="151">
        <f t="shared" si="3"/>
        <v>19523</v>
      </c>
      <c r="I5" s="151">
        <f t="shared" si="3"/>
        <v>15255</v>
      </c>
      <c r="J5" s="151">
        <f t="shared" si="3"/>
        <v>8155</v>
      </c>
      <c r="K5" s="151">
        <f t="shared" si="3"/>
        <v>7575</v>
      </c>
      <c r="L5" s="151">
        <f t="shared" si="3"/>
        <v>8599</v>
      </c>
      <c r="M5" s="151">
        <f t="shared" si="3"/>
        <v>8041</v>
      </c>
      <c r="N5" s="151">
        <f t="shared" si="3"/>
        <v>4639</v>
      </c>
      <c r="O5" s="152">
        <f t="shared" si="3"/>
        <v>4639</v>
      </c>
      <c r="P5" s="153">
        <v>4639.0</v>
      </c>
      <c r="Q5" s="154">
        <f t="shared" ref="Q5:AU5" si="4">+P25</f>
        <v>4639</v>
      </c>
      <c r="R5" s="155">
        <f t="shared" si="4"/>
        <v>4639</v>
      </c>
      <c r="S5" s="155">
        <f t="shared" si="4"/>
        <v>4639</v>
      </c>
      <c r="T5" s="155">
        <f t="shared" si="4"/>
        <v>19999</v>
      </c>
      <c r="U5" s="155">
        <f t="shared" si="4"/>
        <v>20799</v>
      </c>
      <c r="V5" s="155">
        <f t="shared" si="4"/>
        <v>20331</v>
      </c>
      <c r="W5" s="155">
        <f t="shared" si="4"/>
        <v>20331</v>
      </c>
      <c r="X5" s="155">
        <f t="shared" si="4"/>
        <v>24959</v>
      </c>
      <c r="Y5" s="155">
        <f t="shared" si="4"/>
        <v>24959</v>
      </c>
      <c r="Z5" s="155">
        <f t="shared" si="4"/>
        <v>24959</v>
      </c>
      <c r="AA5" s="155">
        <f t="shared" si="4"/>
        <v>24559</v>
      </c>
      <c r="AB5" s="155">
        <f t="shared" si="4"/>
        <v>24559</v>
      </c>
      <c r="AC5" s="155">
        <f t="shared" si="4"/>
        <v>24559</v>
      </c>
      <c r="AD5" s="155">
        <f t="shared" si="4"/>
        <v>24559</v>
      </c>
      <c r="AE5" s="155">
        <f t="shared" si="4"/>
        <v>24559</v>
      </c>
      <c r="AF5" s="155">
        <f t="shared" si="4"/>
        <v>24559</v>
      </c>
      <c r="AG5" s="155">
        <f t="shared" si="4"/>
        <v>24559</v>
      </c>
      <c r="AH5" s="155">
        <f t="shared" si="4"/>
        <v>24559</v>
      </c>
      <c r="AI5" s="155">
        <f t="shared" si="4"/>
        <v>24559</v>
      </c>
      <c r="AJ5" s="155">
        <f t="shared" si="4"/>
        <v>24559</v>
      </c>
      <c r="AK5" s="155">
        <f t="shared" si="4"/>
        <v>24559</v>
      </c>
      <c r="AL5" s="155">
        <f t="shared" si="4"/>
        <v>24559</v>
      </c>
      <c r="AM5" s="155">
        <f t="shared" si="4"/>
        <v>24559</v>
      </c>
      <c r="AN5" s="155">
        <f t="shared" si="4"/>
        <v>24559</v>
      </c>
      <c r="AO5" s="155">
        <f t="shared" si="4"/>
        <v>24559</v>
      </c>
      <c r="AP5" s="155">
        <f t="shared" si="4"/>
        <v>24559</v>
      </c>
      <c r="AQ5" s="155">
        <f t="shared" si="4"/>
        <v>24559</v>
      </c>
      <c r="AR5" s="155">
        <f t="shared" si="4"/>
        <v>24559</v>
      </c>
      <c r="AS5" s="155">
        <f t="shared" si="4"/>
        <v>24559</v>
      </c>
      <c r="AT5" s="155">
        <f t="shared" si="4"/>
        <v>24559</v>
      </c>
      <c r="AU5" s="156">
        <f t="shared" si="4"/>
        <v>24559</v>
      </c>
      <c r="AV5" s="157">
        <f t="shared" si="5"/>
        <v>4639</v>
      </c>
    </row>
    <row r="6" ht="18.0" customHeight="1">
      <c r="A6" s="28"/>
      <c r="B6" s="38" t="s">
        <v>10</v>
      </c>
      <c r="C6" s="158" t="s">
        <v>8</v>
      </c>
      <c r="D6" s="144">
        <v>18913.0</v>
      </c>
      <c r="E6" s="145">
        <f t="shared" ref="E6:O6" si="6">D26</f>
        <v>19963</v>
      </c>
      <c r="F6" s="145">
        <f t="shared" si="6"/>
        <v>26400</v>
      </c>
      <c r="G6" s="145">
        <f t="shared" si="6"/>
        <v>25990</v>
      </c>
      <c r="H6" s="145">
        <f t="shared" si="6"/>
        <v>21593</v>
      </c>
      <c r="I6" s="145">
        <f t="shared" si="6"/>
        <v>18630</v>
      </c>
      <c r="J6" s="145">
        <f t="shared" si="6"/>
        <v>19363</v>
      </c>
      <c r="K6" s="145">
        <f t="shared" si="6"/>
        <v>18380</v>
      </c>
      <c r="L6" s="145">
        <f t="shared" si="6"/>
        <v>17345</v>
      </c>
      <c r="M6" s="145">
        <f t="shared" si="6"/>
        <v>25077</v>
      </c>
      <c r="N6" s="145">
        <f t="shared" si="6"/>
        <v>23996</v>
      </c>
      <c r="O6" s="146">
        <f t="shared" si="6"/>
        <v>23996</v>
      </c>
      <c r="P6" s="22">
        <v>23996.0</v>
      </c>
      <c r="Q6" s="147">
        <f t="shared" ref="Q6:AU6" si="7">+P26</f>
        <v>23996</v>
      </c>
      <c r="R6" s="148">
        <f t="shared" si="7"/>
        <v>23996</v>
      </c>
      <c r="S6" s="148">
        <f t="shared" si="7"/>
        <v>23996</v>
      </c>
      <c r="T6" s="148">
        <f t="shared" si="7"/>
        <v>15749</v>
      </c>
      <c r="U6" s="148">
        <f t="shared" si="7"/>
        <v>16736</v>
      </c>
      <c r="V6" s="148">
        <f t="shared" si="7"/>
        <v>17860</v>
      </c>
      <c r="W6" s="148">
        <f t="shared" si="7"/>
        <v>17409</v>
      </c>
      <c r="X6" s="148">
        <f t="shared" si="7"/>
        <v>13053</v>
      </c>
      <c r="Y6" s="148">
        <f t="shared" si="7"/>
        <v>13053</v>
      </c>
      <c r="Z6" s="148">
        <f t="shared" si="7"/>
        <v>13053</v>
      </c>
      <c r="AA6" s="148">
        <f t="shared" si="7"/>
        <v>11497</v>
      </c>
      <c r="AB6" s="148">
        <f t="shared" si="7"/>
        <v>11497</v>
      </c>
      <c r="AC6" s="148">
        <f t="shared" si="7"/>
        <v>11497</v>
      </c>
      <c r="AD6" s="148">
        <f t="shared" si="7"/>
        <v>11497</v>
      </c>
      <c r="AE6" s="148">
        <f t="shared" si="7"/>
        <v>11497</v>
      </c>
      <c r="AF6" s="148">
        <f t="shared" si="7"/>
        <v>11497</v>
      </c>
      <c r="AG6" s="148">
        <f t="shared" si="7"/>
        <v>11497</v>
      </c>
      <c r="AH6" s="148">
        <f t="shared" si="7"/>
        <v>11497</v>
      </c>
      <c r="AI6" s="148">
        <f t="shared" si="7"/>
        <v>11497</v>
      </c>
      <c r="AJ6" s="148">
        <f t="shared" si="7"/>
        <v>11497</v>
      </c>
      <c r="AK6" s="148">
        <f t="shared" si="7"/>
        <v>11497</v>
      </c>
      <c r="AL6" s="148">
        <f t="shared" si="7"/>
        <v>11497</v>
      </c>
      <c r="AM6" s="148">
        <f t="shared" si="7"/>
        <v>11497</v>
      </c>
      <c r="AN6" s="148">
        <f t="shared" si="7"/>
        <v>11497</v>
      </c>
      <c r="AO6" s="148">
        <f t="shared" si="7"/>
        <v>11497</v>
      </c>
      <c r="AP6" s="148">
        <f t="shared" si="7"/>
        <v>11497</v>
      </c>
      <c r="AQ6" s="148">
        <f t="shared" si="7"/>
        <v>11497</v>
      </c>
      <c r="AR6" s="148">
        <f t="shared" si="7"/>
        <v>11497</v>
      </c>
      <c r="AS6" s="148">
        <f t="shared" si="7"/>
        <v>11497</v>
      </c>
      <c r="AT6" s="148">
        <f t="shared" si="7"/>
        <v>11497</v>
      </c>
      <c r="AU6" s="149">
        <f t="shared" si="7"/>
        <v>11497</v>
      </c>
      <c r="AV6" s="159">
        <f t="shared" si="5"/>
        <v>23996</v>
      </c>
    </row>
    <row r="7" ht="18.0" customHeight="1">
      <c r="A7" s="28"/>
      <c r="B7" s="40"/>
      <c r="C7" s="160" t="s">
        <v>9</v>
      </c>
      <c r="D7" s="150">
        <v>191085.0</v>
      </c>
      <c r="E7" s="151">
        <f t="shared" ref="E7:O7" si="8">D27</f>
        <v>158027</v>
      </c>
      <c r="F7" s="151">
        <f t="shared" si="8"/>
        <v>201548</v>
      </c>
      <c r="G7" s="151">
        <f t="shared" si="8"/>
        <v>184019</v>
      </c>
      <c r="H7" s="151">
        <f t="shared" si="8"/>
        <v>180668</v>
      </c>
      <c r="I7" s="151">
        <f t="shared" si="8"/>
        <v>178234</v>
      </c>
      <c r="J7" s="151">
        <f t="shared" si="8"/>
        <v>171646</v>
      </c>
      <c r="K7" s="151">
        <f t="shared" si="8"/>
        <v>215855</v>
      </c>
      <c r="L7" s="151">
        <f t="shared" si="8"/>
        <v>150195</v>
      </c>
      <c r="M7" s="151">
        <f t="shared" si="8"/>
        <v>197025</v>
      </c>
      <c r="N7" s="151">
        <f t="shared" si="8"/>
        <v>160043</v>
      </c>
      <c r="O7" s="152">
        <f t="shared" si="8"/>
        <v>160043</v>
      </c>
      <c r="P7" s="161">
        <v>160043.0</v>
      </c>
      <c r="Q7" s="35">
        <f t="shared" ref="Q7:AU7" si="9">+P27</f>
        <v>160043</v>
      </c>
      <c r="R7" s="36">
        <f t="shared" si="9"/>
        <v>160043</v>
      </c>
      <c r="S7" s="36">
        <f t="shared" si="9"/>
        <v>160043</v>
      </c>
      <c r="T7" s="36">
        <f t="shared" si="9"/>
        <v>183236</v>
      </c>
      <c r="U7" s="36">
        <f t="shared" si="9"/>
        <v>186136</v>
      </c>
      <c r="V7" s="36">
        <f t="shared" si="9"/>
        <v>206356</v>
      </c>
      <c r="W7" s="36">
        <f t="shared" si="9"/>
        <v>203508</v>
      </c>
      <c r="X7" s="36">
        <f t="shared" si="9"/>
        <v>187868</v>
      </c>
      <c r="Y7" s="36">
        <f t="shared" si="9"/>
        <v>187868</v>
      </c>
      <c r="Z7" s="36">
        <f t="shared" si="9"/>
        <v>187868</v>
      </c>
      <c r="AA7" s="36">
        <f t="shared" si="9"/>
        <v>178540</v>
      </c>
      <c r="AB7" s="36">
        <f t="shared" si="9"/>
        <v>178540</v>
      </c>
      <c r="AC7" s="36">
        <f t="shared" si="9"/>
        <v>178540</v>
      </c>
      <c r="AD7" s="36">
        <f t="shared" si="9"/>
        <v>178540</v>
      </c>
      <c r="AE7" s="36">
        <f t="shared" si="9"/>
        <v>178540</v>
      </c>
      <c r="AF7" s="36">
        <f t="shared" si="9"/>
        <v>178540</v>
      </c>
      <c r="AG7" s="36">
        <f t="shared" si="9"/>
        <v>178540</v>
      </c>
      <c r="AH7" s="36">
        <f t="shared" si="9"/>
        <v>178540</v>
      </c>
      <c r="AI7" s="36">
        <f t="shared" si="9"/>
        <v>178540</v>
      </c>
      <c r="AJ7" s="36">
        <f t="shared" si="9"/>
        <v>178540</v>
      </c>
      <c r="AK7" s="36">
        <f t="shared" si="9"/>
        <v>178540</v>
      </c>
      <c r="AL7" s="36">
        <f t="shared" si="9"/>
        <v>178540</v>
      </c>
      <c r="AM7" s="36">
        <f t="shared" si="9"/>
        <v>178540</v>
      </c>
      <c r="AN7" s="36">
        <f t="shared" si="9"/>
        <v>178540</v>
      </c>
      <c r="AO7" s="36">
        <f t="shared" si="9"/>
        <v>178540</v>
      </c>
      <c r="AP7" s="36">
        <f t="shared" si="9"/>
        <v>178540</v>
      </c>
      <c r="AQ7" s="36">
        <f t="shared" si="9"/>
        <v>178540</v>
      </c>
      <c r="AR7" s="36">
        <f t="shared" si="9"/>
        <v>178540</v>
      </c>
      <c r="AS7" s="36">
        <f t="shared" si="9"/>
        <v>178540</v>
      </c>
      <c r="AT7" s="36">
        <f t="shared" si="9"/>
        <v>178540</v>
      </c>
      <c r="AU7" s="162">
        <f t="shared" si="9"/>
        <v>178540</v>
      </c>
      <c r="AV7" s="157">
        <f t="shared" si="5"/>
        <v>160043</v>
      </c>
    </row>
    <row r="8" ht="18.0" customHeight="1">
      <c r="A8" s="29"/>
      <c r="B8" s="43" t="s">
        <v>11</v>
      </c>
      <c r="C8" s="163" t="s">
        <v>9</v>
      </c>
      <c r="D8" s="164">
        <v>52528.0</v>
      </c>
      <c r="E8" s="165">
        <f t="shared" ref="E8:O8" si="10">D28</f>
        <v>38092</v>
      </c>
      <c r="F8" s="165">
        <f t="shared" si="10"/>
        <v>92852</v>
      </c>
      <c r="G8" s="165">
        <f t="shared" si="10"/>
        <v>45860</v>
      </c>
      <c r="H8" s="165">
        <f t="shared" si="10"/>
        <v>39296</v>
      </c>
      <c r="I8" s="165">
        <f t="shared" si="10"/>
        <v>58160</v>
      </c>
      <c r="J8" s="165">
        <f t="shared" si="10"/>
        <v>101496</v>
      </c>
      <c r="K8" s="165">
        <f t="shared" si="10"/>
        <v>44660</v>
      </c>
      <c r="L8" s="165">
        <f t="shared" si="10"/>
        <v>45320</v>
      </c>
      <c r="M8" s="165">
        <f t="shared" si="10"/>
        <v>7200</v>
      </c>
      <c r="N8" s="165">
        <f t="shared" si="10"/>
        <v>43108</v>
      </c>
      <c r="O8" s="166">
        <f t="shared" si="10"/>
        <v>43108</v>
      </c>
      <c r="P8" s="42">
        <v>43108.0</v>
      </c>
      <c r="Q8" s="84">
        <f t="shared" ref="Q8:AU8" si="11">+P28</f>
        <v>43108</v>
      </c>
      <c r="R8" s="71">
        <f t="shared" si="11"/>
        <v>43108</v>
      </c>
      <c r="S8" s="71">
        <f t="shared" si="11"/>
        <v>43108</v>
      </c>
      <c r="T8" s="71">
        <f t="shared" si="11"/>
        <v>22608</v>
      </c>
      <c r="U8" s="71">
        <f t="shared" si="11"/>
        <v>35088</v>
      </c>
      <c r="V8" s="71">
        <f t="shared" si="11"/>
        <v>35088</v>
      </c>
      <c r="W8" s="71">
        <f t="shared" si="11"/>
        <v>35088</v>
      </c>
      <c r="X8" s="71">
        <f t="shared" si="11"/>
        <v>35088</v>
      </c>
      <c r="Y8" s="71">
        <f t="shared" si="11"/>
        <v>35088</v>
      </c>
      <c r="Z8" s="71">
        <f t="shared" si="11"/>
        <v>35088</v>
      </c>
      <c r="AA8" s="71">
        <f t="shared" si="11"/>
        <v>35088</v>
      </c>
      <c r="AB8" s="71">
        <f t="shared" si="11"/>
        <v>35088</v>
      </c>
      <c r="AC8" s="71">
        <f t="shared" si="11"/>
        <v>35088</v>
      </c>
      <c r="AD8" s="71">
        <f t="shared" si="11"/>
        <v>35088</v>
      </c>
      <c r="AE8" s="71">
        <f t="shared" si="11"/>
        <v>35088</v>
      </c>
      <c r="AF8" s="71">
        <f t="shared" si="11"/>
        <v>35088</v>
      </c>
      <c r="AG8" s="71">
        <f t="shared" si="11"/>
        <v>35088</v>
      </c>
      <c r="AH8" s="71">
        <f t="shared" si="11"/>
        <v>35088</v>
      </c>
      <c r="AI8" s="71">
        <f t="shared" si="11"/>
        <v>35088</v>
      </c>
      <c r="AJ8" s="71">
        <f t="shared" si="11"/>
        <v>35088</v>
      </c>
      <c r="AK8" s="71">
        <f t="shared" si="11"/>
        <v>35088</v>
      </c>
      <c r="AL8" s="71">
        <f t="shared" si="11"/>
        <v>35088</v>
      </c>
      <c r="AM8" s="71">
        <f t="shared" si="11"/>
        <v>35088</v>
      </c>
      <c r="AN8" s="71">
        <f t="shared" si="11"/>
        <v>35088</v>
      </c>
      <c r="AO8" s="71">
        <f t="shared" si="11"/>
        <v>35088</v>
      </c>
      <c r="AP8" s="71">
        <f t="shared" si="11"/>
        <v>35088</v>
      </c>
      <c r="AQ8" s="71">
        <f t="shared" si="11"/>
        <v>35088</v>
      </c>
      <c r="AR8" s="71">
        <f t="shared" si="11"/>
        <v>35088</v>
      </c>
      <c r="AS8" s="71">
        <f t="shared" si="11"/>
        <v>35088</v>
      </c>
      <c r="AT8" s="71">
        <f t="shared" si="11"/>
        <v>35088</v>
      </c>
      <c r="AU8" s="167">
        <f t="shared" si="11"/>
        <v>35088</v>
      </c>
      <c r="AV8" s="168">
        <f t="shared" si="5"/>
        <v>43108</v>
      </c>
    </row>
    <row r="9" ht="18.0" customHeight="1">
      <c r="A9" s="169" t="s">
        <v>12</v>
      </c>
      <c r="B9" s="169" t="s">
        <v>7</v>
      </c>
      <c r="C9" s="170" t="s">
        <v>8</v>
      </c>
      <c r="D9" s="47">
        <v>10891.0</v>
      </c>
      <c r="E9" s="171">
        <v>9635.0</v>
      </c>
      <c r="F9" s="171">
        <v>18211.0</v>
      </c>
      <c r="G9" s="120">
        <v>18466.0</v>
      </c>
      <c r="H9" s="120">
        <v>26148.0</v>
      </c>
      <c r="I9" s="120">
        <v>31814.0</v>
      </c>
      <c r="J9" s="120">
        <v>27166.0</v>
      </c>
      <c r="K9" s="120">
        <v>33021.0</v>
      </c>
      <c r="L9" s="120">
        <v>29341.0</v>
      </c>
      <c r="M9" s="120">
        <v>18006.0</v>
      </c>
      <c r="N9" s="120"/>
      <c r="O9" s="172"/>
      <c r="P9" s="173"/>
      <c r="Q9" s="174">
        <v>0.0</v>
      </c>
      <c r="R9" s="174">
        <v>0.0</v>
      </c>
      <c r="S9" s="174">
        <v>1614.0</v>
      </c>
      <c r="T9" s="174">
        <v>0.0</v>
      </c>
      <c r="U9" s="174">
        <v>1240.0</v>
      </c>
      <c r="V9" s="174">
        <v>0.0</v>
      </c>
      <c r="W9" s="174">
        <v>940.0</v>
      </c>
      <c r="X9" s="174">
        <v>0.0</v>
      </c>
      <c r="Y9" s="174">
        <v>0.0</v>
      </c>
      <c r="Z9" s="174">
        <v>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3794</v>
      </c>
    </row>
    <row r="10" ht="18.0" customHeight="1">
      <c r="A10" s="28"/>
      <c r="B10" s="29"/>
      <c r="C10" s="175" t="s">
        <v>9</v>
      </c>
      <c r="D10" s="176">
        <v>52896.0</v>
      </c>
      <c r="E10" s="177">
        <v>87098.0</v>
      </c>
      <c r="F10" s="177">
        <v>75196.0</v>
      </c>
      <c r="G10" s="178">
        <v>64764.0</v>
      </c>
      <c r="H10" s="178">
        <v>69824.0</v>
      </c>
      <c r="I10" s="178">
        <v>68740.0</v>
      </c>
      <c r="J10" s="178">
        <v>53124.0</v>
      </c>
      <c r="K10" s="178">
        <v>62772.0</v>
      </c>
      <c r="L10" s="178">
        <v>62870.0</v>
      </c>
      <c r="M10" s="178">
        <v>90970.0</v>
      </c>
      <c r="N10" s="178"/>
      <c r="O10" s="179"/>
      <c r="P10" s="180"/>
      <c r="Q10" s="181">
        <v>0.0</v>
      </c>
      <c r="R10" s="181">
        <v>0.0</v>
      </c>
      <c r="S10" s="181">
        <v>20384.0</v>
      </c>
      <c r="T10" s="181">
        <v>840.0</v>
      </c>
      <c r="U10" s="181">
        <v>0.0</v>
      </c>
      <c r="V10" s="181">
        <v>0.0</v>
      </c>
      <c r="W10" s="181">
        <v>4780.0</v>
      </c>
      <c r="X10" s="181">
        <v>0.0</v>
      </c>
      <c r="Y10" s="181">
        <v>0.0</v>
      </c>
      <c r="Z10" s="181">
        <v>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26004</v>
      </c>
    </row>
    <row r="11" ht="18.0" customHeight="1">
      <c r="A11" s="28"/>
      <c r="B11" s="182" t="s">
        <v>10</v>
      </c>
      <c r="C11" s="183" t="s">
        <v>8</v>
      </c>
      <c r="D11" s="184">
        <v>24523.0</v>
      </c>
      <c r="E11" s="185">
        <v>23172.0</v>
      </c>
      <c r="F11" s="185">
        <v>18656.0</v>
      </c>
      <c r="G11" s="126">
        <v>14705.0</v>
      </c>
      <c r="H11" s="126">
        <v>39992.0</v>
      </c>
      <c r="I11" s="126">
        <v>25542.0</v>
      </c>
      <c r="J11" s="126">
        <v>20268.0</v>
      </c>
      <c r="K11" s="126">
        <v>18465.0</v>
      </c>
      <c r="L11" s="126">
        <v>42951.0</v>
      </c>
      <c r="M11" s="126">
        <v>35551.0</v>
      </c>
      <c r="N11" s="126"/>
      <c r="O11" s="186"/>
      <c r="P11" s="187"/>
      <c r="Q11" s="174">
        <v>0.0</v>
      </c>
      <c r="R11" s="174">
        <v>0.0</v>
      </c>
      <c r="S11" s="174">
        <v>1068.0</v>
      </c>
      <c r="T11" s="174">
        <v>2000.0</v>
      </c>
      <c r="U11" s="174">
        <v>1184.0</v>
      </c>
      <c r="V11" s="174">
        <v>288.0</v>
      </c>
      <c r="W11" s="174">
        <v>88.0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4628</v>
      </c>
    </row>
    <row r="12" ht="18.0" customHeight="1">
      <c r="A12" s="28"/>
      <c r="B12" s="40"/>
      <c r="C12" s="188" t="s">
        <v>9</v>
      </c>
      <c r="D12" s="189">
        <v>200609.0</v>
      </c>
      <c r="E12" s="190">
        <v>282429.0</v>
      </c>
      <c r="F12" s="190">
        <v>245040.0</v>
      </c>
      <c r="G12" s="191">
        <v>317982.0</v>
      </c>
      <c r="H12" s="191">
        <v>259888.0</v>
      </c>
      <c r="I12" s="191">
        <v>309179.0</v>
      </c>
      <c r="J12" s="191">
        <v>315007.0</v>
      </c>
      <c r="K12" s="191">
        <v>223946.0</v>
      </c>
      <c r="L12" s="191">
        <v>351915.0</v>
      </c>
      <c r="M12" s="191">
        <v>179778.0</v>
      </c>
      <c r="N12" s="191"/>
      <c r="O12" s="192"/>
      <c r="P12" s="193"/>
      <c r="Q12" s="181">
        <v>0.0</v>
      </c>
      <c r="R12" s="181">
        <v>0.0</v>
      </c>
      <c r="S12" s="181">
        <v>49592.0</v>
      </c>
      <c r="T12" s="181">
        <v>16704.0</v>
      </c>
      <c r="U12" s="181">
        <v>40220.0</v>
      </c>
      <c r="V12" s="181">
        <v>8580.0</v>
      </c>
      <c r="W12" s="181">
        <v>600.0</v>
      </c>
      <c r="X12" s="181">
        <v>0.0</v>
      </c>
      <c r="Y12" s="181">
        <v>0.0</v>
      </c>
      <c r="Z12" s="181">
        <v>1120.0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116816</v>
      </c>
    </row>
    <row r="13" ht="18.0" customHeight="1">
      <c r="A13" s="29"/>
      <c r="B13" s="195" t="s">
        <v>11</v>
      </c>
      <c r="C13" s="196" t="s">
        <v>9</v>
      </c>
      <c r="D13" s="197">
        <v>58016.0</v>
      </c>
      <c r="E13" s="198">
        <v>101328.0</v>
      </c>
      <c r="F13" s="198">
        <v>3360.0</v>
      </c>
      <c r="G13" s="135">
        <v>57888.0</v>
      </c>
      <c r="H13" s="135">
        <v>69684.0</v>
      </c>
      <c r="I13" s="135">
        <v>92800.0</v>
      </c>
      <c r="J13" s="135">
        <v>31440.0</v>
      </c>
      <c r="K13" s="135">
        <v>45312.0</v>
      </c>
      <c r="L13" s="135">
        <v>37264.0</v>
      </c>
      <c r="M13" s="135">
        <v>71168.0</v>
      </c>
      <c r="N13" s="135"/>
      <c r="O13" s="199"/>
      <c r="P13" s="200"/>
      <c r="Q13" s="174">
        <v>0.0</v>
      </c>
      <c r="R13" s="174">
        <v>0.0</v>
      </c>
      <c r="S13" s="174">
        <v>3328.0</v>
      </c>
      <c r="T13" s="174">
        <v>12480.0</v>
      </c>
      <c r="U13" s="174">
        <v>0.0</v>
      </c>
      <c r="V13" s="174">
        <v>0.0</v>
      </c>
      <c r="W13" s="174">
        <v>0.0</v>
      </c>
      <c r="X13" s="174">
        <v>0.0</v>
      </c>
      <c r="Y13" s="174">
        <v>0.0</v>
      </c>
      <c r="Z13" s="174">
        <v>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15808</v>
      </c>
    </row>
    <row r="14" ht="18.0" customHeight="1">
      <c r="A14" s="169" t="s">
        <v>13</v>
      </c>
      <c r="B14" s="169" t="s">
        <v>7</v>
      </c>
      <c r="C14" s="170" t="s">
        <v>8</v>
      </c>
      <c r="D14" s="201">
        <v>35496.0</v>
      </c>
      <c r="E14" s="171">
        <v>32774.0</v>
      </c>
      <c r="F14" s="171">
        <v>34839.0</v>
      </c>
      <c r="G14" s="120">
        <v>38060.0</v>
      </c>
      <c r="H14" s="120">
        <v>51936.0</v>
      </c>
      <c r="I14" s="120">
        <v>52014.0</v>
      </c>
      <c r="J14" s="120">
        <v>55138.0</v>
      </c>
      <c r="K14" s="120">
        <v>56914.0</v>
      </c>
      <c r="L14" s="120">
        <v>54780.0</v>
      </c>
      <c r="M14" s="120">
        <v>38484.0</v>
      </c>
      <c r="N14" s="120"/>
      <c r="O14" s="172"/>
      <c r="P14" s="173"/>
      <c r="Q14" s="174">
        <v>0.0</v>
      </c>
      <c r="R14" s="174">
        <v>0.0</v>
      </c>
      <c r="S14" s="174">
        <v>4500.0</v>
      </c>
      <c r="T14" s="174">
        <v>1116.0</v>
      </c>
      <c r="U14" s="174">
        <v>9154.0</v>
      </c>
      <c r="V14" s="174">
        <v>3560.0</v>
      </c>
      <c r="W14" s="174">
        <v>2532.0</v>
      </c>
      <c r="X14" s="174">
        <v>0.0</v>
      </c>
      <c r="Y14" s="174">
        <v>0.0</v>
      </c>
      <c r="Z14" s="174">
        <v>60.0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20922</v>
      </c>
    </row>
    <row r="15" ht="18.0" customHeight="1">
      <c r="A15" s="28"/>
      <c r="B15" s="29"/>
      <c r="C15" s="175" t="s">
        <v>9</v>
      </c>
      <c r="D15" s="176">
        <v>22276.0</v>
      </c>
      <c r="E15" s="177">
        <v>47120.0</v>
      </c>
      <c r="F15" s="177">
        <v>19712.0</v>
      </c>
      <c r="G15" s="178">
        <v>27560.0</v>
      </c>
      <c r="H15" s="178">
        <v>30364.0</v>
      </c>
      <c r="I15" s="178">
        <v>34896.0</v>
      </c>
      <c r="J15" s="178">
        <v>18396.0</v>
      </c>
      <c r="K15" s="178">
        <v>26508.0</v>
      </c>
      <c r="L15" s="178">
        <v>27800.0</v>
      </c>
      <c r="M15" s="178">
        <v>51560.0</v>
      </c>
      <c r="N15" s="178"/>
      <c r="O15" s="179"/>
      <c r="P15" s="180"/>
      <c r="Q15" s="181">
        <v>0.0</v>
      </c>
      <c r="R15" s="181">
        <v>0.0</v>
      </c>
      <c r="S15" s="181">
        <v>5024.0</v>
      </c>
      <c r="T15" s="181">
        <v>40.0</v>
      </c>
      <c r="U15" s="181">
        <v>468.0</v>
      </c>
      <c r="V15" s="181">
        <v>0.0</v>
      </c>
      <c r="W15" s="181">
        <v>152.0</v>
      </c>
      <c r="X15" s="181">
        <v>0.0</v>
      </c>
      <c r="Y15" s="181">
        <v>0.0</v>
      </c>
      <c r="Z15" s="181">
        <v>400.0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59">
        <f t="shared" si="12"/>
        <v>6084</v>
      </c>
    </row>
    <row r="16" ht="18.75" customHeight="1">
      <c r="A16" s="28"/>
      <c r="B16" s="182" t="s">
        <v>10</v>
      </c>
      <c r="C16" s="183" t="s">
        <v>8</v>
      </c>
      <c r="D16" s="184">
        <v>33303.0</v>
      </c>
      <c r="E16" s="185">
        <v>23712.0</v>
      </c>
      <c r="F16" s="185">
        <v>28079.0</v>
      </c>
      <c r="G16" s="126">
        <v>23523.0</v>
      </c>
      <c r="H16" s="126">
        <v>26356.0</v>
      </c>
      <c r="I16" s="126">
        <v>28900.0</v>
      </c>
      <c r="J16" s="126">
        <v>26561.0</v>
      </c>
      <c r="K16" s="126">
        <v>23780.0</v>
      </c>
      <c r="L16" s="126">
        <v>48996.0</v>
      </c>
      <c r="M16" s="126">
        <v>43531.0</v>
      </c>
      <c r="N16" s="126"/>
      <c r="O16" s="186"/>
      <c r="P16" s="187"/>
      <c r="Q16" s="174">
        <v>0.0</v>
      </c>
      <c r="R16" s="174">
        <v>0.0</v>
      </c>
      <c r="S16" s="174">
        <v>9315.0</v>
      </c>
      <c r="T16" s="174">
        <v>1013.0</v>
      </c>
      <c r="U16" s="174">
        <v>60.0</v>
      </c>
      <c r="V16" s="174">
        <v>739.0</v>
      </c>
      <c r="W16" s="174">
        <v>4444.0</v>
      </c>
      <c r="X16" s="174">
        <v>0.0</v>
      </c>
      <c r="Y16" s="174">
        <v>0.0</v>
      </c>
      <c r="Z16" s="174">
        <v>1556.0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17127</v>
      </c>
    </row>
    <row r="17" ht="18.0" customHeight="1">
      <c r="A17" s="28"/>
      <c r="B17" s="40"/>
      <c r="C17" s="188" t="s">
        <v>9</v>
      </c>
      <c r="D17" s="189">
        <v>232716.0</v>
      </c>
      <c r="E17" s="190">
        <v>244216.0</v>
      </c>
      <c r="F17" s="190">
        <v>261400.0</v>
      </c>
      <c r="G17" s="191">
        <v>313286.0</v>
      </c>
      <c r="H17" s="191">
        <v>263698.0</v>
      </c>
      <c r="I17" s="191">
        <v>280023.0</v>
      </c>
      <c r="J17" s="191">
        <v>260404.0</v>
      </c>
      <c r="K17" s="191">
        <v>273799.0</v>
      </c>
      <c r="L17" s="191">
        <v>292430.0</v>
      </c>
      <c r="M17" s="191">
        <v>225723.0</v>
      </c>
      <c r="N17" s="191"/>
      <c r="O17" s="192"/>
      <c r="P17" s="193"/>
      <c r="Q17" s="181">
        <v>0.0</v>
      </c>
      <c r="R17" s="181">
        <v>0.0</v>
      </c>
      <c r="S17" s="181">
        <v>26399.0</v>
      </c>
      <c r="T17" s="181">
        <v>13804.0</v>
      </c>
      <c r="U17" s="181">
        <v>20000.0</v>
      </c>
      <c r="V17" s="181">
        <v>11428.0</v>
      </c>
      <c r="W17" s="181">
        <v>16240.0</v>
      </c>
      <c r="X17" s="181">
        <v>0.0</v>
      </c>
      <c r="Y17" s="181">
        <v>0.0</v>
      </c>
      <c r="Z17" s="181">
        <v>10448.0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61">
        <f t="shared" si="12"/>
        <v>98319</v>
      </c>
    </row>
    <row r="18" ht="18.0" customHeight="1">
      <c r="A18" s="29"/>
      <c r="B18" s="195" t="s">
        <v>11</v>
      </c>
      <c r="C18" s="196" t="s">
        <v>9</v>
      </c>
      <c r="D18" s="197">
        <v>60388.0</v>
      </c>
      <c r="E18" s="198">
        <v>41168.0</v>
      </c>
      <c r="F18" s="198">
        <v>49104.0</v>
      </c>
      <c r="G18" s="135">
        <v>64452.0</v>
      </c>
      <c r="H18" s="135">
        <v>48764.0</v>
      </c>
      <c r="I18" s="135">
        <v>44264.0</v>
      </c>
      <c r="J18" s="135">
        <v>66020.0</v>
      </c>
      <c r="K18" s="135">
        <v>43968.0</v>
      </c>
      <c r="L18" s="135">
        <v>62112.0</v>
      </c>
      <c r="M18" s="135">
        <v>32972.0</v>
      </c>
      <c r="N18" s="135"/>
      <c r="O18" s="199"/>
      <c r="P18" s="200"/>
      <c r="Q18" s="202">
        <v>0.0</v>
      </c>
      <c r="R18" s="202">
        <v>0.0</v>
      </c>
      <c r="S18" s="202">
        <v>23828.0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0.0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23828</v>
      </c>
    </row>
    <row r="19" ht="18.0" customHeight="1">
      <c r="A19" s="17" t="s">
        <v>14</v>
      </c>
      <c r="B19" s="17" t="s">
        <v>7</v>
      </c>
      <c r="C19" s="94" t="s">
        <v>8</v>
      </c>
      <c r="D19" s="201">
        <v>-23494.0</v>
      </c>
      <c r="E19" s="171">
        <v>-22571.0</v>
      </c>
      <c r="F19" s="171">
        <v>-22588.0</v>
      </c>
      <c r="G19" s="120">
        <v>-24758.0</v>
      </c>
      <c r="H19" s="120">
        <v>-20184.0</v>
      </c>
      <c r="I19" s="120">
        <v>-22404.0</v>
      </c>
      <c r="J19" s="120">
        <v>-29331.0</v>
      </c>
      <c r="K19" s="120">
        <v>-23106.0</v>
      </c>
      <c r="L19" s="120">
        <v>-23759.0</v>
      </c>
      <c r="M19" s="120">
        <v>-16746.0</v>
      </c>
      <c r="N19" s="120"/>
      <c r="O19" s="1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>
        <v>0.0</v>
      </c>
      <c r="AV19" s="52">
        <f t="shared" si="12"/>
        <v>0</v>
      </c>
    </row>
    <row r="20" ht="18.0" customHeight="1">
      <c r="A20" s="28"/>
      <c r="B20" s="29"/>
      <c r="C20" s="100" t="s">
        <v>9</v>
      </c>
      <c r="D20" s="176">
        <v>32052.0</v>
      </c>
      <c r="E20" s="177">
        <v>39888.0</v>
      </c>
      <c r="F20" s="177">
        <v>44348.0</v>
      </c>
      <c r="G20" s="178">
        <v>41796.0</v>
      </c>
      <c r="H20" s="178">
        <v>43728.0</v>
      </c>
      <c r="I20" s="178">
        <v>40944.0</v>
      </c>
      <c r="J20" s="178">
        <v>35308.0</v>
      </c>
      <c r="K20" s="178">
        <v>35240.0</v>
      </c>
      <c r="L20" s="178">
        <v>35628.0</v>
      </c>
      <c r="M20" s="178">
        <v>42812.0</v>
      </c>
      <c r="N20" s="178"/>
      <c r="O20" s="179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>
        <v>0.0</v>
      </c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184">
        <v>-9830.0</v>
      </c>
      <c r="E21" s="185">
        <v>-6977.0</v>
      </c>
      <c r="F21" s="185">
        <v>-9013.0</v>
      </c>
      <c r="G21" s="126">
        <v>-4421.0</v>
      </c>
      <c r="H21" s="126">
        <v>16599.0</v>
      </c>
      <c r="I21" s="126">
        <v>-4091.0</v>
      </c>
      <c r="J21" s="126">
        <v>-5310.0</v>
      </c>
      <c r="K21" s="126">
        <v>-4280.0</v>
      </c>
      <c r="L21" s="126">
        <v>-13777.0</v>
      </c>
      <c r="M21" s="126">
        <v>-6899.0</v>
      </c>
      <c r="N21" s="126"/>
      <c r="O21" s="186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>
        <v>0.0</v>
      </c>
      <c r="AV21" s="78">
        <f t="shared" si="12"/>
        <v>0</v>
      </c>
    </row>
    <row r="22" ht="18.0" customHeight="1">
      <c r="A22" s="28"/>
      <c r="B22" s="40"/>
      <c r="C22" s="209" t="s">
        <v>9</v>
      </c>
      <c r="D22" s="189">
        <v>951.0</v>
      </c>
      <c r="E22" s="190">
        <v>-5308.0</v>
      </c>
      <c r="F22" s="190">
        <v>1169.0</v>
      </c>
      <c r="G22" s="191">
        <v>8047.0</v>
      </c>
      <c r="H22" s="191">
        <v>-1376.0</v>
      </c>
      <c r="I22" s="191">
        <v>35744.0</v>
      </c>
      <c r="J22" s="191">
        <v>10394.0</v>
      </c>
      <c r="K22" s="191">
        <v>15807.0</v>
      </c>
      <c r="L22" s="191">
        <v>12655.0</v>
      </c>
      <c r="M22" s="191">
        <v>-8963.0</v>
      </c>
      <c r="N22" s="191"/>
      <c r="O22" s="192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>
        <v>0.0</v>
      </c>
      <c r="AV22" s="194">
        <f t="shared" si="12"/>
        <v>0</v>
      </c>
      <c r="AW22" s="212"/>
    </row>
    <row r="23" ht="18.0" customHeight="1">
      <c r="A23" s="29"/>
      <c r="B23" s="43" t="s">
        <v>11</v>
      </c>
      <c r="C23" s="213" t="s">
        <v>9</v>
      </c>
      <c r="D23" s="197">
        <v>12064.0</v>
      </c>
      <c r="E23" s="198">
        <v>5400.0</v>
      </c>
      <c r="F23" s="198">
        <v>1248.0</v>
      </c>
      <c r="G23" s="135">
        <v>0.0</v>
      </c>
      <c r="H23" s="135">
        <v>2056.0</v>
      </c>
      <c r="I23" s="135">
        <v>5200.0</v>
      </c>
      <c r="J23" s="135">
        <v>22256.0</v>
      </c>
      <c r="K23" s="135">
        <v>684.0</v>
      </c>
      <c r="L23" s="135">
        <v>13272.0</v>
      </c>
      <c r="M23" s="135">
        <v>2288.0</v>
      </c>
      <c r="N23" s="214"/>
      <c r="O23" s="215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>
        <v>0.0</v>
      </c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9008</v>
      </c>
      <c r="E24" s="20">
        <f t="shared" si="13"/>
        <v>8440</v>
      </c>
      <c r="F24" s="20">
        <f t="shared" si="13"/>
        <v>14400</v>
      </c>
      <c r="G24" s="20">
        <f t="shared" si="13"/>
        <v>19564</v>
      </c>
      <c r="H24" s="20">
        <f t="shared" si="13"/>
        <v>13960</v>
      </c>
      <c r="I24" s="20">
        <f t="shared" si="13"/>
        <v>16164</v>
      </c>
      <c r="J24" s="20">
        <f t="shared" si="13"/>
        <v>17523</v>
      </c>
      <c r="K24" s="20">
        <f t="shared" si="13"/>
        <v>16736</v>
      </c>
      <c r="L24" s="20">
        <f t="shared" si="13"/>
        <v>15056</v>
      </c>
      <c r="M24" s="20">
        <f t="shared" si="13"/>
        <v>11324</v>
      </c>
      <c r="N24" s="20">
        <f t="shared" si="13"/>
        <v>11324</v>
      </c>
      <c r="O24" s="21">
        <f t="shared" si="13"/>
        <v>11324</v>
      </c>
      <c r="P24" s="218">
        <f t="shared" si="13"/>
        <v>11324</v>
      </c>
      <c r="Q24" s="74">
        <f t="shared" si="13"/>
        <v>11324</v>
      </c>
      <c r="R24" s="66">
        <f t="shared" si="13"/>
        <v>11324</v>
      </c>
      <c r="S24" s="66">
        <f t="shared" si="13"/>
        <v>8438</v>
      </c>
      <c r="T24" s="66">
        <f t="shared" si="13"/>
        <v>7322</v>
      </c>
      <c r="U24" s="66">
        <f t="shared" si="13"/>
        <v>-592</v>
      </c>
      <c r="V24" s="66">
        <f t="shared" si="13"/>
        <v>-4152</v>
      </c>
      <c r="W24" s="66">
        <f t="shared" si="13"/>
        <v>-5744</v>
      </c>
      <c r="X24" s="66">
        <f t="shared" si="13"/>
        <v>-5744</v>
      </c>
      <c r="Y24" s="66">
        <f t="shared" si="13"/>
        <v>-5744</v>
      </c>
      <c r="Z24" s="66">
        <f t="shared" si="13"/>
        <v>-5804</v>
      </c>
      <c r="AA24" s="66">
        <f t="shared" si="13"/>
        <v>-5804</v>
      </c>
      <c r="AB24" s="66">
        <f t="shared" si="13"/>
        <v>-5804</v>
      </c>
      <c r="AC24" s="66">
        <f t="shared" si="13"/>
        <v>-5804</v>
      </c>
      <c r="AD24" s="66">
        <f t="shared" si="13"/>
        <v>-5804</v>
      </c>
      <c r="AE24" s="66">
        <f t="shared" si="13"/>
        <v>-5804</v>
      </c>
      <c r="AF24" s="66">
        <f t="shared" si="13"/>
        <v>-5804</v>
      </c>
      <c r="AG24" s="66">
        <f t="shared" si="13"/>
        <v>-5804</v>
      </c>
      <c r="AH24" s="66">
        <f t="shared" si="13"/>
        <v>-5804</v>
      </c>
      <c r="AI24" s="66">
        <f t="shared" si="13"/>
        <v>-5804</v>
      </c>
      <c r="AJ24" s="66">
        <f t="shared" si="13"/>
        <v>-5804</v>
      </c>
      <c r="AK24" s="66">
        <f t="shared" si="13"/>
        <v>-5804</v>
      </c>
      <c r="AL24" s="66">
        <f t="shared" si="13"/>
        <v>-5804</v>
      </c>
      <c r="AM24" s="66">
        <f t="shared" si="13"/>
        <v>-5804</v>
      </c>
      <c r="AN24" s="66">
        <f t="shared" si="13"/>
        <v>-5804</v>
      </c>
      <c r="AO24" s="66">
        <f t="shared" si="13"/>
        <v>-5804</v>
      </c>
      <c r="AP24" s="66">
        <f t="shared" si="13"/>
        <v>-5804</v>
      </c>
      <c r="AQ24" s="66">
        <f t="shared" si="13"/>
        <v>-5804</v>
      </c>
      <c r="AR24" s="66">
        <f t="shared" si="13"/>
        <v>-5804</v>
      </c>
      <c r="AS24" s="66">
        <f t="shared" si="13"/>
        <v>-5804</v>
      </c>
      <c r="AT24" s="66">
        <f t="shared" si="13"/>
        <v>-5804</v>
      </c>
      <c r="AU24" s="219">
        <f t="shared" si="13"/>
        <v>-5804</v>
      </c>
      <c r="AV24" s="220">
        <f t="shared" si="13"/>
        <v>-5804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12889</v>
      </c>
      <c r="E25" s="222">
        <f t="shared" si="14"/>
        <v>12979</v>
      </c>
      <c r="F25" s="222">
        <f t="shared" si="14"/>
        <v>24115</v>
      </c>
      <c r="G25" s="222">
        <f t="shared" si="14"/>
        <v>19523</v>
      </c>
      <c r="H25" s="222">
        <f t="shared" si="14"/>
        <v>15255</v>
      </c>
      <c r="I25" s="222">
        <f t="shared" si="14"/>
        <v>8155</v>
      </c>
      <c r="J25" s="222">
        <f t="shared" si="14"/>
        <v>7575</v>
      </c>
      <c r="K25" s="222">
        <f t="shared" si="14"/>
        <v>8599</v>
      </c>
      <c r="L25" s="222">
        <f t="shared" si="14"/>
        <v>8041</v>
      </c>
      <c r="M25" s="222">
        <f t="shared" si="14"/>
        <v>4639</v>
      </c>
      <c r="N25" s="222">
        <f t="shared" si="14"/>
        <v>4639</v>
      </c>
      <c r="O25" s="223">
        <f t="shared" si="14"/>
        <v>4639</v>
      </c>
      <c r="P25" s="224">
        <f t="shared" si="14"/>
        <v>4639</v>
      </c>
      <c r="Q25" s="35">
        <f t="shared" si="14"/>
        <v>4639</v>
      </c>
      <c r="R25" s="36">
        <f t="shared" si="14"/>
        <v>4639</v>
      </c>
      <c r="S25" s="36">
        <f t="shared" si="14"/>
        <v>19999</v>
      </c>
      <c r="T25" s="36">
        <f t="shared" si="14"/>
        <v>20799</v>
      </c>
      <c r="U25" s="36">
        <f t="shared" si="14"/>
        <v>20331</v>
      </c>
      <c r="V25" s="36">
        <f t="shared" si="14"/>
        <v>20331</v>
      </c>
      <c r="W25" s="36">
        <f t="shared" si="14"/>
        <v>24959</v>
      </c>
      <c r="X25" s="36">
        <f t="shared" si="14"/>
        <v>24959</v>
      </c>
      <c r="Y25" s="36">
        <f t="shared" si="14"/>
        <v>24959</v>
      </c>
      <c r="Z25" s="36">
        <f t="shared" si="14"/>
        <v>24559</v>
      </c>
      <c r="AA25" s="36">
        <f t="shared" si="14"/>
        <v>24559</v>
      </c>
      <c r="AB25" s="36">
        <f t="shared" si="14"/>
        <v>24559</v>
      </c>
      <c r="AC25" s="36">
        <f t="shared" si="14"/>
        <v>24559</v>
      </c>
      <c r="AD25" s="36">
        <f t="shared" si="14"/>
        <v>24559</v>
      </c>
      <c r="AE25" s="36">
        <f t="shared" si="14"/>
        <v>24559</v>
      </c>
      <c r="AF25" s="36">
        <f t="shared" si="14"/>
        <v>24559</v>
      </c>
      <c r="AG25" s="36">
        <f t="shared" si="14"/>
        <v>24559</v>
      </c>
      <c r="AH25" s="36">
        <f t="shared" si="14"/>
        <v>24559</v>
      </c>
      <c r="AI25" s="36">
        <f t="shared" si="14"/>
        <v>24559</v>
      </c>
      <c r="AJ25" s="36">
        <f t="shared" si="14"/>
        <v>24559</v>
      </c>
      <c r="AK25" s="36">
        <f t="shared" si="14"/>
        <v>24559</v>
      </c>
      <c r="AL25" s="36">
        <f t="shared" si="14"/>
        <v>24559</v>
      </c>
      <c r="AM25" s="36">
        <f t="shared" si="14"/>
        <v>24559</v>
      </c>
      <c r="AN25" s="36">
        <f t="shared" si="14"/>
        <v>24559</v>
      </c>
      <c r="AO25" s="36">
        <f t="shared" si="14"/>
        <v>24559</v>
      </c>
      <c r="AP25" s="36">
        <f t="shared" si="14"/>
        <v>24559</v>
      </c>
      <c r="AQ25" s="36">
        <f t="shared" si="14"/>
        <v>24559</v>
      </c>
      <c r="AR25" s="36">
        <f t="shared" si="14"/>
        <v>24559</v>
      </c>
      <c r="AS25" s="36">
        <f t="shared" si="14"/>
        <v>24559</v>
      </c>
      <c r="AT25" s="36">
        <f t="shared" si="14"/>
        <v>24559</v>
      </c>
      <c r="AU25" s="162">
        <f t="shared" si="14"/>
        <v>24559</v>
      </c>
      <c r="AV25" s="225">
        <f t="shared" si="14"/>
        <v>24559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19963</v>
      </c>
      <c r="E26" s="32">
        <f t="shared" si="15"/>
        <v>26400</v>
      </c>
      <c r="F26" s="32">
        <f t="shared" si="15"/>
        <v>25990</v>
      </c>
      <c r="G26" s="32">
        <f t="shared" si="15"/>
        <v>21593</v>
      </c>
      <c r="H26" s="32">
        <f t="shared" si="15"/>
        <v>18630</v>
      </c>
      <c r="I26" s="32">
        <f t="shared" si="15"/>
        <v>19363</v>
      </c>
      <c r="J26" s="32">
        <f t="shared" si="15"/>
        <v>18380</v>
      </c>
      <c r="K26" s="32">
        <f t="shared" si="15"/>
        <v>17345</v>
      </c>
      <c r="L26" s="32">
        <f t="shared" si="15"/>
        <v>25077</v>
      </c>
      <c r="M26" s="32">
        <f t="shared" si="15"/>
        <v>23996</v>
      </c>
      <c r="N26" s="32">
        <f t="shared" si="15"/>
        <v>23996</v>
      </c>
      <c r="O26" s="33">
        <f t="shared" si="15"/>
        <v>23996</v>
      </c>
      <c r="P26" s="226">
        <f t="shared" si="15"/>
        <v>23996</v>
      </c>
      <c r="Q26" s="74">
        <f t="shared" si="15"/>
        <v>23996</v>
      </c>
      <c r="R26" s="66">
        <f t="shared" si="15"/>
        <v>23996</v>
      </c>
      <c r="S26" s="66">
        <f t="shared" si="15"/>
        <v>15749</v>
      </c>
      <c r="T26" s="66">
        <f t="shared" si="15"/>
        <v>16736</v>
      </c>
      <c r="U26" s="66">
        <f t="shared" si="15"/>
        <v>17860</v>
      </c>
      <c r="V26" s="66">
        <f t="shared" si="15"/>
        <v>17409</v>
      </c>
      <c r="W26" s="66">
        <f t="shared" si="15"/>
        <v>13053</v>
      </c>
      <c r="X26" s="66">
        <f t="shared" si="15"/>
        <v>13053</v>
      </c>
      <c r="Y26" s="66">
        <f t="shared" si="15"/>
        <v>13053</v>
      </c>
      <c r="Z26" s="66">
        <f t="shared" si="15"/>
        <v>11497</v>
      </c>
      <c r="AA26" s="66">
        <f t="shared" si="15"/>
        <v>11497</v>
      </c>
      <c r="AB26" s="66">
        <f t="shared" si="15"/>
        <v>11497</v>
      </c>
      <c r="AC26" s="66">
        <f t="shared" si="15"/>
        <v>11497</v>
      </c>
      <c r="AD26" s="66">
        <f t="shared" si="15"/>
        <v>11497</v>
      </c>
      <c r="AE26" s="66">
        <f t="shared" si="15"/>
        <v>11497</v>
      </c>
      <c r="AF26" s="66">
        <f t="shared" si="15"/>
        <v>11497</v>
      </c>
      <c r="AG26" s="66">
        <f t="shared" si="15"/>
        <v>11497</v>
      </c>
      <c r="AH26" s="66">
        <f t="shared" si="15"/>
        <v>11497</v>
      </c>
      <c r="AI26" s="66">
        <f t="shared" si="15"/>
        <v>11497</v>
      </c>
      <c r="AJ26" s="66">
        <f t="shared" si="15"/>
        <v>11497</v>
      </c>
      <c r="AK26" s="66">
        <f t="shared" si="15"/>
        <v>11497</v>
      </c>
      <c r="AL26" s="66">
        <f t="shared" si="15"/>
        <v>11497</v>
      </c>
      <c r="AM26" s="66">
        <f t="shared" si="15"/>
        <v>11497</v>
      </c>
      <c r="AN26" s="66">
        <f t="shared" si="15"/>
        <v>11497</v>
      </c>
      <c r="AO26" s="66">
        <f t="shared" si="15"/>
        <v>11497</v>
      </c>
      <c r="AP26" s="66">
        <f t="shared" si="15"/>
        <v>11497</v>
      </c>
      <c r="AQ26" s="66">
        <f t="shared" si="15"/>
        <v>11497</v>
      </c>
      <c r="AR26" s="66">
        <f t="shared" si="15"/>
        <v>11497</v>
      </c>
      <c r="AS26" s="66">
        <f t="shared" si="15"/>
        <v>11497</v>
      </c>
      <c r="AT26" s="66">
        <f t="shared" si="15"/>
        <v>11497</v>
      </c>
      <c r="AU26" s="219">
        <f t="shared" si="15"/>
        <v>11497</v>
      </c>
      <c r="AV26" s="227">
        <f t="shared" si="15"/>
        <v>11497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158027</v>
      </c>
      <c r="E27" s="222">
        <f t="shared" si="16"/>
        <v>201548</v>
      </c>
      <c r="F27" s="222">
        <f t="shared" si="16"/>
        <v>184019</v>
      </c>
      <c r="G27" s="222">
        <f t="shared" si="16"/>
        <v>180668</v>
      </c>
      <c r="H27" s="222">
        <f t="shared" si="16"/>
        <v>178234</v>
      </c>
      <c r="I27" s="222">
        <f t="shared" si="16"/>
        <v>171646</v>
      </c>
      <c r="J27" s="222">
        <f t="shared" si="16"/>
        <v>215855</v>
      </c>
      <c r="K27" s="222">
        <f t="shared" si="16"/>
        <v>150195</v>
      </c>
      <c r="L27" s="222">
        <f t="shared" si="16"/>
        <v>197025</v>
      </c>
      <c r="M27" s="222">
        <f t="shared" si="16"/>
        <v>160043</v>
      </c>
      <c r="N27" s="222">
        <f t="shared" si="16"/>
        <v>160043</v>
      </c>
      <c r="O27" s="223">
        <f t="shared" si="16"/>
        <v>160043</v>
      </c>
      <c r="P27" s="224">
        <f t="shared" si="16"/>
        <v>160043</v>
      </c>
      <c r="Q27" s="35">
        <f t="shared" si="16"/>
        <v>160043</v>
      </c>
      <c r="R27" s="36">
        <f t="shared" si="16"/>
        <v>160043</v>
      </c>
      <c r="S27" s="36">
        <f t="shared" si="16"/>
        <v>183236</v>
      </c>
      <c r="T27" s="36">
        <f t="shared" si="16"/>
        <v>186136</v>
      </c>
      <c r="U27" s="36">
        <f t="shared" si="16"/>
        <v>206356</v>
      </c>
      <c r="V27" s="36">
        <f t="shared" si="16"/>
        <v>203508</v>
      </c>
      <c r="W27" s="36">
        <f t="shared" si="16"/>
        <v>187868</v>
      </c>
      <c r="X27" s="36">
        <f t="shared" si="16"/>
        <v>187868</v>
      </c>
      <c r="Y27" s="36">
        <f t="shared" si="16"/>
        <v>187868</v>
      </c>
      <c r="Z27" s="36">
        <f t="shared" si="16"/>
        <v>178540</v>
      </c>
      <c r="AA27" s="36">
        <f t="shared" si="16"/>
        <v>178540</v>
      </c>
      <c r="AB27" s="36">
        <f t="shared" si="16"/>
        <v>178540</v>
      </c>
      <c r="AC27" s="36">
        <f t="shared" si="16"/>
        <v>178540</v>
      </c>
      <c r="AD27" s="36">
        <f t="shared" si="16"/>
        <v>178540</v>
      </c>
      <c r="AE27" s="36">
        <f t="shared" si="16"/>
        <v>178540</v>
      </c>
      <c r="AF27" s="36">
        <f t="shared" si="16"/>
        <v>178540</v>
      </c>
      <c r="AG27" s="36">
        <f t="shared" si="16"/>
        <v>178540</v>
      </c>
      <c r="AH27" s="36">
        <f t="shared" si="16"/>
        <v>178540</v>
      </c>
      <c r="AI27" s="36">
        <f t="shared" si="16"/>
        <v>178540</v>
      </c>
      <c r="AJ27" s="36">
        <f t="shared" si="16"/>
        <v>178540</v>
      </c>
      <c r="AK27" s="36">
        <f t="shared" si="16"/>
        <v>178540</v>
      </c>
      <c r="AL27" s="36">
        <f t="shared" si="16"/>
        <v>178540</v>
      </c>
      <c r="AM27" s="36">
        <f t="shared" si="16"/>
        <v>178540</v>
      </c>
      <c r="AN27" s="36">
        <f t="shared" si="16"/>
        <v>178540</v>
      </c>
      <c r="AO27" s="36">
        <f t="shared" si="16"/>
        <v>178540</v>
      </c>
      <c r="AP27" s="36">
        <f t="shared" si="16"/>
        <v>178540</v>
      </c>
      <c r="AQ27" s="36">
        <f t="shared" si="16"/>
        <v>178540</v>
      </c>
      <c r="AR27" s="36">
        <f t="shared" si="16"/>
        <v>178540</v>
      </c>
      <c r="AS27" s="36">
        <f t="shared" si="16"/>
        <v>178540</v>
      </c>
      <c r="AT27" s="36">
        <f t="shared" si="16"/>
        <v>178540</v>
      </c>
      <c r="AU27" s="162">
        <f t="shared" si="16"/>
        <v>178540</v>
      </c>
      <c r="AV27" s="228">
        <f t="shared" si="16"/>
        <v>178540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38092</v>
      </c>
      <c r="E28" s="230">
        <f t="shared" si="17"/>
        <v>92852</v>
      </c>
      <c r="F28" s="230">
        <f t="shared" si="17"/>
        <v>45860</v>
      </c>
      <c r="G28" s="230">
        <f t="shared" si="17"/>
        <v>39296</v>
      </c>
      <c r="H28" s="230">
        <f t="shared" si="17"/>
        <v>58160</v>
      </c>
      <c r="I28" s="230">
        <f t="shared" si="17"/>
        <v>101496</v>
      </c>
      <c r="J28" s="230">
        <f t="shared" si="17"/>
        <v>44660</v>
      </c>
      <c r="K28" s="230">
        <f t="shared" si="17"/>
        <v>45320</v>
      </c>
      <c r="L28" s="230">
        <f t="shared" si="17"/>
        <v>7200</v>
      </c>
      <c r="M28" s="230">
        <f t="shared" si="17"/>
        <v>43108</v>
      </c>
      <c r="N28" s="230">
        <f t="shared" si="17"/>
        <v>43108</v>
      </c>
      <c r="O28" s="231">
        <f t="shared" si="17"/>
        <v>43108</v>
      </c>
      <c r="P28" s="232">
        <f t="shared" si="17"/>
        <v>43108</v>
      </c>
      <c r="Q28" s="84">
        <f t="shared" si="17"/>
        <v>43108</v>
      </c>
      <c r="R28" s="71">
        <f t="shared" si="17"/>
        <v>43108</v>
      </c>
      <c r="S28" s="71">
        <f t="shared" si="17"/>
        <v>22608</v>
      </c>
      <c r="T28" s="71">
        <f t="shared" si="17"/>
        <v>35088</v>
      </c>
      <c r="U28" s="71">
        <f t="shared" si="17"/>
        <v>35088</v>
      </c>
      <c r="V28" s="71">
        <f t="shared" si="17"/>
        <v>35088</v>
      </c>
      <c r="W28" s="71">
        <f t="shared" si="17"/>
        <v>35088</v>
      </c>
      <c r="X28" s="71">
        <f t="shared" si="17"/>
        <v>35088</v>
      </c>
      <c r="Y28" s="71">
        <f t="shared" si="17"/>
        <v>35088</v>
      </c>
      <c r="Z28" s="71">
        <f t="shared" si="17"/>
        <v>35088</v>
      </c>
      <c r="AA28" s="71">
        <f t="shared" si="17"/>
        <v>35088</v>
      </c>
      <c r="AB28" s="71">
        <f t="shared" si="17"/>
        <v>35088</v>
      </c>
      <c r="AC28" s="71">
        <f t="shared" si="17"/>
        <v>35088</v>
      </c>
      <c r="AD28" s="71">
        <f t="shared" si="17"/>
        <v>35088</v>
      </c>
      <c r="AE28" s="71">
        <f t="shared" si="17"/>
        <v>35088</v>
      </c>
      <c r="AF28" s="71">
        <f t="shared" si="17"/>
        <v>35088</v>
      </c>
      <c r="AG28" s="71">
        <f t="shared" si="17"/>
        <v>35088</v>
      </c>
      <c r="AH28" s="71">
        <f t="shared" si="17"/>
        <v>35088</v>
      </c>
      <c r="AI28" s="71">
        <f t="shared" si="17"/>
        <v>35088</v>
      </c>
      <c r="AJ28" s="71">
        <f t="shared" si="17"/>
        <v>35088</v>
      </c>
      <c r="AK28" s="71">
        <f t="shared" si="17"/>
        <v>35088</v>
      </c>
      <c r="AL28" s="71">
        <f t="shared" si="17"/>
        <v>35088</v>
      </c>
      <c r="AM28" s="71">
        <f t="shared" si="17"/>
        <v>35088</v>
      </c>
      <c r="AN28" s="71">
        <f t="shared" si="17"/>
        <v>35088</v>
      </c>
      <c r="AO28" s="71">
        <f t="shared" si="17"/>
        <v>35088</v>
      </c>
      <c r="AP28" s="71">
        <f t="shared" si="17"/>
        <v>35088</v>
      </c>
      <c r="AQ28" s="71">
        <f t="shared" si="17"/>
        <v>35088</v>
      </c>
      <c r="AR28" s="71">
        <f t="shared" si="17"/>
        <v>35088</v>
      </c>
      <c r="AS28" s="71">
        <f t="shared" si="17"/>
        <v>35088</v>
      </c>
      <c r="AT28" s="71">
        <f t="shared" si="17"/>
        <v>35088</v>
      </c>
      <c r="AU28" s="167">
        <f t="shared" si="17"/>
        <v>35088</v>
      </c>
      <c r="AV28" s="228">
        <f t="shared" si="17"/>
        <v>35088</v>
      </c>
      <c r="AW28" s="27"/>
    </row>
    <row r="29" ht="18.0" customHeight="1">
      <c r="A29" s="1"/>
      <c r="B29" s="1"/>
      <c r="C29" s="1"/>
      <c r="D29" s="27">
        <f t="shared" ref="D29:AV29" si="18">SUM(D24:D28)</f>
        <v>237979</v>
      </c>
      <c r="E29" s="27">
        <f t="shared" si="18"/>
        <v>342219</v>
      </c>
      <c r="F29" s="27">
        <f t="shared" si="18"/>
        <v>294384</v>
      </c>
      <c r="G29" s="27">
        <f t="shared" si="18"/>
        <v>280644</v>
      </c>
      <c r="H29" s="27">
        <f t="shared" si="18"/>
        <v>284239</v>
      </c>
      <c r="I29" s="27">
        <f t="shared" si="18"/>
        <v>316824</v>
      </c>
      <c r="J29" s="27">
        <f t="shared" si="18"/>
        <v>303993</v>
      </c>
      <c r="K29" s="27">
        <f t="shared" si="18"/>
        <v>238195</v>
      </c>
      <c r="L29" s="27">
        <f t="shared" si="18"/>
        <v>252399</v>
      </c>
      <c r="M29" s="27">
        <f t="shared" si="18"/>
        <v>243110</v>
      </c>
      <c r="N29" s="27">
        <f t="shared" si="18"/>
        <v>243110</v>
      </c>
      <c r="O29" s="27">
        <f t="shared" si="18"/>
        <v>243110</v>
      </c>
      <c r="P29" s="27">
        <f t="shared" si="18"/>
        <v>243110</v>
      </c>
      <c r="Q29" s="27">
        <f t="shared" si="18"/>
        <v>243110</v>
      </c>
      <c r="R29" s="27">
        <f t="shared" si="18"/>
        <v>243110</v>
      </c>
      <c r="S29" s="27">
        <f t="shared" si="18"/>
        <v>250030</v>
      </c>
      <c r="T29" s="27">
        <f t="shared" si="18"/>
        <v>266081</v>
      </c>
      <c r="U29" s="27">
        <f t="shared" si="18"/>
        <v>279043</v>
      </c>
      <c r="V29" s="27">
        <f t="shared" si="18"/>
        <v>272184</v>
      </c>
      <c r="W29" s="27">
        <f t="shared" si="18"/>
        <v>255224</v>
      </c>
      <c r="X29" s="27">
        <f t="shared" si="18"/>
        <v>255224</v>
      </c>
      <c r="Y29" s="27">
        <f t="shared" si="18"/>
        <v>255224</v>
      </c>
      <c r="Z29" s="27">
        <f t="shared" si="18"/>
        <v>243880</v>
      </c>
      <c r="AA29" s="27">
        <f t="shared" si="18"/>
        <v>243880</v>
      </c>
      <c r="AB29" s="27">
        <f t="shared" si="18"/>
        <v>243880</v>
      </c>
      <c r="AC29" s="27">
        <f t="shared" si="18"/>
        <v>243880</v>
      </c>
      <c r="AD29" s="27">
        <f t="shared" si="18"/>
        <v>243880</v>
      </c>
      <c r="AE29" s="27">
        <f t="shared" si="18"/>
        <v>243880</v>
      </c>
      <c r="AF29" s="27">
        <f t="shared" si="18"/>
        <v>243880</v>
      </c>
      <c r="AG29" s="27">
        <f t="shared" si="18"/>
        <v>243880</v>
      </c>
      <c r="AH29" s="27">
        <f t="shared" si="18"/>
        <v>243880</v>
      </c>
      <c r="AI29" s="27">
        <f t="shared" si="18"/>
        <v>243880</v>
      </c>
      <c r="AJ29" s="27">
        <f t="shared" si="18"/>
        <v>243880</v>
      </c>
      <c r="AK29" s="27">
        <f t="shared" si="18"/>
        <v>243880</v>
      </c>
      <c r="AL29" s="27">
        <f t="shared" si="18"/>
        <v>243880</v>
      </c>
      <c r="AM29" s="27">
        <f t="shared" si="18"/>
        <v>243880</v>
      </c>
      <c r="AN29" s="27">
        <f t="shared" si="18"/>
        <v>243880</v>
      </c>
      <c r="AO29" s="27">
        <f t="shared" si="18"/>
        <v>243880</v>
      </c>
      <c r="AP29" s="27">
        <f t="shared" si="18"/>
        <v>243880</v>
      </c>
      <c r="AQ29" s="27">
        <f t="shared" si="18"/>
        <v>243880</v>
      </c>
      <c r="AR29" s="27">
        <f t="shared" si="18"/>
        <v>243880</v>
      </c>
      <c r="AS29" s="27">
        <f t="shared" si="18"/>
        <v>243880</v>
      </c>
      <c r="AT29" s="27">
        <f t="shared" si="18"/>
        <v>243880</v>
      </c>
      <c r="AU29" s="27">
        <f t="shared" si="18"/>
        <v>243880</v>
      </c>
      <c r="AV29" s="27">
        <f t="shared" si="18"/>
        <v>243880</v>
      </c>
    </row>
    <row r="30" ht="18.0" customHeight="1">
      <c r="A30" s="1"/>
      <c r="B30" s="1"/>
      <c r="C30" s="1"/>
      <c r="D30" s="1"/>
      <c r="E30" s="1"/>
      <c r="F30" s="1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142"/>
    </row>
    <row r="31" ht="18.0" customHeight="1">
      <c r="A31" s="93" t="s">
        <v>16</v>
      </c>
      <c r="B31" s="17" t="s">
        <v>7</v>
      </c>
      <c r="C31" s="94" t="s">
        <v>8</v>
      </c>
      <c r="D31" s="233">
        <v>50.595</v>
      </c>
      <c r="E31" s="234">
        <f t="shared" ref="E31:AV31" si="19">E24/200</f>
        <v>42.2</v>
      </c>
      <c r="F31" s="234">
        <f t="shared" si="19"/>
        <v>72</v>
      </c>
      <c r="G31" s="234">
        <f t="shared" si="19"/>
        <v>97.82</v>
      </c>
      <c r="H31" s="234">
        <f t="shared" si="19"/>
        <v>69.8</v>
      </c>
      <c r="I31" s="234">
        <f t="shared" si="19"/>
        <v>80.82</v>
      </c>
      <c r="J31" s="234">
        <f t="shared" si="19"/>
        <v>87.615</v>
      </c>
      <c r="K31" s="234">
        <f t="shared" si="19"/>
        <v>83.68</v>
      </c>
      <c r="L31" s="234">
        <f t="shared" si="19"/>
        <v>75.28</v>
      </c>
      <c r="M31" s="234">
        <f t="shared" si="19"/>
        <v>56.62</v>
      </c>
      <c r="N31" s="234">
        <f t="shared" si="19"/>
        <v>56.62</v>
      </c>
      <c r="O31" s="235">
        <f t="shared" si="19"/>
        <v>56.62</v>
      </c>
      <c r="P31" s="236">
        <f t="shared" si="19"/>
        <v>56.62</v>
      </c>
      <c r="Q31" s="201">
        <f t="shared" si="19"/>
        <v>56.62</v>
      </c>
      <c r="R31" s="171">
        <f t="shared" si="19"/>
        <v>56.62</v>
      </c>
      <c r="S31" s="171">
        <f t="shared" si="19"/>
        <v>42.19</v>
      </c>
      <c r="T31" s="171">
        <f t="shared" si="19"/>
        <v>36.61</v>
      </c>
      <c r="U31" s="171">
        <f t="shared" si="19"/>
        <v>-2.96</v>
      </c>
      <c r="V31" s="171">
        <f t="shared" si="19"/>
        <v>-20.76</v>
      </c>
      <c r="W31" s="171">
        <f t="shared" si="19"/>
        <v>-28.72</v>
      </c>
      <c r="X31" s="171">
        <f t="shared" si="19"/>
        <v>-28.72</v>
      </c>
      <c r="Y31" s="171">
        <f t="shared" si="19"/>
        <v>-28.72</v>
      </c>
      <c r="Z31" s="171">
        <f t="shared" si="19"/>
        <v>-29.02</v>
      </c>
      <c r="AA31" s="171">
        <f t="shared" si="19"/>
        <v>-29.02</v>
      </c>
      <c r="AB31" s="171">
        <f t="shared" si="19"/>
        <v>-29.02</v>
      </c>
      <c r="AC31" s="171">
        <f t="shared" si="19"/>
        <v>-29.02</v>
      </c>
      <c r="AD31" s="171">
        <f t="shared" si="19"/>
        <v>-29.02</v>
      </c>
      <c r="AE31" s="171">
        <f t="shared" si="19"/>
        <v>-29.02</v>
      </c>
      <c r="AF31" s="171">
        <f t="shared" si="19"/>
        <v>-29.02</v>
      </c>
      <c r="AG31" s="171">
        <f t="shared" si="19"/>
        <v>-29.02</v>
      </c>
      <c r="AH31" s="171">
        <f t="shared" si="19"/>
        <v>-29.02</v>
      </c>
      <c r="AI31" s="171">
        <f t="shared" si="19"/>
        <v>-29.02</v>
      </c>
      <c r="AJ31" s="171">
        <f t="shared" si="19"/>
        <v>-29.02</v>
      </c>
      <c r="AK31" s="171">
        <f t="shared" si="19"/>
        <v>-29.02</v>
      </c>
      <c r="AL31" s="171">
        <f t="shared" si="19"/>
        <v>-29.02</v>
      </c>
      <c r="AM31" s="171">
        <f t="shared" si="19"/>
        <v>-29.02</v>
      </c>
      <c r="AN31" s="171">
        <f t="shared" si="19"/>
        <v>-29.02</v>
      </c>
      <c r="AO31" s="171">
        <f t="shared" si="19"/>
        <v>-29.02</v>
      </c>
      <c r="AP31" s="171">
        <f t="shared" si="19"/>
        <v>-29.02</v>
      </c>
      <c r="AQ31" s="171">
        <f t="shared" si="19"/>
        <v>-29.02</v>
      </c>
      <c r="AR31" s="171">
        <f t="shared" si="19"/>
        <v>-29.02</v>
      </c>
      <c r="AS31" s="171">
        <f t="shared" si="19"/>
        <v>-29.02</v>
      </c>
      <c r="AT31" s="171">
        <f t="shared" si="19"/>
        <v>-29.02</v>
      </c>
      <c r="AU31" s="171">
        <f t="shared" si="19"/>
        <v>-29.02</v>
      </c>
      <c r="AV31" s="237">
        <f t="shared" si="19"/>
        <v>-29.02</v>
      </c>
    </row>
    <row r="32" ht="18.0" customHeight="1">
      <c r="A32" s="28"/>
      <c r="B32" s="29"/>
      <c r="C32" s="100" t="s">
        <v>9</v>
      </c>
      <c r="D32" s="176">
        <v>71.605</v>
      </c>
      <c r="E32" s="177">
        <f t="shared" ref="E32:AV32" si="20">E25/200</f>
        <v>64.895</v>
      </c>
      <c r="F32" s="177">
        <f t="shared" si="20"/>
        <v>120.575</v>
      </c>
      <c r="G32" s="177">
        <f t="shared" si="20"/>
        <v>97.615</v>
      </c>
      <c r="H32" s="177">
        <f t="shared" si="20"/>
        <v>76.275</v>
      </c>
      <c r="I32" s="177">
        <f t="shared" si="20"/>
        <v>40.775</v>
      </c>
      <c r="J32" s="177">
        <f t="shared" si="20"/>
        <v>37.875</v>
      </c>
      <c r="K32" s="177">
        <f t="shared" si="20"/>
        <v>42.995</v>
      </c>
      <c r="L32" s="177">
        <f t="shared" si="20"/>
        <v>40.205</v>
      </c>
      <c r="M32" s="177">
        <f t="shared" si="20"/>
        <v>23.195</v>
      </c>
      <c r="N32" s="177">
        <f t="shared" si="20"/>
        <v>23.195</v>
      </c>
      <c r="O32" s="238">
        <f t="shared" si="20"/>
        <v>23.195</v>
      </c>
      <c r="P32" s="239">
        <f t="shared" si="20"/>
        <v>23.195</v>
      </c>
      <c r="Q32" s="240">
        <f t="shared" si="20"/>
        <v>23.195</v>
      </c>
      <c r="R32" s="241">
        <f t="shared" si="20"/>
        <v>23.195</v>
      </c>
      <c r="S32" s="241">
        <f t="shared" si="20"/>
        <v>99.995</v>
      </c>
      <c r="T32" s="241">
        <f t="shared" si="20"/>
        <v>103.995</v>
      </c>
      <c r="U32" s="241">
        <f t="shared" si="20"/>
        <v>101.655</v>
      </c>
      <c r="V32" s="241">
        <f t="shared" si="20"/>
        <v>101.655</v>
      </c>
      <c r="W32" s="241">
        <f t="shared" si="20"/>
        <v>124.795</v>
      </c>
      <c r="X32" s="241">
        <f t="shared" si="20"/>
        <v>124.795</v>
      </c>
      <c r="Y32" s="241">
        <f t="shared" si="20"/>
        <v>124.795</v>
      </c>
      <c r="Z32" s="241">
        <f t="shared" si="20"/>
        <v>122.795</v>
      </c>
      <c r="AA32" s="241">
        <f t="shared" si="20"/>
        <v>122.795</v>
      </c>
      <c r="AB32" s="241">
        <f t="shared" si="20"/>
        <v>122.795</v>
      </c>
      <c r="AC32" s="241">
        <f t="shared" si="20"/>
        <v>122.795</v>
      </c>
      <c r="AD32" s="241">
        <f t="shared" si="20"/>
        <v>122.795</v>
      </c>
      <c r="AE32" s="241">
        <f t="shared" si="20"/>
        <v>122.795</v>
      </c>
      <c r="AF32" s="241">
        <f t="shared" si="20"/>
        <v>122.795</v>
      </c>
      <c r="AG32" s="241">
        <f t="shared" si="20"/>
        <v>122.795</v>
      </c>
      <c r="AH32" s="241">
        <f t="shared" si="20"/>
        <v>122.795</v>
      </c>
      <c r="AI32" s="241">
        <f t="shared" si="20"/>
        <v>122.795</v>
      </c>
      <c r="AJ32" s="241">
        <f t="shared" si="20"/>
        <v>122.795</v>
      </c>
      <c r="AK32" s="241">
        <f t="shared" si="20"/>
        <v>122.795</v>
      </c>
      <c r="AL32" s="241">
        <f t="shared" si="20"/>
        <v>122.795</v>
      </c>
      <c r="AM32" s="241">
        <f t="shared" si="20"/>
        <v>122.795</v>
      </c>
      <c r="AN32" s="241">
        <f t="shared" si="20"/>
        <v>122.795</v>
      </c>
      <c r="AO32" s="241">
        <f t="shared" si="20"/>
        <v>122.795</v>
      </c>
      <c r="AP32" s="241">
        <f t="shared" si="20"/>
        <v>122.795</v>
      </c>
      <c r="AQ32" s="241">
        <f t="shared" si="20"/>
        <v>122.795</v>
      </c>
      <c r="AR32" s="241">
        <f t="shared" si="20"/>
        <v>122.795</v>
      </c>
      <c r="AS32" s="241">
        <f t="shared" si="20"/>
        <v>122.795</v>
      </c>
      <c r="AT32" s="241">
        <f t="shared" si="20"/>
        <v>122.795</v>
      </c>
      <c r="AU32" s="241">
        <f t="shared" si="20"/>
        <v>122.795</v>
      </c>
      <c r="AV32" s="242">
        <f t="shared" si="20"/>
        <v>122.795</v>
      </c>
    </row>
    <row r="33" ht="18.0" customHeight="1">
      <c r="A33" s="28"/>
      <c r="B33" s="38" t="s">
        <v>10</v>
      </c>
      <c r="C33" s="106" t="s">
        <v>8</v>
      </c>
      <c r="D33" s="243">
        <v>94.565</v>
      </c>
      <c r="E33" s="244">
        <f t="shared" ref="E33:AV33" si="21">E26/200</f>
        <v>132</v>
      </c>
      <c r="F33" s="244">
        <f t="shared" si="21"/>
        <v>129.95</v>
      </c>
      <c r="G33" s="244">
        <f t="shared" si="21"/>
        <v>107.965</v>
      </c>
      <c r="H33" s="244">
        <f t="shared" si="21"/>
        <v>93.15</v>
      </c>
      <c r="I33" s="244">
        <f t="shared" si="21"/>
        <v>96.815</v>
      </c>
      <c r="J33" s="244">
        <f t="shared" si="21"/>
        <v>91.9</v>
      </c>
      <c r="K33" s="244">
        <f t="shared" si="21"/>
        <v>86.725</v>
      </c>
      <c r="L33" s="244">
        <f t="shared" si="21"/>
        <v>125.385</v>
      </c>
      <c r="M33" s="244">
        <f t="shared" si="21"/>
        <v>119.98</v>
      </c>
      <c r="N33" s="244">
        <f t="shared" si="21"/>
        <v>119.98</v>
      </c>
      <c r="O33" s="245">
        <f t="shared" si="21"/>
        <v>119.98</v>
      </c>
      <c r="P33" s="246">
        <f t="shared" si="21"/>
        <v>119.98</v>
      </c>
      <c r="Q33" s="243">
        <f t="shared" si="21"/>
        <v>119.98</v>
      </c>
      <c r="R33" s="244">
        <f t="shared" si="21"/>
        <v>119.98</v>
      </c>
      <c r="S33" s="244">
        <f t="shared" si="21"/>
        <v>78.745</v>
      </c>
      <c r="T33" s="244">
        <f t="shared" si="21"/>
        <v>83.68</v>
      </c>
      <c r="U33" s="244">
        <f t="shared" si="21"/>
        <v>89.3</v>
      </c>
      <c r="V33" s="244">
        <f t="shared" si="21"/>
        <v>87.045</v>
      </c>
      <c r="W33" s="244">
        <f t="shared" si="21"/>
        <v>65.265</v>
      </c>
      <c r="X33" s="244">
        <f t="shared" si="21"/>
        <v>65.265</v>
      </c>
      <c r="Y33" s="244">
        <f t="shared" si="21"/>
        <v>65.265</v>
      </c>
      <c r="Z33" s="244">
        <f t="shared" si="21"/>
        <v>57.485</v>
      </c>
      <c r="AA33" s="244">
        <f t="shared" si="21"/>
        <v>57.485</v>
      </c>
      <c r="AB33" s="244">
        <f t="shared" si="21"/>
        <v>57.485</v>
      </c>
      <c r="AC33" s="244">
        <f t="shared" si="21"/>
        <v>57.485</v>
      </c>
      <c r="AD33" s="244">
        <f t="shared" si="21"/>
        <v>57.485</v>
      </c>
      <c r="AE33" s="244">
        <f t="shared" si="21"/>
        <v>57.485</v>
      </c>
      <c r="AF33" s="244">
        <f t="shared" si="21"/>
        <v>57.485</v>
      </c>
      <c r="AG33" s="244">
        <f t="shared" si="21"/>
        <v>57.485</v>
      </c>
      <c r="AH33" s="244">
        <f t="shared" si="21"/>
        <v>57.485</v>
      </c>
      <c r="AI33" s="244">
        <f t="shared" si="21"/>
        <v>57.485</v>
      </c>
      <c r="AJ33" s="244">
        <f t="shared" si="21"/>
        <v>57.485</v>
      </c>
      <c r="AK33" s="244">
        <f t="shared" si="21"/>
        <v>57.485</v>
      </c>
      <c r="AL33" s="244">
        <f t="shared" si="21"/>
        <v>57.485</v>
      </c>
      <c r="AM33" s="244">
        <f t="shared" si="21"/>
        <v>57.485</v>
      </c>
      <c r="AN33" s="244">
        <f t="shared" si="21"/>
        <v>57.485</v>
      </c>
      <c r="AO33" s="244">
        <f t="shared" si="21"/>
        <v>57.485</v>
      </c>
      <c r="AP33" s="244">
        <f t="shared" si="21"/>
        <v>57.485</v>
      </c>
      <c r="AQ33" s="244">
        <f t="shared" si="21"/>
        <v>57.485</v>
      </c>
      <c r="AR33" s="244">
        <f t="shared" si="21"/>
        <v>57.485</v>
      </c>
      <c r="AS33" s="244">
        <f t="shared" si="21"/>
        <v>57.485</v>
      </c>
      <c r="AT33" s="244">
        <f t="shared" si="21"/>
        <v>57.485</v>
      </c>
      <c r="AU33" s="244">
        <f t="shared" si="21"/>
        <v>57.485</v>
      </c>
      <c r="AV33" s="245">
        <f t="shared" si="21"/>
        <v>57.485</v>
      </c>
      <c r="AW33" s="247"/>
    </row>
    <row r="34" ht="18.0" customHeight="1">
      <c r="A34" s="28"/>
      <c r="B34" s="29"/>
      <c r="C34" s="100" t="s">
        <v>9</v>
      </c>
      <c r="D34" s="189">
        <v>955.425</v>
      </c>
      <c r="E34" s="190">
        <f t="shared" ref="E34:AV34" si="22">E27/200</f>
        <v>1007.74</v>
      </c>
      <c r="F34" s="190">
        <f t="shared" si="22"/>
        <v>920.095</v>
      </c>
      <c r="G34" s="190">
        <f t="shared" si="22"/>
        <v>903.34</v>
      </c>
      <c r="H34" s="190">
        <f t="shared" si="22"/>
        <v>891.17</v>
      </c>
      <c r="I34" s="190">
        <f t="shared" si="22"/>
        <v>858.23</v>
      </c>
      <c r="J34" s="190">
        <f t="shared" si="22"/>
        <v>1079.275</v>
      </c>
      <c r="K34" s="190">
        <f t="shared" si="22"/>
        <v>750.975</v>
      </c>
      <c r="L34" s="190">
        <f t="shared" si="22"/>
        <v>985.125</v>
      </c>
      <c r="M34" s="190">
        <f t="shared" si="22"/>
        <v>800.215</v>
      </c>
      <c r="N34" s="190">
        <f t="shared" si="22"/>
        <v>800.215</v>
      </c>
      <c r="O34" s="248">
        <f t="shared" si="22"/>
        <v>800.215</v>
      </c>
      <c r="P34" s="249">
        <f t="shared" si="22"/>
        <v>800.215</v>
      </c>
      <c r="Q34" s="250">
        <f t="shared" si="22"/>
        <v>800.215</v>
      </c>
      <c r="R34" s="251">
        <f t="shared" si="22"/>
        <v>800.215</v>
      </c>
      <c r="S34" s="251">
        <f t="shared" si="22"/>
        <v>916.18</v>
      </c>
      <c r="T34" s="251">
        <f t="shared" si="22"/>
        <v>930.68</v>
      </c>
      <c r="U34" s="251">
        <f t="shared" si="22"/>
        <v>1031.78</v>
      </c>
      <c r="V34" s="251">
        <f t="shared" si="22"/>
        <v>1017.54</v>
      </c>
      <c r="W34" s="251">
        <f t="shared" si="22"/>
        <v>939.34</v>
      </c>
      <c r="X34" s="251">
        <f t="shared" si="22"/>
        <v>939.34</v>
      </c>
      <c r="Y34" s="251">
        <f t="shared" si="22"/>
        <v>939.34</v>
      </c>
      <c r="Z34" s="251">
        <f t="shared" si="22"/>
        <v>892.7</v>
      </c>
      <c r="AA34" s="251">
        <f t="shared" si="22"/>
        <v>892.7</v>
      </c>
      <c r="AB34" s="251">
        <f t="shared" si="22"/>
        <v>892.7</v>
      </c>
      <c r="AC34" s="251">
        <f t="shared" si="22"/>
        <v>892.7</v>
      </c>
      <c r="AD34" s="251">
        <f t="shared" si="22"/>
        <v>892.7</v>
      </c>
      <c r="AE34" s="251">
        <f t="shared" si="22"/>
        <v>892.7</v>
      </c>
      <c r="AF34" s="251">
        <f t="shared" si="22"/>
        <v>892.7</v>
      </c>
      <c r="AG34" s="251">
        <f t="shared" si="22"/>
        <v>892.7</v>
      </c>
      <c r="AH34" s="251">
        <f t="shared" si="22"/>
        <v>892.7</v>
      </c>
      <c r="AI34" s="251">
        <f t="shared" si="22"/>
        <v>892.7</v>
      </c>
      <c r="AJ34" s="251">
        <f t="shared" si="22"/>
        <v>892.7</v>
      </c>
      <c r="AK34" s="251">
        <f t="shared" si="22"/>
        <v>892.7</v>
      </c>
      <c r="AL34" s="251">
        <f t="shared" si="22"/>
        <v>892.7</v>
      </c>
      <c r="AM34" s="251">
        <f t="shared" si="22"/>
        <v>892.7</v>
      </c>
      <c r="AN34" s="251">
        <f t="shared" si="22"/>
        <v>892.7</v>
      </c>
      <c r="AO34" s="251">
        <f t="shared" si="22"/>
        <v>892.7</v>
      </c>
      <c r="AP34" s="251">
        <f t="shared" si="22"/>
        <v>892.7</v>
      </c>
      <c r="AQ34" s="251">
        <f t="shared" si="22"/>
        <v>892.7</v>
      </c>
      <c r="AR34" s="251">
        <f t="shared" si="22"/>
        <v>892.7</v>
      </c>
      <c r="AS34" s="251">
        <f t="shared" si="22"/>
        <v>892.7</v>
      </c>
      <c r="AT34" s="251">
        <f t="shared" si="22"/>
        <v>892.7</v>
      </c>
      <c r="AU34" s="251">
        <f t="shared" si="22"/>
        <v>892.7</v>
      </c>
      <c r="AV34" s="252">
        <f t="shared" si="22"/>
        <v>892.7</v>
      </c>
    </row>
    <row r="35" ht="18.0" customHeight="1">
      <c r="A35" s="29"/>
      <c r="B35" s="43" t="s">
        <v>11</v>
      </c>
      <c r="C35" s="43" t="s">
        <v>9</v>
      </c>
      <c r="D35" s="253">
        <v>262.64</v>
      </c>
      <c r="E35" s="254">
        <f t="shared" ref="E35:AV35" si="23">E28/200</f>
        <v>464.26</v>
      </c>
      <c r="F35" s="254">
        <f t="shared" si="23"/>
        <v>229.3</v>
      </c>
      <c r="G35" s="254">
        <f t="shared" si="23"/>
        <v>196.48</v>
      </c>
      <c r="H35" s="254">
        <f t="shared" si="23"/>
        <v>290.8</v>
      </c>
      <c r="I35" s="254">
        <f t="shared" si="23"/>
        <v>507.48</v>
      </c>
      <c r="J35" s="254">
        <f t="shared" si="23"/>
        <v>223.3</v>
      </c>
      <c r="K35" s="254">
        <f t="shared" si="23"/>
        <v>226.6</v>
      </c>
      <c r="L35" s="254">
        <f t="shared" si="23"/>
        <v>36</v>
      </c>
      <c r="M35" s="254">
        <f t="shared" si="23"/>
        <v>215.54</v>
      </c>
      <c r="N35" s="254">
        <f t="shared" si="23"/>
        <v>215.54</v>
      </c>
      <c r="O35" s="255">
        <f t="shared" si="23"/>
        <v>215.54</v>
      </c>
      <c r="P35" s="256">
        <f t="shared" si="23"/>
        <v>215.54</v>
      </c>
      <c r="Q35" s="253">
        <f t="shared" si="23"/>
        <v>215.54</v>
      </c>
      <c r="R35" s="254">
        <f t="shared" si="23"/>
        <v>215.54</v>
      </c>
      <c r="S35" s="254">
        <f t="shared" si="23"/>
        <v>113.04</v>
      </c>
      <c r="T35" s="254">
        <f t="shared" si="23"/>
        <v>175.44</v>
      </c>
      <c r="U35" s="254">
        <f t="shared" si="23"/>
        <v>175.44</v>
      </c>
      <c r="V35" s="254">
        <f t="shared" si="23"/>
        <v>175.44</v>
      </c>
      <c r="W35" s="254">
        <f t="shared" si="23"/>
        <v>175.44</v>
      </c>
      <c r="X35" s="254">
        <f t="shared" si="23"/>
        <v>175.44</v>
      </c>
      <c r="Y35" s="254">
        <f t="shared" si="23"/>
        <v>175.44</v>
      </c>
      <c r="Z35" s="254">
        <f t="shared" si="23"/>
        <v>175.44</v>
      </c>
      <c r="AA35" s="254">
        <f t="shared" si="23"/>
        <v>175.44</v>
      </c>
      <c r="AB35" s="254">
        <f t="shared" si="23"/>
        <v>175.44</v>
      </c>
      <c r="AC35" s="254">
        <f t="shared" si="23"/>
        <v>175.44</v>
      </c>
      <c r="AD35" s="254">
        <f t="shared" si="23"/>
        <v>175.44</v>
      </c>
      <c r="AE35" s="254">
        <f t="shared" si="23"/>
        <v>175.44</v>
      </c>
      <c r="AF35" s="254">
        <f t="shared" si="23"/>
        <v>175.44</v>
      </c>
      <c r="AG35" s="254">
        <f t="shared" si="23"/>
        <v>175.44</v>
      </c>
      <c r="AH35" s="254">
        <f t="shared" si="23"/>
        <v>175.44</v>
      </c>
      <c r="AI35" s="254">
        <f t="shared" si="23"/>
        <v>175.44</v>
      </c>
      <c r="AJ35" s="254">
        <f t="shared" si="23"/>
        <v>175.44</v>
      </c>
      <c r="AK35" s="254">
        <f t="shared" si="23"/>
        <v>175.44</v>
      </c>
      <c r="AL35" s="254">
        <f t="shared" si="23"/>
        <v>175.44</v>
      </c>
      <c r="AM35" s="254">
        <f t="shared" si="23"/>
        <v>175.44</v>
      </c>
      <c r="AN35" s="254">
        <f t="shared" si="23"/>
        <v>175.44</v>
      </c>
      <c r="AO35" s="254">
        <f t="shared" si="23"/>
        <v>175.44</v>
      </c>
      <c r="AP35" s="254">
        <f t="shared" si="23"/>
        <v>175.44</v>
      </c>
      <c r="AQ35" s="254">
        <f t="shared" si="23"/>
        <v>175.44</v>
      </c>
      <c r="AR35" s="254">
        <f t="shared" si="23"/>
        <v>175.44</v>
      </c>
      <c r="AS35" s="254">
        <f t="shared" si="23"/>
        <v>175.44</v>
      </c>
      <c r="AT35" s="254">
        <f t="shared" si="23"/>
        <v>175.44</v>
      </c>
      <c r="AU35" s="254">
        <f t="shared" si="23"/>
        <v>175.44</v>
      </c>
      <c r="AV35" s="255">
        <f t="shared" si="23"/>
        <v>175.44</v>
      </c>
    </row>
    <row r="36" ht="17.25" customHeight="1">
      <c r="A36" s="1"/>
      <c r="B36" s="1"/>
      <c r="C36" s="1"/>
      <c r="D36" s="1"/>
      <c r="E36" s="1"/>
      <c r="F36" s="1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257"/>
      <c r="R36" s="118"/>
      <c r="S36" s="257"/>
      <c r="T36" s="257"/>
      <c r="U36" s="25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142"/>
    </row>
    <row r="37" ht="17.25" customHeight="1">
      <c r="A37" s="1"/>
      <c r="B37" s="1"/>
      <c r="C37" s="1"/>
      <c r="D37" s="1"/>
      <c r="E37" s="1"/>
      <c r="F37" s="1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142"/>
    </row>
    <row r="38" ht="17.25" customHeight="1">
      <c r="A38" s="1"/>
      <c r="B38" s="1"/>
      <c r="C38" s="1"/>
      <c r="D38" s="1"/>
      <c r="E38" s="1"/>
      <c r="F38" s="1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142"/>
    </row>
    <row r="39" ht="17.25" customHeight="1">
      <c r="A39" s="1"/>
      <c r="B39" s="1"/>
      <c r="C39" s="1"/>
      <c r="D39" s="1"/>
      <c r="E39" s="1"/>
      <c r="F39" s="1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Q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7.25" customHeight="1">
      <c r="A41" s="1"/>
      <c r="B41" s="1"/>
      <c r="C41" s="1"/>
      <c r="D41" s="1"/>
      <c r="E41" s="1"/>
      <c r="F41" s="1"/>
      <c r="Q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7.25" customHeight="1">
      <c r="A42" s="1"/>
      <c r="B42" s="1"/>
      <c r="C42" s="1"/>
      <c r="D42" s="1"/>
      <c r="E42" s="1"/>
      <c r="F42" s="1"/>
      <c r="Q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7.25" customHeight="1">
      <c r="A43" s="1"/>
      <c r="B43" s="1"/>
      <c r="C43" s="1"/>
      <c r="D43" s="1"/>
      <c r="E43" s="1"/>
      <c r="F43" s="1"/>
      <c r="Q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7.25" customHeight="1">
      <c r="A44" s="1"/>
      <c r="B44" s="1"/>
      <c r="C44" s="1"/>
      <c r="D44" s="1"/>
      <c r="E44" s="1"/>
      <c r="F44" s="1"/>
      <c r="Q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142"/>
    </row>
    <row r="45" ht="17.25" customHeight="1">
      <c r="A45" s="1"/>
      <c r="B45" s="1"/>
      <c r="C45" s="1"/>
      <c r="D45" s="1"/>
      <c r="E45" s="1"/>
      <c r="F45" s="1"/>
      <c r="Q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142"/>
    </row>
    <row r="46" ht="17.25" customHeight="1">
      <c r="A46" s="1"/>
      <c r="B46" s="1"/>
      <c r="C46" s="1"/>
      <c r="D46" s="1"/>
      <c r="E46" s="1"/>
      <c r="F46" s="1"/>
      <c r="Q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142"/>
    </row>
    <row r="47" ht="17.25" customHeight="1">
      <c r="A47" s="1"/>
      <c r="B47" s="1"/>
      <c r="C47" s="1"/>
      <c r="D47" s="1"/>
      <c r="E47" s="1"/>
      <c r="F47" s="1"/>
      <c r="Q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142"/>
    </row>
    <row r="48" ht="17.25" customHeight="1">
      <c r="A48" s="1"/>
      <c r="B48" s="1"/>
      <c r="C48" s="1"/>
      <c r="D48" s="1"/>
      <c r="E48" s="1"/>
      <c r="F48" s="1"/>
      <c r="Q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142"/>
    </row>
    <row r="49" ht="17.25" customHeight="1">
      <c r="A49" s="1"/>
      <c r="B49" s="1"/>
      <c r="C49" s="1"/>
      <c r="D49" s="1"/>
      <c r="E49" s="1"/>
      <c r="F49" s="1"/>
      <c r="Q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142"/>
    </row>
    <row r="50" ht="17.25" customHeight="1">
      <c r="A50" s="1"/>
      <c r="B50" s="1"/>
      <c r="C50" s="1"/>
      <c r="D50" s="1"/>
      <c r="E50" s="1"/>
      <c r="F50" s="1"/>
      <c r="Q50" s="27"/>
    </row>
    <row r="51" ht="17.25" customHeight="1">
      <c r="A51" s="1"/>
      <c r="B51" s="1"/>
      <c r="C51" s="1"/>
      <c r="D51" s="1"/>
      <c r="E51" s="1"/>
      <c r="F51" s="1"/>
      <c r="Q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142"/>
    </row>
    <row r="52" ht="17.25" customHeight="1">
      <c r="A52" s="1"/>
      <c r="B52" s="1"/>
      <c r="C52" s="1"/>
      <c r="D52" s="1"/>
      <c r="E52" s="1"/>
      <c r="F52" s="1"/>
      <c r="Q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142"/>
    </row>
    <row r="53" ht="17.25" customHeight="1">
      <c r="A53" s="1"/>
      <c r="B53" s="1"/>
      <c r="C53" s="1"/>
      <c r="D53" s="1"/>
      <c r="E53" s="1"/>
      <c r="F53" s="1"/>
      <c r="Q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142"/>
    </row>
    <row r="54" ht="17.25" customHeight="1">
      <c r="A54" s="1"/>
      <c r="B54" s="1"/>
      <c r="C54" s="1"/>
      <c r="D54" s="1"/>
      <c r="E54" s="1"/>
      <c r="F54" s="1"/>
      <c r="Q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142"/>
    </row>
    <row r="55" ht="17.25" customHeight="1">
      <c r="A55" s="1"/>
      <c r="B55" s="1"/>
      <c r="C55" s="1"/>
      <c r="D55" s="1"/>
      <c r="E55" s="1"/>
      <c r="F55" s="1"/>
      <c r="Q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142"/>
    </row>
    <row r="56" ht="17.25" customHeight="1">
      <c r="A56" s="1"/>
      <c r="B56" s="1"/>
      <c r="C56" s="1"/>
      <c r="D56" s="1"/>
      <c r="E56" s="1"/>
      <c r="F56" s="1"/>
      <c r="Q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142"/>
    </row>
    <row r="57" ht="17.25" customHeight="1">
      <c r="A57" s="1"/>
      <c r="B57" s="1"/>
      <c r="C57" s="1"/>
      <c r="D57" s="1"/>
      <c r="E57" s="1"/>
      <c r="F57" s="1"/>
      <c r="Q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142"/>
    </row>
    <row r="58" ht="17.25" customHeight="1">
      <c r="A58" s="1"/>
      <c r="B58" s="1"/>
      <c r="C58" s="1"/>
      <c r="D58" s="1"/>
      <c r="E58" s="1"/>
      <c r="F58" s="1"/>
      <c r="Q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142"/>
    </row>
    <row r="59" ht="17.25" customHeight="1">
      <c r="A59" s="1"/>
      <c r="B59" s="1"/>
      <c r="C59" s="1"/>
      <c r="D59" s="1"/>
      <c r="E59" s="1"/>
      <c r="F59" s="1"/>
      <c r="Q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142"/>
    </row>
    <row r="60" ht="17.25" customHeight="1">
      <c r="A60" s="1"/>
      <c r="B60" s="1"/>
      <c r="C60" s="1"/>
      <c r="D60" s="1"/>
      <c r="E60" s="1"/>
      <c r="F60" s="1"/>
      <c r="Q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142"/>
    </row>
    <row r="61" ht="17.25" customHeight="1">
      <c r="A61" s="1"/>
      <c r="B61" s="1"/>
      <c r="C61" s="1"/>
      <c r="D61" s="1"/>
      <c r="E61" s="1"/>
      <c r="F61" s="1"/>
      <c r="Q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142"/>
    </row>
    <row r="62" ht="17.25" customHeight="1">
      <c r="A62" s="1"/>
      <c r="B62" s="1"/>
      <c r="C62" s="1"/>
      <c r="D62" s="1"/>
      <c r="E62" s="1"/>
      <c r="F62" s="1"/>
      <c r="Q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142"/>
    </row>
    <row r="63" ht="17.25" customHeight="1">
      <c r="A63" s="1"/>
      <c r="B63" s="1"/>
      <c r="C63" s="1"/>
      <c r="D63" s="1"/>
      <c r="E63" s="1"/>
      <c r="F63" s="1"/>
      <c r="Q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142"/>
    </row>
    <row r="64" ht="17.25" customHeight="1">
      <c r="A64" s="1"/>
      <c r="B64" s="1"/>
      <c r="C64" s="1"/>
      <c r="D64" s="1"/>
      <c r="E64" s="1"/>
      <c r="F64" s="1"/>
      <c r="Q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142"/>
    </row>
    <row r="65" ht="17.25" customHeight="1">
      <c r="A65" s="1"/>
      <c r="B65" s="1"/>
      <c r="C65" s="1"/>
      <c r="D65" s="1"/>
      <c r="E65" s="1"/>
      <c r="F65" s="1"/>
      <c r="Q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142"/>
    </row>
    <row r="66" ht="17.25" customHeight="1">
      <c r="A66" s="1"/>
      <c r="B66" s="1"/>
      <c r="C66" s="1"/>
      <c r="D66" s="1"/>
      <c r="E66" s="1"/>
      <c r="F66" s="1"/>
      <c r="Q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142"/>
    </row>
    <row r="67" ht="17.25" customHeight="1">
      <c r="A67" s="1"/>
      <c r="B67" s="1"/>
      <c r="C67" s="1"/>
      <c r="D67" s="1"/>
      <c r="E67" s="1"/>
      <c r="F67" s="1"/>
      <c r="Q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142"/>
    </row>
    <row r="68" ht="17.25" customHeight="1">
      <c r="A68" s="1"/>
      <c r="B68" s="1"/>
      <c r="C68" s="1"/>
      <c r="D68" s="1"/>
      <c r="E68" s="1"/>
      <c r="F68" s="1"/>
      <c r="Q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142"/>
    </row>
    <row r="69" ht="17.25" customHeight="1">
      <c r="A69" s="1"/>
      <c r="B69" s="1"/>
      <c r="C69" s="1"/>
      <c r="D69" s="1"/>
      <c r="E69" s="1"/>
      <c r="F69" s="1"/>
      <c r="Q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142"/>
    </row>
    <row r="70" ht="17.25" customHeight="1">
      <c r="A70" s="1"/>
      <c r="B70" s="1"/>
      <c r="C70" s="1"/>
      <c r="D70" s="1"/>
      <c r="E70" s="1"/>
      <c r="F70" s="1"/>
      <c r="Q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142"/>
    </row>
    <row r="71" ht="17.25" customHeight="1">
      <c r="A71" s="1"/>
      <c r="B71" s="1"/>
      <c r="C71" s="1"/>
      <c r="D71" s="1"/>
      <c r="E71" s="1"/>
      <c r="F71" s="1"/>
      <c r="Q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142"/>
    </row>
    <row r="72" ht="17.25" customHeight="1">
      <c r="A72" s="1"/>
      <c r="B72" s="1"/>
      <c r="C72" s="1"/>
      <c r="D72" s="1"/>
      <c r="E72" s="1"/>
      <c r="F72" s="1"/>
      <c r="Q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142"/>
    </row>
    <row r="73" ht="17.25" customHeight="1">
      <c r="A73" s="1"/>
      <c r="B73" s="1"/>
      <c r="C73" s="1"/>
      <c r="D73" s="1"/>
      <c r="E73" s="1"/>
      <c r="F73" s="1"/>
      <c r="Q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142"/>
    </row>
    <row r="74" ht="17.25" customHeight="1">
      <c r="A74" s="1"/>
      <c r="B74" s="1"/>
      <c r="C74" s="1"/>
      <c r="D74" s="1"/>
      <c r="E74" s="1"/>
      <c r="F74" s="1"/>
      <c r="Q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142"/>
    </row>
    <row r="75" ht="17.25" customHeight="1">
      <c r="A75" s="1"/>
      <c r="B75" s="1"/>
      <c r="C75" s="1"/>
      <c r="D75" s="1"/>
      <c r="E75" s="1"/>
      <c r="F75" s="1"/>
      <c r="Q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142"/>
    </row>
    <row r="76" ht="17.25" customHeight="1">
      <c r="A76" s="1"/>
      <c r="B76" s="1"/>
      <c r="C76" s="1"/>
      <c r="D76" s="1"/>
      <c r="E76" s="1"/>
      <c r="F76" s="1"/>
      <c r="Q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142"/>
    </row>
    <row r="77" ht="17.25" customHeight="1">
      <c r="A77" s="1"/>
      <c r="B77" s="1"/>
      <c r="C77" s="1"/>
      <c r="D77" s="1"/>
      <c r="E77" s="1"/>
      <c r="F77" s="1"/>
      <c r="Q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142"/>
    </row>
    <row r="78" ht="17.25" customHeight="1">
      <c r="A78" s="1"/>
      <c r="B78" s="1"/>
      <c r="C78" s="1"/>
      <c r="D78" s="1"/>
      <c r="E78" s="1"/>
      <c r="F78" s="1"/>
      <c r="Q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142"/>
    </row>
    <row r="79" ht="17.25" customHeight="1">
      <c r="A79" s="1"/>
      <c r="B79" s="1"/>
      <c r="C79" s="1"/>
      <c r="D79" s="1"/>
      <c r="E79" s="1"/>
      <c r="F79" s="1"/>
      <c r="Q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142"/>
    </row>
    <row r="80" ht="17.25" customHeight="1">
      <c r="A80" s="1"/>
      <c r="B80" s="1"/>
      <c r="C80" s="1"/>
      <c r="D80" s="1"/>
      <c r="E80" s="1"/>
      <c r="F80" s="1"/>
      <c r="Q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142"/>
    </row>
    <row r="81" ht="17.25" customHeight="1">
      <c r="A81" s="1"/>
      <c r="B81" s="1"/>
      <c r="C81" s="1"/>
      <c r="D81" s="1"/>
      <c r="E81" s="1"/>
      <c r="F81" s="1"/>
      <c r="Q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142"/>
    </row>
    <row r="82" ht="17.25" customHeight="1">
      <c r="A82" s="1"/>
      <c r="B82" s="1"/>
      <c r="C82" s="1"/>
      <c r="D82" s="1"/>
      <c r="E82" s="1"/>
      <c r="F82" s="1"/>
      <c r="Q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142"/>
    </row>
    <row r="83" ht="17.25" customHeight="1">
      <c r="A83" s="1"/>
      <c r="B83" s="1"/>
      <c r="C83" s="1"/>
      <c r="D83" s="1"/>
      <c r="E83" s="1"/>
      <c r="F83" s="1"/>
      <c r="Q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142"/>
    </row>
    <row r="84" ht="17.25" customHeight="1">
      <c r="A84" s="1"/>
      <c r="B84" s="1"/>
      <c r="C84" s="1"/>
      <c r="D84" s="1"/>
      <c r="E84" s="1"/>
      <c r="F84" s="1"/>
      <c r="Q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142"/>
    </row>
    <row r="85" ht="17.25" customHeight="1">
      <c r="A85" s="1"/>
      <c r="B85" s="1"/>
      <c r="C85" s="1"/>
      <c r="D85" s="1"/>
      <c r="E85" s="1"/>
      <c r="F85" s="1"/>
      <c r="Q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142"/>
    </row>
    <row r="86" ht="17.25" customHeight="1">
      <c r="A86" s="1"/>
      <c r="B86" s="1"/>
      <c r="C86" s="1"/>
      <c r="D86" s="1"/>
      <c r="E86" s="1"/>
      <c r="F86" s="1"/>
      <c r="Q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142"/>
    </row>
    <row r="87" ht="17.25" customHeight="1">
      <c r="A87" s="1"/>
      <c r="B87" s="1"/>
      <c r="C87" s="1"/>
      <c r="D87" s="1"/>
      <c r="E87" s="1"/>
      <c r="F87" s="1"/>
      <c r="Q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142"/>
    </row>
    <row r="88" ht="17.25" customHeight="1">
      <c r="A88" s="1"/>
      <c r="B88" s="1"/>
      <c r="C88" s="1"/>
      <c r="D88" s="1"/>
      <c r="E88" s="1"/>
      <c r="F88" s="1"/>
      <c r="Q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142"/>
    </row>
    <row r="89" ht="17.25" customHeight="1">
      <c r="A89" s="1"/>
      <c r="B89" s="1"/>
      <c r="C89" s="1"/>
      <c r="D89" s="1"/>
      <c r="E89" s="1"/>
      <c r="F89" s="1"/>
      <c r="Q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142"/>
    </row>
    <row r="90" ht="17.25" customHeight="1">
      <c r="A90" s="1"/>
      <c r="B90" s="1"/>
      <c r="C90" s="1"/>
      <c r="D90" s="1"/>
      <c r="E90" s="1"/>
      <c r="F90" s="1"/>
      <c r="Q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142"/>
    </row>
    <row r="91" ht="17.25" customHeight="1">
      <c r="A91" s="1"/>
      <c r="B91" s="1"/>
      <c r="C91" s="1"/>
      <c r="D91" s="1"/>
      <c r="E91" s="1"/>
      <c r="F91" s="1"/>
      <c r="Q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142"/>
    </row>
    <row r="92" ht="17.25" customHeight="1">
      <c r="A92" s="1"/>
      <c r="B92" s="1"/>
      <c r="C92" s="1"/>
      <c r="D92" s="1"/>
      <c r="E92" s="1"/>
      <c r="F92" s="1"/>
      <c r="Q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142"/>
    </row>
    <row r="93" ht="17.25" customHeight="1">
      <c r="A93" s="1"/>
      <c r="B93" s="1"/>
      <c r="C93" s="1"/>
      <c r="D93" s="1"/>
      <c r="E93" s="1"/>
      <c r="F93" s="1"/>
      <c r="Q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142"/>
    </row>
    <row r="94" ht="17.25" customHeight="1">
      <c r="A94" s="1"/>
      <c r="B94" s="1"/>
      <c r="C94" s="1"/>
      <c r="D94" s="1"/>
      <c r="E94" s="1"/>
      <c r="F94" s="1"/>
      <c r="Q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142"/>
    </row>
    <row r="95" ht="17.25" customHeight="1">
      <c r="A95" s="1"/>
      <c r="B95" s="1"/>
      <c r="C95" s="1"/>
      <c r="D95" s="1"/>
      <c r="E95" s="1"/>
      <c r="F95" s="1"/>
      <c r="Q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142"/>
    </row>
    <row r="96" ht="17.25" customHeight="1">
      <c r="A96" s="1"/>
      <c r="B96" s="1"/>
      <c r="C96" s="1"/>
      <c r="D96" s="1"/>
      <c r="E96" s="1"/>
      <c r="F96" s="1"/>
      <c r="Q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142"/>
    </row>
    <row r="97" ht="17.25" customHeight="1">
      <c r="A97" s="1"/>
      <c r="B97" s="1"/>
      <c r="C97" s="1"/>
      <c r="D97" s="1"/>
      <c r="E97" s="1"/>
      <c r="F97" s="1"/>
      <c r="Q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142"/>
    </row>
    <row r="98" ht="17.25" customHeight="1">
      <c r="A98" s="1"/>
      <c r="B98" s="1"/>
      <c r="C98" s="1"/>
      <c r="D98" s="1"/>
      <c r="E98" s="1"/>
      <c r="F98" s="1"/>
      <c r="Q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142"/>
    </row>
    <row r="99" ht="17.25" customHeight="1">
      <c r="A99" s="1"/>
      <c r="B99" s="1"/>
      <c r="C99" s="1"/>
      <c r="D99" s="1"/>
      <c r="E99" s="1"/>
      <c r="F99" s="1"/>
      <c r="Q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142"/>
    </row>
    <row r="100" ht="17.25" customHeight="1">
      <c r="A100" s="1"/>
      <c r="B100" s="1"/>
      <c r="C100" s="1"/>
      <c r="D100" s="1"/>
      <c r="E100" s="1"/>
      <c r="F100" s="1"/>
      <c r="Q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142"/>
    </row>
    <row r="101" ht="17.25" customHeight="1">
      <c r="A101" s="1"/>
      <c r="B101" s="1"/>
      <c r="C101" s="1"/>
      <c r="D101" s="1"/>
      <c r="E101" s="1"/>
      <c r="F101" s="1"/>
      <c r="Q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142"/>
    </row>
    <row r="102" ht="17.25" customHeight="1">
      <c r="A102" s="1"/>
      <c r="B102" s="1"/>
      <c r="C102" s="1"/>
      <c r="D102" s="1"/>
      <c r="E102" s="1"/>
      <c r="F102" s="1"/>
      <c r="Q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142"/>
    </row>
    <row r="103" ht="17.25" customHeight="1">
      <c r="A103" s="1"/>
      <c r="B103" s="1"/>
      <c r="C103" s="1"/>
      <c r="D103" s="1"/>
      <c r="E103" s="1"/>
      <c r="F103" s="1"/>
      <c r="Q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142"/>
    </row>
    <row r="104" ht="17.25" customHeight="1">
      <c r="A104" s="1"/>
      <c r="B104" s="1"/>
      <c r="C104" s="1"/>
      <c r="D104" s="1"/>
      <c r="E104" s="1"/>
      <c r="F104" s="1"/>
      <c r="Q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142"/>
    </row>
    <row r="105" ht="17.25" customHeight="1">
      <c r="A105" s="1"/>
      <c r="B105" s="1"/>
      <c r="C105" s="1"/>
      <c r="D105" s="1"/>
      <c r="E105" s="1"/>
      <c r="F105" s="1"/>
      <c r="Q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142"/>
    </row>
    <row r="106" ht="17.25" customHeight="1">
      <c r="A106" s="1"/>
      <c r="B106" s="1"/>
      <c r="C106" s="1"/>
      <c r="D106" s="1"/>
      <c r="E106" s="1"/>
      <c r="F106" s="1"/>
      <c r="Q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142"/>
    </row>
    <row r="107" ht="17.25" customHeight="1">
      <c r="A107" s="1"/>
      <c r="B107" s="1"/>
      <c r="C107" s="1"/>
      <c r="D107" s="1"/>
      <c r="E107" s="1"/>
      <c r="F107" s="1"/>
      <c r="Q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142"/>
    </row>
    <row r="108" ht="17.25" customHeight="1">
      <c r="A108" s="1"/>
      <c r="B108" s="1"/>
      <c r="C108" s="1"/>
      <c r="D108" s="1"/>
      <c r="E108" s="1"/>
      <c r="F108" s="1"/>
      <c r="Q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142"/>
    </row>
    <row r="109" ht="17.25" customHeight="1">
      <c r="A109" s="1"/>
      <c r="B109" s="1"/>
      <c r="C109" s="1"/>
      <c r="D109" s="1"/>
      <c r="E109" s="1"/>
      <c r="F109" s="1"/>
      <c r="Q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142"/>
    </row>
    <row r="110" ht="17.25" customHeight="1">
      <c r="A110" s="1"/>
      <c r="B110" s="1"/>
      <c r="C110" s="1"/>
      <c r="D110" s="1"/>
      <c r="E110" s="1"/>
      <c r="F110" s="1"/>
      <c r="Q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142"/>
    </row>
    <row r="111" ht="17.25" customHeight="1">
      <c r="A111" s="1"/>
      <c r="B111" s="1"/>
      <c r="C111" s="1"/>
      <c r="D111" s="1"/>
      <c r="E111" s="1"/>
      <c r="F111" s="1"/>
      <c r="Q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142"/>
    </row>
    <row r="112" ht="17.25" customHeight="1">
      <c r="A112" s="1"/>
      <c r="B112" s="1"/>
      <c r="C112" s="1"/>
      <c r="D112" s="1"/>
      <c r="E112" s="1"/>
      <c r="F112" s="1"/>
      <c r="Q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142"/>
    </row>
    <row r="113" ht="17.25" customHeight="1">
      <c r="A113" s="1"/>
      <c r="B113" s="1"/>
      <c r="C113" s="1"/>
      <c r="D113" s="1"/>
      <c r="E113" s="1"/>
      <c r="F113" s="1"/>
      <c r="Q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142"/>
    </row>
    <row r="114" ht="17.25" customHeight="1">
      <c r="A114" s="1"/>
      <c r="B114" s="1"/>
      <c r="C114" s="1"/>
      <c r="D114" s="1"/>
      <c r="E114" s="1"/>
      <c r="F114" s="1"/>
      <c r="Q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142"/>
    </row>
    <row r="115" ht="17.25" customHeight="1">
      <c r="A115" s="1"/>
      <c r="B115" s="1"/>
      <c r="C115" s="1"/>
      <c r="D115" s="1"/>
      <c r="E115" s="1"/>
      <c r="F115" s="1"/>
      <c r="Q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142"/>
    </row>
    <row r="116" ht="17.25" customHeight="1">
      <c r="A116" s="1"/>
      <c r="B116" s="1"/>
      <c r="C116" s="1"/>
      <c r="D116" s="1"/>
      <c r="E116" s="1"/>
      <c r="F116" s="1"/>
      <c r="Q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142"/>
    </row>
    <row r="117" ht="17.25" customHeight="1">
      <c r="A117" s="1"/>
      <c r="B117" s="1"/>
      <c r="C117" s="1"/>
      <c r="D117" s="1"/>
      <c r="E117" s="1"/>
      <c r="F117" s="1"/>
      <c r="Q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142"/>
    </row>
    <row r="118" ht="17.25" customHeight="1">
      <c r="A118" s="1"/>
      <c r="B118" s="1"/>
      <c r="C118" s="1"/>
      <c r="D118" s="1"/>
      <c r="E118" s="1"/>
      <c r="F118" s="1"/>
      <c r="Q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142"/>
    </row>
    <row r="119" ht="17.25" customHeight="1">
      <c r="A119" s="1"/>
      <c r="B119" s="1"/>
      <c r="C119" s="1"/>
      <c r="D119" s="1"/>
      <c r="E119" s="1"/>
      <c r="F119" s="1"/>
      <c r="Q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142"/>
    </row>
    <row r="120" ht="17.25" customHeight="1">
      <c r="A120" s="1"/>
      <c r="B120" s="1"/>
      <c r="C120" s="1"/>
      <c r="D120" s="1"/>
      <c r="E120" s="1"/>
      <c r="F120" s="1"/>
      <c r="Q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142"/>
    </row>
    <row r="121" ht="17.25" customHeight="1">
      <c r="A121" s="1"/>
      <c r="B121" s="1"/>
      <c r="C121" s="1"/>
      <c r="D121" s="1"/>
      <c r="E121" s="1"/>
      <c r="F121" s="1"/>
      <c r="Q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142"/>
    </row>
    <row r="122" ht="17.25" customHeight="1">
      <c r="A122" s="1"/>
      <c r="B122" s="1"/>
      <c r="C122" s="1"/>
      <c r="D122" s="1"/>
      <c r="E122" s="1"/>
      <c r="F122" s="1"/>
      <c r="Q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142"/>
    </row>
    <row r="123" ht="17.25" customHeight="1">
      <c r="A123" s="1"/>
      <c r="B123" s="1"/>
      <c r="C123" s="1"/>
      <c r="D123" s="1"/>
      <c r="E123" s="1"/>
      <c r="F123" s="1"/>
      <c r="Q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142"/>
    </row>
    <row r="124" ht="17.25" customHeight="1">
      <c r="A124" s="1"/>
      <c r="B124" s="1"/>
      <c r="C124" s="1"/>
      <c r="D124" s="1"/>
      <c r="E124" s="1"/>
      <c r="F124" s="1"/>
      <c r="Q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142"/>
    </row>
    <row r="125" ht="17.25" customHeight="1">
      <c r="A125" s="1"/>
      <c r="B125" s="1"/>
      <c r="C125" s="1"/>
      <c r="D125" s="1"/>
      <c r="E125" s="1"/>
      <c r="F125" s="1"/>
      <c r="Q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142"/>
    </row>
    <row r="126" ht="17.25" customHeight="1">
      <c r="A126" s="1"/>
      <c r="B126" s="1"/>
      <c r="C126" s="1"/>
      <c r="D126" s="1"/>
      <c r="E126" s="1"/>
      <c r="F126" s="1"/>
      <c r="Q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142"/>
    </row>
    <row r="127" ht="17.25" customHeight="1">
      <c r="A127" s="1"/>
      <c r="B127" s="1"/>
      <c r="C127" s="1"/>
      <c r="D127" s="1"/>
      <c r="E127" s="1"/>
      <c r="F127" s="1"/>
      <c r="Q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142"/>
    </row>
    <row r="128" ht="17.25" customHeight="1">
      <c r="A128" s="1"/>
      <c r="B128" s="1"/>
      <c r="C128" s="1"/>
      <c r="D128" s="1"/>
      <c r="E128" s="1"/>
      <c r="F128" s="1"/>
      <c r="Q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142"/>
    </row>
    <row r="129" ht="17.25" customHeight="1">
      <c r="A129" s="1"/>
      <c r="B129" s="1"/>
      <c r="C129" s="1"/>
      <c r="D129" s="1"/>
      <c r="E129" s="1"/>
      <c r="F129" s="1"/>
      <c r="Q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142"/>
    </row>
    <row r="130" ht="17.25" customHeight="1">
      <c r="A130" s="1"/>
      <c r="B130" s="1"/>
      <c r="C130" s="1"/>
      <c r="D130" s="1"/>
      <c r="E130" s="1"/>
      <c r="F130" s="1"/>
      <c r="Q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142"/>
    </row>
    <row r="131" ht="17.25" customHeight="1">
      <c r="A131" s="1"/>
      <c r="B131" s="1"/>
      <c r="C131" s="1"/>
      <c r="D131" s="1"/>
      <c r="E131" s="1"/>
      <c r="F131" s="1"/>
      <c r="Q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142"/>
    </row>
    <row r="132" ht="17.25" customHeight="1">
      <c r="A132" s="1"/>
      <c r="B132" s="1"/>
      <c r="C132" s="1"/>
      <c r="D132" s="1"/>
      <c r="E132" s="1"/>
      <c r="F132" s="1"/>
      <c r="Q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142"/>
    </row>
    <row r="133" ht="17.25" customHeight="1">
      <c r="A133" s="1"/>
      <c r="B133" s="1"/>
      <c r="C133" s="1"/>
      <c r="D133" s="1"/>
      <c r="E133" s="1"/>
      <c r="F133" s="1"/>
      <c r="Q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142"/>
    </row>
    <row r="134" ht="17.25" customHeight="1">
      <c r="A134" s="1"/>
      <c r="B134" s="1"/>
      <c r="C134" s="1"/>
      <c r="D134" s="1"/>
      <c r="E134" s="1"/>
      <c r="F134" s="1"/>
      <c r="Q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142"/>
    </row>
    <row r="135" ht="17.25" customHeight="1">
      <c r="A135" s="1"/>
      <c r="B135" s="1"/>
      <c r="C135" s="1"/>
      <c r="D135" s="1"/>
      <c r="E135" s="1"/>
      <c r="F135" s="1"/>
      <c r="Q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142"/>
    </row>
    <row r="136" ht="17.25" customHeight="1">
      <c r="A136" s="1"/>
      <c r="B136" s="1"/>
      <c r="C136" s="1"/>
      <c r="D136" s="1"/>
      <c r="E136" s="1"/>
      <c r="F136" s="1"/>
      <c r="Q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142"/>
    </row>
    <row r="137" ht="17.25" customHeight="1">
      <c r="A137" s="1"/>
      <c r="B137" s="1"/>
      <c r="C137" s="1"/>
      <c r="D137" s="1"/>
      <c r="E137" s="1"/>
      <c r="F137" s="1"/>
      <c r="Q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142"/>
    </row>
    <row r="138" ht="17.25" customHeight="1">
      <c r="A138" s="1"/>
      <c r="B138" s="1"/>
      <c r="C138" s="1"/>
      <c r="D138" s="1"/>
      <c r="E138" s="1"/>
      <c r="F138" s="1"/>
      <c r="Q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142"/>
    </row>
    <row r="139" ht="17.25" customHeight="1">
      <c r="A139" s="1"/>
      <c r="B139" s="1"/>
      <c r="C139" s="1"/>
      <c r="D139" s="1"/>
      <c r="E139" s="1"/>
      <c r="F139" s="1"/>
      <c r="Q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142"/>
    </row>
    <row r="140" ht="17.25" customHeight="1">
      <c r="A140" s="1"/>
      <c r="B140" s="1"/>
      <c r="C140" s="1"/>
      <c r="D140" s="1"/>
      <c r="E140" s="1"/>
      <c r="F140" s="1"/>
      <c r="Q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142"/>
    </row>
    <row r="141" ht="17.25" customHeight="1">
      <c r="A141" s="1"/>
      <c r="B141" s="1"/>
      <c r="C141" s="1"/>
      <c r="D141" s="1"/>
      <c r="E141" s="1"/>
      <c r="F141" s="1"/>
      <c r="Q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142"/>
    </row>
    <row r="142" ht="17.25" customHeight="1">
      <c r="A142" s="1"/>
      <c r="B142" s="1"/>
      <c r="C142" s="1"/>
      <c r="D142" s="1"/>
      <c r="E142" s="1"/>
      <c r="F142" s="1"/>
      <c r="Q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142"/>
    </row>
    <row r="143" ht="17.25" customHeight="1">
      <c r="A143" s="1"/>
      <c r="B143" s="1"/>
      <c r="C143" s="1"/>
      <c r="D143" s="1"/>
      <c r="E143" s="1"/>
      <c r="F143" s="1"/>
      <c r="Q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142"/>
    </row>
    <row r="144" ht="17.25" customHeight="1">
      <c r="A144" s="1"/>
      <c r="B144" s="1"/>
      <c r="C144" s="1"/>
      <c r="D144" s="1"/>
      <c r="E144" s="1"/>
      <c r="F144" s="1"/>
      <c r="Q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142"/>
    </row>
    <row r="145" ht="17.25" customHeight="1">
      <c r="A145" s="1"/>
      <c r="B145" s="1"/>
      <c r="C145" s="1"/>
      <c r="D145" s="1"/>
      <c r="E145" s="1"/>
      <c r="F145" s="1"/>
      <c r="Q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142"/>
    </row>
    <row r="146" ht="17.25" customHeight="1">
      <c r="A146" s="1"/>
      <c r="B146" s="1"/>
      <c r="C146" s="1"/>
      <c r="D146" s="1"/>
      <c r="E146" s="1"/>
      <c r="F146" s="1"/>
      <c r="Q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142"/>
    </row>
    <row r="147" ht="17.25" customHeight="1">
      <c r="A147" s="1"/>
      <c r="B147" s="1"/>
      <c r="C147" s="1"/>
      <c r="D147" s="1"/>
      <c r="E147" s="1"/>
      <c r="F147" s="1"/>
      <c r="Q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142"/>
    </row>
    <row r="148" ht="17.25" customHeight="1">
      <c r="A148" s="1"/>
      <c r="B148" s="1"/>
      <c r="C148" s="1"/>
      <c r="D148" s="1"/>
      <c r="E148" s="1"/>
      <c r="F148" s="1"/>
      <c r="Q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142"/>
    </row>
    <row r="149" ht="17.25" customHeight="1">
      <c r="A149" s="1"/>
      <c r="B149" s="1"/>
      <c r="C149" s="1"/>
      <c r="D149" s="1"/>
      <c r="E149" s="1"/>
      <c r="F149" s="1"/>
      <c r="Q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142"/>
    </row>
    <row r="150" ht="17.25" customHeight="1">
      <c r="A150" s="1"/>
      <c r="B150" s="1"/>
      <c r="C150" s="1"/>
      <c r="D150" s="1"/>
      <c r="E150" s="1"/>
      <c r="F150" s="1"/>
      <c r="Q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142"/>
    </row>
    <row r="151" ht="17.25" customHeight="1">
      <c r="A151" s="1"/>
      <c r="B151" s="1"/>
      <c r="C151" s="1"/>
      <c r="D151" s="1"/>
      <c r="E151" s="1"/>
      <c r="F151" s="1"/>
      <c r="Q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142"/>
    </row>
    <row r="152" ht="17.25" customHeight="1">
      <c r="A152" s="1"/>
      <c r="B152" s="1"/>
      <c r="C152" s="1"/>
      <c r="D152" s="1"/>
      <c r="E152" s="1"/>
      <c r="F152" s="1"/>
      <c r="Q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142"/>
    </row>
    <row r="153" ht="17.25" customHeight="1">
      <c r="A153" s="1"/>
      <c r="B153" s="1"/>
      <c r="C153" s="1"/>
      <c r="D153" s="1"/>
      <c r="E153" s="1"/>
      <c r="F153" s="1"/>
      <c r="Q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142"/>
    </row>
    <row r="154" ht="17.25" customHeight="1">
      <c r="A154" s="1"/>
      <c r="B154" s="1"/>
      <c r="C154" s="1"/>
      <c r="D154" s="1"/>
      <c r="E154" s="1"/>
      <c r="F154" s="1"/>
      <c r="Q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142"/>
    </row>
    <row r="155" ht="17.25" customHeight="1">
      <c r="A155" s="1"/>
      <c r="B155" s="1"/>
      <c r="C155" s="1"/>
      <c r="D155" s="1"/>
      <c r="E155" s="1"/>
      <c r="F155" s="1"/>
      <c r="Q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142"/>
    </row>
    <row r="156" ht="17.25" customHeight="1">
      <c r="A156" s="1"/>
      <c r="B156" s="1"/>
      <c r="C156" s="1"/>
      <c r="D156" s="1"/>
      <c r="E156" s="1"/>
      <c r="F156" s="1"/>
      <c r="Q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142"/>
    </row>
    <row r="157" ht="17.25" customHeight="1">
      <c r="A157" s="1"/>
      <c r="B157" s="1"/>
      <c r="C157" s="1"/>
      <c r="D157" s="1"/>
      <c r="E157" s="1"/>
      <c r="F157" s="1"/>
      <c r="Q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142"/>
    </row>
    <row r="158" ht="17.25" customHeight="1">
      <c r="A158" s="1"/>
      <c r="B158" s="1"/>
      <c r="C158" s="1"/>
      <c r="D158" s="1"/>
      <c r="E158" s="1"/>
      <c r="F158" s="1"/>
      <c r="Q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142"/>
    </row>
    <row r="159" ht="17.25" customHeight="1">
      <c r="A159" s="1"/>
      <c r="B159" s="1"/>
      <c r="C159" s="1"/>
      <c r="D159" s="1"/>
      <c r="E159" s="1"/>
      <c r="F159" s="1"/>
      <c r="Q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142"/>
    </row>
    <row r="160" ht="17.25" customHeight="1">
      <c r="A160" s="1"/>
      <c r="B160" s="1"/>
      <c r="C160" s="1"/>
      <c r="D160" s="1"/>
      <c r="E160" s="1"/>
      <c r="F160" s="1"/>
      <c r="Q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142"/>
    </row>
    <row r="161" ht="17.25" customHeight="1">
      <c r="A161" s="1"/>
      <c r="B161" s="1"/>
      <c r="C161" s="1"/>
      <c r="D161" s="1"/>
      <c r="E161" s="1"/>
      <c r="F161" s="1"/>
      <c r="Q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142"/>
    </row>
    <row r="162" ht="17.25" customHeight="1">
      <c r="A162" s="1"/>
      <c r="B162" s="1"/>
      <c r="C162" s="1"/>
      <c r="D162" s="1"/>
      <c r="E162" s="1"/>
      <c r="F162" s="1"/>
      <c r="Q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142"/>
    </row>
    <row r="163" ht="17.25" customHeight="1">
      <c r="A163" s="1"/>
      <c r="B163" s="1"/>
      <c r="C163" s="1"/>
      <c r="D163" s="1"/>
      <c r="E163" s="1"/>
      <c r="F163" s="1"/>
      <c r="Q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142"/>
    </row>
    <row r="164" ht="17.25" customHeight="1">
      <c r="A164" s="1"/>
      <c r="B164" s="1"/>
      <c r="C164" s="1"/>
      <c r="D164" s="1"/>
      <c r="E164" s="1"/>
      <c r="F164" s="1"/>
      <c r="Q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142"/>
    </row>
    <row r="165" ht="17.25" customHeight="1">
      <c r="A165" s="1"/>
      <c r="B165" s="1"/>
      <c r="C165" s="1"/>
      <c r="D165" s="1"/>
      <c r="E165" s="1"/>
      <c r="F165" s="1"/>
      <c r="Q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142"/>
    </row>
    <row r="166" ht="17.25" customHeight="1">
      <c r="A166" s="1"/>
      <c r="B166" s="1"/>
      <c r="C166" s="1"/>
      <c r="D166" s="1"/>
      <c r="E166" s="1"/>
      <c r="F166" s="1"/>
      <c r="Q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142"/>
    </row>
    <row r="167" ht="17.25" customHeight="1">
      <c r="A167" s="1"/>
      <c r="B167" s="1"/>
      <c r="C167" s="1"/>
      <c r="D167" s="1"/>
      <c r="E167" s="1"/>
      <c r="F167" s="1"/>
      <c r="Q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142"/>
    </row>
    <row r="168" ht="17.25" customHeight="1">
      <c r="A168" s="1"/>
      <c r="B168" s="1"/>
      <c r="C168" s="1"/>
      <c r="D168" s="1"/>
      <c r="E168" s="1"/>
      <c r="F168" s="1"/>
      <c r="Q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142"/>
    </row>
    <row r="169" ht="17.25" customHeight="1">
      <c r="A169" s="1"/>
      <c r="B169" s="1"/>
      <c r="C169" s="1"/>
      <c r="D169" s="1"/>
      <c r="E169" s="1"/>
      <c r="F169" s="1"/>
      <c r="Q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142"/>
    </row>
    <row r="170" ht="17.25" customHeight="1">
      <c r="A170" s="1"/>
      <c r="B170" s="1"/>
      <c r="C170" s="1"/>
      <c r="D170" s="1"/>
      <c r="E170" s="1"/>
      <c r="F170" s="1"/>
      <c r="Q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142"/>
    </row>
    <row r="171" ht="17.25" customHeight="1">
      <c r="A171" s="1"/>
      <c r="B171" s="1"/>
      <c r="C171" s="1"/>
      <c r="D171" s="1"/>
      <c r="E171" s="1"/>
      <c r="F171" s="1"/>
      <c r="Q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142"/>
    </row>
    <row r="172" ht="17.25" customHeight="1">
      <c r="A172" s="1"/>
      <c r="B172" s="1"/>
      <c r="C172" s="1"/>
      <c r="D172" s="1"/>
      <c r="E172" s="1"/>
      <c r="F172" s="1"/>
      <c r="Q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142"/>
    </row>
    <row r="173" ht="17.25" customHeight="1">
      <c r="A173" s="1"/>
      <c r="B173" s="1"/>
      <c r="C173" s="1"/>
      <c r="D173" s="1"/>
      <c r="E173" s="1"/>
      <c r="F173" s="1"/>
      <c r="Q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142"/>
    </row>
    <row r="174" ht="17.25" customHeight="1">
      <c r="A174" s="1"/>
      <c r="B174" s="1"/>
      <c r="C174" s="1"/>
      <c r="D174" s="1"/>
      <c r="E174" s="1"/>
      <c r="F174" s="1"/>
      <c r="Q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142"/>
    </row>
    <row r="175" ht="17.25" customHeight="1">
      <c r="A175" s="1"/>
      <c r="B175" s="1"/>
      <c r="C175" s="1"/>
      <c r="D175" s="1"/>
      <c r="E175" s="1"/>
      <c r="F175" s="1"/>
      <c r="Q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142"/>
    </row>
    <row r="176" ht="17.25" customHeight="1">
      <c r="A176" s="1"/>
      <c r="B176" s="1"/>
      <c r="C176" s="1"/>
      <c r="D176" s="1"/>
      <c r="E176" s="1"/>
      <c r="F176" s="1"/>
      <c r="Q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142"/>
    </row>
    <row r="177" ht="17.25" customHeight="1">
      <c r="A177" s="1"/>
      <c r="B177" s="1"/>
      <c r="C177" s="1"/>
      <c r="D177" s="1"/>
      <c r="E177" s="1"/>
      <c r="F177" s="1"/>
      <c r="Q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142"/>
    </row>
    <row r="178" ht="17.25" customHeight="1">
      <c r="A178" s="1"/>
      <c r="B178" s="1"/>
      <c r="C178" s="1"/>
      <c r="D178" s="1"/>
      <c r="E178" s="1"/>
      <c r="F178" s="1"/>
      <c r="Q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142"/>
    </row>
    <row r="179" ht="17.25" customHeight="1">
      <c r="A179" s="1"/>
      <c r="B179" s="1"/>
      <c r="C179" s="1"/>
      <c r="D179" s="1"/>
      <c r="E179" s="1"/>
      <c r="F179" s="1"/>
      <c r="Q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142"/>
    </row>
    <row r="180" ht="17.25" customHeight="1">
      <c r="A180" s="1"/>
      <c r="B180" s="1"/>
      <c r="C180" s="1"/>
      <c r="D180" s="1"/>
      <c r="E180" s="1"/>
      <c r="F180" s="1"/>
      <c r="Q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142"/>
    </row>
    <row r="181" ht="17.25" customHeight="1">
      <c r="A181" s="1"/>
      <c r="B181" s="1"/>
      <c r="C181" s="1"/>
      <c r="D181" s="1"/>
      <c r="E181" s="1"/>
      <c r="F181" s="1"/>
      <c r="Q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142"/>
    </row>
    <row r="182" ht="17.25" customHeight="1">
      <c r="A182" s="1"/>
      <c r="B182" s="1"/>
      <c r="C182" s="1"/>
      <c r="D182" s="1"/>
      <c r="E182" s="1"/>
      <c r="F182" s="1"/>
      <c r="Q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142"/>
    </row>
    <row r="183" ht="17.25" customHeight="1">
      <c r="A183" s="1"/>
      <c r="B183" s="1"/>
      <c r="C183" s="1"/>
      <c r="D183" s="1"/>
      <c r="E183" s="1"/>
      <c r="F183" s="1"/>
      <c r="Q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142"/>
    </row>
    <row r="184" ht="17.25" customHeight="1">
      <c r="A184" s="1"/>
      <c r="B184" s="1"/>
      <c r="C184" s="1"/>
      <c r="D184" s="1"/>
      <c r="E184" s="1"/>
      <c r="F184" s="1"/>
      <c r="Q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142"/>
    </row>
    <row r="185" ht="17.25" customHeight="1">
      <c r="A185" s="1"/>
      <c r="B185" s="1"/>
      <c r="C185" s="1"/>
      <c r="D185" s="1"/>
      <c r="E185" s="1"/>
      <c r="F185" s="1"/>
      <c r="Q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142"/>
    </row>
    <row r="186" ht="17.25" customHeight="1">
      <c r="A186" s="1"/>
      <c r="B186" s="1"/>
      <c r="C186" s="1"/>
      <c r="D186" s="1"/>
      <c r="E186" s="1"/>
      <c r="F186" s="1"/>
      <c r="Q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142"/>
    </row>
    <row r="187" ht="17.25" customHeight="1">
      <c r="A187" s="1"/>
      <c r="B187" s="1"/>
      <c r="C187" s="1"/>
      <c r="D187" s="1"/>
      <c r="E187" s="1"/>
      <c r="F187" s="1"/>
      <c r="Q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142"/>
    </row>
    <row r="188" ht="17.25" customHeight="1">
      <c r="A188" s="1"/>
      <c r="B188" s="1"/>
      <c r="C188" s="1"/>
      <c r="D188" s="1"/>
      <c r="E188" s="1"/>
      <c r="F188" s="1"/>
      <c r="Q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142"/>
    </row>
    <row r="189" ht="17.25" customHeight="1">
      <c r="A189" s="1"/>
      <c r="B189" s="1"/>
      <c r="C189" s="1"/>
      <c r="D189" s="1"/>
      <c r="E189" s="1"/>
      <c r="F189" s="1"/>
      <c r="Q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142"/>
    </row>
    <row r="190" ht="17.25" customHeight="1">
      <c r="A190" s="1"/>
      <c r="B190" s="1"/>
      <c r="C190" s="1"/>
      <c r="D190" s="1"/>
      <c r="E190" s="1"/>
      <c r="F190" s="1"/>
      <c r="Q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142"/>
    </row>
    <row r="191" ht="17.25" customHeight="1">
      <c r="A191" s="1"/>
      <c r="B191" s="1"/>
      <c r="C191" s="1"/>
      <c r="D191" s="1"/>
      <c r="E191" s="1"/>
      <c r="F191" s="1"/>
      <c r="Q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142"/>
    </row>
    <row r="192" ht="17.25" customHeight="1">
      <c r="A192" s="1"/>
      <c r="B192" s="1"/>
      <c r="C192" s="1"/>
      <c r="D192" s="1"/>
      <c r="E192" s="1"/>
      <c r="F192" s="1"/>
      <c r="Q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142"/>
    </row>
    <row r="193" ht="17.25" customHeight="1">
      <c r="A193" s="1"/>
      <c r="B193" s="1"/>
      <c r="C193" s="1"/>
      <c r="D193" s="1"/>
      <c r="E193" s="1"/>
      <c r="F193" s="1"/>
      <c r="Q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142"/>
    </row>
    <row r="194" ht="17.25" customHeight="1">
      <c r="A194" s="1"/>
      <c r="B194" s="1"/>
      <c r="C194" s="1"/>
      <c r="D194" s="1"/>
      <c r="E194" s="1"/>
      <c r="F194" s="1"/>
      <c r="Q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142"/>
    </row>
    <row r="195" ht="17.25" customHeight="1">
      <c r="A195" s="1"/>
      <c r="B195" s="1"/>
      <c r="C195" s="1"/>
      <c r="D195" s="1"/>
      <c r="E195" s="1"/>
      <c r="F195" s="1"/>
      <c r="Q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142"/>
    </row>
    <row r="196" ht="17.25" customHeight="1">
      <c r="A196" s="1"/>
      <c r="B196" s="1"/>
      <c r="C196" s="1"/>
      <c r="D196" s="1"/>
      <c r="E196" s="1"/>
      <c r="F196" s="1"/>
      <c r="Q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142"/>
    </row>
    <row r="197" ht="17.25" customHeight="1">
      <c r="A197" s="1"/>
      <c r="B197" s="1"/>
      <c r="C197" s="1"/>
      <c r="D197" s="1"/>
      <c r="E197" s="1"/>
      <c r="F197" s="1"/>
      <c r="Q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142"/>
    </row>
    <row r="198" ht="17.25" customHeight="1">
      <c r="A198" s="1"/>
      <c r="B198" s="1"/>
      <c r="C198" s="1"/>
      <c r="D198" s="1"/>
      <c r="E198" s="1"/>
      <c r="F198" s="1"/>
      <c r="Q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142"/>
    </row>
    <row r="199" ht="17.25" customHeight="1">
      <c r="A199" s="1"/>
      <c r="B199" s="1"/>
      <c r="C199" s="1"/>
      <c r="D199" s="1"/>
      <c r="E199" s="1"/>
      <c r="F199" s="1"/>
      <c r="Q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142"/>
    </row>
    <row r="200" ht="17.25" customHeight="1">
      <c r="A200" s="1"/>
      <c r="B200" s="1"/>
      <c r="C200" s="1"/>
      <c r="D200" s="1"/>
      <c r="E200" s="1"/>
      <c r="F200" s="1"/>
      <c r="Q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142"/>
    </row>
    <row r="201" ht="17.25" customHeight="1">
      <c r="A201" s="1"/>
      <c r="B201" s="1"/>
      <c r="C201" s="1"/>
      <c r="D201" s="1"/>
      <c r="E201" s="1"/>
      <c r="F201" s="1"/>
      <c r="Q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142"/>
    </row>
    <row r="202" ht="17.25" customHeight="1">
      <c r="A202" s="1"/>
      <c r="B202" s="1"/>
      <c r="C202" s="1"/>
      <c r="D202" s="1"/>
      <c r="E202" s="1"/>
      <c r="F202" s="1"/>
      <c r="Q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142"/>
    </row>
    <row r="203" ht="17.25" customHeight="1">
      <c r="A203" s="1"/>
      <c r="B203" s="1"/>
      <c r="C203" s="1"/>
      <c r="D203" s="1"/>
      <c r="E203" s="1"/>
      <c r="F203" s="1"/>
      <c r="Q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142"/>
    </row>
    <row r="204" ht="17.25" customHeight="1">
      <c r="A204" s="1"/>
      <c r="B204" s="1"/>
      <c r="C204" s="1"/>
      <c r="D204" s="1"/>
      <c r="E204" s="1"/>
      <c r="F204" s="1"/>
      <c r="Q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142"/>
    </row>
    <row r="205" ht="17.25" customHeight="1">
      <c r="A205" s="1"/>
      <c r="B205" s="1"/>
      <c r="C205" s="1"/>
      <c r="D205" s="1"/>
      <c r="E205" s="1"/>
      <c r="F205" s="1"/>
      <c r="Q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142"/>
    </row>
    <row r="206" ht="17.25" customHeight="1">
      <c r="A206" s="1"/>
      <c r="B206" s="1"/>
      <c r="C206" s="1"/>
      <c r="D206" s="1"/>
      <c r="E206" s="1"/>
      <c r="F206" s="1"/>
      <c r="Q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142"/>
    </row>
    <row r="207" ht="17.25" customHeight="1">
      <c r="A207" s="1"/>
      <c r="B207" s="1"/>
      <c r="C207" s="1"/>
      <c r="D207" s="1"/>
      <c r="E207" s="1"/>
      <c r="F207" s="1"/>
      <c r="Q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142"/>
    </row>
    <row r="208" ht="17.25" customHeight="1">
      <c r="A208" s="1"/>
      <c r="B208" s="1"/>
      <c r="C208" s="1"/>
      <c r="D208" s="1"/>
      <c r="E208" s="1"/>
      <c r="F208" s="1"/>
      <c r="Q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142"/>
    </row>
    <row r="209" ht="17.25" customHeight="1">
      <c r="A209" s="1"/>
      <c r="B209" s="1"/>
      <c r="C209" s="1"/>
      <c r="D209" s="1"/>
      <c r="E209" s="1"/>
      <c r="F209" s="1"/>
      <c r="Q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142"/>
    </row>
    <row r="210" ht="17.25" customHeight="1">
      <c r="A210" s="1"/>
      <c r="B210" s="1"/>
      <c r="C210" s="1"/>
      <c r="D210" s="1"/>
      <c r="E210" s="1"/>
      <c r="F210" s="1"/>
      <c r="Q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142"/>
    </row>
    <row r="211" ht="17.25" customHeight="1">
      <c r="A211" s="1"/>
      <c r="B211" s="1"/>
      <c r="C211" s="1"/>
      <c r="D211" s="1"/>
      <c r="E211" s="1"/>
      <c r="F211" s="1"/>
      <c r="Q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142"/>
    </row>
    <row r="212" ht="17.25" customHeight="1">
      <c r="A212" s="1"/>
      <c r="B212" s="1"/>
      <c r="C212" s="1"/>
      <c r="D212" s="1"/>
      <c r="E212" s="1"/>
      <c r="F212" s="1"/>
      <c r="Q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142"/>
    </row>
    <row r="213" ht="17.25" customHeight="1">
      <c r="A213" s="1"/>
      <c r="B213" s="1"/>
      <c r="C213" s="1"/>
      <c r="D213" s="1"/>
      <c r="E213" s="1"/>
      <c r="F213" s="1"/>
      <c r="Q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142"/>
    </row>
    <row r="214" ht="17.25" customHeight="1">
      <c r="A214" s="1"/>
      <c r="B214" s="1"/>
      <c r="C214" s="1"/>
      <c r="D214" s="1"/>
      <c r="E214" s="1"/>
      <c r="F214" s="1"/>
      <c r="Q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142"/>
    </row>
    <row r="215" ht="17.25" customHeight="1">
      <c r="A215" s="1"/>
      <c r="B215" s="1"/>
      <c r="C215" s="1"/>
      <c r="D215" s="1"/>
      <c r="E215" s="1"/>
      <c r="F215" s="1"/>
      <c r="Q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142"/>
    </row>
    <row r="216" ht="17.25" customHeight="1">
      <c r="A216" s="1"/>
      <c r="B216" s="1"/>
      <c r="C216" s="1"/>
      <c r="D216" s="1"/>
      <c r="E216" s="1"/>
      <c r="F216" s="1"/>
      <c r="Q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142"/>
    </row>
    <row r="217" ht="17.25" customHeight="1">
      <c r="A217" s="1"/>
      <c r="B217" s="1"/>
      <c r="C217" s="1"/>
      <c r="D217" s="1"/>
      <c r="E217" s="1"/>
      <c r="F217" s="1"/>
      <c r="Q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142"/>
    </row>
    <row r="218" ht="17.25" customHeight="1">
      <c r="A218" s="1"/>
      <c r="B218" s="1"/>
      <c r="C218" s="1"/>
      <c r="D218" s="1"/>
      <c r="E218" s="1"/>
      <c r="F218" s="1"/>
      <c r="Q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142"/>
    </row>
    <row r="219" ht="17.25" customHeight="1">
      <c r="A219" s="1"/>
      <c r="B219" s="1"/>
      <c r="C219" s="1"/>
      <c r="D219" s="1"/>
      <c r="E219" s="1"/>
      <c r="F219" s="1"/>
      <c r="Q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142"/>
    </row>
    <row r="220" ht="17.25" customHeight="1">
      <c r="A220" s="1"/>
      <c r="B220" s="1"/>
      <c r="C220" s="1"/>
      <c r="D220" s="1"/>
      <c r="E220" s="1"/>
      <c r="F220" s="1"/>
      <c r="Q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142"/>
    </row>
    <row r="221" ht="17.25" customHeight="1">
      <c r="A221" s="1"/>
      <c r="B221" s="1"/>
      <c r="C221" s="1"/>
      <c r="D221" s="1"/>
      <c r="E221" s="1"/>
      <c r="F221" s="1"/>
      <c r="Q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142"/>
    </row>
    <row r="222" ht="17.25" customHeight="1">
      <c r="A222" s="1"/>
      <c r="B222" s="1"/>
      <c r="C222" s="1"/>
      <c r="D222" s="1"/>
      <c r="E222" s="1"/>
      <c r="F222" s="1"/>
      <c r="Q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142"/>
    </row>
    <row r="223" ht="17.25" customHeight="1">
      <c r="A223" s="1"/>
      <c r="B223" s="1"/>
      <c r="C223" s="1"/>
      <c r="D223" s="1"/>
      <c r="E223" s="1"/>
      <c r="F223" s="1"/>
      <c r="Q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142"/>
    </row>
    <row r="224" ht="17.25" customHeight="1">
      <c r="A224" s="1"/>
      <c r="B224" s="1"/>
      <c r="C224" s="1"/>
      <c r="D224" s="1"/>
      <c r="E224" s="1"/>
      <c r="F224" s="1"/>
      <c r="Q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142"/>
    </row>
    <row r="225" ht="17.25" customHeight="1">
      <c r="A225" s="1"/>
      <c r="B225" s="1"/>
      <c r="C225" s="1"/>
      <c r="D225" s="1"/>
      <c r="E225" s="1"/>
      <c r="F225" s="1"/>
      <c r="Q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142"/>
    </row>
    <row r="226" ht="17.25" customHeight="1">
      <c r="A226" s="1"/>
      <c r="B226" s="1"/>
      <c r="C226" s="1"/>
      <c r="D226" s="1"/>
      <c r="E226" s="1"/>
      <c r="F226" s="1"/>
      <c r="Q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142"/>
    </row>
    <row r="227" ht="17.25" customHeight="1">
      <c r="A227" s="1"/>
      <c r="B227" s="1"/>
      <c r="C227" s="1"/>
      <c r="D227" s="1"/>
      <c r="E227" s="1"/>
      <c r="F227" s="1"/>
      <c r="Q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142"/>
    </row>
    <row r="228" ht="17.25" customHeight="1">
      <c r="A228" s="1"/>
      <c r="B228" s="1"/>
      <c r="C228" s="1"/>
      <c r="D228" s="1"/>
      <c r="E228" s="1"/>
      <c r="F228" s="1"/>
      <c r="Q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142"/>
    </row>
    <row r="229" ht="17.25" customHeight="1">
      <c r="A229" s="1"/>
      <c r="B229" s="1"/>
      <c r="C229" s="1"/>
      <c r="D229" s="1"/>
      <c r="E229" s="1"/>
      <c r="F229" s="1"/>
      <c r="Q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142"/>
    </row>
    <row r="230" ht="17.25" customHeight="1">
      <c r="A230" s="1"/>
      <c r="B230" s="1"/>
      <c r="C230" s="1"/>
      <c r="D230" s="1"/>
      <c r="E230" s="1"/>
      <c r="F230" s="1"/>
      <c r="Q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142"/>
    </row>
    <row r="231" ht="17.25" customHeight="1">
      <c r="A231" s="1"/>
      <c r="B231" s="1"/>
      <c r="C231" s="1"/>
      <c r="D231" s="1"/>
      <c r="E231" s="1"/>
      <c r="F231" s="1"/>
      <c r="Q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142"/>
    </row>
    <row r="232" ht="17.25" customHeight="1">
      <c r="A232" s="1"/>
      <c r="B232" s="1"/>
      <c r="C232" s="1"/>
      <c r="D232" s="1"/>
      <c r="E232" s="1"/>
      <c r="F232" s="1"/>
      <c r="Q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142"/>
    </row>
    <row r="233" ht="17.25" customHeight="1">
      <c r="A233" s="1"/>
      <c r="B233" s="1"/>
      <c r="C233" s="1"/>
      <c r="D233" s="1"/>
      <c r="E233" s="1"/>
      <c r="F233" s="1"/>
      <c r="Q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142"/>
    </row>
    <row r="234" ht="17.25" customHeight="1">
      <c r="A234" s="1"/>
      <c r="B234" s="1"/>
      <c r="C234" s="1"/>
      <c r="D234" s="1"/>
      <c r="E234" s="1"/>
      <c r="F234" s="1"/>
      <c r="Q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142"/>
    </row>
    <row r="235" ht="17.25" customHeight="1">
      <c r="A235" s="1"/>
      <c r="B235" s="1"/>
      <c r="C235" s="1"/>
      <c r="D235" s="1"/>
      <c r="E235" s="1"/>
      <c r="F235" s="1"/>
      <c r="Q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142"/>
    </row>
    <row r="236" ht="17.25" customHeight="1">
      <c r="A236" s="1"/>
      <c r="B236" s="1"/>
      <c r="C236" s="1"/>
      <c r="D236" s="1"/>
      <c r="E236" s="1"/>
      <c r="F236" s="1"/>
      <c r="Q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142"/>
    </row>
    <row r="237" ht="17.25" customHeight="1">
      <c r="A237" s="1"/>
      <c r="B237" s="1"/>
      <c r="C237" s="1"/>
      <c r="D237" s="1"/>
      <c r="E237" s="1"/>
      <c r="F237" s="1"/>
      <c r="Q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142"/>
    </row>
    <row r="238" ht="17.25" customHeight="1">
      <c r="A238" s="1"/>
      <c r="B238" s="1"/>
      <c r="C238" s="1"/>
      <c r="D238" s="1"/>
      <c r="E238" s="1"/>
      <c r="F238" s="1"/>
      <c r="Q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142"/>
    </row>
    <row r="239" ht="17.25" customHeight="1">
      <c r="A239" s="1"/>
      <c r="B239" s="1"/>
      <c r="C239" s="1"/>
      <c r="D239" s="1"/>
      <c r="E239" s="1"/>
      <c r="F239" s="1"/>
      <c r="Q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142"/>
    </row>
    <row r="240" ht="17.25" customHeight="1">
      <c r="A240" s="1"/>
      <c r="B240" s="1"/>
      <c r="C240" s="1"/>
      <c r="D240" s="1"/>
      <c r="E240" s="1"/>
      <c r="F240" s="1"/>
      <c r="Q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142"/>
    </row>
    <row r="241" ht="17.25" customHeight="1">
      <c r="A241" s="1"/>
      <c r="B241" s="1"/>
      <c r="C241" s="1"/>
      <c r="D241" s="1"/>
      <c r="E241" s="1"/>
      <c r="F241" s="1"/>
      <c r="Q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142"/>
    </row>
    <row r="242" ht="17.25" customHeight="1">
      <c r="A242" s="1"/>
      <c r="B242" s="1"/>
      <c r="C242" s="1"/>
      <c r="D242" s="1"/>
      <c r="E242" s="1"/>
      <c r="F242" s="1"/>
      <c r="Q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142"/>
    </row>
    <row r="243" ht="17.25" customHeight="1">
      <c r="A243" s="1"/>
      <c r="B243" s="1"/>
      <c r="C243" s="1"/>
      <c r="D243" s="1"/>
      <c r="E243" s="1"/>
      <c r="F243" s="1"/>
      <c r="Q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142"/>
    </row>
    <row r="244" ht="17.25" customHeight="1">
      <c r="A244" s="1"/>
      <c r="B244" s="1"/>
      <c r="C244" s="1"/>
      <c r="D244" s="1"/>
      <c r="E244" s="1"/>
      <c r="F244" s="1"/>
      <c r="Q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142"/>
    </row>
    <row r="245" ht="17.25" customHeight="1">
      <c r="A245" s="1"/>
      <c r="B245" s="1"/>
      <c r="C245" s="1"/>
      <c r="D245" s="1"/>
      <c r="E245" s="1"/>
      <c r="F245" s="1"/>
      <c r="Q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142"/>
    </row>
    <row r="246" ht="17.25" customHeight="1">
      <c r="A246" s="1"/>
      <c r="B246" s="1"/>
      <c r="C246" s="1"/>
      <c r="D246" s="1"/>
      <c r="E246" s="1"/>
      <c r="F246" s="1"/>
      <c r="Q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142"/>
    </row>
    <row r="247" ht="17.25" customHeight="1">
      <c r="A247" s="1"/>
      <c r="B247" s="1"/>
      <c r="C247" s="1"/>
      <c r="D247" s="1"/>
      <c r="E247" s="1"/>
      <c r="F247" s="1"/>
      <c r="Q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142"/>
    </row>
    <row r="248" ht="17.25" customHeight="1">
      <c r="A248" s="1"/>
      <c r="B248" s="1"/>
      <c r="C248" s="1"/>
      <c r="D248" s="1"/>
      <c r="E248" s="1"/>
      <c r="F248" s="1"/>
      <c r="Q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142"/>
    </row>
    <row r="249" ht="17.25" customHeight="1">
      <c r="A249" s="1"/>
      <c r="B249" s="1"/>
      <c r="C249" s="1"/>
      <c r="D249" s="1"/>
      <c r="E249" s="1"/>
      <c r="F249" s="1"/>
      <c r="Q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142"/>
    </row>
    <row r="250" ht="17.25" customHeight="1">
      <c r="A250" s="1"/>
      <c r="B250" s="1"/>
      <c r="C250" s="1"/>
      <c r="D250" s="1"/>
      <c r="E250" s="1"/>
      <c r="F250" s="1"/>
      <c r="Q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142"/>
    </row>
    <row r="251" ht="17.25" customHeight="1">
      <c r="A251" s="1"/>
      <c r="B251" s="1"/>
      <c r="C251" s="1"/>
      <c r="D251" s="1"/>
      <c r="E251" s="1"/>
      <c r="F251" s="1"/>
      <c r="Q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142"/>
    </row>
    <row r="252" ht="17.25" customHeight="1">
      <c r="A252" s="1"/>
      <c r="B252" s="1"/>
      <c r="C252" s="1"/>
      <c r="D252" s="1"/>
      <c r="E252" s="1"/>
      <c r="F252" s="1"/>
      <c r="Q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142"/>
    </row>
    <row r="253" ht="17.25" customHeight="1">
      <c r="A253" s="1"/>
      <c r="B253" s="1"/>
      <c r="C253" s="1"/>
      <c r="D253" s="1"/>
      <c r="E253" s="1"/>
      <c r="F253" s="1"/>
      <c r="Q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142"/>
    </row>
    <row r="254" ht="17.25" customHeight="1">
      <c r="A254" s="1"/>
      <c r="B254" s="1"/>
      <c r="C254" s="1"/>
      <c r="D254" s="1"/>
      <c r="E254" s="1"/>
      <c r="F254" s="1"/>
      <c r="Q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142"/>
    </row>
    <row r="255" ht="17.25" customHeight="1">
      <c r="A255" s="1"/>
      <c r="B255" s="1"/>
      <c r="C255" s="1"/>
      <c r="D255" s="1"/>
      <c r="E255" s="1"/>
      <c r="F255" s="1"/>
      <c r="Q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142"/>
    </row>
    <row r="256" ht="17.25" customHeight="1">
      <c r="A256" s="1"/>
      <c r="B256" s="1"/>
      <c r="C256" s="1"/>
      <c r="D256" s="1"/>
      <c r="E256" s="1"/>
      <c r="F256" s="1"/>
      <c r="Q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142"/>
    </row>
    <row r="257" ht="17.25" customHeight="1">
      <c r="A257" s="1"/>
      <c r="B257" s="1"/>
      <c r="C257" s="1"/>
      <c r="D257" s="1"/>
      <c r="E257" s="1"/>
      <c r="F257" s="1"/>
      <c r="Q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142"/>
    </row>
    <row r="258" ht="17.25" customHeight="1">
      <c r="A258" s="1"/>
      <c r="B258" s="1"/>
      <c r="C258" s="1"/>
      <c r="D258" s="1"/>
      <c r="E258" s="1"/>
      <c r="F258" s="1"/>
      <c r="Q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142"/>
    </row>
    <row r="259" ht="17.25" customHeight="1">
      <c r="A259" s="1"/>
      <c r="B259" s="1"/>
      <c r="C259" s="1"/>
      <c r="D259" s="1"/>
      <c r="E259" s="1"/>
      <c r="F259" s="1"/>
      <c r="Q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142"/>
    </row>
    <row r="260" ht="17.25" customHeight="1">
      <c r="A260" s="1"/>
      <c r="B260" s="1"/>
      <c r="C260" s="1"/>
      <c r="D260" s="1"/>
      <c r="E260" s="1"/>
      <c r="F260" s="1"/>
      <c r="Q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142"/>
    </row>
    <row r="261" ht="17.25" customHeight="1">
      <c r="A261" s="1"/>
      <c r="B261" s="1"/>
      <c r="C261" s="1"/>
      <c r="D261" s="1"/>
      <c r="E261" s="1"/>
      <c r="F261" s="1"/>
      <c r="Q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142"/>
    </row>
    <row r="262" ht="17.25" customHeight="1">
      <c r="A262" s="1"/>
      <c r="B262" s="1"/>
      <c r="C262" s="1"/>
      <c r="D262" s="1"/>
      <c r="E262" s="1"/>
      <c r="F262" s="1"/>
      <c r="Q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142"/>
    </row>
    <row r="263" ht="17.25" customHeight="1">
      <c r="A263" s="1"/>
      <c r="B263" s="1"/>
      <c r="C263" s="1"/>
      <c r="D263" s="1"/>
      <c r="E263" s="1"/>
      <c r="F263" s="1"/>
      <c r="Q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142"/>
    </row>
    <row r="264" ht="17.25" customHeight="1">
      <c r="A264" s="1"/>
      <c r="B264" s="1"/>
      <c r="C264" s="1"/>
      <c r="D264" s="1"/>
      <c r="E264" s="1"/>
      <c r="F264" s="1"/>
      <c r="Q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142"/>
    </row>
    <row r="265" ht="17.25" customHeight="1">
      <c r="A265" s="1"/>
      <c r="B265" s="1"/>
      <c r="C265" s="1"/>
      <c r="D265" s="1"/>
      <c r="E265" s="1"/>
      <c r="F265" s="1"/>
      <c r="Q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142"/>
    </row>
    <row r="266" ht="17.25" customHeight="1">
      <c r="A266" s="1"/>
      <c r="B266" s="1"/>
      <c r="C266" s="1"/>
      <c r="D266" s="1"/>
      <c r="E266" s="1"/>
      <c r="F266" s="1"/>
      <c r="Q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142"/>
    </row>
    <row r="267" ht="17.25" customHeight="1">
      <c r="A267" s="1"/>
      <c r="B267" s="1"/>
      <c r="C267" s="1"/>
      <c r="D267" s="1"/>
      <c r="E267" s="1"/>
      <c r="F267" s="1"/>
      <c r="Q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142"/>
    </row>
    <row r="268" ht="17.25" customHeight="1">
      <c r="A268" s="1"/>
      <c r="B268" s="1"/>
      <c r="C268" s="1"/>
      <c r="D268" s="1"/>
      <c r="E268" s="1"/>
      <c r="F268" s="1"/>
      <c r="Q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142"/>
    </row>
    <row r="269" ht="17.25" customHeight="1">
      <c r="A269" s="1"/>
      <c r="B269" s="1"/>
      <c r="C269" s="1"/>
      <c r="D269" s="1"/>
      <c r="E269" s="1"/>
      <c r="F269" s="1"/>
      <c r="Q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142"/>
    </row>
    <row r="270" ht="17.25" customHeight="1">
      <c r="A270" s="1"/>
      <c r="B270" s="1"/>
      <c r="C270" s="1"/>
      <c r="D270" s="1"/>
      <c r="E270" s="1"/>
      <c r="F270" s="1"/>
      <c r="Q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142"/>
    </row>
    <row r="271" ht="17.25" customHeight="1">
      <c r="A271" s="1"/>
      <c r="B271" s="1"/>
      <c r="C271" s="1"/>
      <c r="D271" s="1"/>
      <c r="E271" s="1"/>
      <c r="F271" s="1"/>
      <c r="Q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142"/>
    </row>
    <row r="272" ht="17.25" customHeight="1">
      <c r="A272" s="1"/>
      <c r="B272" s="1"/>
      <c r="C272" s="1"/>
      <c r="D272" s="1"/>
      <c r="E272" s="1"/>
      <c r="F272" s="1"/>
      <c r="Q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142"/>
    </row>
    <row r="273" ht="17.25" customHeight="1">
      <c r="A273" s="1"/>
      <c r="B273" s="1"/>
      <c r="C273" s="1"/>
      <c r="D273" s="1"/>
      <c r="E273" s="1"/>
      <c r="F273" s="1"/>
      <c r="Q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142"/>
    </row>
    <row r="274" ht="17.25" customHeight="1">
      <c r="A274" s="1"/>
      <c r="B274" s="1"/>
      <c r="C274" s="1"/>
      <c r="D274" s="1"/>
      <c r="E274" s="1"/>
      <c r="F274" s="1"/>
      <c r="Q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142"/>
    </row>
    <row r="275" ht="17.25" customHeight="1">
      <c r="A275" s="1"/>
      <c r="B275" s="1"/>
      <c r="C275" s="1"/>
      <c r="D275" s="1"/>
      <c r="E275" s="1"/>
      <c r="F275" s="1"/>
      <c r="Q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142"/>
    </row>
    <row r="276" ht="17.25" customHeight="1">
      <c r="A276" s="1"/>
      <c r="B276" s="1"/>
      <c r="C276" s="1"/>
      <c r="D276" s="1"/>
      <c r="E276" s="1"/>
      <c r="F276" s="1"/>
      <c r="Q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142"/>
    </row>
    <row r="277" ht="17.25" customHeight="1">
      <c r="A277" s="1"/>
      <c r="B277" s="1"/>
      <c r="C277" s="1"/>
      <c r="D277" s="1"/>
      <c r="E277" s="1"/>
      <c r="F277" s="1"/>
      <c r="Q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142"/>
    </row>
    <row r="278" ht="17.25" customHeight="1">
      <c r="A278" s="1"/>
      <c r="B278" s="1"/>
      <c r="C278" s="1"/>
      <c r="D278" s="1"/>
      <c r="E278" s="1"/>
      <c r="F278" s="1"/>
      <c r="Q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142"/>
    </row>
    <row r="279" ht="17.25" customHeight="1">
      <c r="A279" s="1"/>
      <c r="B279" s="1"/>
      <c r="C279" s="1"/>
      <c r="D279" s="1"/>
      <c r="E279" s="1"/>
      <c r="F279" s="1"/>
      <c r="Q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142"/>
    </row>
    <row r="280" ht="17.25" customHeight="1">
      <c r="A280" s="1"/>
      <c r="B280" s="1"/>
      <c r="C280" s="1"/>
      <c r="D280" s="1"/>
      <c r="E280" s="1"/>
      <c r="F280" s="1"/>
      <c r="Q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142"/>
    </row>
    <row r="281" ht="17.25" customHeight="1">
      <c r="A281" s="1"/>
      <c r="B281" s="1"/>
      <c r="C281" s="1"/>
      <c r="D281" s="1"/>
      <c r="E281" s="1"/>
      <c r="F281" s="1"/>
      <c r="Q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142"/>
    </row>
    <row r="282" ht="17.25" customHeight="1">
      <c r="A282" s="1"/>
      <c r="B282" s="1"/>
      <c r="C282" s="1"/>
      <c r="D282" s="1"/>
      <c r="E282" s="1"/>
      <c r="F282" s="1"/>
      <c r="Q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142"/>
    </row>
    <row r="283" ht="17.25" customHeight="1">
      <c r="A283" s="1"/>
      <c r="B283" s="1"/>
      <c r="C283" s="1"/>
      <c r="D283" s="1"/>
      <c r="E283" s="1"/>
      <c r="F283" s="1"/>
      <c r="Q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142"/>
    </row>
    <row r="284" ht="17.25" customHeight="1">
      <c r="A284" s="1"/>
      <c r="B284" s="1"/>
      <c r="C284" s="1"/>
      <c r="D284" s="1"/>
      <c r="E284" s="1"/>
      <c r="F284" s="1"/>
      <c r="Q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142"/>
    </row>
    <row r="285" ht="17.25" customHeight="1">
      <c r="A285" s="1"/>
      <c r="B285" s="1"/>
      <c r="C285" s="1"/>
      <c r="D285" s="1"/>
      <c r="E285" s="1"/>
      <c r="F285" s="1"/>
      <c r="Q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142"/>
    </row>
    <row r="286" ht="17.25" customHeight="1">
      <c r="A286" s="1"/>
      <c r="B286" s="1"/>
      <c r="C286" s="1"/>
      <c r="D286" s="1"/>
      <c r="E286" s="1"/>
      <c r="F286" s="1"/>
      <c r="Q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142"/>
    </row>
    <row r="287" ht="17.25" customHeight="1">
      <c r="A287" s="1"/>
      <c r="B287" s="1"/>
      <c r="C287" s="1"/>
      <c r="D287" s="1"/>
      <c r="E287" s="1"/>
      <c r="F287" s="1"/>
      <c r="Q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142"/>
    </row>
    <row r="288" ht="17.25" customHeight="1">
      <c r="A288" s="1"/>
      <c r="B288" s="1"/>
      <c r="C288" s="1"/>
      <c r="D288" s="1"/>
      <c r="E288" s="1"/>
      <c r="F288" s="1"/>
      <c r="Q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142"/>
    </row>
    <row r="289" ht="17.25" customHeight="1">
      <c r="A289" s="1"/>
      <c r="B289" s="1"/>
      <c r="C289" s="1"/>
      <c r="D289" s="1"/>
      <c r="E289" s="1"/>
      <c r="F289" s="1"/>
      <c r="Q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142"/>
    </row>
    <row r="290" ht="17.25" customHeight="1">
      <c r="A290" s="1"/>
      <c r="B290" s="1"/>
      <c r="C290" s="1"/>
      <c r="D290" s="1"/>
      <c r="E290" s="1"/>
      <c r="F290" s="1"/>
      <c r="Q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142"/>
    </row>
    <row r="291" ht="17.25" customHeight="1">
      <c r="A291" s="1"/>
      <c r="B291" s="1"/>
      <c r="C291" s="1"/>
      <c r="D291" s="1"/>
      <c r="E291" s="1"/>
      <c r="F291" s="1"/>
      <c r="Q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142"/>
    </row>
    <row r="292" ht="17.25" customHeight="1">
      <c r="A292" s="1"/>
      <c r="B292" s="1"/>
      <c r="C292" s="1"/>
      <c r="D292" s="1"/>
      <c r="E292" s="1"/>
      <c r="F292" s="1"/>
      <c r="Q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142"/>
    </row>
    <row r="293" ht="17.25" customHeight="1">
      <c r="A293" s="1"/>
      <c r="B293" s="1"/>
      <c r="C293" s="1"/>
      <c r="D293" s="1"/>
      <c r="E293" s="1"/>
      <c r="F293" s="1"/>
      <c r="Q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142"/>
    </row>
    <row r="294" ht="17.25" customHeight="1">
      <c r="A294" s="1"/>
      <c r="B294" s="1"/>
      <c r="C294" s="1"/>
      <c r="D294" s="1"/>
      <c r="E294" s="1"/>
      <c r="F294" s="1"/>
      <c r="Q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142"/>
    </row>
    <row r="295" ht="17.25" customHeight="1">
      <c r="A295" s="1"/>
      <c r="B295" s="1"/>
      <c r="C295" s="1"/>
      <c r="D295" s="1"/>
      <c r="E295" s="1"/>
      <c r="F295" s="1"/>
      <c r="Q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142"/>
    </row>
    <row r="296" ht="17.25" customHeight="1">
      <c r="A296" s="1"/>
      <c r="B296" s="1"/>
      <c r="C296" s="1"/>
      <c r="D296" s="1"/>
      <c r="E296" s="1"/>
      <c r="F296" s="1"/>
      <c r="Q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142"/>
    </row>
    <row r="297" ht="17.25" customHeight="1">
      <c r="A297" s="1"/>
      <c r="B297" s="1"/>
      <c r="C297" s="1"/>
      <c r="D297" s="1"/>
      <c r="E297" s="1"/>
      <c r="F297" s="1"/>
      <c r="Q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142"/>
    </row>
    <row r="298" ht="17.25" customHeight="1">
      <c r="A298" s="1"/>
      <c r="B298" s="1"/>
      <c r="C298" s="1"/>
      <c r="D298" s="1"/>
      <c r="E298" s="1"/>
      <c r="F298" s="1"/>
      <c r="Q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142"/>
    </row>
    <row r="299" ht="17.25" customHeight="1">
      <c r="A299" s="1"/>
      <c r="B299" s="1"/>
      <c r="C299" s="1"/>
      <c r="D299" s="1"/>
      <c r="E299" s="1"/>
      <c r="F299" s="1"/>
      <c r="Q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142"/>
    </row>
    <row r="300" ht="17.25" customHeight="1">
      <c r="A300" s="1"/>
      <c r="B300" s="1"/>
      <c r="C300" s="1"/>
      <c r="D300" s="1"/>
      <c r="E300" s="1"/>
      <c r="F300" s="1"/>
      <c r="Q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142"/>
    </row>
    <row r="301" ht="17.25" customHeight="1">
      <c r="A301" s="1"/>
      <c r="B301" s="1"/>
      <c r="C301" s="1"/>
      <c r="D301" s="1"/>
      <c r="E301" s="1"/>
      <c r="F301" s="1"/>
      <c r="Q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142"/>
    </row>
    <row r="302" ht="17.25" customHeight="1">
      <c r="A302" s="1"/>
      <c r="B302" s="1"/>
      <c r="C302" s="1"/>
      <c r="D302" s="1"/>
      <c r="E302" s="1"/>
      <c r="F302" s="1"/>
      <c r="Q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142"/>
    </row>
    <row r="303" ht="17.25" customHeight="1">
      <c r="A303" s="1"/>
      <c r="B303" s="1"/>
      <c r="C303" s="1"/>
      <c r="D303" s="1"/>
      <c r="E303" s="1"/>
      <c r="F303" s="1"/>
      <c r="Q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142"/>
    </row>
    <row r="304" ht="17.25" customHeight="1">
      <c r="A304" s="1"/>
      <c r="B304" s="1"/>
      <c r="C304" s="1"/>
      <c r="D304" s="1"/>
      <c r="E304" s="1"/>
      <c r="F304" s="1"/>
      <c r="Q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142"/>
    </row>
    <row r="305" ht="17.25" customHeight="1">
      <c r="A305" s="1"/>
      <c r="B305" s="1"/>
      <c r="C305" s="1"/>
      <c r="D305" s="1"/>
      <c r="E305" s="1"/>
      <c r="F305" s="1"/>
      <c r="Q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142"/>
    </row>
    <row r="306" ht="17.25" customHeight="1">
      <c r="A306" s="1"/>
      <c r="B306" s="1"/>
      <c r="C306" s="1"/>
      <c r="D306" s="1"/>
      <c r="E306" s="1"/>
      <c r="F306" s="1"/>
      <c r="Q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142"/>
    </row>
    <row r="307" ht="17.25" customHeight="1">
      <c r="A307" s="1"/>
      <c r="B307" s="1"/>
      <c r="C307" s="1"/>
      <c r="D307" s="1"/>
      <c r="E307" s="1"/>
      <c r="F307" s="1"/>
      <c r="Q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142"/>
    </row>
    <row r="308" ht="17.25" customHeight="1">
      <c r="A308" s="1"/>
      <c r="B308" s="1"/>
      <c r="C308" s="1"/>
      <c r="D308" s="1"/>
      <c r="E308" s="1"/>
      <c r="F308" s="1"/>
      <c r="Q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142"/>
    </row>
    <row r="309" ht="17.25" customHeight="1">
      <c r="A309" s="1"/>
      <c r="B309" s="1"/>
      <c r="C309" s="1"/>
      <c r="D309" s="1"/>
      <c r="E309" s="1"/>
      <c r="F309" s="1"/>
      <c r="Q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142"/>
    </row>
    <row r="310" ht="17.25" customHeight="1">
      <c r="A310" s="1"/>
      <c r="B310" s="1"/>
      <c r="C310" s="1"/>
      <c r="D310" s="1"/>
      <c r="E310" s="1"/>
      <c r="F310" s="1"/>
      <c r="Q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142"/>
    </row>
    <row r="311" ht="17.25" customHeight="1">
      <c r="A311" s="1"/>
      <c r="B311" s="1"/>
      <c r="C311" s="1"/>
      <c r="D311" s="1"/>
      <c r="E311" s="1"/>
      <c r="F311" s="1"/>
      <c r="Q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142"/>
    </row>
    <row r="312" ht="17.25" customHeight="1">
      <c r="A312" s="1"/>
      <c r="B312" s="1"/>
      <c r="C312" s="1"/>
      <c r="D312" s="1"/>
      <c r="E312" s="1"/>
      <c r="F312" s="1"/>
      <c r="Q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142"/>
    </row>
    <row r="313" ht="17.25" customHeight="1">
      <c r="A313" s="1"/>
      <c r="B313" s="1"/>
      <c r="C313" s="1"/>
      <c r="D313" s="1"/>
      <c r="E313" s="1"/>
      <c r="F313" s="1"/>
      <c r="Q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142"/>
    </row>
    <row r="314" ht="17.25" customHeight="1">
      <c r="A314" s="1"/>
      <c r="B314" s="1"/>
      <c r="C314" s="1"/>
      <c r="D314" s="1"/>
      <c r="E314" s="1"/>
      <c r="F314" s="1"/>
      <c r="Q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142"/>
    </row>
    <row r="315" ht="17.25" customHeight="1">
      <c r="A315" s="1"/>
      <c r="B315" s="1"/>
      <c r="C315" s="1"/>
      <c r="D315" s="1"/>
      <c r="E315" s="1"/>
      <c r="F315" s="1"/>
      <c r="Q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142"/>
    </row>
    <row r="316" ht="17.25" customHeight="1">
      <c r="A316" s="1"/>
      <c r="B316" s="1"/>
      <c r="C316" s="1"/>
      <c r="D316" s="1"/>
      <c r="E316" s="1"/>
      <c r="F316" s="1"/>
      <c r="Q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142"/>
    </row>
    <row r="317" ht="17.25" customHeight="1">
      <c r="A317" s="1"/>
      <c r="B317" s="1"/>
      <c r="C317" s="1"/>
      <c r="D317" s="1"/>
      <c r="E317" s="1"/>
      <c r="F317" s="1"/>
      <c r="Q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142"/>
    </row>
    <row r="318" ht="17.25" customHeight="1">
      <c r="A318" s="1"/>
      <c r="B318" s="1"/>
      <c r="C318" s="1"/>
      <c r="D318" s="1"/>
      <c r="E318" s="1"/>
      <c r="F318" s="1"/>
      <c r="Q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142"/>
    </row>
    <row r="319" ht="17.25" customHeight="1">
      <c r="A319" s="1"/>
      <c r="B319" s="1"/>
      <c r="C319" s="1"/>
      <c r="D319" s="1"/>
      <c r="E319" s="1"/>
      <c r="F319" s="1"/>
      <c r="Q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142"/>
    </row>
    <row r="320" ht="17.25" customHeight="1">
      <c r="A320" s="1"/>
      <c r="B320" s="1"/>
      <c r="C320" s="1"/>
      <c r="D320" s="1"/>
      <c r="E320" s="1"/>
      <c r="F320" s="1"/>
      <c r="Q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142"/>
    </row>
    <row r="321" ht="17.25" customHeight="1">
      <c r="A321" s="1"/>
      <c r="B321" s="1"/>
      <c r="C321" s="1"/>
      <c r="D321" s="1"/>
      <c r="E321" s="1"/>
      <c r="F321" s="1"/>
      <c r="Q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142"/>
    </row>
    <row r="322" ht="17.25" customHeight="1">
      <c r="A322" s="1"/>
      <c r="B322" s="1"/>
      <c r="C322" s="1"/>
      <c r="D322" s="1"/>
      <c r="E322" s="1"/>
      <c r="F322" s="1"/>
      <c r="Q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142"/>
    </row>
    <row r="323" ht="17.25" customHeight="1">
      <c r="A323" s="1"/>
      <c r="B323" s="1"/>
      <c r="C323" s="1"/>
      <c r="D323" s="1"/>
      <c r="E323" s="1"/>
      <c r="F323" s="1"/>
      <c r="Q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142"/>
    </row>
    <row r="324" ht="17.25" customHeight="1">
      <c r="A324" s="1"/>
      <c r="B324" s="1"/>
      <c r="C324" s="1"/>
      <c r="D324" s="1"/>
      <c r="E324" s="1"/>
      <c r="F324" s="1"/>
      <c r="Q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142"/>
    </row>
    <row r="325" ht="17.25" customHeight="1">
      <c r="A325" s="1"/>
      <c r="B325" s="1"/>
      <c r="C325" s="1"/>
      <c r="D325" s="1"/>
      <c r="E325" s="1"/>
      <c r="F325" s="1"/>
      <c r="Q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142"/>
    </row>
    <row r="326" ht="17.25" customHeight="1">
      <c r="A326" s="1"/>
      <c r="B326" s="1"/>
      <c r="C326" s="1"/>
      <c r="D326" s="1"/>
      <c r="E326" s="1"/>
      <c r="F326" s="1"/>
      <c r="Q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142"/>
    </row>
    <row r="327" ht="17.25" customHeight="1">
      <c r="A327" s="1"/>
      <c r="B327" s="1"/>
      <c r="C327" s="1"/>
      <c r="D327" s="1"/>
      <c r="E327" s="1"/>
      <c r="F327" s="1"/>
      <c r="Q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142"/>
    </row>
    <row r="328" ht="17.25" customHeight="1">
      <c r="A328" s="1"/>
      <c r="B328" s="1"/>
      <c r="C328" s="1"/>
      <c r="D328" s="1"/>
      <c r="E328" s="1"/>
      <c r="F328" s="1"/>
      <c r="Q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142"/>
    </row>
    <row r="329" ht="17.25" customHeight="1">
      <c r="A329" s="1"/>
      <c r="B329" s="1"/>
      <c r="C329" s="1"/>
      <c r="D329" s="1"/>
      <c r="E329" s="1"/>
      <c r="F329" s="1"/>
      <c r="Q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142"/>
    </row>
    <row r="330" ht="17.25" customHeight="1">
      <c r="A330" s="1"/>
      <c r="B330" s="1"/>
      <c r="C330" s="1"/>
      <c r="D330" s="1"/>
      <c r="E330" s="1"/>
      <c r="F330" s="1"/>
      <c r="Q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142"/>
    </row>
    <row r="331" ht="17.25" customHeight="1">
      <c r="A331" s="1"/>
      <c r="B331" s="1"/>
      <c r="C331" s="1"/>
      <c r="D331" s="1"/>
      <c r="E331" s="1"/>
      <c r="F331" s="1"/>
      <c r="Q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142"/>
    </row>
    <row r="332" ht="17.25" customHeight="1">
      <c r="A332" s="1"/>
      <c r="B332" s="1"/>
      <c r="C332" s="1"/>
      <c r="D332" s="1"/>
      <c r="E332" s="1"/>
      <c r="F332" s="1"/>
      <c r="Q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142"/>
    </row>
    <row r="333" ht="17.25" customHeight="1">
      <c r="A333" s="1"/>
      <c r="B333" s="1"/>
      <c r="C333" s="1"/>
      <c r="D333" s="1"/>
      <c r="E333" s="1"/>
      <c r="F333" s="1"/>
      <c r="Q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142"/>
    </row>
    <row r="334" ht="17.25" customHeight="1">
      <c r="A334" s="1"/>
      <c r="B334" s="1"/>
      <c r="C334" s="1"/>
      <c r="D334" s="1"/>
      <c r="E334" s="1"/>
      <c r="F334" s="1"/>
      <c r="Q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142"/>
    </row>
    <row r="335" ht="17.25" customHeight="1">
      <c r="A335" s="1"/>
      <c r="B335" s="1"/>
      <c r="C335" s="1"/>
      <c r="D335" s="1"/>
      <c r="E335" s="1"/>
      <c r="F335" s="1"/>
      <c r="Q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142"/>
    </row>
    <row r="336" ht="17.25" customHeight="1">
      <c r="A336" s="1"/>
      <c r="B336" s="1"/>
      <c r="C336" s="1"/>
      <c r="D336" s="1"/>
      <c r="E336" s="1"/>
      <c r="F336" s="1"/>
      <c r="Q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142"/>
    </row>
    <row r="337" ht="17.25" customHeight="1">
      <c r="A337" s="1"/>
      <c r="B337" s="1"/>
      <c r="C337" s="1"/>
      <c r="D337" s="1"/>
      <c r="E337" s="1"/>
      <c r="F337" s="1"/>
      <c r="Q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142"/>
    </row>
    <row r="338" ht="17.25" customHeight="1">
      <c r="A338" s="1"/>
      <c r="B338" s="1"/>
      <c r="C338" s="1"/>
      <c r="D338" s="1"/>
      <c r="E338" s="1"/>
      <c r="F338" s="1"/>
      <c r="Q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142"/>
    </row>
    <row r="339" ht="17.25" customHeight="1">
      <c r="A339" s="1"/>
      <c r="B339" s="1"/>
      <c r="C339" s="1"/>
      <c r="D339" s="1"/>
      <c r="E339" s="1"/>
      <c r="F339" s="1"/>
      <c r="Q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142"/>
    </row>
    <row r="340" ht="17.25" customHeight="1">
      <c r="A340" s="1"/>
      <c r="B340" s="1"/>
      <c r="C340" s="1"/>
      <c r="D340" s="1"/>
      <c r="E340" s="1"/>
      <c r="F340" s="1"/>
      <c r="Q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142"/>
    </row>
    <row r="341" ht="17.25" customHeight="1">
      <c r="A341" s="1"/>
      <c r="B341" s="1"/>
      <c r="C341" s="1"/>
      <c r="D341" s="1"/>
      <c r="E341" s="1"/>
      <c r="F341" s="1"/>
      <c r="Q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142"/>
    </row>
    <row r="342" ht="17.25" customHeight="1">
      <c r="A342" s="1"/>
      <c r="B342" s="1"/>
      <c r="C342" s="1"/>
      <c r="D342" s="1"/>
      <c r="E342" s="1"/>
      <c r="F342" s="1"/>
      <c r="Q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142"/>
    </row>
    <row r="343" ht="17.25" customHeight="1">
      <c r="A343" s="1"/>
      <c r="B343" s="1"/>
      <c r="C343" s="1"/>
      <c r="D343" s="1"/>
      <c r="E343" s="1"/>
      <c r="F343" s="1"/>
      <c r="Q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142"/>
    </row>
    <row r="344" ht="17.25" customHeight="1">
      <c r="A344" s="1"/>
      <c r="B344" s="1"/>
      <c r="C344" s="1"/>
      <c r="D344" s="1"/>
      <c r="E344" s="1"/>
      <c r="F344" s="1"/>
      <c r="Q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142"/>
    </row>
    <row r="345" ht="17.25" customHeight="1">
      <c r="A345" s="1"/>
      <c r="B345" s="1"/>
      <c r="C345" s="1"/>
      <c r="D345" s="1"/>
      <c r="E345" s="1"/>
      <c r="F345" s="1"/>
      <c r="Q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142"/>
    </row>
    <row r="346" ht="17.25" customHeight="1">
      <c r="A346" s="1"/>
      <c r="B346" s="1"/>
      <c r="C346" s="1"/>
      <c r="D346" s="1"/>
      <c r="E346" s="1"/>
      <c r="F346" s="1"/>
      <c r="Q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142"/>
    </row>
    <row r="347" ht="17.25" customHeight="1">
      <c r="A347" s="1"/>
      <c r="B347" s="1"/>
      <c r="C347" s="1"/>
      <c r="D347" s="1"/>
      <c r="E347" s="1"/>
      <c r="F347" s="1"/>
      <c r="Q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142"/>
    </row>
    <row r="348" ht="17.25" customHeight="1">
      <c r="A348" s="1"/>
      <c r="B348" s="1"/>
      <c r="C348" s="1"/>
      <c r="D348" s="1"/>
      <c r="E348" s="1"/>
      <c r="F348" s="1"/>
      <c r="Q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142"/>
    </row>
    <row r="349" ht="17.25" customHeight="1">
      <c r="A349" s="1"/>
      <c r="B349" s="1"/>
      <c r="C349" s="1"/>
      <c r="D349" s="1"/>
      <c r="E349" s="1"/>
      <c r="F349" s="1"/>
      <c r="Q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142"/>
    </row>
    <row r="350" ht="17.25" customHeight="1">
      <c r="A350" s="1"/>
      <c r="B350" s="1"/>
      <c r="C350" s="1"/>
      <c r="D350" s="1"/>
      <c r="E350" s="1"/>
      <c r="F350" s="1"/>
      <c r="Q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142"/>
    </row>
    <row r="351" ht="17.25" customHeight="1">
      <c r="A351" s="1"/>
      <c r="B351" s="1"/>
      <c r="C351" s="1"/>
      <c r="D351" s="1"/>
      <c r="E351" s="1"/>
      <c r="F351" s="1"/>
      <c r="Q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142"/>
    </row>
    <row r="352" ht="17.25" customHeight="1">
      <c r="A352" s="1"/>
      <c r="B352" s="1"/>
      <c r="C352" s="1"/>
      <c r="D352" s="1"/>
      <c r="E352" s="1"/>
      <c r="F352" s="1"/>
      <c r="Q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142"/>
    </row>
    <row r="353" ht="17.25" customHeight="1">
      <c r="A353" s="1"/>
      <c r="B353" s="1"/>
      <c r="C353" s="1"/>
      <c r="D353" s="1"/>
      <c r="E353" s="1"/>
      <c r="F353" s="1"/>
      <c r="Q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142"/>
    </row>
    <row r="354" ht="17.25" customHeight="1">
      <c r="A354" s="1"/>
      <c r="B354" s="1"/>
      <c r="C354" s="1"/>
      <c r="D354" s="1"/>
      <c r="E354" s="1"/>
      <c r="F354" s="1"/>
      <c r="Q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142"/>
    </row>
    <row r="355" ht="17.25" customHeight="1">
      <c r="A355" s="1"/>
      <c r="B355" s="1"/>
      <c r="C355" s="1"/>
      <c r="D355" s="1"/>
      <c r="E355" s="1"/>
      <c r="F355" s="1"/>
      <c r="Q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142"/>
    </row>
    <row r="356" ht="17.25" customHeight="1">
      <c r="A356" s="1"/>
      <c r="B356" s="1"/>
      <c r="C356" s="1"/>
      <c r="D356" s="1"/>
      <c r="E356" s="1"/>
      <c r="F356" s="1"/>
      <c r="Q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142"/>
    </row>
    <row r="357" ht="17.25" customHeight="1">
      <c r="A357" s="1"/>
      <c r="B357" s="1"/>
      <c r="C357" s="1"/>
      <c r="D357" s="1"/>
      <c r="E357" s="1"/>
      <c r="F357" s="1"/>
      <c r="Q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142"/>
    </row>
    <row r="358" ht="17.25" customHeight="1">
      <c r="A358" s="1"/>
      <c r="B358" s="1"/>
      <c r="C358" s="1"/>
      <c r="D358" s="1"/>
      <c r="E358" s="1"/>
      <c r="F358" s="1"/>
      <c r="Q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142"/>
    </row>
    <row r="359" ht="17.25" customHeight="1">
      <c r="A359" s="1"/>
      <c r="B359" s="1"/>
      <c r="C359" s="1"/>
      <c r="D359" s="1"/>
      <c r="E359" s="1"/>
      <c r="F359" s="1"/>
      <c r="Q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142"/>
    </row>
    <row r="360" ht="17.25" customHeight="1">
      <c r="A360" s="1"/>
      <c r="B360" s="1"/>
      <c r="C360" s="1"/>
      <c r="D360" s="1"/>
      <c r="E360" s="1"/>
      <c r="F360" s="1"/>
      <c r="Q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142"/>
    </row>
    <row r="361" ht="17.25" customHeight="1">
      <c r="A361" s="1"/>
      <c r="B361" s="1"/>
      <c r="C361" s="1"/>
      <c r="D361" s="1"/>
      <c r="E361" s="1"/>
      <c r="F361" s="1"/>
      <c r="Q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142"/>
    </row>
    <row r="362" ht="17.25" customHeight="1">
      <c r="A362" s="1"/>
      <c r="B362" s="1"/>
      <c r="C362" s="1"/>
      <c r="D362" s="1"/>
      <c r="E362" s="1"/>
      <c r="F362" s="1"/>
      <c r="Q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142"/>
    </row>
    <row r="363" ht="17.25" customHeight="1">
      <c r="A363" s="1"/>
      <c r="B363" s="1"/>
      <c r="C363" s="1"/>
      <c r="D363" s="1"/>
      <c r="E363" s="1"/>
      <c r="F363" s="1"/>
      <c r="Q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142"/>
    </row>
    <row r="364" ht="17.25" customHeight="1">
      <c r="A364" s="1"/>
      <c r="B364" s="1"/>
      <c r="C364" s="1"/>
      <c r="D364" s="1"/>
      <c r="E364" s="1"/>
      <c r="F364" s="1"/>
      <c r="Q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142"/>
    </row>
    <row r="365" ht="17.25" customHeight="1">
      <c r="A365" s="1"/>
      <c r="B365" s="1"/>
      <c r="C365" s="1"/>
      <c r="D365" s="1"/>
      <c r="E365" s="1"/>
      <c r="F365" s="1"/>
      <c r="Q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142"/>
    </row>
    <row r="366" ht="17.25" customHeight="1">
      <c r="A366" s="1"/>
      <c r="B366" s="1"/>
      <c r="C366" s="1"/>
      <c r="D366" s="1"/>
      <c r="E366" s="1"/>
      <c r="F366" s="1"/>
      <c r="Q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142"/>
    </row>
    <row r="367" ht="17.25" customHeight="1">
      <c r="A367" s="1"/>
      <c r="B367" s="1"/>
      <c r="C367" s="1"/>
      <c r="D367" s="1"/>
      <c r="E367" s="1"/>
      <c r="F367" s="1"/>
      <c r="Q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142"/>
    </row>
    <row r="368" ht="17.25" customHeight="1">
      <c r="A368" s="1"/>
      <c r="B368" s="1"/>
      <c r="C368" s="1"/>
      <c r="D368" s="1"/>
      <c r="E368" s="1"/>
      <c r="F368" s="1"/>
      <c r="Q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142"/>
    </row>
    <row r="369" ht="17.25" customHeight="1">
      <c r="A369" s="1"/>
      <c r="B369" s="1"/>
      <c r="C369" s="1"/>
      <c r="D369" s="1"/>
      <c r="E369" s="1"/>
      <c r="F369" s="1"/>
      <c r="Q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142"/>
    </row>
    <row r="370" ht="17.25" customHeight="1">
      <c r="A370" s="1"/>
      <c r="B370" s="1"/>
      <c r="C370" s="1"/>
      <c r="D370" s="1"/>
      <c r="E370" s="1"/>
      <c r="F370" s="1"/>
      <c r="Q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142"/>
    </row>
    <row r="371" ht="17.25" customHeight="1">
      <c r="A371" s="1"/>
      <c r="B371" s="1"/>
      <c r="C371" s="1"/>
      <c r="D371" s="1"/>
      <c r="E371" s="1"/>
      <c r="F371" s="1"/>
      <c r="Q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142"/>
    </row>
    <row r="372" ht="17.25" customHeight="1">
      <c r="A372" s="1"/>
      <c r="B372" s="1"/>
      <c r="C372" s="1"/>
      <c r="D372" s="1"/>
      <c r="E372" s="1"/>
      <c r="F372" s="1"/>
      <c r="Q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142"/>
    </row>
    <row r="373" ht="17.25" customHeight="1">
      <c r="A373" s="1"/>
      <c r="B373" s="1"/>
      <c r="C373" s="1"/>
      <c r="D373" s="1"/>
      <c r="E373" s="1"/>
      <c r="F373" s="1"/>
      <c r="Q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142"/>
    </row>
    <row r="374" ht="17.25" customHeight="1">
      <c r="A374" s="1"/>
      <c r="B374" s="1"/>
      <c r="C374" s="1"/>
      <c r="D374" s="1"/>
      <c r="E374" s="1"/>
      <c r="F374" s="1"/>
      <c r="Q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142"/>
    </row>
    <row r="375" ht="17.25" customHeight="1">
      <c r="A375" s="1"/>
      <c r="B375" s="1"/>
      <c r="C375" s="1"/>
      <c r="D375" s="1"/>
      <c r="E375" s="1"/>
      <c r="F375" s="1"/>
      <c r="Q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142"/>
    </row>
    <row r="376" ht="17.25" customHeight="1">
      <c r="A376" s="1"/>
      <c r="B376" s="1"/>
      <c r="C376" s="1"/>
      <c r="D376" s="1"/>
      <c r="E376" s="1"/>
      <c r="F376" s="1"/>
      <c r="Q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142"/>
    </row>
    <row r="377" ht="17.25" customHeight="1">
      <c r="A377" s="1"/>
      <c r="B377" s="1"/>
      <c r="C377" s="1"/>
      <c r="D377" s="1"/>
      <c r="E377" s="1"/>
      <c r="F377" s="1"/>
      <c r="Q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142"/>
    </row>
    <row r="378" ht="17.25" customHeight="1">
      <c r="A378" s="1"/>
      <c r="B378" s="1"/>
      <c r="C378" s="1"/>
      <c r="D378" s="1"/>
      <c r="E378" s="1"/>
      <c r="F378" s="1"/>
      <c r="Q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142"/>
    </row>
    <row r="379" ht="17.25" customHeight="1">
      <c r="A379" s="1"/>
      <c r="B379" s="1"/>
      <c r="C379" s="1"/>
      <c r="D379" s="1"/>
      <c r="E379" s="1"/>
      <c r="F379" s="1"/>
      <c r="Q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142"/>
    </row>
    <row r="380" ht="17.25" customHeight="1">
      <c r="A380" s="1"/>
      <c r="B380" s="1"/>
      <c r="C380" s="1"/>
      <c r="D380" s="1"/>
      <c r="E380" s="1"/>
      <c r="F380" s="1"/>
      <c r="Q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142"/>
    </row>
    <row r="381" ht="17.25" customHeight="1">
      <c r="A381" s="1"/>
      <c r="B381" s="1"/>
      <c r="C381" s="1"/>
      <c r="D381" s="1"/>
      <c r="E381" s="1"/>
      <c r="F381" s="1"/>
      <c r="Q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142"/>
    </row>
    <row r="382" ht="17.25" customHeight="1">
      <c r="A382" s="1"/>
      <c r="B382" s="1"/>
      <c r="C382" s="1"/>
      <c r="D382" s="1"/>
      <c r="E382" s="1"/>
      <c r="F382" s="1"/>
      <c r="Q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142"/>
    </row>
    <row r="383" ht="17.25" customHeight="1">
      <c r="A383" s="1"/>
      <c r="B383" s="1"/>
      <c r="C383" s="1"/>
      <c r="D383" s="1"/>
      <c r="E383" s="1"/>
      <c r="F383" s="1"/>
      <c r="Q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142"/>
    </row>
    <row r="384" ht="17.25" customHeight="1">
      <c r="A384" s="1"/>
      <c r="B384" s="1"/>
      <c r="C384" s="1"/>
      <c r="D384" s="1"/>
      <c r="E384" s="1"/>
      <c r="F384" s="1"/>
      <c r="Q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142"/>
    </row>
    <row r="385" ht="17.25" customHeight="1">
      <c r="A385" s="1"/>
      <c r="B385" s="1"/>
      <c r="C385" s="1"/>
      <c r="D385" s="1"/>
      <c r="E385" s="1"/>
      <c r="F385" s="1"/>
      <c r="Q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142"/>
    </row>
    <row r="386" ht="17.25" customHeight="1">
      <c r="A386" s="1"/>
      <c r="B386" s="1"/>
      <c r="C386" s="1"/>
      <c r="D386" s="1"/>
      <c r="E386" s="1"/>
      <c r="F386" s="1"/>
      <c r="Q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142"/>
    </row>
    <row r="387" ht="17.25" customHeight="1">
      <c r="A387" s="1"/>
      <c r="B387" s="1"/>
      <c r="C387" s="1"/>
      <c r="D387" s="1"/>
      <c r="E387" s="1"/>
      <c r="F387" s="1"/>
      <c r="Q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142"/>
    </row>
    <row r="388" ht="17.25" customHeight="1">
      <c r="A388" s="1"/>
      <c r="B388" s="1"/>
      <c r="C388" s="1"/>
      <c r="D388" s="1"/>
      <c r="E388" s="1"/>
      <c r="F388" s="1"/>
      <c r="Q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142"/>
    </row>
    <row r="389" ht="17.25" customHeight="1">
      <c r="A389" s="1"/>
      <c r="B389" s="1"/>
      <c r="C389" s="1"/>
      <c r="D389" s="1"/>
      <c r="E389" s="1"/>
      <c r="F389" s="1"/>
      <c r="Q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142"/>
    </row>
    <row r="390" ht="17.25" customHeight="1">
      <c r="A390" s="1"/>
      <c r="B390" s="1"/>
      <c r="C390" s="1"/>
      <c r="D390" s="1"/>
      <c r="E390" s="1"/>
      <c r="F390" s="1"/>
      <c r="Q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142"/>
    </row>
    <row r="391" ht="17.25" customHeight="1">
      <c r="A391" s="1"/>
      <c r="B391" s="1"/>
      <c r="C391" s="1"/>
      <c r="D391" s="1"/>
      <c r="E391" s="1"/>
      <c r="F391" s="1"/>
      <c r="Q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142"/>
    </row>
    <row r="392" ht="17.25" customHeight="1">
      <c r="A392" s="1"/>
      <c r="B392" s="1"/>
      <c r="C392" s="1"/>
      <c r="D392" s="1"/>
      <c r="E392" s="1"/>
      <c r="F392" s="1"/>
      <c r="Q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142"/>
    </row>
    <row r="393" ht="17.25" customHeight="1">
      <c r="A393" s="1"/>
      <c r="B393" s="1"/>
      <c r="C393" s="1"/>
      <c r="D393" s="1"/>
      <c r="E393" s="1"/>
      <c r="F393" s="1"/>
      <c r="Q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142"/>
    </row>
    <row r="394" ht="17.25" customHeight="1">
      <c r="A394" s="1"/>
      <c r="B394" s="1"/>
      <c r="C394" s="1"/>
      <c r="D394" s="1"/>
      <c r="E394" s="1"/>
      <c r="F394" s="1"/>
      <c r="Q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142"/>
    </row>
    <row r="395" ht="17.25" customHeight="1">
      <c r="A395" s="1"/>
      <c r="B395" s="1"/>
      <c r="C395" s="1"/>
      <c r="D395" s="1"/>
      <c r="E395" s="1"/>
      <c r="F395" s="1"/>
      <c r="Q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142"/>
    </row>
    <row r="396" ht="17.25" customHeight="1">
      <c r="A396" s="1"/>
      <c r="B396" s="1"/>
      <c r="C396" s="1"/>
      <c r="D396" s="1"/>
      <c r="E396" s="1"/>
      <c r="F396" s="1"/>
      <c r="Q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142"/>
    </row>
    <row r="397" ht="17.25" customHeight="1">
      <c r="A397" s="1"/>
      <c r="B397" s="1"/>
      <c r="C397" s="1"/>
      <c r="D397" s="1"/>
      <c r="E397" s="1"/>
      <c r="F397" s="1"/>
      <c r="Q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142"/>
    </row>
    <row r="398" ht="17.25" customHeight="1">
      <c r="A398" s="1"/>
      <c r="B398" s="1"/>
      <c r="C398" s="1"/>
      <c r="D398" s="1"/>
      <c r="E398" s="1"/>
      <c r="F398" s="1"/>
      <c r="Q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142"/>
    </row>
    <row r="399" ht="17.25" customHeight="1">
      <c r="A399" s="1"/>
      <c r="B399" s="1"/>
      <c r="C399" s="1"/>
      <c r="D399" s="1"/>
      <c r="E399" s="1"/>
      <c r="F399" s="1"/>
      <c r="Q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142"/>
    </row>
    <row r="400" ht="17.25" customHeight="1">
      <c r="A400" s="1"/>
      <c r="B400" s="1"/>
      <c r="C400" s="1"/>
      <c r="D400" s="1"/>
      <c r="E400" s="1"/>
      <c r="F400" s="1"/>
      <c r="Q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142"/>
    </row>
    <row r="401" ht="17.25" customHeight="1">
      <c r="A401" s="1"/>
      <c r="B401" s="1"/>
      <c r="C401" s="1"/>
      <c r="D401" s="1"/>
      <c r="E401" s="1"/>
      <c r="F401" s="1"/>
      <c r="Q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142"/>
    </row>
    <row r="402" ht="17.25" customHeight="1">
      <c r="A402" s="1"/>
      <c r="B402" s="1"/>
      <c r="C402" s="1"/>
      <c r="D402" s="1"/>
      <c r="E402" s="1"/>
      <c r="F402" s="1"/>
      <c r="Q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142"/>
    </row>
    <row r="403" ht="17.25" customHeight="1">
      <c r="A403" s="1"/>
      <c r="B403" s="1"/>
      <c r="C403" s="1"/>
      <c r="D403" s="1"/>
      <c r="E403" s="1"/>
      <c r="F403" s="1"/>
      <c r="Q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142"/>
    </row>
    <row r="404" ht="17.25" customHeight="1">
      <c r="A404" s="1"/>
      <c r="B404" s="1"/>
      <c r="C404" s="1"/>
      <c r="D404" s="1"/>
      <c r="E404" s="1"/>
      <c r="F404" s="1"/>
      <c r="Q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142"/>
    </row>
    <row r="405" ht="17.25" customHeight="1">
      <c r="A405" s="1"/>
      <c r="B405" s="1"/>
      <c r="C405" s="1"/>
      <c r="D405" s="1"/>
      <c r="E405" s="1"/>
      <c r="F405" s="1"/>
      <c r="Q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142"/>
    </row>
    <row r="406" ht="17.25" customHeight="1">
      <c r="A406" s="1"/>
      <c r="B406" s="1"/>
      <c r="C406" s="1"/>
      <c r="D406" s="1"/>
      <c r="E406" s="1"/>
      <c r="F406" s="1"/>
      <c r="Q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142"/>
    </row>
    <row r="407" ht="17.25" customHeight="1">
      <c r="A407" s="1"/>
      <c r="B407" s="1"/>
      <c r="C407" s="1"/>
      <c r="D407" s="1"/>
      <c r="E407" s="1"/>
      <c r="F407" s="1"/>
      <c r="Q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142"/>
    </row>
    <row r="408" ht="17.25" customHeight="1">
      <c r="A408" s="1"/>
      <c r="B408" s="1"/>
      <c r="C408" s="1"/>
      <c r="D408" s="1"/>
      <c r="E408" s="1"/>
      <c r="F408" s="1"/>
      <c r="Q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142"/>
    </row>
    <row r="409" ht="17.25" customHeight="1">
      <c r="A409" s="1"/>
      <c r="B409" s="1"/>
      <c r="C409" s="1"/>
      <c r="D409" s="1"/>
      <c r="E409" s="1"/>
      <c r="F409" s="1"/>
      <c r="Q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142"/>
    </row>
    <row r="410" ht="17.25" customHeight="1">
      <c r="A410" s="1"/>
      <c r="B410" s="1"/>
      <c r="C410" s="1"/>
      <c r="D410" s="1"/>
      <c r="E410" s="1"/>
      <c r="F410" s="1"/>
      <c r="Q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142"/>
    </row>
    <row r="411" ht="17.25" customHeight="1">
      <c r="A411" s="1"/>
      <c r="B411" s="1"/>
      <c r="C411" s="1"/>
      <c r="D411" s="1"/>
      <c r="E411" s="1"/>
      <c r="F411" s="1"/>
      <c r="Q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142"/>
    </row>
    <row r="412" ht="17.25" customHeight="1">
      <c r="A412" s="1"/>
      <c r="B412" s="1"/>
      <c r="C412" s="1"/>
      <c r="D412" s="1"/>
      <c r="E412" s="1"/>
      <c r="F412" s="1"/>
      <c r="Q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142"/>
    </row>
    <row r="413" ht="17.25" customHeight="1">
      <c r="A413" s="1"/>
      <c r="B413" s="1"/>
      <c r="C413" s="1"/>
      <c r="D413" s="1"/>
      <c r="E413" s="1"/>
      <c r="F413" s="1"/>
      <c r="Q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142"/>
    </row>
    <row r="414" ht="17.25" customHeight="1">
      <c r="A414" s="1"/>
      <c r="B414" s="1"/>
      <c r="C414" s="1"/>
      <c r="D414" s="1"/>
      <c r="E414" s="1"/>
      <c r="F414" s="1"/>
      <c r="Q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142"/>
    </row>
    <row r="415" ht="17.25" customHeight="1">
      <c r="A415" s="1"/>
      <c r="B415" s="1"/>
      <c r="C415" s="1"/>
      <c r="D415" s="1"/>
      <c r="E415" s="1"/>
      <c r="F415" s="1"/>
      <c r="Q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142"/>
    </row>
    <row r="416" ht="17.25" customHeight="1">
      <c r="A416" s="1"/>
      <c r="B416" s="1"/>
      <c r="C416" s="1"/>
      <c r="D416" s="1"/>
      <c r="E416" s="1"/>
      <c r="F416" s="1"/>
      <c r="Q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142"/>
    </row>
    <row r="417" ht="17.25" customHeight="1">
      <c r="A417" s="1"/>
      <c r="B417" s="1"/>
      <c r="C417" s="1"/>
      <c r="D417" s="1"/>
      <c r="E417" s="1"/>
      <c r="F417" s="1"/>
      <c r="Q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142"/>
    </row>
    <row r="418" ht="17.25" customHeight="1">
      <c r="A418" s="1"/>
      <c r="B418" s="1"/>
      <c r="C418" s="1"/>
      <c r="D418" s="1"/>
      <c r="E418" s="1"/>
      <c r="F418" s="1"/>
      <c r="Q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142"/>
    </row>
    <row r="419" ht="17.25" customHeight="1">
      <c r="A419" s="1"/>
      <c r="B419" s="1"/>
      <c r="C419" s="1"/>
      <c r="D419" s="1"/>
      <c r="E419" s="1"/>
      <c r="F419" s="1"/>
      <c r="Q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142"/>
    </row>
    <row r="420" ht="17.25" customHeight="1">
      <c r="A420" s="1"/>
      <c r="B420" s="1"/>
      <c r="C420" s="1"/>
      <c r="D420" s="1"/>
      <c r="E420" s="1"/>
      <c r="F420" s="1"/>
      <c r="Q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142"/>
    </row>
    <row r="421" ht="17.25" customHeight="1">
      <c r="A421" s="1"/>
      <c r="B421" s="1"/>
      <c r="C421" s="1"/>
      <c r="D421" s="1"/>
      <c r="E421" s="1"/>
      <c r="F421" s="1"/>
      <c r="Q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142"/>
    </row>
    <row r="422" ht="17.25" customHeight="1">
      <c r="A422" s="1"/>
      <c r="B422" s="1"/>
      <c r="C422" s="1"/>
      <c r="D422" s="1"/>
      <c r="E422" s="1"/>
      <c r="F422" s="1"/>
      <c r="Q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142"/>
    </row>
    <row r="423" ht="17.25" customHeight="1">
      <c r="A423" s="1"/>
      <c r="B423" s="1"/>
      <c r="C423" s="1"/>
      <c r="D423" s="1"/>
      <c r="E423" s="1"/>
      <c r="F423" s="1"/>
      <c r="Q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142"/>
    </row>
    <row r="424" ht="17.25" customHeight="1">
      <c r="A424" s="1"/>
      <c r="B424" s="1"/>
      <c r="C424" s="1"/>
      <c r="D424" s="1"/>
      <c r="E424" s="1"/>
      <c r="F424" s="1"/>
      <c r="Q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142"/>
    </row>
    <row r="425" ht="17.25" customHeight="1">
      <c r="A425" s="1"/>
      <c r="B425" s="1"/>
      <c r="C425" s="1"/>
      <c r="D425" s="1"/>
      <c r="E425" s="1"/>
      <c r="F425" s="1"/>
      <c r="Q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142"/>
    </row>
    <row r="426" ht="17.25" customHeight="1">
      <c r="A426" s="1"/>
      <c r="B426" s="1"/>
      <c r="C426" s="1"/>
      <c r="D426" s="1"/>
      <c r="E426" s="1"/>
      <c r="F426" s="1"/>
      <c r="Q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142"/>
    </row>
    <row r="427" ht="17.25" customHeight="1">
      <c r="A427" s="1"/>
      <c r="B427" s="1"/>
      <c r="C427" s="1"/>
      <c r="D427" s="1"/>
      <c r="E427" s="1"/>
      <c r="F427" s="1"/>
      <c r="Q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142"/>
    </row>
    <row r="428" ht="17.25" customHeight="1">
      <c r="A428" s="1"/>
      <c r="B428" s="1"/>
      <c r="C428" s="1"/>
      <c r="D428" s="1"/>
      <c r="E428" s="1"/>
      <c r="F428" s="1"/>
      <c r="Q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142"/>
    </row>
    <row r="429" ht="17.25" customHeight="1">
      <c r="A429" s="1"/>
      <c r="B429" s="1"/>
      <c r="C429" s="1"/>
      <c r="D429" s="1"/>
      <c r="E429" s="1"/>
      <c r="F429" s="1"/>
      <c r="Q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142"/>
    </row>
    <row r="430" ht="17.25" customHeight="1">
      <c r="A430" s="1"/>
      <c r="B430" s="1"/>
      <c r="C430" s="1"/>
      <c r="D430" s="1"/>
      <c r="E430" s="1"/>
      <c r="F430" s="1"/>
      <c r="Q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142"/>
    </row>
    <row r="431" ht="17.25" customHeight="1">
      <c r="A431" s="1"/>
      <c r="B431" s="1"/>
      <c r="C431" s="1"/>
      <c r="D431" s="1"/>
      <c r="E431" s="1"/>
      <c r="F431" s="1"/>
      <c r="Q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142"/>
    </row>
    <row r="432" ht="17.25" customHeight="1">
      <c r="A432" s="1"/>
      <c r="B432" s="1"/>
      <c r="C432" s="1"/>
      <c r="D432" s="1"/>
      <c r="E432" s="1"/>
      <c r="F432" s="1"/>
      <c r="Q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142"/>
    </row>
    <row r="433" ht="17.25" customHeight="1">
      <c r="A433" s="1"/>
      <c r="B433" s="1"/>
      <c r="C433" s="1"/>
      <c r="D433" s="1"/>
      <c r="E433" s="1"/>
      <c r="F433" s="1"/>
      <c r="Q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142"/>
    </row>
    <row r="434" ht="17.25" customHeight="1">
      <c r="A434" s="1"/>
      <c r="B434" s="1"/>
      <c r="C434" s="1"/>
      <c r="D434" s="1"/>
      <c r="E434" s="1"/>
      <c r="F434" s="1"/>
      <c r="Q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142"/>
    </row>
    <row r="435" ht="17.25" customHeight="1">
      <c r="A435" s="1"/>
      <c r="B435" s="1"/>
      <c r="C435" s="1"/>
      <c r="D435" s="1"/>
      <c r="E435" s="1"/>
      <c r="F435" s="1"/>
      <c r="Q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142"/>
    </row>
    <row r="436" ht="17.25" customHeight="1">
      <c r="A436" s="1"/>
      <c r="B436" s="1"/>
      <c r="C436" s="1"/>
      <c r="D436" s="1"/>
      <c r="E436" s="1"/>
      <c r="F436" s="1"/>
      <c r="Q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142"/>
    </row>
    <row r="437" ht="17.25" customHeight="1">
      <c r="A437" s="1"/>
      <c r="B437" s="1"/>
      <c r="C437" s="1"/>
      <c r="D437" s="1"/>
      <c r="E437" s="1"/>
      <c r="F437" s="1"/>
      <c r="Q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142"/>
    </row>
    <row r="438" ht="17.25" customHeight="1">
      <c r="A438" s="1"/>
      <c r="B438" s="1"/>
      <c r="C438" s="1"/>
      <c r="D438" s="1"/>
      <c r="E438" s="1"/>
      <c r="F438" s="1"/>
      <c r="Q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142"/>
    </row>
    <row r="439" ht="17.25" customHeight="1">
      <c r="A439" s="1"/>
      <c r="B439" s="1"/>
      <c r="C439" s="1"/>
      <c r="D439" s="1"/>
      <c r="E439" s="1"/>
      <c r="F439" s="1"/>
      <c r="Q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142"/>
    </row>
    <row r="440" ht="17.25" customHeight="1">
      <c r="A440" s="1"/>
      <c r="B440" s="1"/>
      <c r="C440" s="1"/>
      <c r="D440" s="1"/>
      <c r="E440" s="1"/>
      <c r="F440" s="1"/>
      <c r="Q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142"/>
    </row>
    <row r="441" ht="17.25" customHeight="1">
      <c r="A441" s="1"/>
      <c r="B441" s="1"/>
      <c r="C441" s="1"/>
      <c r="D441" s="1"/>
      <c r="E441" s="1"/>
      <c r="F441" s="1"/>
      <c r="Q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142"/>
    </row>
    <row r="442" ht="17.25" customHeight="1">
      <c r="A442" s="1"/>
      <c r="B442" s="1"/>
      <c r="C442" s="1"/>
      <c r="D442" s="1"/>
      <c r="E442" s="1"/>
      <c r="F442" s="1"/>
      <c r="Q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142"/>
    </row>
    <row r="443" ht="17.25" customHeight="1">
      <c r="A443" s="1"/>
      <c r="B443" s="1"/>
      <c r="C443" s="1"/>
      <c r="D443" s="1"/>
      <c r="E443" s="1"/>
      <c r="F443" s="1"/>
      <c r="Q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142"/>
    </row>
    <row r="444" ht="17.25" customHeight="1">
      <c r="A444" s="1"/>
      <c r="B444" s="1"/>
      <c r="C444" s="1"/>
      <c r="D444" s="1"/>
      <c r="E444" s="1"/>
      <c r="F444" s="1"/>
      <c r="Q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142"/>
    </row>
    <row r="445" ht="17.25" customHeight="1">
      <c r="A445" s="1"/>
      <c r="B445" s="1"/>
      <c r="C445" s="1"/>
      <c r="D445" s="1"/>
      <c r="E445" s="1"/>
      <c r="F445" s="1"/>
      <c r="Q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142"/>
    </row>
    <row r="446" ht="17.25" customHeight="1">
      <c r="A446" s="1"/>
      <c r="B446" s="1"/>
      <c r="C446" s="1"/>
      <c r="D446" s="1"/>
      <c r="E446" s="1"/>
      <c r="F446" s="1"/>
      <c r="Q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142"/>
    </row>
    <row r="447" ht="17.25" customHeight="1">
      <c r="A447" s="1"/>
      <c r="B447" s="1"/>
      <c r="C447" s="1"/>
      <c r="D447" s="1"/>
      <c r="E447" s="1"/>
      <c r="F447" s="1"/>
      <c r="Q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142"/>
    </row>
    <row r="448" ht="17.25" customHeight="1">
      <c r="A448" s="1"/>
      <c r="B448" s="1"/>
      <c r="C448" s="1"/>
      <c r="D448" s="1"/>
      <c r="E448" s="1"/>
      <c r="F448" s="1"/>
      <c r="Q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142"/>
    </row>
    <row r="449" ht="17.25" customHeight="1">
      <c r="A449" s="1"/>
      <c r="B449" s="1"/>
      <c r="C449" s="1"/>
      <c r="D449" s="1"/>
      <c r="E449" s="1"/>
      <c r="F449" s="1"/>
      <c r="Q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142"/>
    </row>
    <row r="450" ht="17.25" customHeight="1">
      <c r="A450" s="1"/>
      <c r="B450" s="1"/>
      <c r="C450" s="1"/>
      <c r="D450" s="1"/>
      <c r="E450" s="1"/>
      <c r="F450" s="1"/>
      <c r="Q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142"/>
    </row>
    <row r="451" ht="17.25" customHeight="1">
      <c r="A451" s="1"/>
      <c r="B451" s="1"/>
      <c r="C451" s="1"/>
      <c r="D451" s="1"/>
      <c r="E451" s="1"/>
      <c r="F451" s="1"/>
      <c r="Q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142"/>
    </row>
    <row r="452" ht="17.25" customHeight="1">
      <c r="A452" s="1"/>
      <c r="B452" s="1"/>
      <c r="C452" s="1"/>
      <c r="D452" s="1"/>
      <c r="E452" s="1"/>
      <c r="F452" s="1"/>
      <c r="Q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142"/>
    </row>
    <row r="453" ht="17.25" customHeight="1">
      <c r="A453" s="1"/>
      <c r="B453" s="1"/>
      <c r="C453" s="1"/>
      <c r="D453" s="1"/>
      <c r="E453" s="1"/>
      <c r="F453" s="1"/>
      <c r="Q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142"/>
    </row>
    <row r="454" ht="17.25" customHeight="1">
      <c r="A454" s="1"/>
      <c r="B454" s="1"/>
      <c r="C454" s="1"/>
      <c r="D454" s="1"/>
      <c r="E454" s="1"/>
      <c r="F454" s="1"/>
      <c r="Q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142"/>
    </row>
    <row r="455" ht="17.25" customHeight="1">
      <c r="A455" s="1"/>
      <c r="B455" s="1"/>
      <c r="C455" s="1"/>
      <c r="D455" s="1"/>
      <c r="E455" s="1"/>
      <c r="F455" s="1"/>
      <c r="Q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142"/>
    </row>
    <row r="456" ht="17.25" customHeight="1">
      <c r="A456" s="1"/>
      <c r="B456" s="1"/>
      <c r="C456" s="1"/>
      <c r="D456" s="1"/>
      <c r="E456" s="1"/>
      <c r="F456" s="1"/>
      <c r="Q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142"/>
    </row>
    <row r="457" ht="17.25" customHeight="1">
      <c r="A457" s="1"/>
      <c r="B457" s="1"/>
      <c r="C457" s="1"/>
      <c r="D457" s="1"/>
      <c r="E457" s="1"/>
      <c r="F457" s="1"/>
      <c r="Q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142"/>
    </row>
    <row r="458" ht="17.25" customHeight="1">
      <c r="A458" s="1"/>
      <c r="B458" s="1"/>
      <c r="C458" s="1"/>
      <c r="D458" s="1"/>
      <c r="E458" s="1"/>
      <c r="F458" s="1"/>
      <c r="Q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142"/>
    </row>
    <row r="459" ht="17.25" customHeight="1">
      <c r="A459" s="1"/>
      <c r="B459" s="1"/>
      <c r="C459" s="1"/>
      <c r="D459" s="1"/>
      <c r="E459" s="1"/>
      <c r="F459" s="1"/>
      <c r="Q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142"/>
    </row>
    <row r="460" ht="17.25" customHeight="1">
      <c r="A460" s="1"/>
      <c r="B460" s="1"/>
      <c r="C460" s="1"/>
      <c r="D460" s="1"/>
      <c r="E460" s="1"/>
      <c r="F460" s="1"/>
      <c r="Q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142"/>
    </row>
    <row r="461" ht="17.25" customHeight="1">
      <c r="A461" s="1"/>
      <c r="B461" s="1"/>
      <c r="C461" s="1"/>
      <c r="D461" s="1"/>
      <c r="E461" s="1"/>
      <c r="F461" s="1"/>
      <c r="Q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142"/>
    </row>
    <row r="462" ht="17.25" customHeight="1">
      <c r="A462" s="1"/>
      <c r="B462" s="1"/>
      <c r="C462" s="1"/>
      <c r="D462" s="1"/>
      <c r="E462" s="1"/>
      <c r="F462" s="1"/>
      <c r="Q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142"/>
    </row>
    <row r="463" ht="17.25" customHeight="1">
      <c r="A463" s="1"/>
      <c r="B463" s="1"/>
      <c r="C463" s="1"/>
      <c r="D463" s="1"/>
      <c r="E463" s="1"/>
      <c r="F463" s="1"/>
      <c r="Q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142"/>
    </row>
    <row r="464" ht="17.25" customHeight="1">
      <c r="A464" s="1"/>
      <c r="B464" s="1"/>
      <c r="C464" s="1"/>
      <c r="D464" s="1"/>
      <c r="E464" s="1"/>
      <c r="F464" s="1"/>
      <c r="Q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142"/>
    </row>
    <row r="465" ht="17.25" customHeight="1">
      <c r="A465" s="1"/>
      <c r="B465" s="1"/>
      <c r="C465" s="1"/>
      <c r="D465" s="1"/>
      <c r="E465" s="1"/>
      <c r="F465" s="1"/>
      <c r="Q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142"/>
    </row>
    <row r="466" ht="17.25" customHeight="1">
      <c r="A466" s="1"/>
      <c r="B466" s="1"/>
      <c r="C466" s="1"/>
      <c r="D466" s="1"/>
      <c r="E466" s="1"/>
      <c r="F466" s="1"/>
      <c r="Q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142"/>
    </row>
    <row r="467" ht="17.25" customHeight="1">
      <c r="A467" s="1"/>
      <c r="B467" s="1"/>
      <c r="C467" s="1"/>
      <c r="D467" s="1"/>
      <c r="E467" s="1"/>
      <c r="F467" s="1"/>
      <c r="Q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142"/>
    </row>
    <row r="468" ht="17.25" customHeight="1">
      <c r="A468" s="1"/>
      <c r="B468" s="1"/>
      <c r="C468" s="1"/>
      <c r="D468" s="1"/>
      <c r="E468" s="1"/>
      <c r="F468" s="1"/>
      <c r="Q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142"/>
    </row>
    <row r="469" ht="17.25" customHeight="1">
      <c r="A469" s="1"/>
      <c r="B469" s="1"/>
      <c r="C469" s="1"/>
      <c r="D469" s="1"/>
      <c r="E469" s="1"/>
      <c r="F469" s="1"/>
      <c r="Q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142"/>
    </row>
    <row r="470" ht="17.25" customHeight="1">
      <c r="A470" s="1"/>
      <c r="B470" s="1"/>
      <c r="C470" s="1"/>
      <c r="D470" s="1"/>
      <c r="E470" s="1"/>
      <c r="F470" s="1"/>
      <c r="Q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142"/>
    </row>
    <row r="471" ht="17.25" customHeight="1">
      <c r="A471" s="1"/>
      <c r="B471" s="1"/>
      <c r="C471" s="1"/>
      <c r="D471" s="1"/>
      <c r="E471" s="1"/>
      <c r="F471" s="1"/>
      <c r="Q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142"/>
    </row>
    <row r="472" ht="17.25" customHeight="1">
      <c r="A472" s="1"/>
      <c r="B472" s="1"/>
      <c r="C472" s="1"/>
      <c r="D472" s="1"/>
      <c r="E472" s="1"/>
      <c r="F472" s="1"/>
      <c r="Q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142"/>
    </row>
    <row r="473" ht="17.25" customHeight="1">
      <c r="A473" s="1"/>
      <c r="B473" s="1"/>
      <c r="C473" s="1"/>
      <c r="D473" s="1"/>
      <c r="E473" s="1"/>
      <c r="F473" s="1"/>
      <c r="Q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142"/>
    </row>
    <row r="474" ht="17.25" customHeight="1">
      <c r="A474" s="1"/>
      <c r="B474" s="1"/>
      <c r="C474" s="1"/>
      <c r="D474" s="1"/>
      <c r="E474" s="1"/>
      <c r="F474" s="1"/>
      <c r="Q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142"/>
    </row>
    <row r="475" ht="17.25" customHeight="1">
      <c r="A475" s="1"/>
      <c r="B475" s="1"/>
      <c r="C475" s="1"/>
      <c r="D475" s="1"/>
      <c r="E475" s="1"/>
      <c r="F475" s="1"/>
      <c r="Q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142"/>
    </row>
    <row r="476" ht="17.25" customHeight="1">
      <c r="A476" s="1"/>
      <c r="B476" s="1"/>
      <c r="C476" s="1"/>
      <c r="D476" s="1"/>
      <c r="E476" s="1"/>
      <c r="F476" s="1"/>
      <c r="Q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142"/>
    </row>
    <row r="477" ht="17.25" customHeight="1">
      <c r="A477" s="1"/>
      <c r="B477" s="1"/>
      <c r="C477" s="1"/>
      <c r="D477" s="1"/>
      <c r="E477" s="1"/>
      <c r="F477" s="1"/>
      <c r="Q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142"/>
    </row>
    <row r="478" ht="17.25" customHeight="1">
      <c r="A478" s="1"/>
      <c r="B478" s="1"/>
      <c r="C478" s="1"/>
      <c r="D478" s="1"/>
      <c r="E478" s="1"/>
      <c r="F478" s="1"/>
      <c r="Q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142"/>
    </row>
    <row r="479" ht="17.25" customHeight="1">
      <c r="A479" s="1"/>
      <c r="B479" s="1"/>
      <c r="C479" s="1"/>
      <c r="D479" s="1"/>
      <c r="E479" s="1"/>
      <c r="F479" s="1"/>
      <c r="Q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142"/>
    </row>
    <row r="480" ht="17.25" customHeight="1">
      <c r="A480" s="1"/>
      <c r="B480" s="1"/>
      <c r="C480" s="1"/>
      <c r="D480" s="1"/>
      <c r="E480" s="1"/>
      <c r="F480" s="1"/>
      <c r="Q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142"/>
    </row>
    <row r="481" ht="17.25" customHeight="1">
      <c r="A481" s="1"/>
      <c r="B481" s="1"/>
      <c r="C481" s="1"/>
      <c r="D481" s="1"/>
      <c r="E481" s="1"/>
      <c r="F481" s="1"/>
      <c r="Q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142"/>
    </row>
    <row r="482" ht="17.25" customHeight="1">
      <c r="A482" s="1"/>
      <c r="B482" s="1"/>
      <c r="C482" s="1"/>
      <c r="D482" s="1"/>
      <c r="E482" s="1"/>
      <c r="F482" s="1"/>
      <c r="Q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142"/>
    </row>
    <row r="483" ht="17.25" customHeight="1">
      <c r="A483" s="1"/>
      <c r="B483" s="1"/>
      <c r="C483" s="1"/>
      <c r="D483" s="1"/>
      <c r="E483" s="1"/>
      <c r="F483" s="1"/>
      <c r="Q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142"/>
    </row>
    <row r="484" ht="17.25" customHeight="1">
      <c r="A484" s="1"/>
      <c r="B484" s="1"/>
      <c r="C484" s="1"/>
      <c r="D484" s="1"/>
      <c r="E484" s="1"/>
      <c r="F484" s="1"/>
      <c r="Q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142"/>
    </row>
    <row r="485" ht="17.25" customHeight="1">
      <c r="A485" s="1"/>
      <c r="B485" s="1"/>
      <c r="C485" s="1"/>
      <c r="D485" s="1"/>
      <c r="E485" s="1"/>
      <c r="F485" s="1"/>
      <c r="Q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142"/>
    </row>
    <row r="486" ht="17.25" customHeight="1">
      <c r="A486" s="1"/>
      <c r="B486" s="1"/>
      <c r="C486" s="1"/>
      <c r="D486" s="1"/>
      <c r="E486" s="1"/>
      <c r="F486" s="1"/>
      <c r="Q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142"/>
    </row>
    <row r="487" ht="17.25" customHeight="1">
      <c r="A487" s="1"/>
      <c r="B487" s="1"/>
      <c r="C487" s="1"/>
      <c r="D487" s="1"/>
      <c r="E487" s="1"/>
      <c r="F487" s="1"/>
      <c r="Q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142"/>
    </row>
    <row r="488" ht="17.25" customHeight="1">
      <c r="A488" s="1"/>
      <c r="B488" s="1"/>
      <c r="C488" s="1"/>
      <c r="D488" s="1"/>
      <c r="E488" s="1"/>
      <c r="F488" s="1"/>
      <c r="Q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142"/>
    </row>
    <row r="489" ht="17.25" customHeight="1">
      <c r="A489" s="1"/>
      <c r="B489" s="1"/>
      <c r="C489" s="1"/>
      <c r="D489" s="1"/>
      <c r="E489" s="1"/>
      <c r="F489" s="1"/>
      <c r="Q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142"/>
    </row>
    <row r="490" ht="17.25" customHeight="1">
      <c r="A490" s="1"/>
      <c r="B490" s="1"/>
      <c r="C490" s="1"/>
      <c r="D490" s="1"/>
      <c r="E490" s="1"/>
      <c r="F490" s="1"/>
      <c r="Q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142"/>
    </row>
    <row r="491" ht="17.25" customHeight="1">
      <c r="A491" s="1"/>
      <c r="B491" s="1"/>
      <c r="C491" s="1"/>
      <c r="D491" s="1"/>
      <c r="E491" s="1"/>
      <c r="F491" s="1"/>
      <c r="Q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142"/>
    </row>
    <row r="492" ht="17.25" customHeight="1">
      <c r="A492" s="1"/>
      <c r="B492" s="1"/>
      <c r="C492" s="1"/>
      <c r="D492" s="1"/>
      <c r="E492" s="1"/>
      <c r="F492" s="1"/>
      <c r="Q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142"/>
    </row>
    <row r="493" ht="17.25" customHeight="1">
      <c r="A493" s="1"/>
      <c r="B493" s="1"/>
      <c r="C493" s="1"/>
      <c r="D493" s="1"/>
      <c r="E493" s="1"/>
      <c r="F493" s="1"/>
      <c r="Q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142"/>
    </row>
    <row r="494" ht="17.25" customHeight="1">
      <c r="A494" s="1"/>
      <c r="B494" s="1"/>
      <c r="C494" s="1"/>
      <c r="D494" s="1"/>
      <c r="E494" s="1"/>
      <c r="F494" s="1"/>
      <c r="Q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142"/>
    </row>
    <row r="495" ht="17.25" customHeight="1">
      <c r="A495" s="1"/>
      <c r="B495" s="1"/>
      <c r="C495" s="1"/>
      <c r="D495" s="1"/>
      <c r="E495" s="1"/>
      <c r="F495" s="1"/>
      <c r="Q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142"/>
    </row>
    <row r="496" ht="17.25" customHeight="1">
      <c r="A496" s="1"/>
      <c r="B496" s="1"/>
      <c r="C496" s="1"/>
      <c r="D496" s="1"/>
      <c r="E496" s="1"/>
      <c r="F496" s="1"/>
      <c r="Q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142"/>
    </row>
    <row r="497" ht="17.25" customHeight="1">
      <c r="A497" s="1"/>
      <c r="B497" s="1"/>
      <c r="C497" s="1"/>
      <c r="D497" s="1"/>
      <c r="E497" s="1"/>
      <c r="F497" s="1"/>
      <c r="Q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142"/>
    </row>
    <row r="498" ht="17.25" customHeight="1">
      <c r="A498" s="1"/>
      <c r="B498" s="1"/>
      <c r="C498" s="1"/>
      <c r="D498" s="1"/>
      <c r="E498" s="1"/>
      <c r="F498" s="1"/>
      <c r="Q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142"/>
    </row>
    <row r="499" ht="17.25" customHeight="1">
      <c r="A499" s="1"/>
      <c r="B499" s="1"/>
      <c r="C499" s="1"/>
      <c r="D499" s="1"/>
      <c r="E499" s="1"/>
      <c r="F499" s="1"/>
      <c r="Q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142"/>
    </row>
    <row r="500" ht="17.25" customHeight="1">
      <c r="A500" s="1"/>
      <c r="B500" s="1"/>
      <c r="C500" s="1"/>
      <c r="D500" s="1"/>
      <c r="E500" s="1"/>
      <c r="F500" s="1"/>
      <c r="Q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142"/>
    </row>
    <row r="501" ht="17.25" customHeight="1">
      <c r="A501" s="1"/>
      <c r="B501" s="1"/>
      <c r="C501" s="1"/>
      <c r="D501" s="1"/>
      <c r="E501" s="1"/>
      <c r="F501" s="1"/>
      <c r="Q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142"/>
    </row>
    <row r="502" ht="17.25" customHeight="1">
      <c r="A502" s="1"/>
      <c r="B502" s="1"/>
      <c r="C502" s="1"/>
      <c r="D502" s="1"/>
      <c r="E502" s="1"/>
      <c r="F502" s="1"/>
      <c r="Q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142"/>
    </row>
    <row r="503" ht="17.25" customHeight="1">
      <c r="A503" s="1"/>
      <c r="B503" s="1"/>
      <c r="C503" s="1"/>
      <c r="D503" s="1"/>
      <c r="E503" s="1"/>
      <c r="F503" s="1"/>
      <c r="Q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142"/>
    </row>
    <row r="504" ht="17.25" customHeight="1">
      <c r="A504" s="1"/>
      <c r="B504" s="1"/>
      <c r="C504" s="1"/>
      <c r="D504" s="1"/>
      <c r="E504" s="1"/>
      <c r="F504" s="1"/>
      <c r="Q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142"/>
    </row>
    <row r="505" ht="17.25" customHeight="1">
      <c r="A505" s="1"/>
      <c r="B505" s="1"/>
      <c r="C505" s="1"/>
      <c r="D505" s="1"/>
      <c r="E505" s="1"/>
      <c r="F505" s="1"/>
      <c r="Q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142"/>
    </row>
    <row r="506" ht="17.25" customHeight="1">
      <c r="A506" s="1"/>
      <c r="B506" s="1"/>
      <c r="C506" s="1"/>
      <c r="D506" s="1"/>
      <c r="E506" s="1"/>
      <c r="F506" s="1"/>
      <c r="Q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142"/>
    </row>
    <row r="507" ht="17.25" customHeight="1">
      <c r="A507" s="1"/>
      <c r="B507" s="1"/>
      <c r="C507" s="1"/>
      <c r="D507" s="1"/>
      <c r="E507" s="1"/>
      <c r="F507" s="1"/>
      <c r="Q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142"/>
    </row>
    <row r="508" ht="17.25" customHeight="1">
      <c r="A508" s="1"/>
      <c r="B508" s="1"/>
      <c r="C508" s="1"/>
      <c r="D508" s="1"/>
      <c r="E508" s="1"/>
      <c r="F508" s="1"/>
      <c r="Q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142"/>
    </row>
    <row r="509" ht="17.25" customHeight="1">
      <c r="A509" s="1"/>
      <c r="B509" s="1"/>
      <c r="C509" s="1"/>
      <c r="D509" s="1"/>
      <c r="E509" s="1"/>
      <c r="F509" s="1"/>
      <c r="Q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142"/>
    </row>
    <row r="510" ht="17.25" customHeight="1">
      <c r="A510" s="1"/>
      <c r="B510" s="1"/>
      <c r="C510" s="1"/>
      <c r="D510" s="1"/>
      <c r="E510" s="1"/>
      <c r="F510" s="1"/>
      <c r="Q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142"/>
    </row>
    <row r="511" ht="17.25" customHeight="1">
      <c r="A511" s="1"/>
      <c r="B511" s="1"/>
      <c r="C511" s="1"/>
      <c r="D511" s="1"/>
      <c r="E511" s="1"/>
      <c r="F511" s="1"/>
      <c r="Q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142"/>
    </row>
    <row r="512" ht="17.25" customHeight="1">
      <c r="A512" s="1"/>
      <c r="B512" s="1"/>
      <c r="C512" s="1"/>
      <c r="D512" s="1"/>
      <c r="E512" s="1"/>
      <c r="F512" s="1"/>
      <c r="Q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142"/>
    </row>
    <row r="513" ht="17.25" customHeight="1">
      <c r="A513" s="1"/>
      <c r="B513" s="1"/>
      <c r="C513" s="1"/>
      <c r="D513" s="1"/>
      <c r="E513" s="1"/>
      <c r="F513" s="1"/>
      <c r="Q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142"/>
    </row>
    <row r="514" ht="17.25" customHeight="1">
      <c r="A514" s="1"/>
      <c r="B514" s="1"/>
      <c r="C514" s="1"/>
      <c r="D514" s="1"/>
      <c r="E514" s="1"/>
      <c r="F514" s="1"/>
      <c r="Q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142"/>
    </row>
    <row r="515" ht="17.25" customHeight="1">
      <c r="A515" s="1"/>
      <c r="B515" s="1"/>
      <c r="C515" s="1"/>
      <c r="D515" s="1"/>
      <c r="E515" s="1"/>
      <c r="F515" s="1"/>
      <c r="Q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142"/>
    </row>
    <row r="516" ht="17.25" customHeight="1">
      <c r="A516" s="1"/>
      <c r="B516" s="1"/>
      <c r="C516" s="1"/>
      <c r="D516" s="1"/>
      <c r="E516" s="1"/>
      <c r="F516" s="1"/>
      <c r="Q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142"/>
    </row>
    <row r="517" ht="17.25" customHeight="1">
      <c r="A517" s="1"/>
      <c r="B517" s="1"/>
      <c r="C517" s="1"/>
      <c r="D517" s="1"/>
      <c r="E517" s="1"/>
      <c r="F517" s="1"/>
      <c r="Q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142"/>
    </row>
    <row r="518" ht="17.25" customHeight="1">
      <c r="A518" s="1"/>
      <c r="B518" s="1"/>
      <c r="C518" s="1"/>
      <c r="D518" s="1"/>
      <c r="E518" s="1"/>
      <c r="F518" s="1"/>
      <c r="Q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142"/>
    </row>
    <row r="519" ht="17.25" customHeight="1">
      <c r="A519" s="1"/>
      <c r="B519" s="1"/>
      <c r="C519" s="1"/>
      <c r="D519" s="1"/>
      <c r="E519" s="1"/>
      <c r="F519" s="1"/>
      <c r="Q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142"/>
    </row>
    <row r="520" ht="17.25" customHeight="1">
      <c r="A520" s="1"/>
      <c r="B520" s="1"/>
      <c r="C520" s="1"/>
      <c r="D520" s="1"/>
      <c r="E520" s="1"/>
      <c r="F520" s="1"/>
      <c r="Q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142"/>
    </row>
    <row r="521" ht="17.25" customHeight="1">
      <c r="A521" s="1"/>
      <c r="B521" s="1"/>
      <c r="C521" s="1"/>
      <c r="D521" s="1"/>
      <c r="E521" s="1"/>
      <c r="F521" s="1"/>
      <c r="Q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142"/>
    </row>
    <row r="522" ht="17.25" customHeight="1">
      <c r="A522" s="1"/>
      <c r="B522" s="1"/>
      <c r="C522" s="1"/>
      <c r="D522" s="1"/>
      <c r="E522" s="1"/>
      <c r="F522" s="1"/>
      <c r="Q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142"/>
    </row>
    <row r="523" ht="17.25" customHeight="1">
      <c r="A523" s="1"/>
      <c r="B523" s="1"/>
      <c r="C523" s="1"/>
      <c r="D523" s="1"/>
      <c r="E523" s="1"/>
      <c r="F523" s="1"/>
      <c r="Q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142"/>
    </row>
    <row r="524" ht="17.25" customHeight="1">
      <c r="A524" s="1"/>
      <c r="B524" s="1"/>
      <c r="C524" s="1"/>
      <c r="D524" s="1"/>
      <c r="E524" s="1"/>
      <c r="F524" s="1"/>
      <c r="Q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142"/>
    </row>
    <row r="525" ht="17.25" customHeight="1">
      <c r="A525" s="1"/>
      <c r="B525" s="1"/>
      <c r="C525" s="1"/>
      <c r="D525" s="1"/>
      <c r="E525" s="1"/>
      <c r="F525" s="1"/>
      <c r="Q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142"/>
    </row>
    <row r="526" ht="17.25" customHeight="1">
      <c r="A526" s="1"/>
      <c r="B526" s="1"/>
      <c r="C526" s="1"/>
      <c r="D526" s="1"/>
      <c r="E526" s="1"/>
      <c r="F526" s="1"/>
      <c r="Q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142"/>
    </row>
    <row r="527" ht="17.25" customHeight="1">
      <c r="A527" s="1"/>
      <c r="B527" s="1"/>
      <c r="C527" s="1"/>
      <c r="D527" s="1"/>
      <c r="E527" s="1"/>
      <c r="F527" s="1"/>
      <c r="Q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142"/>
    </row>
    <row r="528" ht="17.25" customHeight="1">
      <c r="A528" s="1"/>
      <c r="B528" s="1"/>
      <c r="C528" s="1"/>
      <c r="D528" s="1"/>
      <c r="E528" s="1"/>
      <c r="F528" s="1"/>
      <c r="Q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142"/>
    </row>
    <row r="529" ht="17.25" customHeight="1">
      <c r="A529" s="1"/>
      <c r="B529" s="1"/>
      <c r="C529" s="1"/>
      <c r="D529" s="1"/>
      <c r="E529" s="1"/>
      <c r="F529" s="1"/>
      <c r="Q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142"/>
    </row>
    <row r="530" ht="17.25" customHeight="1">
      <c r="A530" s="1"/>
      <c r="B530" s="1"/>
      <c r="C530" s="1"/>
      <c r="D530" s="1"/>
      <c r="E530" s="1"/>
      <c r="F530" s="1"/>
      <c r="Q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142"/>
    </row>
    <row r="531" ht="17.25" customHeight="1">
      <c r="A531" s="1"/>
      <c r="B531" s="1"/>
      <c r="C531" s="1"/>
      <c r="D531" s="1"/>
      <c r="E531" s="1"/>
      <c r="F531" s="1"/>
      <c r="Q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142"/>
    </row>
    <row r="532" ht="17.25" customHeight="1">
      <c r="A532" s="1"/>
      <c r="B532" s="1"/>
      <c r="C532" s="1"/>
      <c r="D532" s="1"/>
      <c r="E532" s="1"/>
      <c r="F532" s="1"/>
      <c r="Q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142"/>
    </row>
    <row r="533" ht="17.25" customHeight="1">
      <c r="A533" s="1"/>
      <c r="B533" s="1"/>
      <c r="C533" s="1"/>
      <c r="D533" s="1"/>
      <c r="E533" s="1"/>
      <c r="F533" s="1"/>
      <c r="Q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142"/>
    </row>
    <row r="534" ht="17.25" customHeight="1">
      <c r="A534" s="1"/>
      <c r="B534" s="1"/>
      <c r="C534" s="1"/>
      <c r="D534" s="1"/>
      <c r="E534" s="1"/>
      <c r="F534" s="1"/>
      <c r="Q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142"/>
    </row>
    <row r="535" ht="17.25" customHeight="1">
      <c r="A535" s="1"/>
      <c r="B535" s="1"/>
      <c r="C535" s="1"/>
      <c r="D535" s="1"/>
      <c r="E535" s="1"/>
      <c r="F535" s="1"/>
      <c r="Q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142"/>
    </row>
    <row r="536" ht="17.25" customHeight="1">
      <c r="A536" s="1"/>
      <c r="B536" s="1"/>
      <c r="C536" s="1"/>
      <c r="D536" s="1"/>
      <c r="E536" s="1"/>
      <c r="F536" s="1"/>
      <c r="Q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142"/>
    </row>
    <row r="537" ht="17.25" customHeight="1">
      <c r="A537" s="1"/>
      <c r="B537" s="1"/>
      <c r="C537" s="1"/>
      <c r="D537" s="1"/>
      <c r="E537" s="1"/>
      <c r="F537" s="1"/>
      <c r="Q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142"/>
    </row>
    <row r="538" ht="17.25" customHeight="1">
      <c r="A538" s="1"/>
      <c r="B538" s="1"/>
      <c r="C538" s="1"/>
      <c r="D538" s="1"/>
      <c r="E538" s="1"/>
      <c r="F538" s="1"/>
      <c r="Q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142"/>
    </row>
    <row r="539" ht="17.25" customHeight="1">
      <c r="A539" s="1"/>
      <c r="B539" s="1"/>
      <c r="C539" s="1"/>
      <c r="D539" s="1"/>
      <c r="E539" s="1"/>
      <c r="F539" s="1"/>
      <c r="Q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142"/>
    </row>
    <row r="540" ht="17.25" customHeight="1">
      <c r="A540" s="1"/>
      <c r="B540" s="1"/>
      <c r="C540" s="1"/>
      <c r="D540" s="1"/>
      <c r="E540" s="1"/>
      <c r="F540" s="1"/>
      <c r="Q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142"/>
    </row>
    <row r="541" ht="17.25" customHeight="1">
      <c r="A541" s="1"/>
      <c r="B541" s="1"/>
      <c r="C541" s="1"/>
      <c r="D541" s="1"/>
      <c r="E541" s="1"/>
      <c r="F541" s="1"/>
      <c r="Q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142"/>
    </row>
    <row r="542" ht="17.25" customHeight="1">
      <c r="A542" s="1"/>
      <c r="B542" s="1"/>
      <c r="C542" s="1"/>
      <c r="D542" s="1"/>
      <c r="E542" s="1"/>
      <c r="F542" s="1"/>
      <c r="Q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142"/>
    </row>
    <row r="543" ht="17.25" customHeight="1">
      <c r="A543" s="1"/>
      <c r="B543" s="1"/>
      <c r="C543" s="1"/>
      <c r="D543" s="1"/>
      <c r="E543" s="1"/>
      <c r="F543" s="1"/>
      <c r="Q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142"/>
    </row>
    <row r="544" ht="17.25" customHeight="1">
      <c r="A544" s="1"/>
      <c r="B544" s="1"/>
      <c r="C544" s="1"/>
      <c r="D544" s="1"/>
      <c r="E544" s="1"/>
      <c r="F544" s="1"/>
      <c r="Q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142"/>
    </row>
    <row r="545" ht="17.25" customHeight="1">
      <c r="A545" s="1"/>
      <c r="B545" s="1"/>
      <c r="C545" s="1"/>
      <c r="D545" s="1"/>
      <c r="E545" s="1"/>
      <c r="F545" s="1"/>
      <c r="Q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142"/>
    </row>
    <row r="546" ht="17.25" customHeight="1">
      <c r="A546" s="1"/>
      <c r="B546" s="1"/>
      <c r="C546" s="1"/>
      <c r="D546" s="1"/>
      <c r="E546" s="1"/>
      <c r="F546" s="1"/>
      <c r="Q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142"/>
    </row>
    <row r="547" ht="17.25" customHeight="1">
      <c r="A547" s="1"/>
      <c r="B547" s="1"/>
      <c r="C547" s="1"/>
      <c r="D547" s="1"/>
      <c r="E547" s="1"/>
      <c r="F547" s="1"/>
      <c r="Q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142"/>
    </row>
    <row r="548" ht="17.25" customHeight="1">
      <c r="A548" s="1"/>
      <c r="B548" s="1"/>
      <c r="C548" s="1"/>
      <c r="D548" s="1"/>
      <c r="E548" s="1"/>
      <c r="F548" s="1"/>
      <c r="Q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142"/>
    </row>
    <row r="549" ht="17.25" customHeight="1">
      <c r="A549" s="1"/>
      <c r="B549" s="1"/>
      <c r="C549" s="1"/>
      <c r="D549" s="1"/>
      <c r="E549" s="1"/>
      <c r="F549" s="1"/>
      <c r="Q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142"/>
    </row>
    <row r="550" ht="17.25" customHeight="1">
      <c r="A550" s="1"/>
      <c r="B550" s="1"/>
      <c r="C550" s="1"/>
      <c r="D550" s="1"/>
      <c r="E550" s="1"/>
      <c r="F550" s="1"/>
      <c r="Q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142"/>
    </row>
    <row r="551" ht="17.25" customHeight="1">
      <c r="A551" s="1"/>
      <c r="B551" s="1"/>
      <c r="C551" s="1"/>
      <c r="D551" s="1"/>
      <c r="E551" s="1"/>
      <c r="F551" s="1"/>
      <c r="Q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142"/>
    </row>
    <row r="552" ht="17.25" customHeight="1">
      <c r="A552" s="1"/>
      <c r="B552" s="1"/>
      <c r="C552" s="1"/>
      <c r="D552" s="1"/>
      <c r="E552" s="1"/>
      <c r="F552" s="1"/>
      <c r="Q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142"/>
    </row>
    <row r="553" ht="17.25" customHeight="1">
      <c r="A553" s="1"/>
      <c r="B553" s="1"/>
      <c r="C553" s="1"/>
      <c r="D553" s="1"/>
      <c r="E553" s="1"/>
      <c r="F553" s="1"/>
      <c r="Q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142"/>
    </row>
    <row r="554" ht="17.25" customHeight="1">
      <c r="A554" s="1"/>
      <c r="B554" s="1"/>
      <c r="C554" s="1"/>
      <c r="D554" s="1"/>
      <c r="E554" s="1"/>
      <c r="F554" s="1"/>
      <c r="Q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142"/>
    </row>
    <row r="555" ht="17.25" customHeight="1">
      <c r="A555" s="1"/>
      <c r="B555" s="1"/>
      <c r="C555" s="1"/>
      <c r="D555" s="1"/>
      <c r="E555" s="1"/>
      <c r="F555" s="1"/>
      <c r="Q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142"/>
    </row>
    <row r="556" ht="17.25" customHeight="1">
      <c r="A556" s="1"/>
      <c r="B556" s="1"/>
      <c r="C556" s="1"/>
      <c r="D556" s="1"/>
      <c r="E556" s="1"/>
      <c r="F556" s="1"/>
      <c r="Q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142"/>
    </row>
    <row r="557" ht="17.25" customHeight="1">
      <c r="A557" s="1"/>
      <c r="B557" s="1"/>
      <c r="C557" s="1"/>
      <c r="D557" s="1"/>
      <c r="E557" s="1"/>
      <c r="F557" s="1"/>
      <c r="Q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142"/>
    </row>
    <row r="558" ht="17.25" customHeight="1">
      <c r="A558" s="1"/>
      <c r="B558" s="1"/>
      <c r="C558" s="1"/>
      <c r="D558" s="1"/>
      <c r="E558" s="1"/>
      <c r="F558" s="1"/>
      <c r="Q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142"/>
    </row>
    <row r="559" ht="17.25" customHeight="1">
      <c r="A559" s="1"/>
      <c r="B559" s="1"/>
      <c r="C559" s="1"/>
      <c r="D559" s="1"/>
      <c r="E559" s="1"/>
      <c r="F559" s="1"/>
      <c r="Q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142"/>
    </row>
    <row r="560" ht="17.25" customHeight="1">
      <c r="A560" s="1"/>
      <c r="B560" s="1"/>
      <c r="C560" s="1"/>
      <c r="D560" s="1"/>
      <c r="E560" s="1"/>
      <c r="F560" s="1"/>
      <c r="Q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142"/>
    </row>
    <row r="561" ht="17.25" customHeight="1">
      <c r="A561" s="1"/>
      <c r="B561" s="1"/>
      <c r="C561" s="1"/>
      <c r="D561" s="1"/>
      <c r="E561" s="1"/>
      <c r="F561" s="1"/>
      <c r="Q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142"/>
    </row>
    <row r="562" ht="17.25" customHeight="1">
      <c r="A562" s="1"/>
      <c r="B562" s="1"/>
      <c r="C562" s="1"/>
      <c r="D562" s="1"/>
      <c r="E562" s="1"/>
      <c r="F562" s="1"/>
      <c r="Q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142"/>
    </row>
    <row r="563" ht="17.25" customHeight="1">
      <c r="A563" s="1"/>
      <c r="B563" s="1"/>
      <c r="C563" s="1"/>
      <c r="D563" s="1"/>
      <c r="E563" s="1"/>
      <c r="F563" s="1"/>
      <c r="Q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142"/>
    </row>
    <row r="564" ht="17.25" customHeight="1">
      <c r="A564" s="1"/>
      <c r="B564" s="1"/>
      <c r="C564" s="1"/>
      <c r="D564" s="1"/>
      <c r="E564" s="1"/>
      <c r="F564" s="1"/>
      <c r="Q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142"/>
    </row>
    <row r="565" ht="17.25" customHeight="1">
      <c r="A565" s="1"/>
      <c r="B565" s="1"/>
      <c r="C565" s="1"/>
      <c r="D565" s="1"/>
      <c r="E565" s="1"/>
      <c r="F565" s="1"/>
      <c r="Q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142"/>
    </row>
    <row r="566" ht="17.25" customHeight="1">
      <c r="A566" s="1"/>
      <c r="B566" s="1"/>
      <c r="C566" s="1"/>
      <c r="D566" s="1"/>
      <c r="E566" s="1"/>
      <c r="F566" s="1"/>
      <c r="Q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142"/>
    </row>
    <row r="567" ht="17.25" customHeight="1">
      <c r="A567" s="1"/>
      <c r="B567" s="1"/>
      <c r="C567" s="1"/>
      <c r="D567" s="1"/>
      <c r="E567" s="1"/>
      <c r="F567" s="1"/>
      <c r="Q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142"/>
    </row>
    <row r="568" ht="17.25" customHeight="1">
      <c r="A568" s="1"/>
      <c r="B568" s="1"/>
      <c r="C568" s="1"/>
      <c r="D568" s="1"/>
      <c r="E568" s="1"/>
      <c r="F568" s="1"/>
      <c r="Q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142"/>
    </row>
    <row r="569" ht="17.25" customHeight="1">
      <c r="A569" s="1"/>
      <c r="B569" s="1"/>
      <c r="C569" s="1"/>
      <c r="D569" s="1"/>
      <c r="E569" s="1"/>
      <c r="F569" s="1"/>
      <c r="Q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142"/>
    </row>
    <row r="570" ht="17.25" customHeight="1">
      <c r="A570" s="1"/>
      <c r="B570" s="1"/>
      <c r="C570" s="1"/>
      <c r="D570" s="1"/>
      <c r="E570" s="1"/>
      <c r="F570" s="1"/>
      <c r="Q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142"/>
    </row>
    <row r="571" ht="17.25" customHeight="1">
      <c r="A571" s="1"/>
      <c r="B571" s="1"/>
      <c r="C571" s="1"/>
      <c r="D571" s="1"/>
      <c r="E571" s="1"/>
      <c r="F571" s="1"/>
      <c r="Q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142"/>
    </row>
    <row r="572" ht="17.25" customHeight="1">
      <c r="A572" s="1"/>
      <c r="B572" s="1"/>
      <c r="C572" s="1"/>
      <c r="D572" s="1"/>
      <c r="E572" s="1"/>
      <c r="F572" s="1"/>
      <c r="Q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142"/>
    </row>
    <row r="573" ht="17.25" customHeight="1">
      <c r="A573" s="1"/>
      <c r="B573" s="1"/>
      <c r="C573" s="1"/>
      <c r="D573" s="1"/>
      <c r="E573" s="1"/>
      <c r="F573" s="1"/>
      <c r="Q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142"/>
    </row>
    <row r="574" ht="17.25" customHeight="1">
      <c r="A574" s="1"/>
      <c r="B574" s="1"/>
      <c r="C574" s="1"/>
      <c r="D574" s="1"/>
      <c r="E574" s="1"/>
      <c r="F574" s="1"/>
      <c r="Q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142"/>
    </row>
    <row r="575" ht="17.25" customHeight="1">
      <c r="A575" s="1"/>
      <c r="B575" s="1"/>
      <c r="C575" s="1"/>
      <c r="D575" s="1"/>
      <c r="E575" s="1"/>
      <c r="F575" s="1"/>
      <c r="Q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142"/>
    </row>
    <row r="576" ht="17.25" customHeight="1">
      <c r="A576" s="1"/>
      <c r="B576" s="1"/>
      <c r="C576" s="1"/>
      <c r="D576" s="1"/>
      <c r="E576" s="1"/>
      <c r="F576" s="1"/>
      <c r="Q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142"/>
    </row>
    <row r="577" ht="17.25" customHeight="1">
      <c r="A577" s="1"/>
      <c r="B577" s="1"/>
      <c r="C577" s="1"/>
      <c r="D577" s="1"/>
      <c r="E577" s="1"/>
      <c r="F577" s="1"/>
      <c r="Q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142"/>
    </row>
    <row r="578" ht="17.25" customHeight="1">
      <c r="A578" s="1"/>
      <c r="B578" s="1"/>
      <c r="C578" s="1"/>
      <c r="D578" s="1"/>
      <c r="E578" s="1"/>
      <c r="F578" s="1"/>
      <c r="Q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142"/>
    </row>
    <row r="579" ht="17.25" customHeight="1">
      <c r="A579" s="1"/>
      <c r="B579" s="1"/>
      <c r="C579" s="1"/>
      <c r="D579" s="1"/>
      <c r="E579" s="1"/>
      <c r="F579" s="1"/>
      <c r="Q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142"/>
    </row>
    <row r="580" ht="17.25" customHeight="1">
      <c r="A580" s="1"/>
      <c r="B580" s="1"/>
      <c r="C580" s="1"/>
      <c r="D580" s="1"/>
      <c r="E580" s="1"/>
      <c r="F580" s="1"/>
      <c r="Q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142"/>
    </row>
    <row r="581" ht="17.25" customHeight="1">
      <c r="A581" s="1"/>
      <c r="B581" s="1"/>
      <c r="C581" s="1"/>
      <c r="D581" s="1"/>
      <c r="E581" s="1"/>
      <c r="F581" s="1"/>
      <c r="Q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142"/>
    </row>
    <row r="582" ht="17.25" customHeight="1">
      <c r="A582" s="1"/>
      <c r="B582" s="1"/>
      <c r="C582" s="1"/>
      <c r="D582" s="1"/>
      <c r="E582" s="1"/>
      <c r="F582" s="1"/>
      <c r="Q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142"/>
    </row>
    <row r="583" ht="17.25" customHeight="1">
      <c r="A583" s="1"/>
      <c r="B583" s="1"/>
      <c r="C583" s="1"/>
      <c r="D583" s="1"/>
      <c r="E583" s="1"/>
      <c r="F583" s="1"/>
      <c r="Q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142"/>
    </row>
    <row r="584" ht="17.25" customHeight="1">
      <c r="A584" s="1"/>
      <c r="B584" s="1"/>
      <c r="C584" s="1"/>
      <c r="D584" s="1"/>
      <c r="E584" s="1"/>
      <c r="F584" s="1"/>
      <c r="Q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142"/>
    </row>
    <row r="585" ht="17.25" customHeight="1">
      <c r="A585" s="1"/>
      <c r="B585" s="1"/>
      <c r="C585" s="1"/>
      <c r="D585" s="1"/>
      <c r="E585" s="1"/>
      <c r="F585" s="1"/>
      <c r="Q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142"/>
    </row>
    <row r="586" ht="17.25" customHeight="1">
      <c r="A586" s="1"/>
      <c r="B586" s="1"/>
      <c r="C586" s="1"/>
      <c r="D586" s="1"/>
      <c r="E586" s="1"/>
      <c r="F586" s="1"/>
      <c r="Q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142"/>
    </row>
    <row r="587" ht="17.25" customHeight="1">
      <c r="A587" s="1"/>
      <c r="B587" s="1"/>
      <c r="C587" s="1"/>
      <c r="D587" s="1"/>
      <c r="E587" s="1"/>
      <c r="F587" s="1"/>
      <c r="Q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142"/>
    </row>
    <row r="588" ht="17.25" customHeight="1">
      <c r="A588" s="1"/>
      <c r="B588" s="1"/>
      <c r="C588" s="1"/>
      <c r="D588" s="1"/>
      <c r="E588" s="1"/>
      <c r="F588" s="1"/>
      <c r="Q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142"/>
    </row>
    <row r="589" ht="17.25" customHeight="1">
      <c r="A589" s="1"/>
      <c r="B589" s="1"/>
      <c r="C589" s="1"/>
      <c r="D589" s="1"/>
      <c r="E589" s="1"/>
      <c r="F589" s="1"/>
      <c r="Q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142"/>
    </row>
    <row r="590" ht="17.25" customHeight="1">
      <c r="A590" s="1"/>
      <c r="B590" s="1"/>
      <c r="C590" s="1"/>
      <c r="D590" s="1"/>
      <c r="E590" s="1"/>
      <c r="F590" s="1"/>
      <c r="Q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142"/>
    </row>
    <row r="591" ht="17.25" customHeight="1">
      <c r="A591" s="1"/>
      <c r="B591" s="1"/>
      <c r="C591" s="1"/>
      <c r="D591" s="1"/>
      <c r="E591" s="1"/>
      <c r="F591" s="1"/>
      <c r="Q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142"/>
    </row>
    <row r="592" ht="17.25" customHeight="1">
      <c r="A592" s="1"/>
      <c r="B592" s="1"/>
      <c r="C592" s="1"/>
      <c r="D592" s="1"/>
      <c r="E592" s="1"/>
      <c r="F592" s="1"/>
      <c r="Q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142"/>
    </row>
    <row r="593" ht="17.25" customHeight="1">
      <c r="A593" s="1"/>
      <c r="B593" s="1"/>
      <c r="C593" s="1"/>
      <c r="D593" s="1"/>
      <c r="E593" s="1"/>
      <c r="F593" s="1"/>
      <c r="Q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142"/>
    </row>
    <row r="594" ht="17.25" customHeight="1">
      <c r="A594" s="1"/>
      <c r="B594" s="1"/>
      <c r="C594" s="1"/>
      <c r="D594" s="1"/>
      <c r="E594" s="1"/>
      <c r="F594" s="1"/>
      <c r="Q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142"/>
    </row>
    <row r="595" ht="17.25" customHeight="1">
      <c r="A595" s="1"/>
      <c r="B595" s="1"/>
      <c r="C595" s="1"/>
      <c r="D595" s="1"/>
      <c r="E595" s="1"/>
      <c r="F595" s="1"/>
      <c r="Q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142"/>
    </row>
    <row r="596" ht="17.25" customHeight="1">
      <c r="A596" s="1"/>
      <c r="B596" s="1"/>
      <c r="C596" s="1"/>
      <c r="D596" s="1"/>
      <c r="E596" s="1"/>
      <c r="F596" s="1"/>
      <c r="Q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142"/>
    </row>
    <row r="597" ht="17.25" customHeight="1">
      <c r="A597" s="1"/>
      <c r="B597" s="1"/>
      <c r="C597" s="1"/>
      <c r="D597" s="1"/>
      <c r="E597" s="1"/>
      <c r="F597" s="1"/>
      <c r="Q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142"/>
    </row>
    <row r="598" ht="17.25" customHeight="1">
      <c r="A598" s="1"/>
      <c r="B598" s="1"/>
      <c r="C598" s="1"/>
      <c r="D598" s="1"/>
      <c r="E598" s="1"/>
      <c r="F598" s="1"/>
      <c r="Q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142"/>
    </row>
    <row r="599" ht="17.25" customHeight="1">
      <c r="A599" s="1"/>
      <c r="B599" s="1"/>
      <c r="C599" s="1"/>
      <c r="D599" s="1"/>
      <c r="E599" s="1"/>
      <c r="F599" s="1"/>
      <c r="Q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142"/>
    </row>
    <row r="600" ht="17.25" customHeight="1">
      <c r="A600" s="1"/>
      <c r="B600" s="1"/>
      <c r="C600" s="1"/>
      <c r="D600" s="1"/>
      <c r="E600" s="1"/>
      <c r="F600" s="1"/>
      <c r="Q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142"/>
    </row>
    <row r="601" ht="17.25" customHeight="1">
      <c r="A601" s="1"/>
      <c r="B601" s="1"/>
      <c r="C601" s="1"/>
      <c r="D601" s="1"/>
      <c r="E601" s="1"/>
      <c r="F601" s="1"/>
      <c r="Q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142"/>
    </row>
    <row r="602" ht="17.25" customHeight="1">
      <c r="A602" s="1"/>
      <c r="B602" s="1"/>
      <c r="C602" s="1"/>
      <c r="D602" s="1"/>
      <c r="E602" s="1"/>
      <c r="F602" s="1"/>
      <c r="Q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142"/>
    </row>
    <row r="603" ht="17.25" customHeight="1">
      <c r="A603" s="1"/>
      <c r="B603" s="1"/>
      <c r="C603" s="1"/>
      <c r="D603" s="1"/>
      <c r="E603" s="1"/>
      <c r="F603" s="1"/>
      <c r="Q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142"/>
    </row>
    <row r="604" ht="17.25" customHeight="1">
      <c r="A604" s="1"/>
      <c r="B604" s="1"/>
      <c r="C604" s="1"/>
      <c r="D604" s="1"/>
      <c r="E604" s="1"/>
      <c r="F604" s="1"/>
      <c r="Q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142"/>
    </row>
    <row r="605" ht="17.25" customHeight="1">
      <c r="A605" s="1"/>
      <c r="B605" s="1"/>
      <c r="C605" s="1"/>
      <c r="D605" s="1"/>
      <c r="E605" s="1"/>
      <c r="F605" s="1"/>
      <c r="Q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142"/>
    </row>
    <row r="606" ht="17.25" customHeight="1">
      <c r="A606" s="1"/>
      <c r="B606" s="1"/>
      <c r="C606" s="1"/>
      <c r="D606" s="1"/>
      <c r="E606" s="1"/>
      <c r="F606" s="1"/>
      <c r="Q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142"/>
    </row>
    <row r="607" ht="17.25" customHeight="1">
      <c r="A607" s="1"/>
      <c r="B607" s="1"/>
      <c r="C607" s="1"/>
      <c r="D607" s="1"/>
      <c r="E607" s="1"/>
      <c r="F607" s="1"/>
      <c r="Q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142"/>
    </row>
    <row r="608" ht="17.25" customHeight="1">
      <c r="A608" s="1"/>
      <c r="B608" s="1"/>
      <c r="C608" s="1"/>
      <c r="D608" s="1"/>
      <c r="E608" s="1"/>
      <c r="F608" s="1"/>
      <c r="Q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142"/>
    </row>
    <row r="609" ht="17.25" customHeight="1">
      <c r="A609" s="1"/>
      <c r="B609" s="1"/>
      <c r="C609" s="1"/>
      <c r="D609" s="1"/>
      <c r="E609" s="1"/>
      <c r="F609" s="1"/>
      <c r="Q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142"/>
    </row>
    <row r="610" ht="17.25" customHeight="1">
      <c r="A610" s="1"/>
      <c r="B610" s="1"/>
      <c r="C610" s="1"/>
      <c r="D610" s="1"/>
      <c r="E610" s="1"/>
      <c r="F610" s="1"/>
      <c r="Q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142"/>
    </row>
    <row r="611" ht="17.25" customHeight="1">
      <c r="A611" s="1"/>
      <c r="B611" s="1"/>
      <c r="C611" s="1"/>
      <c r="D611" s="1"/>
      <c r="E611" s="1"/>
      <c r="F611" s="1"/>
      <c r="Q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142"/>
    </row>
    <row r="612" ht="17.25" customHeight="1">
      <c r="A612" s="1"/>
      <c r="B612" s="1"/>
      <c r="C612" s="1"/>
      <c r="D612" s="1"/>
      <c r="E612" s="1"/>
      <c r="F612" s="1"/>
      <c r="Q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142"/>
    </row>
    <row r="613" ht="17.25" customHeight="1">
      <c r="A613" s="1"/>
      <c r="B613" s="1"/>
      <c r="C613" s="1"/>
      <c r="D613" s="1"/>
      <c r="E613" s="1"/>
      <c r="F613" s="1"/>
      <c r="Q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142"/>
    </row>
    <row r="614" ht="17.25" customHeight="1">
      <c r="A614" s="1"/>
      <c r="B614" s="1"/>
      <c r="C614" s="1"/>
      <c r="D614" s="1"/>
      <c r="E614" s="1"/>
      <c r="F614" s="1"/>
      <c r="Q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142"/>
    </row>
    <row r="615" ht="17.25" customHeight="1">
      <c r="A615" s="1"/>
      <c r="B615" s="1"/>
      <c r="C615" s="1"/>
      <c r="D615" s="1"/>
      <c r="E615" s="1"/>
      <c r="F615" s="1"/>
      <c r="Q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142"/>
    </row>
    <row r="616" ht="17.25" customHeight="1">
      <c r="A616" s="1"/>
      <c r="B616" s="1"/>
      <c r="C616" s="1"/>
      <c r="D616" s="1"/>
      <c r="E616" s="1"/>
      <c r="F616" s="1"/>
      <c r="Q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142"/>
    </row>
    <row r="617" ht="17.25" customHeight="1">
      <c r="A617" s="1"/>
      <c r="B617" s="1"/>
      <c r="C617" s="1"/>
      <c r="D617" s="1"/>
      <c r="E617" s="1"/>
      <c r="F617" s="1"/>
      <c r="Q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142"/>
    </row>
    <row r="618" ht="17.25" customHeight="1">
      <c r="A618" s="1"/>
      <c r="B618" s="1"/>
      <c r="C618" s="1"/>
      <c r="D618" s="1"/>
      <c r="E618" s="1"/>
      <c r="F618" s="1"/>
      <c r="Q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142"/>
    </row>
    <row r="619" ht="17.25" customHeight="1">
      <c r="A619" s="1"/>
      <c r="B619" s="1"/>
      <c r="C619" s="1"/>
      <c r="D619" s="1"/>
      <c r="E619" s="1"/>
      <c r="F619" s="1"/>
      <c r="Q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142"/>
    </row>
    <row r="620" ht="17.25" customHeight="1">
      <c r="A620" s="1"/>
      <c r="B620" s="1"/>
      <c r="C620" s="1"/>
      <c r="D620" s="1"/>
      <c r="E620" s="1"/>
      <c r="F620" s="1"/>
      <c r="Q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142"/>
    </row>
    <row r="621" ht="17.25" customHeight="1">
      <c r="A621" s="1"/>
      <c r="B621" s="1"/>
      <c r="C621" s="1"/>
      <c r="D621" s="1"/>
      <c r="E621" s="1"/>
      <c r="F621" s="1"/>
      <c r="Q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142"/>
    </row>
    <row r="622" ht="17.25" customHeight="1">
      <c r="A622" s="1"/>
      <c r="B622" s="1"/>
      <c r="C622" s="1"/>
      <c r="D622" s="1"/>
      <c r="E622" s="1"/>
      <c r="F622" s="1"/>
      <c r="Q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142"/>
    </row>
    <row r="623" ht="17.25" customHeight="1">
      <c r="A623" s="1"/>
      <c r="B623" s="1"/>
      <c r="C623" s="1"/>
      <c r="D623" s="1"/>
      <c r="E623" s="1"/>
      <c r="F623" s="1"/>
      <c r="Q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142"/>
    </row>
    <row r="624" ht="17.25" customHeight="1">
      <c r="A624" s="1"/>
      <c r="B624" s="1"/>
      <c r="C624" s="1"/>
      <c r="D624" s="1"/>
      <c r="E624" s="1"/>
      <c r="F624" s="1"/>
      <c r="Q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142"/>
    </row>
    <row r="625" ht="17.25" customHeight="1">
      <c r="A625" s="1"/>
      <c r="B625" s="1"/>
      <c r="C625" s="1"/>
      <c r="D625" s="1"/>
      <c r="E625" s="1"/>
      <c r="F625" s="1"/>
      <c r="Q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142"/>
    </row>
    <row r="626" ht="17.25" customHeight="1">
      <c r="A626" s="1"/>
      <c r="B626" s="1"/>
      <c r="C626" s="1"/>
      <c r="D626" s="1"/>
      <c r="E626" s="1"/>
      <c r="F626" s="1"/>
      <c r="Q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142"/>
    </row>
    <row r="627" ht="17.25" customHeight="1">
      <c r="A627" s="1"/>
      <c r="B627" s="1"/>
      <c r="C627" s="1"/>
      <c r="D627" s="1"/>
      <c r="E627" s="1"/>
      <c r="F627" s="1"/>
      <c r="Q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142"/>
    </row>
    <row r="628" ht="17.25" customHeight="1">
      <c r="A628" s="1"/>
      <c r="B628" s="1"/>
      <c r="C628" s="1"/>
      <c r="D628" s="1"/>
      <c r="E628" s="1"/>
      <c r="F628" s="1"/>
      <c r="Q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142"/>
    </row>
    <row r="629" ht="17.25" customHeight="1">
      <c r="A629" s="1"/>
      <c r="B629" s="1"/>
      <c r="C629" s="1"/>
      <c r="D629" s="1"/>
      <c r="E629" s="1"/>
      <c r="F629" s="1"/>
      <c r="Q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142"/>
    </row>
    <row r="630" ht="17.25" customHeight="1">
      <c r="A630" s="1"/>
      <c r="B630" s="1"/>
      <c r="C630" s="1"/>
      <c r="D630" s="1"/>
      <c r="E630" s="1"/>
      <c r="F630" s="1"/>
      <c r="Q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142"/>
    </row>
    <row r="631" ht="17.25" customHeight="1">
      <c r="A631" s="1"/>
      <c r="B631" s="1"/>
      <c r="C631" s="1"/>
      <c r="D631" s="1"/>
      <c r="E631" s="1"/>
      <c r="F631" s="1"/>
      <c r="Q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142"/>
    </row>
    <row r="632" ht="17.25" customHeight="1">
      <c r="A632" s="1"/>
      <c r="B632" s="1"/>
      <c r="C632" s="1"/>
      <c r="D632" s="1"/>
      <c r="E632" s="1"/>
      <c r="F632" s="1"/>
      <c r="Q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142"/>
    </row>
    <row r="633" ht="17.25" customHeight="1">
      <c r="A633" s="1"/>
      <c r="B633" s="1"/>
      <c r="C633" s="1"/>
      <c r="D633" s="1"/>
      <c r="E633" s="1"/>
      <c r="F633" s="1"/>
      <c r="Q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142"/>
    </row>
    <row r="634" ht="17.25" customHeight="1">
      <c r="A634" s="1"/>
      <c r="B634" s="1"/>
      <c r="C634" s="1"/>
      <c r="D634" s="1"/>
      <c r="E634" s="1"/>
      <c r="F634" s="1"/>
      <c r="Q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142"/>
    </row>
    <row r="635" ht="17.25" customHeight="1">
      <c r="A635" s="1"/>
      <c r="B635" s="1"/>
      <c r="C635" s="1"/>
      <c r="D635" s="1"/>
      <c r="E635" s="1"/>
      <c r="F635" s="1"/>
      <c r="Q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142"/>
    </row>
    <row r="636" ht="17.25" customHeight="1">
      <c r="A636" s="1"/>
      <c r="B636" s="1"/>
      <c r="C636" s="1"/>
      <c r="D636" s="1"/>
      <c r="E636" s="1"/>
      <c r="F636" s="1"/>
      <c r="Q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142"/>
    </row>
    <row r="637" ht="17.25" customHeight="1">
      <c r="A637" s="1"/>
      <c r="B637" s="1"/>
      <c r="C637" s="1"/>
      <c r="D637" s="1"/>
      <c r="E637" s="1"/>
      <c r="F637" s="1"/>
      <c r="Q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142"/>
    </row>
    <row r="638" ht="17.25" customHeight="1">
      <c r="A638" s="1"/>
      <c r="B638" s="1"/>
      <c r="C638" s="1"/>
      <c r="D638" s="1"/>
      <c r="E638" s="1"/>
      <c r="F638" s="1"/>
      <c r="Q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142"/>
    </row>
    <row r="639" ht="17.25" customHeight="1">
      <c r="A639" s="1"/>
      <c r="B639" s="1"/>
      <c r="C639" s="1"/>
      <c r="D639" s="1"/>
      <c r="E639" s="1"/>
      <c r="F639" s="1"/>
      <c r="Q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142"/>
    </row>
    <row r="640" ht="17.25" customHeight="1">
      <c r="A640" s="1"/>
      <c r="B640" s="1"/>
      <c r="C640" s="1"/>
      <c r="D640" s="1"/>
      <c r="E640" s="1"/>
      <c r="F640" s="1"/>
      <c r="Q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142"/>
    </row>
    <row r="641" ht="17.25" customHeight="1">
      <c r="A641" s="1"/>
      <c r="B641" s="1"/>
      <c r="C641" s="1"/>
      <c r="D641" s="1"/>
      <c r="E641" s="1"/>
      <c r="F641" s="1"/>
      <c r="Q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142"/>
    </row>
    <row r="642" ht="17.25" customHeight="1">
      <c r="A642" s="1"/>
      <c r="B642" s="1"/>
      <c r="C642" s="1"/>
      <c r="D642" s="1"/>
      <c r="E642" s="1"/>
      <c r="F642" s="1"/>
      <c r="Q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142"/>
    </row>
    <row r="643" ht="17.25" customHeight="1">
      <c r="A643" s="1"/>
      <c r="B643" s="1"/>
      <c r="C643" s="1"/>
      <c r="D643" s="1"/>
      <c r="E643" s="1"/>
      <c r="F643" s="1"/>
      <c r="Q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142"/>
    </row>
    <row r="644" ht="17.25" customHeight="1">
      <c r="A644" s="1"/>
      <c r="B644" s="1"/>
      <c r="C644" s="1"/>
      <c r="D644" s="1"/>
      <c r="E644" s="1"/>
      <c r="F644" s="1"/>
      <c r="Q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142"/>
    </row>
    <row r="645" ht="17.25" customHeight="1">
      <c r="A645" s="1"/>
      <c r="B645" s="1"/>
      <c r="C645" s="1"/>
      <c r="D645" s="1"/>
      <c r="E645" s="1"/>
      <c r="F645" s="1"/>
      <c r="Q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142"/>
    </row>
    <row r="646" ht="17.25" customHeight="1">
      <c r="A646" s="1"/>
      <c r="B646" s="1"/>
      <c r="C646" s="1"/>
      <c r="D646" s="1"/>
      <c r="E646" s="1"/>
      <c r="F646" s="1"/>
      <c r="Q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142"/>
    </row>
    <row r="647" ht="17.25" customHeight="1">
      <c r="A647" s="1"/>
      <c r="B647" s="1"/>
      <c r="C647" s="1"/>
      <c r="D647" s="1"/>
      <c r="E647" s="1"/>
      <c r="F647" s="1"/>
      <c r="Q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142"/>
    </row>
    <row r="648" ht="17.25" customHeight="1">
      <c r="A648" s="1"/>
      <c r="B648" s="1"/>
      <c r="C648" s="1"/>
      <c r="D648" s="1"/>
      <c r="E648" s="1"/>
      <c r="F648" s="1"/>
      <c r="Q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142"/>
    </row>
    <row r="649" ht="17.25" customHeight="1">
      <c r="A649" s="1"/>
      <c r="B649" s="1"/>
      <c r="C649" s="1"/>
      <c r="D649" s="1"/>
      <c r="E649" s="1"/>
      <c r="F649" s="1"/>
      <c r="Q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142"/>
    </row>
    <row r="650" ht="17.25" customHeight="1">
      <c r="A650" s="1"/>
      <c r="B650" s="1"/>
      <c r="C650" s="1"/>
      <c r="D650" s="1"/>
      <c r="E650" s="1"/>
      <c r="F650" s="1"/>
      <c r="Q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142"/>
    </row>
    <row r="651" ht="17.25" customHeight="1">
      <c r="A651" s="1"/>
      <c r="B651" s="1"/>
      <c r="C651" s="1"/>
      <c r="D651" s="1"/>
      <c r="E651" s="1"/>
      <c r="F651" s="1"/>
      <c r="Q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142"/>
    </row>
    <row r="652" ht="17.25" customHeight="1">
      <c r="A652" s="1"/>
      <c r="B652" s="1"/>
      <c r="C652" s="1"/>
      <c r="D652" s="1"/>
      <c r="E652" s="1"/>
      <c r="F652" s="1"/>
      <c r="Q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142"/>
    </row>
    <row r="653" ht="17.25" customHeight="1">
      <c r="A653" s="1"/>
      <c r="B653" s="1"/>
      <c r="C653" s="1"/>
      <c r="D653" s="1"/>
      <c r="E653" s="1"/>
      <c r="F653" s="1"/>
      <c r="Q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142"/>
    </row>
    <row r="654" ht="17.25" customHeight="1">
      <c r="A654" s="1"/>
      <c r="B654" s="1"/>
      <c r="C654" s="1"/>
      <c r="D654" s="1"/>
      <c r="E654" s="1"/>
      <c r="F654" s="1"/>
      <c r="Q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142"/>
    </row>
    <row r="655" ht="17.25" customHeight="1">
      <c r="A655" s="1"/>
      <c r="B655" s="1"/>
      <c r="C655" s="1"/>
      <c r="D655" s="1"/>
      <c r="E655" s="1"/>
      <c r="F655" s="1"/>
      <c r="Q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142"/>
    </row>
    <row r="656" ht="17.25" customHeight="1">
      <c r="A656" s="1"/>
      <c r="B656" s="1"/>
      <c r="C656" s="1"/>
      <c r="D656" s="1"/>
      <c r="E656" s="1"/>
      <c r="F656" s="1"/>
      <c r="Q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142"/>
    </row>
    <row r="657" ht="17.25" customHeight="1">
      <c r="A657" s="1"/>
      <c r="B657" s="1"/>
      <c r="C657" s="1"/>
      <c r="D657" s="1"/>
      <c r="E657" s="1"/>
      <c r="F657" s="1"/>
      <c r="Q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142"/>
    </row>
    <row r="658" ht="17.25" customHeight="1">
      <c r="A658" s="1"/>
      <c r="B658" s="1"/>
      <c r="C658" s="1"/>
      <c r="D658" s="1"/>
      <c r="E658" s="1"/>
      <c r="F658" s="1"/>
      <c r="Q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142"/>
    </row>
    <row r="659" ht="17.25" customHeight="1">
      <c r="A659" s="1"/>
      <c r="B659" s="1"/>
      <c r="C659" s="1"/>
      <c r="D659" s="1"/>
      <c r="E659" s="1"/>
      <c r="F659" s="1"/>
      <c r="Q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142"/>
    </row>
    <row r="660" ht="17.25" customHeight="1">
      <c r="A660" s="1"/>
      <c r="B660" s="1"/>
      <c r="C660" s="1"/>
      <c r="D660" s="1"/>
      <c r="E660" s="1"/>
      <c r="F660" s="1"/>
      <c r="Q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142"/>
    </row>
    <row r="661" ht="17.25" customHeight="1">
      <c r="A661" s="1"/>
      <c r="B661" s="1"/>
      <c r="C661" s="1"/>
      <c r="D661" s="1"/>
      <c r="E661" s="1"/>
      <c r="F661" s="1"/>
      <c r="Q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142"/>
    </row>
    <row r="662" ht="17.25" customHeight="1">
      <c r="A662" s="1"/>
      <c r="B662" s="1"/>
      <c r="C662" s="1"/>
      <c r="D662" s="1"/>
      <c r="E662" s="1"/>
      <c r="F662" s="1"/>
      <c r="Q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142"/>
    </row>
    <row r="663" ht="17.25" customHeight="1">
      <c r="A663" s="1"/>
      <c r="B663" s="1"/>
      <c r="C663" s="1"/>
      <c r="D663" s="1"/>
      <c r="E663" s="1"/>
      <c r="F663" s="1"/>
      <c r="Q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142"/>
    </row>
    <row r="664" ht="17.25" customHeight="1">
      <c r="A664" s="1"/>
      <c r="B664" s="1"/>
      <c r="C664" s="1"/>
      <c r="D664" s="1"/>
      <c r="E664" s="1"/>
      <c r="F664" s="1"/>
      <c r="Q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142"/>
    </row>
    <row r="665" ht="17.25" customHeight="1">
      <c r="A665" s="1"/>
      <c r="B665" s="1"/>
      <c r="C665" s="1"/>
      <c r="D665" s="1"/>
      <c r="E665" s="1"/>
      <c r="F665" s="1"/>
      <c r="Q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142"/>
    </row>
    <row r="666" ht="17.25" customHeight="1">
      <c r="A666" s="1"/>
      <c r="B666" s="1"/>
      <c r="C666" s="1"/>
      <c r="D666" s="1"/>
      <c r="E666" s="1"/>
      <c r="F666" s="1"/>
      <c r="Q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142"/>
    </row>
    <row r="667" ht="17.25" customHeight="1">
      <c r="A667" s="1"/>
      <c r="B667" s="1"/>
      <c r="C667" s="1"/>
      <c r="D667" s="1"/>
      <c r="E667" s="1"/>
      <c r="F667" s="1"/>
      <c r="Q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142"/>
    </row>
    <row r="668" ht="17.25" customHeight="1">
      <c r="A668" s="1"/>
      <c r="B668" s="1"/>
      <c r="C668" s="1"/>
      <c r="D668" s="1"/>
      <c r="E668" s="1"/>
      <c r="F668" s="1"/>
      <c r="Q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142"/>
    </row>
    <row r="669" ht="17.25" customHeight="1">
      <c r="A669" s="1"/>
      <c r="B669" s="1"/>
      <c r="C669" s="1"/>
      <c r="D669" s="1"/>
      <c r="E669" s="1"/>
      <c r="F669" s="1"/>
      <c r="Q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142"/>
    </row>
    <row r="670" ht="17.25" customHeight="1">
      <c r="A670" s="1"/>
      <c r="B670" s="1"/>
      <c r="C670" s="1"/>
      <c r="D670" s="1"/>
      <c r="E670" s="1"/>
      <c r="F670" s="1"/>
      <c r="Q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142"/>
    </row>
    <row r="671" ht="17.25" customHeight="1">
      <c r="A671" s="1"/>
      <c r="B671" s="1"/>
      <c r="C671" s="1"/>
      <c r="D671" s="1"/>
      <c r="E671" s="1"/>
      <c r="F671" s="1"/>
      <c r="Q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142"/>
    </row>
    <row r="672" ht="17.25" customHeight="1">
      <c r="A672" s="1"/>
      <c r="B672" s="1"/>
      <c r="C672" s="1"/>
      <c r="D672" s="1"/>
      <c r="E672" s="1"/>
      <c r="F672" s="1"/>
      <c r="Q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142"/>
    </row>
    <row r="673" ht="17.25" customHeight="1">
      <c r="A673" s="1"/>
      <c r="B673" s="1"/>
      <c r="C673" s="1"/>
      <c r="D673" s="1"/>
      <c r="E673" s="1"/>
      <c r="F673" s="1"/>
      <c r="Q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142"/>
    </row>
    <row r="674" ht="17.25" customHeight="1">
      <c r="A674" s="1"/>
      <c r="B674" s="1"/>
      <c r="C674" s="1"/>
      <c r="D674" s="1"/>
      <c r="E674" s="1"/>
      <c r="F674" s="1"/>
      <c r="Q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142"/>
    </row>
    <row r="675" ht="17.25" customHeight="1">
      <c r="A675" s="1"/>
      <c r="B675" s="1"/>
      <c r="C675" s="1"/>
      <c r="D675" s="1"/>
      <c r="E675" s="1"/>
      <c r="F675" s="1"/>
      <c r="Q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142"/>
    </row>
    <row r="676" ht="17.25" customHeight="1">
      <c r="A676" s="1"/>
      <c r="B676" s="1"/>
      <c r="C676" s="1"/>
      <c r="D676" s="1"/>
      <c r="E676" s="1"/>
      <c r="F676" s="1"/>
      <c r="Q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142"/>
    </row>
    <row r="677" ht="17.25" customHeight="1">
      <c r="A677" s="1"/>
      <c r="B677" s="1"/>
      <c r="C677" s="1"/>
      <c r="D677" s="1"/>
      <c r="E677" s="1"/>
      <c r="F677" s="1"/>
      <c r="Q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142"/>
    </row>
    <row r="678" ht="17.25" customHeight="1">
      <c r="A678" s="1"/>
      <c r="B678" s="1"/>
      <c r="C678" s="1"/>
      <c r="D678" s="1"/>
      <c r="E678" s="1"/>
      <c r="F678" s="1"/>
      <c r="Q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142"/>
    </row>
    <row r="679" ht="17.25" customHeight="1">
      <c r="A679" s="1"/>
      <c r="B679" s="1"/>
      <c r="C679" s="1"/>
      <c r="D679" s="1"/>
      <c r="E679" s="1"/>
      <c r="F679" s="1"/>
      <c r="Q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142"/>
    </row>
    <row r="680" ht="17.25" customHeight="1">
      <c r="A680" s="1"/>
      <c r="B680" s="1"/>
      <c r="C680" s="1"/>
      <c r="D680" s="1"/>
      <c r="E680" s="1"/>
      <c r="F680" s="1"/>
      <c r="Q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142"/>
    </row>
    <row r="681" ht="17.25" customHeight="1">
      <c r="A681" s="1"/>
      <c r="B681" s="1"/>
      <c r="C681" s="1"/>
      <c r="D681" s="1"/>
      <c r="E681" s="1"/>
      <c r="F681" s="1"/>
      <c r="Q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142"/>
    </row>
    <row r="682" ht="17.25" customHeight="1">
      <c r="A682" s="1"/>
      <c r="B682" s="1"/>
      <c r="C682" s="1"/>
      <c r="D682" s="1"/>
      <c r="E682" s="1"/>
      <c r="F682" s="1"/>
      <c r="Q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142"/>
    </row>
    <row r="683" ht="17.25" customHeight="1">
      <c r="A683" s="1"/>
      <c r="B683" s="1"/>
      <c r="C683" s="1"/>
      <c r="D683" s="1"/>
      <c r="E683" s="1"/>
      <c r="F683" s="1"/>
      <c r="Q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142"/>
    </row>
    <row r="684" ht="17.25" customHeight="1">
      <c r="A684" s="1"/>
      <c r="B684" s="1"/>
      <c r="C684" s="1"/>
      <c r="D684" s="1"/>
      <c r="E684" s="1"/>
      <c r="F684" s="1"/>
      <c r="Q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142"/>
    </row>
    <row r="685" ht="17.25" customHeight="1">
      <c r="A685" s="1"/>
      <c r="B685" s="1"/>
      <c r="C685" s="1"/>
      <c r="D685" s="1"/>
      <c r="E685" s="1"/>
      <c r="F685" s="1"/>
      <c r="Q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142"/>
    </row>
    <row r="686" ht="17.25" customHeight="1">
      <c r="A686" s="1"/>
      <c r="B686" s="1"/>
      <c r="C686" s="1"/>
      <c r="D686" s="1"/>
      <c r="E686" s="1"/>
      <c r="F686" s="1"/>
      <c r="Q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142"/>
    </row>
    <row r="687" ht="17.25" customHeight="1">
      <c r="A687" s="1"/>
      <c r="B687" s="1"/>
      <c r="C687" s="1"/>
      <c r="D687" s="1"/>
      <c r="E687" s="1"/>
      <c r="F687" s="1"/>
      <c r="Q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142"/>
    </row>
    <row r="688" ht="17.25" customHeight="1">
      <c r="A688" s="1"/>
      <c r="B688" s="1"/>
      <c r="C688" s="1"/>
      <c r="D688" s="1"/>
      <c r="E688" s="1"/>
      <c r="F688" s="1"/>
      <c r="Q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142"/>
    </row>
    <row r="689" ht="17.25" customHeight="1">
      <c r="A689" s="1"/>
      <c r="B689" s="1"/>
      <c r="C689" s="1"/>
      <c r="D689" s="1"/>
      <c r="E689" s="1"/>
      <c r="F689" s="1"/>
      <c r="Q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142"/>
    </row>
    <row r="690" ht="17.25" customHeight="1">
      <c r="A690" s="1"/>
      <c r="B690" s="1"/>
      <c r="C690" s="1"/>
      <c r="D690" s="1"/>
      <c r="E690" s="1"/>
      <c r="F690" s="1"/>
      <c r="Q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142"/>
    </row>
    <row r="691" ht="17.25" customHeight="1">
      <c r="A691" s="1"/>
      <c r="B691" s="1"/>
      <c r="C691" s="1"/>
      <c r="D691" s="1"/>
      <c r="E691" s="1"/>
      <c r="F691" s="1"/>
      <c r="Q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142"/>
    </row>
    <row r="692" ht="17.25" customHeight="1">
      <c r="A692" s="1"/>
      <c r="B692" s="1"/>
      <c r="C692" s="1"/>
      <c r="D692" s="1"/>
      <c r="E692" s="1"/>
      <c r="F692" s="1"/>
      <c r="Q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142"/>
    </row>
    <row r="693" ht="17.25" customHeight="1">
      <c r="A693" s="1"/>
      <c r="B693" s="1"/>
      <c r="C693" s="1"/>
      <c r="D693" s="1"/>
      <c r="E693" s="1"/>
      <c r="F693" s="1"/>
      <c r="Q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142"/>
    </row>
    <row r="694" ht="17.25" customHeight="1">
      <c r="A694" s="1"/>
      <c r="B694" s="1"/>
      <c r="C694" s="1"/>
      <c r="D694" s="1"/>
      <c r="E694" s="1"/>
      <c r="F694" s="1"/>
      <c r="Q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142"/>
    </row>
    <row r="695" ht="17.25" customHeight="1">
      <c r="A695" s="1"/>
      <c r="B695" s="1"/>
      <c r="C695" s="1"/>
      <c r="D695" s="1"/>
      <c r="E695" s="1"/>
      <c r="F695" s="1"/>
      <c r="Q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142"/>
    </row>
    <row r="696" ht="17.25" customHeight="1">
      <c r="A696" s="1"/>
      <c r="B696" s="1"/>
      <c r="C696" s="1"/>
      <c r="D696" s="1"/>
      <c r="E696" s="1"/>
      <c r="F696" s="1"/>
      <c r="Q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142"/>
    </row>
    <row r="697" ht="17.25" customHeight="1">
      <c r="A697" s="1"/>
      <c r="B697" s="1"/>
      <c r="C697" s="1"/>
      <c r="D697" s="1"/>
      <c r="E697" s="1"/>
      <c r="F697" s="1"/>
      <c r="Q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142"/>
    </row>
    <row r="698" ht="17.25" customHeight="1">
      <c r="A698" s="1"/>
      <c r="B698" s="1"/>
      <c r="C698" s="1"/>
      <c r="D698" s="1"/>
      <c r="E698" s="1"/>
      <c r="F698" s="1"/>
      <c r="Q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142"/>
    </row>
    <row r="699" ht="17.25" customHeight="1">
      <c r="A699" s="1"/>
      <c r="B699" s="1"/>
      <c r="C699" s="1"/>
      <c r="D699" s="1"/>
      <c r="E699" s="1"/>
      <c r="F699" s="1"/>
      <c r="Q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142"/>
    </row>
    <row r="700" ht="17.25" customHeight="1">
      <c r="A700" s="1"/>
      <c r="B700" s="1"/>
      <c r="C700" s="1"/>
      <c r="D700" s="1"/>
      <c r="E700" s="1"/>
      <c r="F700" s="1"/>
      <c r="Q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142"/>
    </row>
    <row r="701" ht="17.25" customHeight="1">
      <c r="A701" s="1"/>
      <c r="B701" s="1"/>
      <c r="C701" s="1"/>
      <c r="D701" s="1"/>
      <c r="E701" s="1"/>
      <c r="F701" s="1"/>
      <c r="Q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142"/>
    </row>
    <row r="702" ht="17.25" customHeight="1">
      <c r="A702" s="1"/>
      <c r="B702" s="1"/>
      <c r="C702" s="1"/>
      <c r="D702" s="1"/>
      <c r="E702" s="1"/>
      <c r="F702" s="1"/>
      <c r="Q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142"/>
    </row>
    <row r="703" ht="17.25" customHeight="1">
      <c r="A703" s="1"/>
      <c r="B703" s="1"/>
      <c r="C703" s="1"/>
      <c r="D703" s="1"/>
      <c r="E703" s="1"/>
      <c r="F703" s="1"/>
      <c r="Q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142"/>
    </row>
    <row r="704" ht="17.25" customHeight="1">
      <c r="A704" s="1"/>
      <c r="B704" s="1"/>
      <c r="C704" s="1"/>
      <c r="D704" s="1"/>
      <c r="E704" s="1"/>
      <c r="F704" s="1"/>
      <c r="Q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142"/>
    </row>
    <row r="705" ht="17.25" customHeight="1">
      <c r="A705" s="1"/>
      <c r="B705" s="1"/>
      <c r="C705" s="1"/>
      <c r="D705" s="1"/>
      <c r="E705" s="1"/>
      <c r="F705" s="1"/>
      <c r="Q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142"/>
    </row>
    <row r="706" ht="17.25" customHeight="1">
      <c r="A706" s="1"/>
      <c r="B706" s="1"/>
      <c r="C706" s="1"/>
      <c r="D706" s="1"/>
      <c r="E706" s="1"/>
      <c r="F706" s="1"/>
      <c r="Q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142"/>
    </row>
    <row r="707" ht="17.25" customHeight="1">
      <c r="A707" s="1"/>
      <c r="B707" s="1"/>
      <c r="C707" s="1"/>
      <c r="D707" s="1"/>
      <c r="E707" s="1"/>
      <c r="F707" s="1"/>
      <c r="Q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142"/>
    </row>
    <row r="708" ht="17.25" customHeight="1">
      <c r="A708" s="1"/>
      <c r="B708" s="1"/>
      <c r="C708" s="1"/>
      <c r="D708" s="1"/>
      <c r="E708" s="1"/>
      <c r="F708" s="1"/>
      <c r="Q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142"/>
    </row>
    <row r="709" ht="17.25" customHeight="1">
      <c r="A709" s="1"/>
      <c r="B709" s="1"/>
      <c r="C709" s="1"/>
      <c r="D709" s="1"/>
      <c r="E709" s="1"/>
      <c r="F709" s="1"/>
      <c r="Q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142"/>
    </row>
    <row r="710" ht="17.25" customHeight="1">
      <c r="A710" s="1"/>
      <c r="B710" s="1"/>
      <c r="C710" s="1"/>
      <c r="D710" s="1"/>
      <c r="E710" s="1"/>
      <c r="F710" s="1"/>
      <c r="Q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142"/>
    </row>
    <row r="711" ht="17.25" customHeight="1">
      <c r="A711" s="1"/>
      <c r="B711" s="1"/>
      <c r="C711" s="1"/>
      <c r="D711" s="1"/>
      <c r="E711" s="1"/>
      <c r="F711" s="1"/>
      <c r="Q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142"/>
    </row>
    <row r="712" ht="17.25" customHeight="1">
      <c r="A712" s="1"/>
      <c r="B712" s="1"/>
      <c r="C712" s="1"/>
      <c r="D712" s="1"/>
      <c r="E712" s="1"/>
      <c r="F712" s="1"/>
      <c r="Q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142"/>
    </row>
    <row r="713" ht="17.25" customHeight="1">
      <c r="A713" s="1"/>
      <c r="B713" s="1"/>
      <c r="C713" s="1"/>
      <c r="D713" s="1"/>
      <c r="E713" s="1"/>
      <c r="F713" s="1"/>
      <c r="Q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142"/>
    </row>
    <row r="714" ht="17.25" customHeight="1">
      <c r="A714" s="1"/>
      <c r="B714" s="1"/>
      <c r="C714" s="1"/>
      <c r="D714" s="1"/>
      <c r="E714" s="1"/>
      <c r="F714" s="1"/>
      <c r="Q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142"/>
    </row>
    <row r="715" ht="17.25" customHeight="1">
      <c r="A715" s="1"/>
      <c r="B715" s="1"/>
      <c r="C715" s="1"/>
      <c r="D715" s="1"/>
      <c r="E715" s="1"/>
      <c r="F715" s="1"/>
      <c r="Q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142"/>
    </row>
    <row r="716" ht="17.25" customHeight="1">
      <c r="A716" s="1"/>
      <c r="B716" s="1"/>
      <c r="C716" s="1"/>
      <c r="D716" s="1"/>
      <c r="E716" s="1"/>
      <c r="F716" s="1"/>
      <c r="Q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142"/>
    </row>
    <row r="717" ht="17.25" customHeight="1">
      <c r="A717" s="1"/>
      <c r="B717" s="1"/>
      <c r="C717" s="1"/>
      <c r="D717" s="1"/>
      <c r="E717" s="1"/>
      <c r="F717" s="1"/>
      <c r="Q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142"/>
    </row>
    <row r="718" ht="17.25" customHeight="1">
      <c r="A718" s="1"/>
      <c r="B718" s="1"/>
      <c r="C718" s="1"/>
      <c r="D718" s="1"/>
      <c r="E718" s="1"/>
      <c r="F718" s="1"/>
      <c r="Q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142"/>
    </row>
    <row r="719" ht="17.25" customHeight="1">
      <c r="A719" s="1"/>
      <c r="B719" s="1"/>
      <c r="C719" s="1"/>
      <c r="D719" s="1"/>
      <c r="E719" s="1"/>
      <c r="F719" s="1"/>
      <c r="Q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142"/>
    </row>
    <row r="720" ht="17.25" customHeight="1">
      <c r="A720" s="1"/>
      <c r="B720" s="1"/>
      <c r="C720" s="1"/>
      <c r="D720" s="1"/>
      <c r="E720" s="1"/>
      <c r="F720" s="1"/>
      <c r="Q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142"/>
    </row>
    <row r="721" ht="17.25" customHeight="1">
      <c r="A721" s="1"/>
      <c r="B721" s="1"/>
      <c r="C721" s="1"/>
      <c r="D721" s="1"/>
      <c r="E721" s="1"/>
      <c r="F721" s="1"/>
      <c r="Q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142"/>
    </row>
    <row r="722" ht="17.25" customHeight="1">
      <c r="A722" s="1"/>
      <c r="B722" s="1"/>
      <c r="C722" s="1"/>
      <c r="D722" s="1"/>
      <c r="E722" s="1"/>
      <c r="F722" s="1"/>
      <c r="Q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142"/>
    </row>
    <row r="723" ht="17.25" customHeight="1">
      <c r="A723" s="1"/>
      <c r="B723" s="1"/>
      <c r="C723" s="1"/>
      <c r="D723" s="1"/>
      <c r="E723" s="1"/>
      <c r="F723" s="1"/>
      <c r="Q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142"/>
    </row>
    <row r="724" ht="17.25" customHeight="1">
      <c r="A724" s="1"/>
      <c r="B724" s="1"/>
      <c r="C724" s="1"/>
      <c r="D724" s="1"/>
      <c r="E724" s="1"/>
      <c r="F724" s="1"/>
      <c r="Q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142"/>
    </row>
    <row r="725" ht="17.25" customHeight="1">
      <c r="A725" s="1"/>
      <c r="B725" s="1"/>
      <c r="C725" s="1"/>
      <c r="D725" s="1"/>
      <c r="E725" s="1"/>
      <c r="F725" s="1"/>
      <c r="Q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142"/>
    </row>
    <row r="726" ht="17.25" customHeight="1">
      <c r="A726" s="1"/>
      <c r="B726" s="1"/>
      <c r="C726" s="1"/>
      <c r="D726" s="1"/>
      <c r="E726" s="1"/>
      <c r="F726" s="1"/>
      <c r="Q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142"/>
    </row>
    <row r="727" ht="17.25" customHeight="1">
      <c r="A727" s="1"/>
      <c r="B727" s="1"/>
      <c r="C727" s="1"/>
      <c r="D727" s="1"/>
      <c r="E727" s="1"/>
      <c r="F727" s="1"/>
      <c r="Q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142"/>
    </row>
    <row r="728" ht="17.25" customHeight="1">
      <c r="A728" s="1"/>
      <c r="B728" s="1"/>
      <c r="C728" s="1"/>
      <c r="D728" s="1"/>
      <c r="E728" s="1"/>
      <c r="F728" s="1"/>
      <c r="Q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142"/>
    </row>
    <row r="729" ht="17.25" customHeight="1">
      <c r="A729" s="1"/>
      <c r="B729" s="1"/>
      <c r="C729" s="1"/>
      <c r="D729" s="1"/>
      <c r="E729" s="1"/>
      <c r="F729" s="1"/>
      <c r="Q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142"/>
    </row>
    <row r="730" ht="17.25" customHeight="1">
      <c r="A730" s="1"/>
      <c r="B730" s="1"/>
      <c r="C730" s="1"/>
      <c r="D730" s="1"/>
      <c r="E730" s="1"/>
      <c r="F730" s="1"/>
      <c r="Q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142"/>
    </row>
    <row r="731" ht="17.25" customHeight="1">
      <c r="A731" s="1"/>
      <c r="B731" s="1"/>
      <c r="C731" s="1"/>
      <c r="D731" s="1"/>
      <c r="E731" s="1"/>
      <c r="F731" s="1"/>
      <c r="Q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142"/>
    </row>
    <row r="732" ht="17.25" customHeight="1">
      <c r="A732" s="1"/>
      <c r="B732" s="1"/>
      <c r="C732" s="1"/>
      <c r="D732" s="1"/>
      <c r="E732" s="1"/>
      <c r="F732" s="1"/>
      <c r="Q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142"/>
    </row>
    <row r="733" ht="17.25" customHeight="1">
      <c r="A733" s="1"/>
      <c r="B733" s="1"/>
      <c r="C733" s="1"/>
      <c r="D733" s="1"/>
      <c r="E733" s="1"/>
      <c r="F733" s="1"/>
      <c r="Q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142"/>
    </row>
    <row r="734" ht="17.25" customHeight="1">
      <c r="A734" s="1"/>
      <c r="B734" s="1"/>
      <c r="C734" s="1"/>
      <c r="D734" s="1"/>
      <c r="E734" s="1"/>
      <c r="F734" s="1"/>
      <c r="Q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142"/>
    </row>
    <row r="735" ht="17.25" customHeight="1">
      <c r="A735" s="1"/>
      <c r="B735" s="1"/>
      <c r="C735" s="1"/>
      <c r="D735" s="1"/>
      <c r="E735" s="1"/>
      <c r="F735" s="1"/>
      <c r="Q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142"/>
    </row>
    <row r="736" ht="17.25" customHeight="1">
      <c r="A736" s="1"/>
      <c r="B736" s="1"/>
      <c r="C736" s="1"/>
      <c r="D736" s="1"/>
      <c r="E736" s="1"/>
      <c r="F736" s="1"/>
      <c r="Q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142"/>
    </row>
    <row r="737" ht="17.25" customHeight="1">
      <c r="A737" s="1"/>
      <c r="B737" s="1"/>
      <c r="C737" s="1"/>
      <c r="D737" s="1"/>
      <c r="E737" s="1"/>
      <c r="F737" s="1"/>
      <c r="Q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142"/>
    </row>
    <row r="738" ht="17.25" customHeight="1">
      <c r="A738" s="1"/>
      <c r="B738" s="1"/>
      <c r="C738" s="1"/>
      <c r="D738" s="1"/>
      <c r="E738" s="1"/>
      <c r="F738" s="1"/>
      <c r="Q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142"/>
    </row>
    <row r="739" ht="17.25" customHeight="1">
      <c r="A739" s="1"/>
      <c r="B739" s="1"/>
      <c r="C739" s="1"/>
      <c r="D739" s="1"/>
      <c r="E739" s="1"/>
      <c r="F739" s="1"/>
      <c r="Q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142"/>
    </row>
    <row r="740" ht="17.25" customHeight="1">
      <c r="A740" s="1"/>
      <c r="B740" s="1"/>
      <c r="C740" s="1"/>
      <c r="D740" s="1"/>
      <c r="E740" s="1"/>
      <c r="F740" s="1"/>
      <c r="Q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142"/>
    </row>
    <row r="741" ht="17.25" customHeight="1">
      <c r="A741" s="1"/>
      <c r="B741" s="1"/>
      <c r="C741" s="1"/>
      <c r="D741" s="1"/>
      <c r="E741" s="1"/>
      <c r="F741" s="1"/>
      <c r="Q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142"/>
    </row>
    <row r="742" ht="17.25" customHeight="1">
      <c r="A742" s="1"/>
      <c r="B742" s="1"/>
      <c r="C742" s="1"/>
      <c r="D742" s="1"/>
      <c r="E742" s="1"/>
      <c r="F742" s="1"/>
      <c r="Q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142"/>
    </row>
    <row r="743" ht="17.25" customHeight="1">
      <c r="A743" s="1"/>
      <c r="B743" s="1"/>
      <c r="C743" s="1"/>
      <c r="D743" s="1"/>
      <c r="E743" s="1"/>
      <c r="F743" s="1"/>
      <c r="Q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142"/>
    </row>
    <row r="744" ht="17.25" customHeight="1">
      <c r="A744" s="1"/>
      <c r="B744" s="1"/>
      <c r="C744" s="1"/>
      <c r="D744" s="1"/>
      <c r="E744" s="1"/>
      <c r="F744" s="1"/>
      <c r="Q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142"/>
    </row>
    <row r="745" ht="17.25" customHeight="1">
      <c r="A745" s="1"/>
      <c r="B745" s="1"/>
      <c r="C745" s="1"/>
      <c r="D745" s="1"/>
      <c r="E745" s="1"/>
      <c r="F745" s="1"/>
      <c r="Q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142"/>
    </row>
    <row r="746" ht="17.25" customHeight="1">
      <c r="A746" s="1"/>
      <c r="B746" s="1"/>
      <c r="C746" s="1"/>
      <c r="D746" s="1"/>
      <c r="E746" s="1"/>
      <c r="F746" s="1"/>
      <c r="Q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142"/>
    </row>
    <row r="747" ht="17.25" customHeight="1">
      <c r="A747" s="1"/>
      <c r="B747" s="1"/>
      <c r="C747" s="1"/>
      <c r="D747" s="1"/>
      <c r="E747" s="1"/>
      <c r="F747" s="1"/>
      <c r="Q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142"/>
    </row>
    <row r="748" ht="17.25" customHeight="1">
      <c r="A748" s="1"/>
      <c r="B748" s="1"/>
      <c r="C748" s="1"/>
      <c r="D748" s="1"/>
      <c r="E748" s="1"/>
      <c r="F748" s="1"/>
      <c r="Q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142"/>
    </row>
    <row r="749" ht="17.25" customHeight="1">
      <c r="A749" s="1"/>
      <c r="B749" s="1"/>
      <c r="C749" s="1"/>
      <c r="D749" s="1"/>
      <c r="E749" s="1"/>
      <c r="F749" s="1"/>
      <c r="Q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142"/>
    </row>
    <row r="750" ht="17.25" customHeight="1">
      <c r="A750" s="1"/>
      <c r="B750" s="1"/>
      <c r="C750" s="1"/>
      <c r="D750" s="1"/>
      <c r="E750" s="1"/>
      <c r="F750" s="1"/>
      <c r="Q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142"/>
    </row>
    <row r="751" ht="17.25" customHeight="1">
      <c r="A751" s="1"/>
      <c r="B751" s="1"/>
      <c r="C751" s="1"/>
      <c r="D751" s="1"/>
      <c r="E751" s="1"/>
      <c r="F751" s="1"/>
      <c r="Q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142"/>
    </row>
    <row r="752" ht="17.25" customHeight="1">
      <c r="A752" s="1"/>
      <c r="B752" s="1"/>
      <c r="C752" s="1"/>
      <c r="D752" s="1"/>
      <c r="E752" s="1"/>
      <c r="F752" s="1"/>
      <c r="Q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142"/>
    </row>
    <row r="753" ht="17.25" customHeight="1">
      <c r="A753" s="1"/>
      <c r="B753" s="1"/>
      <c r="C753" s="1"/>
      <c r="D753" s="1"/>
      <c r="E753" s="1"/>
      <c r="F753" s="1"/>
      <c r="Q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142"/>
    </row>
    <row r="754" ht="17.25" customHeight="1">
      <c r="A754" s="1"/>
      <c r="B754" s="1"/>
      <c r="C754" s="1"/>
      <c r="D754" s="1"/>
      <c r="E754" s="1"/>
      <c r="F754" s="1"/>
      <c r="Q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142"/>
    </row>
    <row r="755" ht="17.25" customHeight="1">
      <c r="A755" s="1"/>
      <c r="B755" s="1"/>
      <c r="C755" s="1"/>
      <c r="D755" s="1"/>
      <c r="E755" s="1"/>
      <c r="F755" s="1"/>
      <c r="Q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142"/>
    </row>
    <row r="756" ht="17.25" customHeight="1">
      <c r="A756" s="1"/>
      <c r="B756" s="1"/>
      <c r="C756" s="1"/>
      <c r="D756" s="1"/>
      <c r="E756" s="1"/>
      <c r="F756" s="1"/>
      <c r="Q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142"/>
    </row>
    <row r="757" ht="17.25" customHeight="1">
      <c r="A757" s="1"/>
      <c r="B757" s="1"/>
      <c r="C757" s="1"/>
      <c r="D757" s="1"/>
      <c r="E757" s="1"/>
      <c r="F757" s="1"/>
      <c r="Q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142"/>
    </row>
    <row r="758" ht="17.25" customHeight="1">
      <c r="A758" s="1"/>
      <c r="B758" s="1"/>
      <c r="C758" s="1"/>
      <c r="D758" s="1"/>
      <c r="E758" s="1"/>
      <c r="F758" s="1"/>
      <c r="Q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142"/>
    </row>
    <row r="759" ht="17.25" customHeight="1">
      <c r="A759" s="1"/>
      <c r="B759" s="1"/>
      <c r="C759" s="1"/>
      <c r="D759" s="1"/>
      <c r="E759" s="1"/>
      <c r="F759" s="1"/>
      <c r="Q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142"/>
    </row>
    <row r="760" ht="17.25" customHeight="1">
      <c r="A760" s="1"/>
      <c r="B760" s="1"/>
      <c r="C760" s="1"/>
      <c r="D760" s="1"/>
      <c r="E760" s="1"/>
      <c r="F760" s="1"/>
      <c r="Q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142"/>
    </row>
    <row r="761" ht="17.25" customHeight="1">
      <c r="A761" s="1"/>
      <c r="B761" s="1"/>
      <c r="C761" s="1"/>
      <c r="D761" s="1"/>
      <c r="E761" s="1"/>
      <c r="F761" s="1"/>
      <c r="Q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142"/>
    </row>
    <row r="762" ht="17.25" customHeight="1">
      <c r="A762" s="1"/>
      <c r="B762" s="1"/>
      <c r="C762" s="1"/>
      <c r="D762" s="1"/>
      <c r="E762" s="1"/>
      <c r="F762" s="1"/>
      <c r="Q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142"/>
    </row>
    <row r="763" ht="17.25" customHeight="1">
      <c r="A763" s="1"/>
      <c r="B763" s="1"/>
      <c r="C763" s="1"/>
      <c r="D763" s="1"/>
      <c r="E763" s="1"/>
      <c r="F763" s="1"/>
      <c r="Q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142"/>
    </row>
    <row r="764" ht="17.25" customHeight="1">
      <c r="A764" s="1"/>
      <c r="B764" s="1"/>
      <c r="C764" s="1"/>
      <c r="D764" s="1"/>
      <c r="E764" s="1"/>
      <c r="F764" s="1"/>
      <c r="Q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142"/>
    </row>
    <row r="765" ht="17.25" customHeight="1">
      <c r="A765" s="1"/>
      <c r="B765" s="1"/>
      <c r="C765" s="1"/>
      <c r="D765" s="1"/>
      <c r="E765" s="1"/>
      <c r="F765" s="1"/>
      <c r="Q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142"/>
    </row>
    <row r="766" ht="17.25" customHeight="1">
      <c r="A766" s="1"/>
      <c r="B766" s="1"/>
      <c r="C766" s="1"/>
      <c r="D766" s="1"/>
      <c r="E766" s="1"/>
      <c r="F766" s="1"/>
      <c r="Q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142"/>
    </row>
    <row r="767" ht="17.25" customHeight="1">
      <c r="A767" s="1"/>
      <c r="B767" s="1"/>
      <c r="C767" s="1"/>
      <c r="D767" s="1"/>
      <c r="E767" s="1"/>
      <c r="F767" s="1"/>
      <c r="Q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142"/>
    </row>
    <row r="768" ht="17.25" customHeight="1">
      <c r="A768" s="1"/>
      <c r="B768" s="1"/>
      <c r="C768" s="1"/>
      <c r="D768" s="1"/>
      <c r="E768" s="1"/>
      <c r="F768" s="1"/>
      <c r="Q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142"/>
    </row>
    <row r="769" ht="17.25" customHeight="1">
      <c r="A769" s="1"/>
      <c r="B769" s="1"/>
      <c r="C769" s="1"/>
      <c r="D769" s="1"/>
      <c r="E769" s="1"/>
      <c r="F769" s="1"/>
      <c r="Q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142"/>
    </row>
    <row r="770" ht="17.25" customHeight="1">
      <c r="A770" s="1"/>
      <c r="B770" s="1"/>
      <c r="C770" s="1"/>
      <c r="D770" s="1"/>
      <c r="E770" s="1"/>
      <c r="F770" s="1"/>
      <c r="Q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142"/>
    </row>
    <row r="771" ht="17.25" customHeight="1">
      <c r="A771" s="1"/>
      <c r="B771" s="1"/>
      <c r="C771" s="1"/>
      <c r="D771" s="1"/>
      <c r="E771" s="1"/>
      <c r="F771" s="1"/>
      <c r="Q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142"/>
    </row>
    <row r="772" ht="17.25" customHeight="1">
      <c r="A772" s="1"/>
      <c r="B772" s="1"/>
      <c r="C772" s="1"/>
      <c r="D772" s="1"/>
      <c r="E772" s="1"/>
      <c r="F772" s="1"/>
      <c r="Q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142"/>
    </row>
    <row r="773" ht="17.25" customHeight="1">
      <c r="A773" s="1"/>
      <c r="B773" s="1"/>
      <c r="C773" s="1"/>
      <c r="D773" s="1"/>
      <c r="E773" s="1"/>
      <c r="F773" s="1"/>
      <c r="Q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142"/>
    </row>
    <row r="774" ht="17.25" customHeight="1">
      <c r="A774" s="1"/>
      <c r="B774" s="1"/>
      <c r="C774" s="1"/>
      <c r="D774" s="1"/>
      <c r="E774" s="1"/>
      <c r="F774" s="1"/>
      <c r="Q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142"/>
    </row>
    <row r="775" ht="17.25" customHeight="1">
      <c r="A775" s="1"/>
      <c r="B775" s="1"/>
      <c r="C775" s="1"/>
      <c r="D775" s="1"/>
      <c r="E775" s="1"/>
      <c r="F775" s="1"/>
      <c r="Q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142"/>
    </row>
    <row r="776" ht="17.25" customHeight="1">
      <c r="A776" s="1"/>
      <c r="B776" s="1"/>
      <c r="C776" s="1"/>
      <c r="D776" s="1"/>
      <c r="E776" s="1"/>
      <c r="F776" s="1"/>
      <c r="Q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142"/>
    </row>
    <row r="777" ht="17.25" customHeight="1">
      <c r="A777" s="1"/>
      <c r="B777" s="1"/>
      <c r="C777" s="1"/>
      <c r="D777" s="1"/>
      <c r="E777" s="1"/>
      <c r="F777" s="1"/>
      <c r="Q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142"/>
    </row>
    <row r="778" ht="17.25" customHeight="1">
      <c r="A778" s="1"/>
      <c r="B778" s="1"/>
      <c r="C778" s="1"/>
      <c r="D778" s="1"/>
      <c r="E778" s="1"/>
      <c r="F778" s="1"/>
      <c r="Q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142"/>
    </row>
    <row r="779" ht="17.25" customHeight="1">
      <c r="A779" s="1"/>
      <c r="B779" s="1"/>
      <c r="C779" s="1"/>
      <c r="D779" s="1"/>
      <c r="E779" s="1"/>
      <c r="F779" s="1"/>
      <c r="Q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142"/>
    </row>
    <row r="780" ht="17.25" customHeight="1">
      <c r="A780" s="1"/>
      <c r="B780" s="1"/>
      <c r="C780" s="1"/>
      <c r="D780" s="1"/>
      <c r="E780" s="1"/>
      <c r="F780" s="1"/>
      <c r="Q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142"/>
    </row>
    <row r="781" ht="17.25" customHeight="1">
      <c r="A781" s="1"/>
      <c r="B781" s="1"/>
      <c r="C781" s="1"/>
      <c r="D781" s="1"/>
      <c r="E781" s="1"/>
      <c r="F781" s="1"/>
      <c r="Q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142"/>
    </row>
    <row r="782" ht="17.25" customHeight="1">
      <c r="A782" s="1"/>
      <c r="B782" s="1"/>
      <c r="C782" s="1"/>
      <c r="D782" s="1"/>
      <c r="E782" s="1"/>
      <c r="F782" s="1"/>
      <c r="Q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142"/>
    </row>
    <row r="783" ht="17.25" customHeight="1">
      <c r="A783" s="1"/>
      <c r="B783" s="1"/>
      <c r="C783" s="1"/>
      <c r="D783" s="1"/>
      <c r="E783" s="1"/>
      <c r="F783" s="1"/>
      <c r="Q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142"/>
    </row>
    <row r="784" ht="17.25" customHeight="1">
      <c r="A784" s="1"/>
      <c r="B784" s="1"/>
      <c r="C784" s="1"/>
      <c r="D784" s="1"/>
      <c r="E784" s="1"/>
      <c r="F784" s="1"/>
      <c r="Q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142"/>
    </row>
    <row r="785" ht="17.25" customHeight="1">
      <c r="A785" s="1"/>
      <c r="B785" s="1"/>
      <c r="C785" s="1"/>
      <c r="D785" s="1"/>
      <c r="E785" s="1"/>
      <c r="F785" s="1"/>
      <c r="Q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142"/>
    </row>
    <row r="786" ht="17.25" customHeight="1">
      <c r="A786" s="1"/>
      <c r="B786" s="1"/>
      <c r="C786" s="1"/>
      <c r="D786" s="1"/>
      <c r="E786" s="1"/>
      <c r="F786" s="1"/>
      <c r="Q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142"/>
    </row>
    <row r="787" ht="17.25" customHeight="1">
      <c r="A787" s="1"/>
      <c r="B787" s="1"/>
      <c r="C787" s="1"/>
      <c r="D787" s="1"/>
      <c r="E787" s="1"/>
      <c r="F787" s="1"/>
      <c r="Q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142"/>
    </row>
    <row r="788" ht="17.25" customHeight="1">
      <c r="A788" s="1"/>
      <c r="B788" s="1"/>
      <c r="C788" s="1"/>
      <c r="D788" s="1"/>
      <c r="E788" s="1"/>
      <c r="F788" s="1"/>
      <c r="Q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142"/>
    </row>
    <row r="789" ht="17.25" customHeight="1">
      <c r="A789" s="1"/>
      <c r="B789" s="1"/>
      <c r="C789" s="1"/>
      <c r="D789" s="1"/>
      <c r="E789" s="1"/>
      <c r="F789" s="1"/>
      <c r="Q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142"/>
    </row>
    <row r="790" ht="17.25" customHeight="1">
      <c r="A790" s="1"/>
      <c r="B790" s="1"/>
      <c r="C790" s="1"/>
      <c r="D790" s="1"/>
      <c r="E790" s="1"/>
      <c r="F790" s="1"/>
      <c r="Q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142"/>
    </row>
    <row r="791" ht="17.25" customHeight="1">
      <c r="A791" s="1"/>
      <c r="B791" s="1"/>
      <c r="C791" s="1"/>
      <c r="D791" s="1"/>
      <c r="E791" s="1"/>
      <c r="F791" s="1"/>
      <c r="Q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142"/>
    </row>
    <row r="792" ht="17.25" customHeight="1">
      <c r="A792" s="1"/>
      <c r="B792" s="1"/>
      <c r="C792" s="1"/>
      <c r="D792" s="1"/>
      <c r="E792" s="1"/>
      <c r="F792" s="1"/>
      <c r="Q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142"/>
    </row>
    <row r="793" ht="17.25" customHeight="1">
      <c r="A793" s="1"/>
      <c r="B793" s="1"/>
      <c r="C793" s="1"/>
      <c r="D793" s="1"/>
      <c r="E793" s="1"/>
      <c r="F793" s="1"/>
      <c r="Q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142"/>
    </row>
    <row r="794" ht="17.25" customHeight="1">
      <c r="A794" s="1"/>
      <c r="B794" s="1"/>
      <c r="C794" s="1"/>
      <c r="D794" s="1"/>
      <c r="E794" s="1"/>
      <c r="F794" s="1"/>
      <c r="Q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142"/>
    </row>
    <row r="795" ht="17.25" customHeight="1">
      <c r="A795" s="1"/>
      <c r="B795" s="1"/>
      <c r="C795" s="1"/>
      <c r="D795" s="1"/>
      <c r="E795" s="1"/>
      <c r="F795" s="1"/>
      <c r="Q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142"/>
    </row>
    <row r="796" ht="17.25" customHeight="1">
      <c r="A796" s="1"/>
      <c r="B796" s="1"/>
      <c r="C796" s="1"/>
      <c r="D796" s="1"/>
      <c r="E796" s="1"/>
      <c r="F796" s="1"/>
      <c r="Q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142"/>
    </row>
    <row r="797" ht="17.25" customHeight="1">
      <c r="A797" s="1"/>
      <c r="B797" s="1"/>
      <c r="C797" s="1"/>
      <c r="D797" s="1"/>
      <c r="E797" s="1"/>
      <c r="F797" s="1"/>
      <c r="Q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142"/>
    </row>
    <row r="798" ht="17.25" customHeight="1">
      <c r="A798" s="1"/>
      <c r="B798" s="1"/>
      <c r="C798" s="1"/>
      <c r="D798" s="1"/>
      <c r="E798" s="1"/>
      <c r="F798" s="1"/>
      <c r="Q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142"/>
    </row>
    <row r="799" ht="17.25" customHeight="1">
      <c r="A799" s="1"/>
      <c r="B799" s="1"/>
      <c r="C799" s="1"/>
      <c r="D799" s="1"/>
      <c r="E799" s="1"/>
      <c r="F799" s="1"/>
      <c r="Q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142"/>
    </row>
    <row r="800" ht="17.25" customHeight="1">
      <c r="A800" s="1"/>
      <c r="B800" s="1"/>
      <c r="C800" s="1"/>
      <c r="D800" s="1"/>
      <c r="E800" s="1"/>
      <c r="F800" s="1"/>
      <c r="Q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142"/>
    </row>
    <row r="801" ht="17.25" customHeight="1">
      <c r="A801" s="1"/>
      <c r="B801" s="1"/>
      <c r="C801" s="1"/>
      <c r="D801" s="1"/>
      <c r="E801" s="1"/>
      <c r="F801" s="1"/>
      <c r="Q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142"/>
    </row>
    <row r="802" ht="17.25" customHeight="1">
      <c r="A802" s="1"/>
      <c r="B802" s="1"/>
      <c r="C802" s="1"/>
      <c r="D802" s="1"/>
      <c r="E802" s="1"/>
      <c r="F802" s="1"/>
      <c r="Q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142"/>
    </row>
    <row r="803" ht="17.25" customHeight="1">
      <c r="A803" s="1"/>
      <c r="B803" s="1"/>
      <c r="C803" s="1"/>
      <c r="D803" s="1"/>
      <c r="E803" s="1"/>
      <c r="F803" s="1"/>
      <c r="Q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142"/>
    </row>
    <row r="804" ht="17.25" customHeight="1">
      <c r="A804" s="1"/>
      <c r="B804" s="1"/>
      <c r="C804" s="1"/>
      <c r="D804" s="1"/>
      <c r="E804" s="1"/>
      <c r="F804" s="1"/>
      <c r="Q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142"/>
    </row>
    <row r="805" ht="17.25" customHeight="1">
      <c r="A805" s="1"/>
      <c r="B805" s="1"/>
      <c r="C805" s="1"/>
      <c r="D805" s="1"/>
      <c r="E805" s="1"/>
      <c r="F805" s="1"/>
      <c r="Q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142"/>
    </row>
    <row r="806" ht="17.25" customHeight="1">
      <c r="A806" s="1"/>
      <c r="B806" s="1"/>
      <c r="C806" s="1"/>
      <c r="D806" s="1"/>
      <c r="E806" s="1"/>
      <c r="F806" s="1"/>
      <c r="Q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142"/>
    </row>
    <row r="807" ht="17.25" customHeight="1">
      <c r="A807" s="1"/>
      <c r="B807" s="1"/>
      <c r="C807" s="1"/>
      <c r="D807" s="1"/>
      <c r="E807" s="1"/>
      <c r="F807" s="1"/>
      <c r="Q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142"/>
    </row>
    <row r="808" ht="17.25" customHeight="1">
      <c r="A808" s="1"/>
      <c r="B808" s="1"/>
      <c r="C808" s="1"/>
      <c r="D808" s="1"/>
      <c r="E808" s="1"/>
      <c r="F808" s="1"/>
      <c r="Q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142"/>
    </row>
    <row r="809" ht="17.25" customHeight="1">
      <c r="A809" s="1"/>
      <c r="B809" s="1"/>
      <c r="C809" s="1"/>
      <c r="D809" s="1"/>
      <c r="E809" s="1"/>
      <c r="F809" s="1"/>
      <c r="Q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142"/>
    </row>
    <row r="810" ht="17.25" customHeight="1">
      <c r="A810" s="1"/>
      <c r="B810" s="1"/>
      <c r="C810" s="1"/>
      <c r="D810" s="1"/>
      <c r="E810" s="1"/>
      <c r="F810" s="1"/>
      <c r="Q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142"/>
    </row>
    <row r="811" ht="17.25" customHeight="1">
      <c r="A811" s="1"/>
      <c r="B811" s="1"/>
      <c r="C811" s="1"/>
      <c r="D811" s="1"/>
      <c r="E811" s="1"/>
      <c r="F811" s="1"/>
      <c r="Q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142"/>
    </row>
    <row r="812" ht="17.25" customHeight="1">
      <c r="A812" s="1"/>
      <c r="B812" s="1"/>
      <c r="C812" s="1"/>
      <c r="D812" s="1"/>
      <c r="E812" s="1"/>
      <c r="F812" s="1"/>
      <c r="Q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142"/>
    </row>
    <row r="813" ht="17.25" customHeight="1">
      <c r="A813" s="1"/>
      <c r="B813" s="1"/>
      <c r="C813" s="1"/>
      <c r="D813" s="1"/>
      <c r="E813" s="1"/>
      <c r="F813" s="1"/>
      <c r="Q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142"/>
    </row>
    <row r="814" ht="17.25" customHeight="1">
      <c r="A814" s="1"/>
      <c r="B814" s="1"/>
      <c r="C814" s="1"/>
      <c r="D814" s="1"/>
      <c r="E814" s="1"/>
      <c r="F814" s="1"/>
      <c r="Q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142"/>
    </row>
    <row r="815" ht="17.25" customHeight="1">
      <c r="A815" s="1"/>
      <c r="B815" s="1"/>
      <c r="C815" s="1"/>
      <c r="D815" s="1"/>
      <c r="E815" s="1"/>
      <c r="F815" s="1"/>
      <c r="Q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142"/>
    </row>
    <row r="816" ht="17.25" customHeight="1">
      <c r="A816" s="1"/>
      <c r="B816" s="1"/>
      <c r="C816" s="1"/>
      <c r="D816" s="1"/>
      <c r="E816" s="1"/>
      <c r="F816" s="1"/>
      <c r="Q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142"/>
    </row>
    <row r="817" ht="17.25" customHeight="1">
      <c r="A817" s="1"/>
      <c r="B817" s="1"/>
      <c r="C817" s="1"/>
      <c r="D817" s="1"/>
      <c r="E817" s="1"/>
      <c r="F817" s="1"/>
      <c r="Q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142"/>
    </row>
    <row r="818" ht="17.25" customHeight="1">
      <c r="A818" s="1"/>
      <c r="B818" s="1"/>
      <c r="C818" s="1"/>
      <c r="D818" s="1"/>
      <c r="E818" s="1"/>
      <c r="F818" s="1"/>
      <c r="Q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142"/>
    </row>
    <row r="819" ht="17.25" customHeight="1">
      <c r="A819" s="1"/>
      <c r="B819" s="1"/>
      <c r="C819" s="1"/>
      <c r="D819" s="1"/>
      <c r="E819" s="1"/>
      <c r="F819" s="1"/>
      <c r="Q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142"/>
    </row>
    <row r="820" ht="17.25" customHeight="1">
      <c r="A820" s="1"/>
      <c r="B820" s="1"/>
      <c r="C820" s="1"/>
      <c r="D820" s="1"/>
      <c r="E820" s="1"/>
      <c r="F820" s="1"/>
      <c r="Q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142"/>
    </row>
    <row r="821" ht="17.25" customHeight="1">
      <c r="A821" s="1"/>
      <c r="B821" s="1"/>
      <c r="C821" s="1"/>
      <c r="D821" s="1"/>
      <c r="E821" s="1"/>
      <c r="F821" s="1"/>
      <c r="Q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142"/>
    </row>
    <row r="822" ht="17.25" customHeight="1">
      <c r="A822" s="1"/>
      <c r="B822" s="1"/>
      <c r="C822" s="1"/>
      <c r="D822" s="1"/>
      <c r="E822" s="1"/>
      <c r="F822" s="1"/>
      <c r="Q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142"/>
    </row>
    <row r="823" ht="17.25" customHeight="1">
      <c r="A823" s="1"/>
      <c r="B823" s="1"/>
      <c r="C823" s="1"/>
      <c r="D823" s="1"/>
      <c r="E823" s="1"/>
      <c r="F823" s="1"/>
      <c r="Q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142"/>
    </row>
    <row r="824" ht="17.25" customHeight="1">
      <c r="A824" s="1"/>
      <c r="B824" s="1"/>
      <c r="C824" s="1"/>
      <c r="D824" s="1"/>
      <c r="E824" s="1"/>
      <c r="F824" s="1"/>
      <c r="Q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142"/>
    </row>
    <row r="825" ht="17.25" customHeight="1">
      <c r="A825" s="1"/>
      <c r="B825" s="1"/>
      <c r="C825" s="1"/>
      <c r="D825" s="1"/>
      <c r="E825" s="1"/>
      <c r="F825" s="1"/>
      <c r="Q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142"/>
    </row>
    <row r="826" ht="17.25" customHeight="1">
      <c r="A826" s="1"/>
      <c r="B826" s="1"/>
      <c r="C826" s="1"/>
      <c r="D826" s="1"/>
      <c r="E826" s="1"/>
      <c r="F826" s="1"/>
      <c r="Q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142"/>
    </row>
    <row r="827" ht="17.25" customHeight="1">
      <c r="A827" s="1"/>
      <c r="B827" s="1"/>
      <c r="C827" s="1"/>
      <c r="D827" s="1"/>
      <c r="E827" s="1"/>
      <c r="F827" s="1"/>
      <c r="Q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142"/>
    </row>
    <row r="828" ht="17.25" customHeight="1">
      <c r="A828" s="1"/>
      <c r="B828" s="1"/>
      <c r="C828" s="1"/>
      <c r="D828" s="1"/>
      <c r="E828" s="1"/>
      <c r="F828" s="1"/>
      <c r="Q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142"/>
    </row>
    <row r="829" ht="17.25" customHeight="1">
      <c r="A829" s="1"/>
      <c r="B829" s="1"/>
      <c r="C829" s="1"/>
      <c r="D829" s="1"/>
      <c r="E829" s="1"/>
      <c r="F829" s="1"/>
      <c r="Q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142"/>
    </row>
    <row r="830" ht="17.25" customHeight="1">
      <c r="A830" s="1"/>
      <c r="B830" s="1"/>
      <c r="C830" s="1"/>
      <c r="D830" s="1"/>
      <c r="E830" s="1"/>
      <c r="F830" s="1"/>
      <c r="Q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142"/>
    </row>
    <row r="831" ht="17.25" customHeight="1">
      <c r="A831" s="1"/>
      <c r="B831" s="1"/>
      <c r="C831" s="1"/>
      <c r="D831" s="1"/>
      <c r="E831" s="1"/>
      <c r="F831" s="1"/>
      <c r="Q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142"/>
    </row>
    <row r="832" ht="17.25" customHeight="1">
      <c r="A832" s="1"/>
      <c r="B832" s="1"/>
      <c r="C832" s="1"/>
      <c r="D832" s="1"/>
      <c r="E832" s="1"/>
      <c r="F832" s="1"/>
      <c r="Q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142"/>
    </row>
    <row r="833" ht="17.25" customHeight="1">
      <c r="A833" s="1"/>
      <c r="B833" s="1"/>
      <c r="C833" s="1"/>
      <c r="D833" s="1"/>
      <c r="E833" s="1"/>
      <c r="F833" s="1"/>
      <c r="Q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142"/>
    </row>
    <row r="834" ht="17.25" customHeight="1">
      <c r="A834" s="1"/>
      <c r="B834" s="1"/>
      <c r="C834" s="1"/>
      <c r="D834" s="1"/>
      <c r="E834" s="1"/>
      <c r="F834" s="1"/>
      <c r="Q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142"/>
    </row>
    <row r="835" ht="17.25" customHeight="1">
      <c r="A835" s="1"/>
      <c r="B835" s="1"/>
      <c r="C835" s="1"/>
      <c r="D835" s="1"/>
      <c r="E835" s="1"/>
      <c r="F835" s="1"/>
      <c r="Q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142"/>
    </row>
    <row r="836" ht="17.25" customHeight="1">
      <c r="A836" s="1"/>
      <c r="B836" s="1"/>
      <c r="C836" s="1"/>
      <c r="D836" s="1"/>
      <c r="E836" s="1"/>
      <c r="F836" s="1"/>
      <c r="Q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142"/>
    </row>
    <row r="837" ht="17.25" customHeight="1">
      <c r="A837" s="1"/>
      <c r="B837" s="1"/>
      <c r="C837" s="1"/>
      <c r="D837" s="1"/>
      <c r="E837" s="1"/>
      <c r="F837" s="1"/>
      <c r="Q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142"/>
    </row>
    <row r="838" ht="17.25" customHeight="1">
      <c r="A838" s="1"/>
      <c r="B838" s="1"/>
      <c r="C838" s="1"/>
      <c r="D838" s="1"/>
      <c r="E838" s="1"/>
      <c r="F838" s="1"/>
      <c r="Q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142"/>
    </row>
    <row r="839" ht="17.25" customHeight="1">
      <c r="A839" s="1"/>
      <c r="B839" s="1"/>
      <c r="C839" s="1"/>
      <c r="D839" s="1"/>
      <c r="E839" s="1"/>
      <c r="F839" s="1"/>
      <c r="Q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142"/>
    </row>
    <row r="840" ht="17.25" customHeight="1">
      <c r="A840" s="1"/>
      <c r="B840" s="1"/>
      <c r="C840" s="1"/>
      <c r="D840" s="1"/>
      <c r="E840" s="1"/>
      <c r="F840" s="1"/>
      <c r="Q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142"/>
    </row>
    <row r="841" ht="17.25" customHeight="1">
      <c r="A841" s="1"/>
      <c r="B841" s="1"/>
      <c r="C841" s="1"/>
      <c r="D841" s="1"/>
      <c r="E841" s="1"/>
      <c r="F841" s="1"/>
      <c r="Q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142"/>
    </row>
    <row r="842" ht="17.25" customHeight="1">
      <c r="A842" s="1"/>
      <c r="B842" s="1"/>
      <c r="C842" s="1"/>
      <c r="D842" s="1"/>
      <c r="E842" s="1"/>
      <c r="F842" s="1"/>
      <c r="Q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142"/>
    </row>
    <row r="843" ht="17.25" customHeight="1">
      <c r="A843" s="1"/>
      <c r="B843" s="1"/>
      <c r="C843" s="1"/>
      <c r="D843" s="1"/>
      <c r="E843" s="1"/>
      <c r="F843" s="1"/>
      <c r="Q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142"/>
    </row>
    <row r="844" ht="17.25" customHeight="1">
      <c r="A844" s="1"/>
      <c r="B844" s="1"/>
      <c r="C844" s="1"/>
      <c r="D844" s="1"/>
      <c r="E844" s="1"/>
      <c r="F844" s="1"/>
      <c r="Q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142"/>
    </row>
    <row r="845" ht="17.25" customHeight="1">
      <c r="A845" s="1"/>
      <c r="B845" s="1"/>
      <c r="C845" s="1"/>
      <c r="D845" s="1"/>
      <c r="E845" s="1"/>
      <c r="F845" s="1"/>
      <c r="Q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142"/>
    </row>
    <row r="846" ht="17.25" customHeight="1">
      <c r="A846" s="1"/>
      <c r="B846" s="1"/>
      <c r="C846" s="1"/>
      <c r="D846" s="1"/>
      <c r="E846" s="1"/>
      <c r="F846" s="1"/>
      <c r="Q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142"/>
    </row>
    <row r="847" ht="17.25" customHeight="1">
      <c r="A847" s="1"/>
      <c r="B847" s="1"/>
      <c r="C847" s="1"/>
      <c r="D847" s="1"/>
      <c r="E847" s="1"/>
      <c r="F847" s="1"/>
      <c r="Q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142"/>
    </row>
    <row r="848" ht="17.25" customHeight="1">
      <c r="A848" s="1"/>
      <c r="B848" s="1"/>
      <c r="C848" s="1"/>
      <c r="D848" s="1"/>
      <c r="E848" s="1"/>
      <c r="F848" s="1"/>
      <c r="Q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142"/>
    </row>
    <row r="849" ht="17.25" customHeight="1">
      <c r="A849" s="1"/>
      <c r="B849" s="1"/>
      <c r="C849" s="1"/>
      <c r="D849" s="1"/>
      <c r="E849" s="1"/>
      <c r="F849" s="1"/>
      <c r="Q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142"/>
    </row>
    <row r="850" ht="17.25" customHeight="1">
      <c r="A850" s="1"/>
      <c r="B850" s="1"/>
      <c r="C850" s="1"/>
      <c r="D850" s="1"/>
      <c r="E850" s="1"/>
      <c r="F850" s="1"/>
      <c r="Q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142"/>
    </row>
    <row r="851" ht="17.25" customHeight="1">
      <c r="A851" s="1"/>
      <c r="B851" s="1"/>
      <c r="C851" s="1"/>
      <c r="D851" s="1"/>
      <c r="E851" s="1"/>
      <c r="F851" s="1"/>
      <c r="Q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142"/>
    </row>
    <row r="852" ht="17.25" customHeight="1">
      <c r="A852" s="1"/>
      <c r="B852" s="1"/>
      <c r="C852" s="1"/>
      <c r="D852" s="1"/>
      <c r="E852" s="1"/>
      <c r="F852" s="1"/>
      <c r="Q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142"/>
    </row>
    <row r="853" ht="17.25" customHeight="1">
      <c r="A853" s="1"/>
      <c r="B853" s="1"/>
      <c r="C853" s="1"/>
      <c r="D853" s="1"/>
      <c r="E853" s="1"/>
      <c r="F853" s="1"/>
      <c r="Q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142"/>
    </row>
    <row r="854" ht="17.25" customHeight="1">
      <c r="A854" s="1"/>
      <c r="B854" s="1"/>
      <c r="C854" s="1"/>
      <c r="D854" s="1"/>
      <c r="E854" s="1"/>
      <c r="F854" s="1"/>
      <c r="Q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142"/>
    </row>
    <row r="855" ht="17.25" customHeight="1">
      <c r="A855" s="1"/>
      <c r="B855" s="1"/>
      <c r="C855" s="1"/>
      <c r="D855" s="1"/>
      <c r="E855" s="1"/>
      <c r="F855" s="1"/>
      <c r="Q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142"/>
    </row>
    <row r="856" ht="17.25" customHeight="1">
      <c r="A856" s="1"/>
      <c r="B856" s="1"/>
      <c r="C856" s="1"/>
      <c r="D856" s="1"/>
      <c r="E856" s="1"/>
      <c r="F856" s="1"/>
      <c r="Q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142"/>
    </row>
    <row r="857" ht="17.25" customHeight="1">
      <c r="A857" s="1"/>
      <c r="B857" s="1"/>
      <c r="C857" s="1"/>
      <c r="D857" s="1"/>
      <c r="E857" s="1"/>
      <c r="F857" s="1"/>
      <c r="Q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142"/>
    </row>
    <row r="858" ht="17.25" customHeight="1">
      <c r="A858" s="1"/>
      <c r="B858" s="1"/>
      <c r="C858" s="1"/>
      <c r="D858" s="1"/>
      <c r="E858" s="1"/>
      <c r="F858" s="1"/>
      <c r="Q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142"/>
    </row>
    <row r="859" ht="17.25" customHeight="1">
      <c r="A859" s="1"/>
      <c r="B859" s="1"/>
      <c r="C859" s="1"/>
      <c r="D859" s="1"/>
      <c r="E859" s="1"/>
      <c r="F859" s="1"/>
      <c r="Q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142"/>
    </row>
    <row r="860" ht="17.25" customHeight="1">
      <c r="A860" s="1"/>
      <c r="B860" s="1"/>
      <c r="C860" s="1"/>
      <c r="D860" s="1"/>
      <c r="E860" s="1"/>
      <c r="F860" s="1"/>
      <c r="Q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142"/>
    </row>
    <row r="861" ht="17.25" customHeight="1">
      <c r="A861" s="1"/>
      <c r="B861" s="1"/>
      <c r="C861" s="1"/>
      <c r="D861" s="1"/>
      <c r="E861" s="1"/>
      <c r="F861" s="1"/>
      <c r="Q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142"/>
    </row>
    <row r="862" ht="17.25" customHeight="1">
      <c r="A862" s="1"/>
      <c r="B862" s="1"/>
      <c r="C862" s="1"/>
      <c r="D862" s="1"/>
      <c r="E862" s="1"/>
      <c r="F862" s="1"/>
      <c r="Q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142"/>
    </row>
    <row r="863" ht="17.25" customHeight="1">
      <c r="A863" s="1"/>
      <c r="B863" s="1"/>
      <c r="C863" s="1"/>
      <c r="D863" s="1"/>
      <c r="E863" s="1"/>
      <c r="F863" s="1"/>
      <c r="Q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142"/>
    </row>
    <row r="864" ht="17.25" customHeight="1">
      <c r="A864" s="1"/>
      <c r="B864" s="1"/>
      <c r="C864" s="1"/>
      <c r="D864" s="1"/>
      <c r="E864" s="1"/>
      <c r="F864" s="1"/>
      <c r="Q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142"/>
    </row>
    <row r="865" ht="17.25" customHeight="1">
      <c r="A865" s="1"/>
      <c r="B865" s="1"/>
      <c r="C865" s="1"/>
      <c r="D865" s="1"/>
      <c r="E865" s="1"/>
      <c r="F865" s="1"/>
      <c r="Q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142"/>
    </row>
    <row r="866" ht="17.25" customHeight="1">
      <c r="A866" s="1"/>
      <c r="B866" s="1"/>
      <c r="C866" s="1"/>
      <c r="D866" s="1"/>
      <c r="E866" s="1"/>
      <c r="F866" s="1"/>
      <c r="Q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142"/>
    </row>
    <row r="867" ht="17.25" customHeight="1">
      <c r="A867" s="1"/>
      <c r="B867" s="1"/>
      <c r="C867" s="1"/>
      <c r="D867" s="1"/>
      <c r="E867" s="1"/>
      <c r="F867" s="1"/>
      <c r="Q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142"/>
    </row>
    <row r="868" ht="17.25" customHeight="1">
      <c r="A868" s="1"/>
      <c r="B868" s="1"/>
      <c r="C868" s="1"/>
      <c r="D868" s="1"/>
      <c r="E868" s="1"/>
      <c r="F868" s="1"/>
      <c r="Q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142"/>
    </row>
    <row r="869" ht="17.25" customHeight="1">
      <c r="A869" s="1"/>
      <c r="B869" s="1"/>
      <c r="C869" s="1"/>
      <c r="D869" s="1"/>
      <c r="E869" s="1"/>
      <c r="F869" s="1"/>
      <c r="Q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142"/>
    </row>
    <row r="870" ht="17.25" customHeight="1">
      <c r="A870" s="1"/>
      <c r="B870" s="1"/>
      <c r="C870" s="1"/>
      <c r="D870" s="1"/>
      <c r="E870" s="1"/>
      <c r="F870" s="1"/>
      <c r="Q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142"/>
    </row>
    <row r="871" ht="17.25" customHeight="1">
      <c r="A871" s="1"/>
      <c r="B871" s="1"/>
      <c r="C871" s="1"/>
      <c r="D871" s="1"/>
      <c r="E871" s="1"/>
      <c r="F871" s="1"/>
      <c r="Q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142"/>
    </row>
    <row r="872" ht="17.25" customHeight="1">
      <c r="A872" s="1"/>
      <c r="B872" s="1"/>
      <c r="C872" s="1"/>
      <c r="D872" s="1"/>
      <c r="E872" s="1"/>
      <c r="F872" s="1"/>
      <c r="Q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142"/>
    </row>
    <row r="873" ht="17.25" customHeight="1">
      <c r="A873" s="1"/>
      <c r="B873" s="1"/>
      <c r="C873" s="1"/>
      <c r="D873" s="1"/>
      <c r="E873" s="1"/>
      <c r="F873" s="1"/>
      <c r="Q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142"/>
    </row>
    <row r="874" ht="17.25" customHeight="1">
      <c r="A874" s="1"/>
      <c r="B874" s="1"/>
      <c r="C874" s="1"/>
      <c r="D874" s="1"/>
      <c r="E874" s="1"/>
      <c r="F874" s="1"/>
      <c r="Q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142"/>
    </row>
    <row r="875" ht="17.25" customHeight="1">
      <c r="A875" s="1"/>
      <c r="B875" s="1"/>
      <c r="C875" s="1"/>
      <c r="D875" s="1"/>
      <c r="E875" s="1"/>
      <c r="F875" s="1"/>
      <c r="Q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142"/>
    </row>
    <row r="876" ht="17.25" customHeight="1">
      <c r="A876" s="1"/>
      <c r="B876" s="1"/>
      <c r="C876" s="1"/>
      <c r="D876" s="1"/>
      <c r="E876" s="1"/>
      <c r="F876" s="1"/>
      <c r="Q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142"/>
    </row>
    <row r="877" ht="17.25" customHeight="1">
      <c r="A877" s="1"/>
      <c r="B877" s="1"/>
      <c r="C877" s="1"/>
      <c r="D877" s="1"/>
      <c r="E877" s="1"/>
      <c r="F877" s="1"/>
      <c r="Q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142"/>
    </row>
    <row r="878" ht="17.25" customHeight="1">
      <c r="A878" s="1"/>
      <c r="B878" s="1"/>
      <c r="C878" s="1"/>
      <c r="D878" s="1"/>
      <c r="E878" s="1"/>
      <c r="F878" s="1"/>
      <c r="Q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142"/>
    </row>
    <row r="879" ht="17.25" customHeight="1">
      <c r="A879" s="1"/>
      <c r="B879" s="1"/>
      <c r="C879" s="1"/>
      <c r="D879" s="1"/>
      <c r="E879" s="1"/>
      <c r="F879" s="1"/>
      <c r="Q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142"/>
    </row>
    <row r="880" ht="17.25" customHeight="1">
      <c r="A880" s="1"/>
      <c r="B880" s="1"/>
      <c r="C880" s="1"/>
      <c r="D880" s="1"/>
      <c r="E880" s="1"/>
      <c r="F880" s="1"/>
      <c r="Q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142"/>
    </row>
    <row r="881" ht="17.25" customHeight="1">
      <c r="A881" s="1"/>
      <c r="B881" s="1"/>
      <c r="C881" s="1"/>
      <c r="D881" s="1"/>
      <c r="E881" s="1"/>
      <c r="F881" s="1"/>
      <c r="Q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142"/>
    </row>
    <row r="882" ht="17.25" customHeight="1">
      <c r="A882" s="1"/>
      <c r="B882" s="1"/>
      <c r="C882" s="1"/>
      <c r="D882" s="1"/>
      <c r="E882" s="1"/>
      <c r="F882" s="1"/>
      <c r="Q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142"/>
    </row>
    <row r="883" ht="17.25" customHeight="1">
      <c r="A883" s="1"/>
      <c r="B883" s="1"/>
      <c r="C883" s="1"/>
      <c r="D883" s="1"/>
      <c r="E883" s="1"/>
      <c r="F883" s="1"/>
      <c r="Q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142"/>
    </row>
    <row r="884" ht="17.25" customHeight="1">
      <c r="A884" s="1"/>
      <c r="B884" s="1"/>
      <c r="C884" s="1"/>
      <c r="D884" s="1"/>
      <c r="E884" s="1"/>
      <c r="F884" s="1"/>
      <c r="Q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142"/>
    </row>
    <row r="885" ht="17.25" customHeight="1">
      <c r="A885" s="1"/>
      <c r="B885" s="1"/>
      <c r="C885" s="1"/>
      <c r="D885" s="1"/>
      <c r="E885" s="1"/>
      <c r="F885" s="1"/>
      <c r="Q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142"/>
    </row>
    <row r="886" ht="17.25" customHeight="1">
      <c r="A886" s="1"/>
      <c r="B886" s="1"/>
      <c r="C886" s="1"/>
      <c r="D886" s="1"/>
      <c r="E886" s="1"/>
      <c r="F886" s="1"/>
      <c r="Q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142"/>
    </row>
    <row r="887" ht="17.25" customHeight="1">
      <c r="A887" s="1"/>
      <c r="B887" s="1"/>
      <c r="C887" s="1"/>
      <c r="D887" s="1"/>
      <c r="E887" s="1"/>
      <c r="F887" s="1"/>
      <c r="Q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142"/>
    </row>
    <row r="888" ht="17.25" customHeight="1">
      <c r="A888" s="1"/>
      <c r="B888" s="1"/>
      <c r="C888" s="1"/>
      <c r="D888" s="1"/>
      <c r="E888" s="1"/>
      <c r="F888" s="1"/>
      <c r="Q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142"/>
    </row>
    <row r="889" ht="17.25" customHeight="1">
      <c r="A889" s="1"/>
      <c r="B889" s="1"/>
      <c r="C889" s="1"/>
      <c r="D889" s="1"/>
      <c r="E889" s="1"/>
      <c r="F889" s="1"/>
      <c r="Q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142"/>
    </row>
    <row r="890" ht="17.25" customHeight="1">
      <c r="A890" s="1"/>
      <c r="B890" s="1"/>
      <c r="C890" s="1"/>
      <c r="D890" s="1"/>
      <c r="E890" s="1"/>
      <c r="F890" s="1"/>
      <c r="Q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142"/>
    </row>
    <row r="891" ht="17.25" customHeight="1">
      <c r="A891" s="1"/>
      <c r="B891" s="1"/>
      <c r="C891" s="1"/>
      <c r="D891" s="1"/>
      <c r="E891" s="1"/>
      <c r="F891" s="1"/>
      <c r="Q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142"/>
    </row>
    <row r="892" ht="17.25" customHeight="1">
      <c r="A892" s="1"/>
      <c r="B892" s="1"/>
      <c r="C892" s="1"/>
      <c r="D892" s="1"/>
      <c r="E892" s="1"/>
      <c r="F892" s="1"/>
      <c r="Q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142"/>
    </row>
    <row r="893" ht="17.25" customHeight="1">
      <c r="A893" s="1"/>
      <c r="B893" s="1"/>
      <c r="C893" s="1"/>
      <c r="D893" s="1"/>
      <c r="E893" s="1"/>
      <c r="F893" s="1"/>
      <c r="Q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142"/>
    </row>
    <row r="894" ht="17.25" customHeight="1">
      <c r="A894" s="1"/>
      <c r="B894" s="1"/>
      <c r="C894" s="1"/>
      <c r="D894" s="1"/>
      <c r="E894" s="1"/>
      <c r="F894" s="1"/>
      <c r="Q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142"/>
    </row>
    <row r="895" ht="17.25" customHeight="1">
      <c r="A895" s="1"/>
      <c r="B895" s="1"/>
      <c r="C895" s="1"/>
      <c r="D895" s="1"/>
      <c r="E895" s="1"/>
      <c r="F895" s="1"/>
      <c r="Q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142"/>
    </row>
    <row r="896" ht="17.25" customHeight="1">
      <c r="A896" s="1"/>
      <c r="B896" s="1"/>
      <c r="C896" s="1"/>
      <c r="D896" s="1"/>
      <c r="E896" s="1"/>
      <c r="F896" s="1"/>
      <c r="Q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142"/>
    </row>
    <row r="897" ht="17.25" customHeight="1">
      <c r="A897" s="1"/>
      <c r="B897" s="1"/>
      <c r="C897" s="1"/>
      <c r="D897" s="1"/>
      <c r="E897" s="1"/>
      <c r="F897" s="1"/>
      <c r="Q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142"/>
    </row>
    <row r="898" ht="17.25" customHeight="1">
      <c r="A898" s="1"/>
      <c r="B898" s="1"/>
      <c r="C898" s="1"/>
      <c r="D898" s="1"/>
      <c r="E898" s="1"/>
      <c r="F898" s="1"/>
      <c r="Q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142"/>
    </row>
    <row r="899" ht="17.25" customHeight="1">
      <c r="A899" s="1"/>
      <c r="B899" s="1"/>
      <c r="C899" s="1"/>
      <c r="D899" s="1"/>
      <c r="E899" s="1"/>
      <c r="F899" s="1"/>
      <c r="Q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142"/>
    </row>
    <row r="900" ht="17.25" customHeight="1">
      <c r="A900" s="1"/>
      <c r="B900" s="1"/>
      <c r="C900" s="1"/>
      <c r="D900" s="1"/>
      <c r="E900" s="1"/>
      <c r="F900" s="1"/>
      <c r="Q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142"/>
    </row>
    <row r="901" ht="17.25" customHeight="1">
      <c r="A901" s="1"/>
      <c r="B901" s="1"/>
      <c r="C901" s="1"/>
      <c r="D901" s="1"/>
      <c r="E901" s="1"/>
      <c r="F901" s="1"/>
      <c r="Q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142"/>
    </row>
    <row r="902" ht="17.25" customHeight="1">
      <c r="A902" s="1"/>
      <c r="B902" s="1"/>
      <c r="C902" s="1"/>
      <c r="D902" s="1"/>
      <c r="E902" s="1"/>
      <c r="F902" s="1"/>
      <c r="Q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142"/>
    </row>
    <row r="903" ht="17.25" customHeight="1">
      <c r="A903" s="1"/>
      <c r="B903" s="1"/>
      <c r="C903" s="1"/>
      <c r="D903" s="1"/>
      <c r="E903" s="1"/>
      <c r="F903" s="1"/>
      <c r="Q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142"/>
    </row>
    <row r="904" ht="17.25" customHeight="1">
      <c r="A904" s="1"/>
      <c r="B904" s="1"/>
      <c r="C904" s="1"/>
      <c r="D904" s="1"/>
      <c r="E904" s="1"/>
      <c r="F904" s="1"/>
      <c r="Q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142"/>
    </row>
    <row r="905" ht="17.25" customHeight="1">
      <c r="A905" s="1"/>
      <c r="B905" s="1"/>
      <c r="C905" s="1"/>
      <c r="D905" s="1"/>
      <c r="E905" s="1"/>
      <c r="F905" s="1"/>
      <c r="Q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142"/>
    </row>
    <row r="906" ht="17.25" customHeight="1">
      <c r="A906" s="1"/>
      <c r="B906" s="1"/>
      <c r="C906" s="1"/>
      <c r="D906" s="1"/>
      <c r="E906" s="1"/>
      <c r="F906" s="1"/>
      <c r="Q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142"/>
    </row>
    <row r="907" ht="17.25" customHeight="1">
      <c r="A907" s="1"/>
      <c r="B907" s="1"/>
      <c r="C907" s="1"/>
      <c r="D907" s="1"/>
      <c r="E907" s="1"/>
      <c r="F907" s="1"/>
      <c r="Q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142"/>
    </row>
    <row r="908" ht="17.25" customHeight="1">
      <c r="A908" s="1"/>
      <c r="B908" s="1"/>
      <c r="C908" s="1"/>
      <c r="D908" s="1"/>
      <c r="E908" s="1"/>
      <c r="F908" s="1"/>
      <c r="Q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142"/>
    </row>
    <row r="909" ht="17.25" customHeight="1">
      <c r="A909" s="1"/>
      <c r="B909" s="1"/>
      <c r="C909" s="1"/>
      <c r="D909" s="1"/>
      <c r="E909" s="1"/>
      <c r="F909" s="1"/>
      <c r="Q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142"/>
    </row>
    <row r="910" ht="17.25" customHeight="1">
      <c r="A910" s="1"/>
      <c r="B910" s="1"/>
      <c r="C910" s="1"/>
      <c r="D910" s="1"/>
      <c r="E910" s="1"/>
      <c r="F910" s="1"/>
      <c r="Q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142"/>
    </row>
    <row r="911" ht="17.25" customHeight="1">
      <c r="A911" s="1"/>
      <c r="B911" s="1"/>
      <c r="C911" s="1"/>
      <c r="D911" s="1"/>
      <c r="E911" s="1"/>
      <c r="F911" s="1"/>
      <c r="Q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142"/>
    </row>
    <row r="912" ht="17.25" customHeight="1">
      <c r="A912" s="1"/>
      <c r="B912" s="1"/>
      <c r="C912" s="1"/>
      <c r="D912" s="1"/>
      <c r="E912" s="1"/>
      <c r="F912" s="1"/>
      <c r="Q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142"/>
    </row>
    <row r="913" ht="17.25" customHeight="1">
      <c r="A913" s="1"/>
      <c r="B913" s="1"/>
      <c r="C913" s="1"/>
      <c r="D913" s="1"/>
      <c r="E913" s="1"/>
      <c r="F913" s="1"/>
      <c r="Q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142"/>
    </row>
    <row r="914" ht="17.25" customHeight="1">
      <c r="A914" s="1"/>
      <c r="B914" s="1"/>
      <c r="C914" s="1"/>
      <c r="D914" s="1"/>
      <c r="E914" s="1"/>
      <c r="F914" s="1"/>
      <c r="Q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142"/>
    </row>
    <row r="915" ht="17.25" customHeight="1">
      <c r="A915" s="1"/>
      <c r="B915" s="1"/>
      <c r="C915" s="1"/>
      <c r="D915" s="1"/>
      <c r="E915" s="1"/>
      <c r="F915" s="1"/>
      <c r="Q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142"/>
    </row>
    <row r="916" ht="17.25" customHeight="1">
      <c r="A916" s="1"/>
      <c r="B916" s="1"/>
      <c r="C916" s="1"/>
      <c r="D916" s="1"/>
      <c r="E916" s="1"/>
      <c r="F916" s="1"/>
      <c r="Q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142"/>
    </row>
    <row r="917" ht="17.25" customHeight="1">
      <c r="A917" s="1"/>
      <c r="B917" s="1"/>
      <c r="C917" s="1"/>
      <c r="D917" s="1"/>
      <c r="E917" s="1"/>
      <c r="F917" s="1"/>
      <c r="Q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142"/>
    </row>
    <row r="918" ht="17.25" customHeight="1">
      <c r="A918" s="1"/>
      <c r="B918" s="1"/>
      <c r="C918" s="1"/>
      <c r="D918" s="1"/>
      <c r="E918" s="1"/>
      <c r="F918" s="1"/>
      <c r="Q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142"/>
    </row>
    <row r="919" ht="17.25" customHeight="1">
      <c r="A919" s="1"/>
      <c r="B919" s="1"/>
      <c r="C919" s="1"/>
      <c r="D919" s="1"/>
      <c r="E919" s="1"/>
      <c r="F919" s="1"/>
      <c r="Q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142"/>
    </row>
    <row r="920" ht="17.25" customHeight="1">
      <c r="A920" s="1"/>
      <c r="B920" s="1"/>
      <c r="C920" s="1"/>
      <c r="D920" s="1"/>
      <c r="E920" s="1"/>
      <c r="F920" s="1"/>
      <c r="Q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142"/>
    </row>
    <row r="921" ht="17.25" customHeight="1">
      <c r="A921" s="1"/>
      <c r="B921" s="1"/>
      <c r="C921" s="1"/>
      <c r="D921" s="1"/>
      <c r="E921" s="1"/>
      <c r="F921" s="1"/>
      <c r="Q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142"/>
    </row>
    <row r="922" ht="17.25" customHeight="1">
      <c r="A922" s="1"/>
      <c r="B922" s="1"/>
      <c r="C922" s="1"/>
      <c r="D922" s="1"/>
      <c r="E922" s="1"/>
      <c r="F922" s="1"/>
      <c r="Q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142"/>
    </row>
    <row r="923" ht="17.25" customHeight="1">
      <c r="A923" s="1"/>
      <c r="B923" s="1"/>
      <c r="C923" s="1"/>
      <c r="D923" s="1"/>
      <c r="E923" s="1"/>
      <c r="F923" s="1"/>
      <c r="Q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142"/>
    </row>
    <row r="924" ht="17.25" customHeight="1">
      <c r="A924" s="1"/>
      <c r="B924" s="1"/>
      <c r="C924" s="1"/>
      <c r="D924" s="1"/>
      <c r="E924" s="1"/>
      <c r="F924" s="1"/>
      <c r="Q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142"/>
    </row>
    <row r="925" ht="17.25" customHeight="1">
      <c r="A925" s="1"/>
      <c r="B925" s="1"/>
      <c r="C925" s="1"/>
      <c r="D925" s="1"/>
      <c r="E925" s="1"/>
      <c r="F925" s="1"/>
      <c r="Q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142"/>
    </row>
    <row r="926" ht="17.25" customHeight="1">
      <c r="A926" s="1"/>
      <c r="B926" s="1"/>
      <c r="C926" s="1"/>
      <c r="D926" s="1"/>
      <c r="E926" s="1"/>
      <c r="F926" s="1"/>
      <c r="Q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142"/>
    </row>
    <row r="927" ht="17.25" customHeight="1">
      <c r="A927" s="1"/>
      <c r="B927" s="1"/>
      <c r="C927" s="1"/>
      <c r="D927" s="1"/>
      <c r="E927" s="1"/>
      <c r="F927" s="1"/>
      <c r="Q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142"/>
    </row>
    <row r="928" ht="17.25" customHeight="1">
      <c r="A928" s="1"/>
      <c r="B928" s="1"/>
      <c r="C928" s="1"/>
      <c r="D928" s="1"/>
      <c r="E928" s="1"/>
      <c r="F928" s="1"/>
      <c r="Q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142"/>
    </row>
    <row r="929" ht="17.25" customHeight="1">
      <c r="A929" s="1"/>
      <c r="B929" s="1"/>
      <c r="C929" s="1"/>
      <c r="D929" s="1"/>
      <c r="E929" s="1"/>
      <c r="F929" s="1"/>
      <c r="Q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142"/>
    </row>
    <row r="930" ht="17.25" customHeight="1">
      <c r="A930" s="1"/>
      <c r="B930" s="1"/>
      <c r="C930" s="1"/>
      <c r="D930" s="1"/>
      <c r="E930" s="1"/>
      <c r="F930" s="1"/>
      <c r="Q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142"/>
    </row>
    <row r="931" ht="17.25" customHeight="1">
      <c r="A931" s="1"/>
      <c r="B931" s="1"/>
      <c r="C931" s="1"/>
      <c r="D931" s="1"/>
      <c r="E931" s="1"/>
      <c r="F931" s="1"/>
      <c r="Q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142"/>
    </row>
    <row r="932" ht="17.25" customHeight="1">
      <c r="A932" s="1"/>
      <c r="B932" s="1"/>
      <c r="C932" s="1"/>
      <c r="D932" s="1"/>
      <c r="E932" s="1"/>
      <c r="F932" s="1"/>
      <c r="Q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142"/>
    </row>
    <row r="933" ht="17.25" customHeight="1">
      <c r="A933" s="1"/>
      <c r="B933" s="1"/>
      <c r="C933" s="1"/>
      <c r="D933" s="1"/>
      <c r="E933" s="1"/>
      <c r="F933" s="1"/>
      <c r="Q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142"/>
    </row>
    <row r="934" ht="17.25" customHeight="1">
      <c r="A934" s="1"/>
      <c r="B934" s="1"/>
      <c r="C934" s="1"/>
      <c r="D934" s="1"/>
      <c r="E934" s="1"/>
      <c r="F934" s="1"/>
      <c r="Q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142"/>
    </row>
    <row r="935" ht="17.25" customHeight="1">
      <c r="A935" s="1"/>
      <c r="B935" s="1"/>
      <c r="C935" s="1"/>
      <c r="D935" s="1"/>
      <c r="E935" s="1"/>
      <c r="F935" s="1"/>
      <c r="Q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142"/>
    </row>
    <row r="936" ht="17.25" customHeight="1">
      <c r="A936" s="1"/>
      <c r="B936" s="1"/>
      <c r="C936" s="1"/>
      <c r="D936" s="1"/>
      <c r="E936" s="1"/>
      <c r="F936" s="1"/>
      <c r="Q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142"/>
    </row>
    <row r="937" ht="17.25" customHeight="1">
      <c r="A937" s="1"/>
      <c r="B937" s="1"/>
      <c r="C937" s="1"/>
      <c r="D937" s="1"/>
      <c r="E937" s="1"/>
      <c r="F937" s="1"/>
      <c r="Q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142"/>
    </row>
    <row r="938" ht="17.25" customHeight="1">
      <c r="A938" s="1"/>
      <c r="B938" s="1"/>
      <c r="C938" s="1"/>
      <c r="D938" s="1"/>
      <c r="E938" s="1"/>
      <c r="F938" s="1"/>
      <c r="Q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142"/>
    </row>
    <row r="939" ht="17.25" customHeight="1">
      <c r="A939" s="1"/>
      <c r="B939" s="1"/>
      <c r="C939" s="1"/>
      <c r="D939" s="1"/>
      <c r="E939" s="1"/>
      <c r="F939" s="1"/>
      <c r="Q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142"/>
    </row>
    <row r="940" ht="17.25" customHeight="1">
      <c r="A940" s="1"/>
      <c r="B940" s="1"/>
      <c r="C940" s="1"/>
      <c r="D940" s="1"/>
      <c r="E940" s="1"/>
      <c r="F940" s="1"/>
      <c r="Q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142"/>
    </row>
    <row r="941" ht="17.25" customHeight="1">
      <c r="A941" s="1"/>
      <c r="B941" s="1"/>
      <c r="C941" s="1"/>
      <c r="D941" s="1"/>
      <c r="E941" s="1"/>
      <c r="F941" s="1"/>
      <c r="Q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142"/>
    </row>
    <row r="942" ht="17.25" customHeight="1">
      <c r="A942" s="1"/>
      <c r="B942" s="1"/>
      <c r="C942" s="1"/>
      <c r="D942" s="1"/>
      <c r="E942" s="1"/>
      <c r="F942" s="1"/>
      <c r="Q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142"/>
    </row>
    <row r="943" ht="17.25" customHeight="1">
      <c r="A943" s="1"/>
      <c r="B943" s="1"/>
      <c r="C943" s="1"/>
      <c r="D943" s="1"/>
      <c r="E943" s="1"/>
      <c r="F943" s="1"/>
      <c r="Q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142"/>
    </row>
    <row r="944" ht="17.25" customHeight="1">
      <c r="A944" s="1"/>
      <c r="B944" s="1"/>
      <c r="C944" s="1"/>
      <c r="D944" s="1"/>
      <c r="E944" s="1"/>
      <c r="F944" s="1"/>
      <c r="Q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142"/>
    </row>
    <row r="945" ht="17.25" customHeight="1">
      <c r="A945" s="1"/>
      <c r="B945" s="1"/>
      <c r="C945" s="1"/>
      <c r="D945" s="1"/>
      <c r="E945" s="1"/>
      <c r="F945" s="1"/>
      <c r="Q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142"/>
    </row>
    <row r="946" ht="17.25" customHeight="1">
      <c r="A946" s="1"/>
      <c r="B946" s="1"/>
      <c r="C946" s="1"/>
      <c r="D946" s="1"/>
      <c r="E946" s="1"/>
      <c r="F946" s="1"/>
      <c r="Q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142"/>
    </row>
    <row r="947" ht="17.25" customHeight="1">
      <c r="A947" s="1"/>
      <c r="B947" s="1"/>
      <c r="C947" s="1"/>
      <c r="D947" s="1"/>
      <c r="E947" s="1"/>
      <c r="F947" s="1"/>
      <c r="Q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142"/>
    </row>
    <row r="948" ht="17.25" customHeight="1">
      <c r="A948" s="1"/>
      <c r="B948" s="1"/>
      <c r="C948" s="1"/>
      <c r="D948" s="1"/>
      <c r="E948" s="1"/>
      <c r="F948" s="1"/>
      <c r="Q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142"/>
    </row>
    <row r="949" ht="17.25" customHeight="1">
      <c r="A949" s="1"/>
      <c r="B949" s="1"/>
      <c r="C949" s="1"/>
      <c r="D949" s="1"/>
      <c r="E949" s="1"/>
      <c r="F949" s="1"/>
      <c r="Q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142"/>
    </row>
    <row r="950" ht="17.25" customHeight="1">
      <c r="A950" s="1"/>
      <c r="B950" s="1"/>
      <c r="C950" s="1"/>
      <c r="D950" s="1"/>
      <c r="E950" s="1"/>
      <c r="F950" s="1"/>
      <c r="Q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142"/>
    </row>
    <row r="951" ht="17.25" customHeight="1">
      <c r="A951" s="1"/>
      <c r="B951" s="1"/>
      <c r="C951" s="1"/>
      <c r="D951" s="1"/>
      <c r="E951" s="1"/>
      <c r="F951" s="1"/>
      <c r="Q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142"/>
    </row>
    <row r="952" ht="17.25" customHeight="1">
      <c r="A952" s="1"/>
      <c r="B952" s="1"/>
      <c r="C952" s="1"/>
      <c r="D952" s="1"/>
      <c r="E952" s="1"/>
      <c r="F952" s="1"/>
      <c r="Q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142"/>
    </row>
    <row r="953" ht="17.25" customHeight="1">
      <c r="A953" s="1"/>
      <c r="B953" s="1"/>
      <c r="C953" s="1"/>
      <c r="D953" s="1"/>
      <c r="E953" s="1"/>
      <c r="F953" s="1"/>
      <c r="Q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142"/>
    </row>
    <row r="954" ht="17.25" customHeight="1">
      <c r="A954" s="1"/>
      <c r="B954" s="1"/>
      <c r="C954" s="1"/>
      <c r="D954" s="1"/>
      <c r="E954" s="1"/>
      <c r="F954" s="1"/>
      <c r="Q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142"/>
    </row>
    <row r="955" ht="17.25" customHeight="1">
      <c r="A955" s="1"/>
      <c r="B955" s="1"/>
      <c r="C955" s="1"/>
      <c r="D955" s="1"/>
      <c r="E955" s="1"/>
      <c r="F955" s="1"/>
      <c r="Q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142"/>
    </row>
    <row r="956" ht="17.25" customHeight="1">
      <c r="A956" s="1"/>
      <c r="B956" s="1"/>
      <c r="C956" s="1"/>
      <c r="D956" s="1"/>
      <c r="E956" s="1"/>
      <c r="F956" s="1"/>
      <c r="Q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142"/>
    </row>
    <row r="957" ht="17.25" customHeight="1">
      <c r="A957" s="1"/>
      <c r="B957" s="1"/>
      <c r="C957" s="1"/>
      <c r="D957" s="1"/>
      <c r="E957" s="1"/>
      <c r="F957" s="1"/>
      <c r="Q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142"/>
    </row>
    <row r="958" ht="17.25" customHeight="1">
      <c r="A958" s="1"/>
      <c r="B958" s="1"/>
      <c r="C958" s="1"/>
      <c r="D958" s="1"/>
      <c r="E958" s="1"/>
      <c r="F958" s="1"/>
      <c r="Q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142"/>
    </row>
    <row r="959" ht="17.25" customHeight="1">
      <c r="A959" s="1"/>
      <c r="B959" s="1"/>
      <c r="C959" s="1"/>
      <c r="D959" s="1"/>
      <c r="E959" s="1"/>
      <c r="F959" s="1"/>
      <c r="Q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142"/>
    </row>
    <row r="960" ht="17.25" customHeight="1">
      <c r="A960" s="1"/>
      <c r="B960" s="1"/>
      <c r="C960" s="1"/>
      <c r="D960" s="1"/>
      <c r="E960" s="1"/>
      <c r="F960" s="1"/>
      <c r="Q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142"/>
    </row>
    <row r="961" ht="17.25" customHeight="1">
      <c r="A961" s="1"/>
      <c r="B961" s="1"/>
      <c r="C961" s="1"/>
      <c r="D961" s="1"/>
      <c r="E961" s="1"/>
      <c r="F961" s="1"/>
      <c r="Q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142"/>
    </row>
    <row r="962" ht="17.25" customHeight="1">
      <c r="A962" s="1"/>
      <c r="B962" s="1"/>
      <c r="C962" s="1"/>
      <c r="D962" s="1"/>
      <c r="E962" s="1"/>
      <c r="F962" s="1"/>
      <c r="Q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142"/>
    </row>
    <row r="963" ht="17.25" customHeight="1">
      <c r="A963" s="1"/>
      <c r="B963" s="1"/>
      <c r="C963" s="1"/>
      <c r="D963" s="1"/>
      <c r="E963" s="1"/>
      <c r="F963" s="1"/>
      <c r="Q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142"/>
    </row>
    <row r="964" ht="17.25" customHeight="1">
      <c r="A964" s="1"/>
      <c r="B964" s="1"/>
      <c r="C964" s="1"/>
      <c r="D964" s="1"/>
      <c r="E964" s="1"/>
      <c r="F964" s="1"/>
      <c r="Q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142"/>
    </row>
    <row r="965" ht="17.25" customHeight="1">
      <c r="A965" s="1"/>
      <c r="B965" s="1"/>
      <c r="C965" s="1"/>
      <c r="D965" s="1"/>
      <c r="E965" s="1"/>
      <c r="F965" s="1"/>
      <c r="Q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142"/>
    </row>
    <row r="966" ht="17.25" customHeight="1">
      <c r="A966" s="1"/>
      <c r="B966" s="1"/>
      <c r="C966" s="1"/>
      <c r="D966" s="1"/>
      <c r="E966" s="1"/>
      <c r="F966" s="1"/>
      <c r="Q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142"/>
    </row>
    <row r="967" ht="17.25" customHeight="1">
      <c r="A967" s="1"/>
      <c r="B967" s="1"/>
      <c r="C967" s="1"/>
      <c r="D967" s="1"/>
      <c r="E967" s="1"/>
      <c r="F967" s="1"/>
      <c r="Q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142"/>
    </row>
    <row r="968" ht="17.25" customHeight="1">
      <c r="A968" s="1"/>
      <c r="B968" s="1"/>
      <c r="C968" s="1"/>
      <c r="D968" s="1"/>
      <c r="E968" s="1"/>
      <c r="F968" s="1"/>
      <c r="Q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142"/>
    </row>
    <row r="969" ht="17.25" customHeight="1">
      <c r="A969" s="1"/>
      <c r="B969" s="1"/>
      <c r="C969" s="1"/>
      <c r="D969" s="1"/>
      <c r="E969" s="1"/>
      <c r="F969" s="1"/>
      <c r="Q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142"/>
    </row>
    <row r="970" ht="17.25" customHeight="1">
      <c r="A970" s="1"/>
      <c r="B970" s="1"/>
      <c r="C970" s="1"/>
      <c r="D970" s="1"/>
      <c r="E970" s="1"/>
      <c r="F970" s="1"/>
      <c r="Q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142"/>
    </row>
    <row r="971" ht="17.25" customHeight="1">
      <c r="A971" s="1"/>
      <c r="B971" s="1"/>
      <c r="C971" s="1"/>
      <c r="D971" s="1"/>
      <c r="E971" s="1"/>
      <c r="F971" s="1"/>
      <c r="Q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142"/>
    </row>
    <row r="972" ht="17.25" customHeight="1">
      <c r="A972" s="1"/>
      <c r="B972" s="1"/>
      <c r="C972" s="1"/>
      <c r="D972" s="1"/>
      <c r="E972" s="1"/>
      <c r="F972" s="1"/>
      <c r="Q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142"/>
    </row>
    <row r="973" ht="17.25" customHeight="1">
      <c r="A973" s="1"/>
      <c r="B973" s="1"/>
      <c r="C973" s="1"/>
      <c r="D973" s="1"/>
      <c r="E973" s="1"/>
      <c r="F973" s="1"/>
      <c r="Q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142"/>
    </row>
    <row r="974" ht="17.25" customHeight="1">
      <c r="A974" s="1"/>
      <c r="B974" s="1"/>
      <c r="C974" s="1"/>
      <c r="D974" s="1"/>
      <c r="E974" s="1"/>
      <c r="F974" s="1"/>
      <c r="Q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142"/>
    </row>
    <row r="975" ht="17.25" customHeight="1">
      <c r="A975" s="1"/>
      <c r="B975" s="1"/>
      <c r="C975" s="1"/>
      <c r="D975" s="1"/>
      <c r="E975" s="1"/>
      <c r="F975" s="1"/>
      <c r="Q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142"/>
    </row>
    <row r="976" ht="17.25" customHeight="1">
      <c r="A976" s="1"/>
      <c r="B976" s="1"/>
      <c r="C976" s="1"/>
      <c r="D976" s="1"/>
      <c r="E976" s="1"/>
      <c r="F976" s="1"/>
      <c r="Q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142"/>
    </row>
    <row r="977" ht="17.25" customHeight="1">
      <c r="A977" s="1"/>
      <c r="B977" s="1"/>
      <c r="C977" s="1"/>
      <c r="D977" s="1"/>
      <c r="E977" s="1"/>
      <c r="F977" s="1"/>
      <c r="Q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142"/>
    </row>
    <row r="978" ht="17.25" customHeight="1">
      <c r="A978" s="1"/>
      <c r="B978" s="1"/>
      <c r="C978" s="1"/>
      <c r="D978" s="1"/>
      <c r="E978" s="1"/>
      <c r="F978" s="1"/>
      <c r="Q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142"/>
    </row>
    <row r="979" ht="17.25" customHeight="1">
      <c r="A979" s="1"/>
      <c r="B979" s="1"/>
      <c r="C979" s="1"/>
      <c r="D979" s="1"/>
      <c r="E979" s="1"/>
      <c r="F979" s="1"/>
      <c r="Q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142"/>
    </row>
    <row r="980" ht="17.25" customHeight="1">
      <c r="A980" s="1"/>
      <c r="B980" s="1"/>
      <c r="C980" s="1"/>
      <c r="D980" s="1"/>
      <c r="E980" s="1"/>
      <c r="F980" s="1"/>
      <c r="Q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142"/>
    </row>
    <row r="981" ht="17.25" customHeight="1">
      <c r="A981" s="1"/>
      <c r="B981" s="1"/>
      <c r="C981" s="1"/>
      <c r="D981" s="1"/>
      <c r="E981" s="1"/>
      <c r="F981" s="1"/>
      <c r="Q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142"/>
    </row>
    <row r="982" ht="17.25" customHeight="1">
      <c r="A982" s="1"/>
      <c r="B982" s="1"/>
      <c r="C982" s="1"/>
      <c r="D982" s="1"/>
      <c r="E982" s="1"/>
      <c r="F982" s="1"/>
      <c r="Q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142"/>
    </row>
    <row r="983" ht="17.25" customHeight="1">
      <c r="A983" s="1"/>
      <c r="B983" s="1"/>
      <c r="C983" s="1"/>
      <c r="D983" s="1"/>
      <c r="E983" s="1"/>
      <c r="F983" s="1"/>
      <c r="Q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142"/>
    </row>
    <row r="984" ht="17.25" customHeight="1">
      <c r="A984" s="1"/>
      <c r="B984" s="1"/>
      <c r="C984" s="1"/>
      <c r="D984" s="1"/>
      <c r="E984" s="1"/>
      <c r="F984" s="1"/>
      <c r="Q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142"/>
    </row>
    <row r="985" ht="17.25" customHeight="1">
      <c r="A985" s="1"/>
      <c r="B985" s="1"/>
      <c r="C985" s="1"/>
      <c r="D985" s="1"/>
      <c r="E985" s="1"/>
      <c r="F985" s="1"/>
      <c r="Q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142"/>
    </row>
    <row r="986" ht="17.25" customHeight="1">
      <c r="A986" s="1"/>
      <c r="B986" s="1"/>
      <c r="C986" s="1"/>
      <c r="D986" s="1"/>
      <c r="E986" s="1"/>
      <c r="F986" s="1"/>
      <c r="Q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142"/>
    </row>
    <row r="987" ht="17.25" customHeight="1">
      <c r="A987" s="1"/>
      <c r="B987" s="1"/>
      <c r="C987" s="1"/>
      <c r="D987" s="1"/>
      <c r="E987" s="1"/>
      <c r="F987" s="1"/>
      <c r="Q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142"/>
    </row>
    <row r="988" ht="17.25" customHeight="1">
      <c r="A988" s="1"/>
      <c r="B988" s="1"/>
      <c r="C988" s="1"/>
      <c r="D988" s="1"/>
      <c r="E988" s="1"/>
      <c r="F988" s="1"/>
      <c r="Q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142"/>
    </row>
    <row r="989" ht="17.25" customHeight="1">
      <c r="A989" s="1"/>
      <c r="B989" s="1"/>
      <c r="C989" s="1"/>
      <c r="D989" s="1"/>
      <c r="E989" s="1"/>
      <c r="F989" s="1"/>
      <c r="Q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142"/>
    </row>
    <row r="990" ht="17.25" customHeight="1">
      <c r="A990" s="1"/>
      <c r="B990" s="1"/>
      <c r="C990" s="1"/>
      <c r="D990" s="1"/>
      <c r="E990" s="1"/>
      <c r="F990" s="1"/>
      <c r="Q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142"/>
    </row>
    <row r="991" ht="17.25" customHeight="1">
      <c r="A991" s="1"/>
      <c r="B991" s="1"/>
      <c r="C991" s="1"/>
      <c r="D991" s="1"/>
      <c r="E991" s="1"/>
      <c r="F991" s="1"/>
      <c r="Q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142"/>
    </row>
    <row r="992" ht="17.25" customHeight="1">
      <c r="A992" s="1"/>
      <c r="B992" s="1"/>
      <c r="C992" s="1"/>
      <c r="D992" s="1"/>
      <c r="E992" s="1"/>
      <c r="F992" s="1"/>
      <c r="Q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142"/>
    </row>
    <row r="993" ht="17.25" customHeight="1">
      <c r="A993" s="1"/>
      <c r="B993" s="1"/>
      <c r="C993" s="1"/>
      <c r="D993" s="1"/>
      <c r="E993" s="1"/>
      <c r="F993" s="1"/>
      <c r="Q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142"/>
    </row>
    <row r="994" ht="17.25" customHeight="1">
      <c r="A994" s="1"/>
      <c r="B994" s="1"/>
      <c r="C994" s="1"/>
      <c r="D994" s="1"/>
      <c r="E994" s="1"/>
      <c r="F994" s="1"/>
      <c r="Q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142"/>
    </row>
    <row r="995" ht="17.25" customHeight="1">
      <c r="A995" s="1"/>
      <c r="B995" s="1"/>
      <c r="C995" s="1"/>
      <c r="D995" s="1"/>
      <c r="E995" s="1"/>
      <c r="F995" s="1"/>
      <c r="Q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142"/>
    </row>
    <row r="996" ht="17.25" customHeight="1">
      <c r="A996" s="1"/>
      <c r="B996" s="1"/>
      <c r="C996" s="1"/>
      <c r="D996" s="1"/>
      <c r="E996" s="1"/>
      <c r="F996" s="1"/>
      <c r="Q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142"/>
    </row>
    <row r="997" ht="17.25" customHeight="1">
      <c r="A997" s="1"/>
      <c r="B997" s="1"/>
      <c r="C997" s="1"/>
      <c r="D997" s="1"/>
      <c r="E997" s="1"/>
      <c r="F997" s="1"/>
      <c r="Q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142"/>
    </row>
    <row r="998" ht="17.25" customHeight="1">
      <c r="A998" s="1"/>
      <c r="B998" s="1"/>
      <c r="C998" s="1"/>
      <c r="D998" s="1"/>
      <c r="E998" s="1"/>
      <c r="F998" s="1"/>
      <c r="Q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142"/>
    </row>
    <row r="999" ht="17.25" customHeight="1">
      <c r="A999" s="1"/>
      <c r="B999" s="1"/>
      <c r="C999" s="1"/>
      <c r="D999" s="1"/>
      <c r="E999" s="1"/>
      <c r="F999" s="1"/>
      <c r="Q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142"/>
    </row>
    <row r="1000" ht="17.25" customHeight="1">
      <c r="A1000" s="1"/>
      <c r="B1000" s="1"/>
      <c r="C1000" s="1"/>
      <c r="D1000" s="1"/>
      <c r="E1000" s="1"/>
      <c r="F1000" s="1"/>
      <c r="Q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142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479166388511658" footer="0.0" header="0.0" left="0.7086111307144165" right="0.7086111307144165" top="0.747916638851165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9.0"/>
  </cols>
  <sheetData>
    <row r="1" ht="12.0" customHeight="1">
      <c r="A1" s="1"/>
      <c r="B1" s="1"/>
      <c r="C1" s="1"/>
      <c r="D1" s="1"/>
      <c r="E1" s="1"/>
      <c r="F1" s="1"/>
      <c r="K1" s="27"/>
      <c r="L1" s="27"/>
      <c r="M1" s="27"/>
      <c r="N1" s="27"/>
      <c r="O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58"/>
    </row>
    <row r="2" ht="30.0" customHeight="1">
      <c r="A2" s="4" t="s">
        <v>23</v>
      </c>
      <c r="B2" s="5"/>
      <c r="C2" s="1"/>
      <c r="D2" s="1"/>
      <c r="E2" s="1"/>
      <c r="F2" s="1"/>
      <c r="K2" s="27"/>
      <c r="L2" s="27"/>
      <c r="M2" s="27"/>
      <c r="N2" s="27"/>
      <c r="O2" s="27"/>
      <c r="P2" s="259"/>
      <c r="Q2" s="259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58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12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260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9">
        <v>4152.0</v>
      </c>
      <c r="E4" s="20">
        <f t="shared" ref="E4:O4" si="1">D24</f>
        <v>3696</v>
      </c>
      <c r="F4" s="20">
        <f t="shared" si="1"/>
        <v>5942</v>
      </c>
      <c r="G4" s="20">
        <f t="shared" si="1"/>
        <v>3762</v>
      </c>
      <c r="H4" s="20">
        <f t="shared" si="1"/>
        <v>5158</v>
      </c>
      <c r="I4" s="20">
        <f t="shared" si="1"/>
        <v>4550</v>
      </c>
      <c r="J4" s="20">
        <f t="shared" si="1"/>
        <v>4310</v>
      </c>
      <c r="K4" s="20">
        <f t="shared" si="1"/>
        <v>5382</v>
      </c>
      <c r="L4" s="20">
        <f t="shared" si="1"/>
        <v>4658</v>
      </c>
      <c r="M4" s="20">
        <f t="shared" si="1"/>
        <v>3506</v>
      </c>
      <c r="N4" s="20">
        <f t="shared" si="1"/>
        <v>3782</v>
      </c>
      <c r="O4" s="21">
        <f t="shared" si="1"/>
        <v>3782</v>
      </c>
      <c r="P4" s="22">
        <v>3782.0</v>
      </c>
      <c r="Q4" s="147">
        <f t="shared" ref="Q4:AU4" si="2">+P24</f>
        <v>3782</v>
      </c>
      <c r="R4" s="148">
        <f t="shared" si="2"/>
        <v>3782</v>
      </c>
      <c r="S4" s="148">
        <f t="shared" si="2"/>
        <v>3782</v>
      </c>
      <c r="T4" s="148">
        <f t="shared" si="2"/>
        <v>4922</v>
      </c>
      <c r="U4" s="148">
        <f t="shared" si="2"/>
        <v>4922</v>
      </c>
      <c r="V4" s="148">
        <f t="shared" si="2"/>
        <v>5338</v>
      </c>
      <c r="W4" s="148">
        <f t="shared" si="2"/>
        <v>5338</v>
      </c>
      <c r="X4" s="148">
        <f t="shared" si="2"/>
        <v>6586</v>
      </c>
      <c r="Y4" s="148">
        <f t="shared" si="2"/>
        <v>6586</v>
      </c>
      <c r="Z4" s="148">
        <f t="shared" si="2"/>
        <v>6586</v>
      </c>
      <c r="AA4" s="148">
        <f t="shared" si="2"/>
        <v>6554</v>
      </c>
      <c r="AB4" s="148">
        <f t="shared" si="2"/>
        <v>6554</v>
      </c>
      <c r="AC4" s="148">
        <f t="shared" si="2"/>
        <v>6554</v>
      </c>
      <c r="AD4" s="148">
        <f t="shared" si="2"/>
        <v>6554</v>
      </c>
      <c r="AE4" s="148">
        <f t="shared" si="2"/>
        <v>6554</v>
      </c>
      <c r="AF4" s="148">
        <f t="shared" si="2"/>
        <v>6554</v>
      </c>
      <c r="AG4" s="148">
        <f t="shared" si="2"/>
        <v>6554</v>
      </c>
      <c r="AH4" s="148">
        <f t="shared" si="2"/>
        <v>6554</v>
      </c>
      <c r="AI4" s="148">
        <f t="shared" si="2"/>
        <v>6554</v>
      </c>
      <c r="AJ4" s="148">
        <f t="shared" si="2"/>
        <v>6554</v>
      </c>
      <c r="AK4" s="148">
        <f t="shared" si="2"/>
        <v>6554</v>
      </c>
      <c r="AL4" s="148">
        <f t="shared" si="2"/>
        <v>6554</v>
      </c>
      <c r="AM4" s="148">
        <f t="shared" si="2"/>
        <v>6554</v>
      </c>
      <c r="AN4" s="148">
        <f t="shared" si="2"/>
        <v>6554</v>
      </c>
      <c r="AO4" s="148">
        <f t="shared" si="2"/>
        <v>6554</v>
      </c>
      <c r="AP4" s="148">
        <f t="shared" si="2"/>
        <v>6554</v>
      </c>
      <c r="AQ4" s="148">
        <f t="shared" si="2"/>
        <v>6554</v>
      </c>
      <c r="AR4" s="148">
        <f t="shared" si="2"/>
        <v>6554</v>
      </c>
      <c r="AS4" s="148">
        <f t="shared" si="2"/>
        <v>6554</v>
      </c>
      <c r="AT4" s="148">
        <f t="shared" si="2"/>
        <v>6554</v>
      </c>
      <c r="AU4" s="148">
        <f t="shared" si="2"/>
        <v>6554</v>
      </c>
      <c r="AV4" s="25">
        <f t="shared" ref="AV4:AV8" si="5">P24</f>
        <v>3782</v>
      </c>
    </row>
    <row r="5" ht="18.0" customHeight="1">
      <c r="A5" s="28"/>
      <c r="B5" s="29"/>
      <c r="C5" s="100" t="s">
        <v>9</v>
      </c>
      <c r="D5" s="221">
        <v>5592.0</v>
      </c>
      <c r="E5" s="222">
        <f t="shared" ref="E5:O5" si="3">D25</f>
        <v>5428</v>
      </c>
      <c r="F5" s="222">
        <f t="shared" si="3"/>
        <v>9712</v>
      </c>
      <c r="G5" s="222">
        <f t="shared" si="3"/>
        <v>14620</v>
      </c>
      <c r="H5" s="222">
        <f t="shared" si="3"/>
        <v>9348</v>
      </c>
      <c r="I5" s="222">
        <f t="shared" si="3"/>
        <v>12696</v>
      </c>
      <c r="J5" s="222">
        <f t="shared" si="3"/>
        <v>8592</v>
      </c>
      <c r="K5" s="222">
        <f t="shared" si="3"/>
        <v>13040</v>
      </c>
      <c r="L5" s="222">
        <f t="shared" si="3"/>
        <v>12024</v>
      </c>
      <c r="M5" s="222">
        <f t="shared" si="3"/>
        <v>8496</v>
      </c>
      <c r="N5" s="222">
        <f t="shared" si="3"/>
        <v>7800</v>
      </c>
      <c r="O5" s="223">
        <f t="shared" si="3"/>
        <v>7800</v>
      </c>
      <c r="P5" s="153">
        <v>7800.0</v>
      </c>
      <c r="Q5" s="261">
        <f t="shared" ref="Q5:AU5" si="4">+P25</f>
        <v>7800</v>
      </c>
      <c r="R5" s="262">
        <f t="shared" si="4"/>
        <v>7800</v>
      </c>
      <c r="S5" s="262">
        <f t="shared" si="4"/>
        <v>7800</v>
      </c>
      <c r="T5" s="262">
        <f t="shared" si="4"/>
        <v>5040</v>
      </c>
      <c r="U5" s="262">
        <f t="shared" si="4"/>
        <v>4740</v>
      </c>
      <c r="V5" s="262">
        <f t="shared" si="4"/>
        <v>4820</v>
      </c>
      <c r="W5" s="262">
        <f t="shared" si="4"/>
        <v>3808</v>
      </c>
      <c r="X5" s="262">
        <f t="shared" si="4"/>
        <v>5008</v>
      </c>
      <c r="Y5" s="262">
        <f t="shared" si="4"/>
        <v>5008</v>
      </c>
      <c r="Z5" s="262">
        <f t="shared" si="4"/>
        <v>5008</v>
      </c>
      <c r="AA5" s="262">
        <f t="shared" si="4"/>
        <v>6328</v>
      </c>
      <c r="AB5" s="262">
        <f t="shared" si="4"/>
        <v>6328</v>
      </c>
      <c r="AC5" s="262">
        <f t="shared" si="4"/>
        <v>6328</v>
      </c>
      <c r="AD5" s="262">
        <f t="shared" si="4"/>
        <v>6328</v>
      </c>
      <c r="AE5" s="262">
        <f t="shared" si="4"/>
        <v>6328</v>
      </c>
      <c r="AF5" s="262">
        <f t="shared" si="4"/>
        <v>6328</v>
      </c>
      <c r="AG5" s="262">
        <f t="shared" si="4"/>
        <v>6328</v>
      </c>
      <c r="AH5" s="262">
        <f t="shared" si="4"/>
        <v>6328</v>
      </c>
      <c r="AI5" s="262">
        <f t="shared" si="4"/>
        <v>6328</v>
      </c>
      <c r="AJ5" s="262">
        <f t="shared" si="4"/>
        <v>6328</v>
      </c>
      <c r="AK5" s="262">
        <f t="shared" si="4"/>
        <v>6328</v>
      </c>
      <c r="AL5" s="262">
        <f t="shared" si="4"/>
        <v>6328</v>
      </c>
      <c r="AM5" s="262">
        <f t="shared" si="4"/>
        <v>6328</v>
      </c>
      <c r="AN5" s="262">
        <f t="shared" si="4"/>
        <v>6328</v>
      </c>
      <c r="AO5" s="262">
        <f t="shared" si="4"/>
        <v>6328</v>
      </c>
      <c r="AP5" s="262">
        <f t="shared" si="4"/>
        <v>6328</v>
      </c>
      <c r="AQ5" s="262">
        <f t="shared" si="4"/>
        <v>6328</v>
      </c>
      <c r="AR5" s="262">
        <f t="shared" si="4"/>
        <v>6328</v>
      </c>
      <c r="AS5" s="262">
        <f t="shared" si="4"/>
        <v>6328</v>
      </c>
      <c r="AT5" s="262">
        <f t="shared" si="4"/>
        <v>6328</v>
      </c>
      <c r="AU5" s="262">
        <f t="shared" si="4"/>
        <v>6328</v>
      </c>
      <c r="AV5" s="263">
        <f t="shared" si="5"/>
        <v>7800</v>
      </c>
    </row>
    <row r="6" ht="18.0" customHeight="1">
      <c r="A6" s="28"/>
      <c r="B6" s="38" t="s">
        <v>10</v>
      </c>
      <c r="C6" s="106" t="s">
        <v>8</v>
      </c>
      <c r="D6" s="19">
        <v>6687.0</v>
      </c>
      <c r="E6" s="20">
        <f t="shared" ref="E6:O6" si="6">D26</f>
        <v>9501</v>
      </c>
      <c r="F6" s="20">
        <f t="shared" si="6"/>
        <v>8921</v>
      </c>
      <c r="G6" s="20">
        <f t="shared" si="6"/>
        <v>11511</v>
      </c>
      <c r="H6" s="20">
        <f t="shared" si="6"/>
        <v>8707</v>
      </c>
      <c r="I6" s="20">
        <f t="shared" si="6"/>
        <v>8607</v>
      </c>
      <c r="J6" s="20">
        <f t="shared" si="6"/>
        <v>11713</v>
      </c>
      <c r="K6" s="20">
        <f t="shared" si="6"/>
        <v>8846</v>
      </c>
      <c r="L6" s="20">
        <f t="shared" si="6"/>
        <v>14626</v>
      </c>
      <c r="M6" s="20">
        <f t="shared" si="6"/>
        <v>18830</v>
      </c>
      <c r="N6" s="20">
        <f t="shared" si="6"/>
        <v>14598</v>
      </c>
      <c r="O6" s="21">
        <f t="shared" si="6"/>
        <v>14598</v>
      </c>
      <c r="P6" s="22">
        <v>14598.0</v>
      </c>
      <c r="Q6" s="264">
        <f t="shared" ref="Q6:AU6" si="7">+P26</f>
        <v>14598</v>
      </c>
      <c r="R6" s="265">
        <f t="shared" si="7"/>
        <v>14598</v>
      </c>
      <c r="S6" s="265">
        <f t="shared" si="7"/>
        <v>14598</v>
      </c>
      <c r="T6" s="265">
        <f t="shared" si="7"/>
        <v>15461</v>
      </c>
      <c r="U6" s="265">
        <f t="shared" si="7"/>
        <v>15461</v>
      </c>
      <c r="V6" s="265">
        <f t="shared" si="7"/>
        <v>13229</v>
      </c>
      <c r="W6" s="265">
        <f t="shared" si="7"/>
        <v>13850</v>
      </c>
      <c r="X6" s="265">
        <f t="shared" si="7"/>
        <v>13474</v>
      </c>
      <c r="Y6" s="265">
        <f t="shared" si="7"/>
        <v>13474</v>
      </c>
      <c r="Z6" s="265">
        <f t="shared" si="7"/>
        <v>13474</v>
      </c>
      <c r="AA6" s="265">
        <f t="shared" si="7"/>
        <v>10754</v>
      </c>
      <c r="AB6" s="265">
        <f t="shared" si="7"/>
        <v>10754</v>
      </c>
      <c r="AC6" s="265">
        <f t="shared" si="7"/>
        <v>10754</v>
      </c>
      <c r="AD6" s="265">
        <f t="shared" si="7"/>
        <v>10754</v>
      </c>
      <c r="AE6" s="265">
        <f t="shared" si="7"/>
        <v>10754</v>
      </c>
      <c r="AF6" s="265">
        <f t="shared" si="7"/>
        <v>10754</v>
      </c>
      <c r="AG6" s="265">
        <f t="shared" si="7"/>
        <v>10754</v>
      </c>
      <c r="AH6" s="265">
        <f t="shared" si="7"/>
        <v>10754</v>
      </c>
      <c r="AI6" s="265">
        <f t="shared" si="7"/>
        <v>10754</v>
      </c>
      <c r="AJ6" s="265">
        <f t="shared" si="7"/>
        <v>10754</v>
      </c>
      <c r="AK6" s="265">
        <f t="shared" si="7"/>
        <v>10754</v>
      </c>
      <c r="AL6" s="265">
        <f t="shared" si="7"/>
        <v>10754</v>
      </c>
      <c r="AM6" s="265">
        <f t="shared" si="7"/>
        <v>10754</v>
      </c>
      <c r="AN6" s="265">
        <f t="shared" si="7"/>
        <v>10754</v>
      </c>
      <c r="AO6" s="265">
        <f t="shared" si="7"/>
        <v>10754</v>
      </c>
      <c r="AP6" s="265">
        <f t="shared" si="7"/>
        <v>10754</v>
      </c>
      <c r="AQ6" s="265">
        <f t="shared" si="7"/>
        <v>10754</v>
      </c>
      <c r="AR6" s="265">
        <f t="shared" si="7"/>
        <v>10754</v>
      </c>
      <c r="AS6" s="265">
        <f t="shared" si="7"/>
        <v>10754</v>
      </c>
      <c r="AT6" s="265">
        <f t="shared" si="7"/>
        <v>10754</v>
      </c>
      <c r="AU6" s="265">
        <f t="shared" si="7"/>
        <v>10754</v>
      </c>
      <c r="AV6" s="37">
        <f t="shared" si="5"/>
        <v>14598</v>
      </c>
    </row>
    <row r="7" ht="18.0" customHeight="1">
      <c r="A7" s="28"/>
      <c r="B7" s="40"/>
      <c r="C7" s="209" t="s">
        <v>9</v>
      </c>
      <c r="D7" s="266">
        <v>112035.0</v>
      </c>
      <c r="E7" s="267">
        <f t="shared" ref="E7:O7" si="8">D27</f>
        <v>91278</v>
      </c>
      <c r="F7" s="267">
        <f t="shared" si="8"/>
        <v>73664</v>
      </c>
      <c r="G7" s="267">
        <f t="shared" si="8"/>
        <v>82229</v>
      </c>
      <c r="H7" s="267">
        <f t="shared" si="8"/>
        <v>144098</v>
      </c>
      <c r="I7" s="267">
        <f t="shared" si="8"/>
        <v>119649</v>
      </c>
      <c r="J7" s="267">
        <f t="shared" si="8"/>
        <v>97884</v>
      </c>
      <c r="K7" s="267">
        <f t="shared" si="8"/>
        <v>112603</v>
      </c>
      <c r="L7" s="267">
        <f t="shared" si="8"/>
        <v>127009</v>
      </c>
      <c r="M7" s="267">
        <f t="shared" si="8"/>
        <v>113154</v>
      </c>
      <c r="N7" s="267">
        <f t="shared" si="8"/>
        <v>104269</v>
      </c>
      <c r="O7" s="268">
        <f t="shared" si="8"/>
        <v>104269</v>
      </c>
      <c r="P7" s="161">
        <v>104269.0</v>
      </c>
      <c r="Q7" s="269">
        <f t="shared" ref="Q7:AU7" si="9">+P27</f>
        <v>104269</v>
      </c>
      <c r="R7" s="270">
        <f t="shared" si="9"/>
        <v>104269</v>
      </c>
      <c r="S7" s="270">
        <f t="shared" si="9"/>
        <v>104269</v>
      </c>
      <c r="T7" s="270">
        <f t="shared" si="9"/>
        <v>94775</v>
      </c>
      <c r="U7" s="270">
        <f t="shared" si="9"/>
        <v>102754</v>
      </c>
      <c r="V7" s="270">
        <f t="shared" si="9"/>
        <v>104600</v>
      </c>
      <c r="W7" s="270">
        <f t="shared" si="9"/>
        <v>106614</v>
      </c>
      <c r="X7" s="270">
        <f t="shared" si="9"/>
        <v>100825</v>
      </c>
      <c r="Y7" s="270">
        <f t="shared" si="9"/>
        <v>100825</v>
      </c>
      <c r="Z7" s="270">
        <f t="shared" si="9"/>
        <v>100825</v>
      </c>
      <c r="AA7" s="270">
        <f t="shared" si="9"/>
        <v>99765</v>
      </c>
      <c r="AB7" s="270">
        <f t="shared" si="9"/>
        <v>99765</v>
      </c>
      <c r="AC7" s="270">
        <f t="shared" si="9"/>
        <v>99765</v>
      </c>
      <c r="AD7" s="270">
        <f t="shared" si="9"/>
        <v>99765</v>
      </c>
      <c r="AE7" s="270">
        <f t="shared" si="9"/>
        <v>99765</v>
      </c>
      <c r="AF7" s="270">
        <f t="shared" si="9"/>
        <v>99765</v>
      </c>
      <c r="AG7" s="270">
        <f t="shared" si="9"/>
        <v>99765</v>
      </c>
      <c r="AH7" s="270">
        <f t="shared" si="9"/>
        <v>99765</v>
      </c>
      <c r="AI7" s="270">
        <f t="shared" si="9"/>
        <v>99765</v>
      </c>
      <c r="AJ7" s="270">
        <f t="shared" si="9"/>
        <v>99765</v>
      </c>
      <c r="AK7" s="270">
        <f t="shared" si="9"/>
        <v>99765</v>
      </c>
      <c r="AL7" s="270">
        <f t="shared" si="9"/>
        <v>99765</v>
      </c>
      <c r="AM7" s="270">
        <f t="shared" si="9"/>
        <v>99765</v>
      </c>
      <c r="AN7" s="270">
        <f t="shared" si="9"/>
        <v>99765</v>
      </c>
      <c r="AO7" s="270">
        <f t="shared" si="9"/>
        <v>99765</v>
      </c>
      <c r="AP7" s="270">
        <f t="shared" si="9"/>
        <v>99765</v>
      </c>
      <c r="AQ7" s="270">
        <f t="shared" si="9"/>
        <v>99765</v>
      </c>
      <c r="AR7" s="270">
        <f t="shared" si="9"/>
        <v>99765</v>
      </c>
      <c r="AS7" s="270">
        <f t="shared" si="9"/>
        <v>99765</v>
      </c>
      <c r="AT7" s="270">
        <f t="shared" si="9"/>
        <v>99765</v>
      </c>
      <c r="AU7" s="270">
        <f t="shared" si="9"/>
        <v>99765</v>
      </c>
      <c r="AV7" s="168">
        <f t="shared" si="5"/>
        <v>104269</v>
      </c>
    </row>
    <row r="8" ht="18.0" customHeight="1">
      <c r="A8" s="29"/>
      <c r="B8" s="43" t="s">
        <v>11</v>
      </c>
      <c r="C8" s="213" t="s">
        <v>9</v>
      </c>
      <c r="D8" s="229">
        <v>16604.0</v>
      </c>
      <c r="E8" s="230">
        <f t="shared" ref="E8:O8" si="10">D28</f>
        <v>13528</v>
      </c>
      <c r="F8" s="230">
        <f t="shared" si="10"/>
        <v>24744</v>
      </c>
      <c r="G8" s="230">
        <f t="shared" si="10"/>
        <v>13616</v>
      </c>
      <c r="H8" s="230">
        <f t="shared" si="10"/>
        <v>13536</v>
      </c>
      <c r="I8" s="230">
        <f t="shared" si="10"/>
        <v>23460</v>
      </c>
      <c r="J8" s="230">
        <f t="shared" si="10"/>
        <v>26600</v>
      </c>
      <c r="K8" s="230">
        <f t="shared" si="10"/>
        <v>12316</v>
      </c>
      <c r="L8" s="230">
        <f t="shared" si="10"/>
        <v>14856</v>
      </c>
      <c r="M8" s="230">
        <f t="shared" si="10"/>
        <v>9568</v>
      </c>
      <c r="N8" s="230">
        <f t="shared" si="10"/>
        <v>25900</v>
      </c>
      <c r="O8" s="231">
        <f t="shared" si="10"/>
        <v>25900</v>
      </c>
      <c r="P8" s="42">
        <v>25900.0</v>
      </c>
      <c r="Q8" s="271">
        <f t="shared" ref="Q8:AU8" si="11">+P28</f>
        <v>25900</v>
      </c>
      <c r="R8" s="272">
        <f t="shared" si="11"/>
        <v>25900</v>
      </c>
      <c r="S8" s="272">
        <f t="shared" si="11"/>
        <v>25900</v>
      </c>
      <c r="T8" s="272">
        <f t="shared" si="11"/>
        <v>5780</v>
      </c>
      <c r="U8" s="272">
        <f t="shared" si="11"/>
        <v>5780</v>
      </c>
      <c r="V8" s="272">
        <f t="shared" si="11"/>
        <v>5780</v>
      </c>
      <c r="W8" s="272">
        <f t="shared" si="11"/>
        <v>11604</v>
      </c>
      <c r="X8" s="272">
        <f t="shared" si="11"/>
        <v>13212</v>
      </c>
      <c r="Y8" s="272">
        <f t="shared" si="11"/>
        <v>13212</v>
      </c>
      <c r="Z8" s="272">
        <f t="shared" si="11"/>
        <v>13212</v>
      </c>
      <c r="AA8" s="272">
        <f t="shared" si="11"/>
        <v>7180</v>
      </c>
      <c r="AB8" s="272">
        <f t="shared" si="11"/>
        <v>7180</v>
      </c>
      <c r="AC8" s="272">
        <f t="shared" si="11"/>
        <v>7180</v>
      </c>
      <c r="AD8" s="272">
        <f t="shared" si="11"/>
        <v>7180</v>
      </c>
      <c r="AE8" s="272">
        <f t="shared" si="11"/>
        <v>7180</v>
      </c>
      <c r="AF8" s="272">
        <f t="shared" si="11"/>
        <v>7180</v>
      </c>
      <c r="AG8" s="272">
        <f t="shared" si="11"/>
        <v>7180</v>
      </c>
      <c r="AH8" s="272">
        <f t="shared" si="11"/>
        <v>7180</v>
      </c>
      <c r="AI8" s="272">
        <f t="shared" si="11"/>
        <v>7180</v>
      </c>
      <c r="AJ8" s="272">
        <f t="shared" si="11"/>
        <v>7180</v>
      </c>
      <c r="AK8" s="272">
        <f t="shared" si="11"/>
        <v>7180</v>
      </c>
      <c r="AL8" s="272">
        <f t="shared" si="11"/>
        <v>7180</v>
      </c>
      <c r="AM8" s="272">
        <f t="shared" si="11"/>
        <v>7180</v>
      </c>
      <c r="AN8" s="272">
        <f t="shared" si="11"/>
        <v>7180</v>
      </c>
      <c r="AO8" s="272">
        <f t="shared" si="11"/>
        <v>7180</v>
      </c>
      <c r="AP8" s="272">
        <f t="shared" si="11"/>
        <v>7180</v>
      </c>
      <c r="AQ8" s="272">
        <f t="shared" si="11"/>
        <v>7180</v>
      </c>
      <c r="AR8" s="272">
        <f t="shared" si="11"/>
        <v>7180</v>
      </c>
      <c r="AS8" s="272">
        <f t="shared" si="11"/>
        <v>7180</v>
      </c>
      <c r="AT8" s="272">
        <f t="shared" si="11"/>
        <v>7180</v>
      </c>
      <c r="AU8" s="272">
        <f t="shared" si="11"/>
        <v>7180</v>
      </c>
      <c r="AV8" s="46">
        <f t="shared" si="5"/>
        <v>25900</v>
      </c>
    </row>
    <row r="9" ht="18.0" customHeight="1">
      <c r="A9" s="169" t="s">
        <v>12</v>
      </c>
      <c r="B9" s="169" t="s">
        <v>7</v>
      </c>
      <c r="C9" s="170" t="s">
        <v>8</v>
      </c>
      <c r="D9" s="201">
        <v>72.0</v>
      </c>
      <c r="E9" s="171">
        <v>2788.0</v>
      </c>
      <c r="F9" s="171">
        <v>976.0</v>
      </c>
      <c r="G9" s="120">
        <v>4596.0</v>
      </c>
      <c r="H9" s="120">
        <v>908.0</v>
      </c>
      <c r="I9" s="120">
        <v>2972.0</v>
      </c>
      <c r="J9" s="120">
        <v>4408.0</v>
      </c>
      <c r="K9" s="120">
        <v>3896.0</v>
      </c>
      <c r="L9" s="120">
        <v>2420.0</v>
      </c>
      <c r="M9" s="120">
        <v>2596.0</v>
      </c>
      <c r="N9" s="120"/>
      <c r="O9" s="172"/>
      <c r="P9" s="173"/>
      <c r="Q9" s="174">
        <v>0.0</v>
      </c>
      <c r="R9" s="174">
        <v>0.0</v>
      </c>
      <c r="S9" s="174">
        <v>2080.0</v>
      </c>
      <c r="T9" s="174">
        <v>0.0</v>
      </c>
      <c r="U9" s="174">
        <v>416.0</v>
      </c>
      <c r="V9" s="174">
        <v>0.0</v>
      </c>
      <c r="W9" s="174">
        <v>1248.0</v>
      </c>
      <c r="X9" s="174">
        <v>0.0</v>
      </c>
      <c r="Y9" s="174">
        <v>0.0</v>
      </c>
      <c r="Z9" s="174">
        <v>200.0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3944</v>
      </c>
    </row>
    <row r="10" ht="18.0" customHeight="1">
      <c r="A10" s="28"/>
      <c r="B10" s="29"/>
      <c r="C10" s="175" t="s">
        <v>9</v>
      </c>
      <c r="D10" s="176">
        <v>1080.0</v>
      </c>
      <c r="E10" s="177">
        <v>8960.0</v>
      </c>
      <c r="F10" s="177">
        <v>10628.0</v>
      </c>
      <c r="G10" s="178">
        <v>1280.0</v>
      </c>
      <c r="H10" s="178">
        <v>5080.0</v>
      </c>
      <c r="I10" s="178">
        <v>6512.0</v>
      </c>
      <c r="J10" s="178">
        <v>8340.0</v>
      </c>
      <c r="K10" s="178">
        <v>13176.0</v>
      </c>
      <c r="L10" s="178">
        <v>7920.0</v>
      </c>
      <c r="M10" s="178">
        <v>4012.0</v>
      </c>
      <c r="N10" s="178"/>
      <c r="O10" s="179"/>
      <c r="P10" s="180"/>
      <c r="Q10" s="181">
        <v>0.0</v>
      </c>
      <c r="R10" s="181">
        <v>0.0</v>
      </c>
      <c r="S10" s="181">
        <v>200.0</v>
      </c>
      <c r="T10" s="181">
        <v>0.0</v>
      </c>
      <c r="U10" s="181">
        <v>80.0</v>
      </c>
      <c r="V10" s="181">
        <v>0.0</v>
      </c>
      <c r="W10" s="181">
        <v>1240.0</v>
      </c>
      <c r="X10" s="181">
        <v>0.0</v>
      </c>
      <c r="Y10" s="181">
        <v>0.0</v>
      </c>
      <c r="Z10" s="181">
        <v>2160.0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3680</v>
      </c>
    </row>
    <row r="11" ht="18.0" customHeight="1">
      <c r="A11" s="28"/>
      <c r="B11" s="182" t="s">
        <v>10</v>
      </c>
      <c r="C11" s="183" t="s">
        <v>8</v>
      </c>
      <c r="D11" s="184">
        <v>8136.0</v>
      </c>
      <c r="E11" s="185">
        <v>10781.0</v>
      </c>
      <c r="F11" s="185">
        <v>11521.0</v>
      </c>
      <c r="G11" s="126">
        <v>10628.0</v>
      </c>
      <c r="H11" s="126">
        <v>5125.0</v>
      </c>
      <c r="I11" s="126">
        <v>9176.0</v>
      </c>
      <c r="J11" s="126">
        <v>4230.0</v>
      </c>
      <c r="K11" s="126">
        <v>12734.0</v>
      </c>
      <c r="L11" s="126">
        <v>18831.0</v>
      </c>
      <c r="M11" s="126">
        <v>2270.0</v>
      </c>
      <c r="N11" s="126"/>
      <c r="O11" s="186"/>
      <c r="P11" s="187"/>
      <c r="Q11" s="174">
        <v>0.0</v>
      </c>
      <c r="R11" s="174">
        <v>0.0</v>
      </c>
      <c r="S11" s="174">
        <v>2277.0</v>
      </c>
      <c r="T11" s="174">
        <v>0.0</v>
      </c>
      <c r="U11" s="174">
        <v>568.0</v>
      </c>
      <c r="V11" s="174">
        <v>689.0</v>
      </c>
      <c r="W11" s="174">
        <v>40.0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3574</v>
      </c>
    </row>
    <row r="12" ht="18.0" customHeight="1">
      <c r="A12" s="28"/>
      <c r="B12" s="40"/>
      <c r="C12" s="188" t="s">
        <v>9</v>
      </c>
      <c r="D12" s="189">
        <v>95632.0</v>
      </c>
      <c r="E12" s="190">
        <v>150599.0</v>
      </c>
      <c r="F12" s="190">
        <v>155445.0</v>
      </c>
      <c r="G12" s="191">
        <v>194696.0</v>
      </c>
      <c r="H12" s="191">
        <v>123501.0</v>
      </c>
      <c r="I12" s="191">
        <v>121049.0</v>
      </c>
      <c r="J12" s="191">
        <v>127072.0</v>
      </c>
      <c r="K12" s="191">
        <v>145434.0</v>
      </c>
      <c r="L12" s="191">
        <v>130860.0</v>
      </c>
      <c r="M12" s="191">
        <v>95033.0</v>
      </c>
      <c r="N12" s="191"/>
      <c r="O12" s="192"/>
      <c r="P12" s="193"/>
      <c r="Q12" s="181">
        <v>0.0</v>
      </c>
      <c r="R12" s="181">
        <v>0.0</v>
      </c>
      <c r="S12" s="181">
        <v>6064.0</v>
      </c>
      <c r="T12" s="181">
        <v>11720.0</v>
      </c>
      <c r="U12" s="181">
        <v>10122.0</v>
      </c>
      <c r="V12" s="181">
        <v>5200.0</v>
      </c>
      <c r="W12" s="181">
        <v>6487.0</v>
      </c>
      <c r="X12" s="181">
        <v>0.0</v>
      </c>
      <c r="Y12" s="181">
        <v>0.0</v>
      </c>
      <c r="Z12" s="181">
        <v>5160.0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44753</v>
      </c>
    </row>
    <row r="13" ht="18.0" customHeight="1">
      <c r="A13" s="29"/>
      <c r="B13" s="195" t="s">
        <v>11</v>
      </c>
      <c r="C13" s="196" t="s">
        <v>9</v>
      </c>
      <c r="D13" s="197">
        <v>28416.0</v>
      </c>
      <c r="E13" s="198">
        <v>40988.0</v>
      </c>
      <c r="F13" s="198">
        <v>17152.0</v>
      </c>
      <c r="G13" s="135">
        <v>44684.0</v>
      </c>
      <c r="H13" s="135">
        <v>41492.0</v>
      </c>
      <c r="I13" s="135">
        <v>33324.0</v>
      </c>
      <c r="J13" s="135">
        <v>26700.0</v>
      </c>
      <c r="K13" s="135">
        <v>30104.0</v>
      </c>
      <c r="L13" s="135">
        <v>31032.0</v>
      </c>
      <c r="M13" s="135">
        <v>36800.0</v>
      </c>
      <c r="N13" s="135"/>
      <c r="O13" s="199"/>
      <c r="P13" s="200"/>
      <c r="Q13" s="174">
        <v>0.0</v>
      </c>
      <c r="R13" s="174">
        <v>0.0</v>
      </c>
      <c r="S13" s="174">
        <v>0.0</v>
      </c>
      <c r="T13" s="174">
        <v>0.0</v>
      </c>
      <c r="U13" s="174">
        <v>0.0</v>
      </c>
      <c r="V13" s="174">
        <v>5824.0</v>
      </c>
      <c r="W13" s="174">
        <v>1608.0</v>
      </c>
      <c r="X13" s="174">
        <v>0.0</v>
      </c>
      <c r="Y13" s="174">
        <v>0.0</v>
      </c>
      <c r="Z13" s="174">
        <v>4160.0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11592</v>
      </c>
    </row>
    <row r="14" ht="18.0" customHeight="1">
      <c r="A14" s="169" t="s">
        <v>13</v>
      </c>
      <c r="B14" s="169" t="s">
        <v>7</v>
      </c>
      <c r="C14" s="170" t="s">
        <v>8</v>
      </c>
      <c r="D14" s="201">
        <v>491.0</v>
      </c>
      <c r="E14" s="171">
        <v>842.0</v>
      </c>
      <c r="F14" s="171">
        <v>1112.0</v>
      </c>
      <c r="G14" s="120">
        <v>1356.0</v>
      </c>
      <c r="H14" s="120">
        <v>536.0</v>
      </c>
      <c r="I14" s="120">
        <v>2720.0</v>
      </c>
      <c r="J14" s="120">
        <v>1516.0</v>
      </c>
      <c r="K14" s="120">
        <v>1904.0</v>
      </c>
      <c r="L14" s="120">
        <v>2172.0</v>
      </c>
      <c r="M14" s="120">
        <v>1280.0</v>
      </c>
      <c r="N14" s="120"/>
      <c r="O14" s="172"/>
      <c r="P14" s="173"/>
      <c r="Q14" s="174">
        <v>0.0</v>
      </c>
      <c r="R14" s="174">
        <v>0.0</v>
      </c>
      <c r="S14" s="174">
        <v>940.0</v>
      </c>
      <c r="T14" s="174">
        <v>0.0</v>
      </c>
      <c r="U14" s="174">
        <v>0.0</v>
      </c>
      <c r="V14" s="174">
        <v>0.0</v>
      </c>
      <c r="W14" s="174">
        <v>0.0</v>
      </c>
      <c r="X14" s="174">
        <v>0.0</v>
      </c>
      <c r="Y14" s="174">
        <v>0.0</v>
      </c>
      <c r="Z14" s="174">
        <v>232.0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1172</v>
      </c>
    </row>
    <row r="15" ht="18.0" customHeight="1">
      <c r="A15" s="28"/>
      <c r="B15" s="29"/>
      <c r="C15" s="175" t="s">
        <v>9</v>
      </c>
      <c r="D15" s="176">
        <v>892.0</v>
      </c>
      <c r="E15" s="177">
        <v>3732.0</v>
      </c>
      <c r="F15" s="177">
        <v>4260.0</v>
      </c>
      <c r="G15" s="178">
        <v>6152.0</v>
      </c>
      <c r="H15" s="178">
        <v>7680.0</v>
      </c>
      <c r="I15" s="178">
        <v>12968.0</v>
      </c>
      <c r="J15" s="178">
        <v>3788.0</v>
      </c>
      <c r="K15" s="178">
        <v>13232.0</v>
      </c>
      <c r="L15" s="178">
        <v>9560.0</v>
      </c>
      <c r="M15" s="178">
        <v>4484.0</v>
      </c>
      <c r="N15" s="178"/>
      <c r="O15" s="179"/>
      <c r="P15" s="180"/>
      <c r="Q15" s="181">
        <v>0.0</v>
      </c>
      <c r="R15" s="181">
        <v>0.0</v>
      </c>
      <c r="S15" s="181">
        <v>2960.0</v>
      </c>
      <c r="T15" s="181">
        <v>300.0</v>
      </c>
      <c r="U15" s="181">
        <v>0.0</v>
      </c>
      <c r="V15" s="181">
        <v>1012.0</v>
      </c>
      <c r="W15" s="181">
        <v>40.0</v>
      </c>
      <c r="X15" s="181">
        <v>0.0</v>
      </c>
      <c r="Y15" s="181">
        <v>0.0</v>
      </c>
      <c r="Z15" s="181">
        <v>840.0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63">
        <f t="shared" si="12"/>
        <v>5152</v>
      </c>
    </row>
    <row r="16" ht="18.0" customHeight="1">
      <c r="A16" s="28"/>
      <c r="B16" s="182" t="s">
        <v>10</v>
      </c>
      <c r="C16" s="183" t="s">
        <v>8</v>
      </c>
      <c r="D16" s="184">
        <v>2553.0</v>
      </c>
      <c r="E16" s="185">
        <v>10253.0</v>
      </c>
      <c r="F16" s="185">
        <v>4139.0</v>
      </c>
      <c r="G16" s="126">
        <v>11594.0</v>
      </c>
      <c r="H16" s="126">
        <v>25957.0</v>
      </c>
      <c r="I16" s="126">
        <v>4712.0</v>
      </c>
      <c r="J16" s="126">
        <v>3930.0</v>
      </c>
      <c r="K16" s="126">
        <v>6049.0</v>
      </c>
      <c r="L16" s="126">
        <v>13887.0</v>
      </c>
      <c r="M16" s="126">
        <v>3993.0</v>
      </c>
      <c r="N16" s="126"/>
      <c r="O16" s="186"/>
      <c r="P16" s="187"/>
      <c r="Q16" s="174">
        <v>0.0</v>
      </c>
      <c r="R16" s="174">
        <v>0.0</v>
      </c>
      <c r="S16" s="174">
        <v>1414.0</v>
      </c>
      <c r="T16" s="174">
        <v>0.0</v>
      </c>
      <c r="U16" s="174">
        <v>2800.0</v>
      </c>
      <c r="V16" s="174">
        <v>68.0</v>
      </c>
      <c r="W16" s="174">
        <v>416.0</v>
      </c>
      <c r="X16" s="174">
        <v>0.0</v>
      </c>
      <c r="Y16" s="174">
        <v>0.0</v>
      </c>
      <c r="Z16" s="174">
        <v>2720.0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7418</v>
      </c>
    </row>
    <row r="17" ht="18.0" customHeight="1">
      <c r="A17" s="28"/>
      <c r="B17" s="40"/>
      <c r="C17" s="188" t="s">
        <v>9</v>
      </c>
      <c r="D17" s="189">
        <v>89261.0</v>
      </c>
      <c r="E17" s="190">
        <v>122135.0</v>
      </c>
      <c r="F17" s="190">
        <v>101968.0</v>
      </c>
      <c r="G17" s="191">
        <v>97190.0</v>
      </c>
      <c r="H17" s="191">
        <v>81408.0</v>
      </c>
      <c r="I17" s="191">
        <v>117485.0</v>
      </c>
      <c r="J17" s="191">
        <v>97525.0</v>
      </c>
      <c r="K17" s="191">
        <v>109352.0</v>
      </c>
      <c r="L17" s="191">
        <v>111868.0</v>
      </c>
      <c r="M17" s="191">
        <v>74954.0</v>
      </c>
      <c r="N17" s="191"/>
      <c r="O17" s="192"/>
      <c r="P17" s="193"/>
      <c r="Q17" s="181">
        <v>0.0</v>
      </c>
      <c r="R17" s="181">
        <v>0.0</v>
      </c>
      <c r="S17" s="181">
        <v>15558.0</v>
      </c>
      <c r="T17" s="181">
        <v>3741.0</v>
      </c>
      <c r="U17" s="181">
        <v>8276.0</v>
      </c>
      <c r="V17" s="181">
        <v>3186.0</v>
      </c>
      <c r="W17" s="181">
        <v>12276.0</v>
      </c>
      <c r="X17" s="181">
        <v>0.0</v>
      </c>
      <c r="Y17" s="181">
        <v>0.0</v>
      </c>
      <c r="Z17" s="181">
        <v>6220.0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194">
        <f t="shared" si="12"/>
        <v>49257</v>
      </c>
    </row>
    <row r="18" ht="18.0" customHeight="1">
      <c r="A18" s="29"/>
      <c r="B18" s="195" t="s">
        <v>11</v>
      </c>
      <c r="C18" s="196" t="s">
        <v>9</v>
      </c>
      <c r="D18" s="197">
        <v>42200.0</v>
      </c>
      <c r="E18" s="198">
        <v>33956.0</v>
      </c>
      <c r="F18" s="198">
        <v>26200.0</v>
      </c>
      <c r="G18" s="135">
        <v>42668.0</v>
      </c>
      <c r="H18" s="135">
        <v>26956.0</v>
      </c>
      <c r="I18" s="135">
        <v>27416.0</v>
      </c>
      <c r="J18" s="135">
        <v>37212.0</v>
      </c>
      <c r="K18" s="135">
        <v>26344.0</v>
      </c>
      <c r="L18" s="135">
        <v>32436.0</v>
      </c>
      <c r="M18" s="135">
        <v>18792.0</v>
      </c>
      <c r="N18" s="135"/>
      <c r="O18" s="199"/>
      <c r="P18" s="200"/>
      <c r="Q18" s="202">
        <v>0.0</v>
      </c>
      <c r="R18" s="202">
        <v>0.0</v>
      </c>
      <c r="S18" s="202">
        <v>20120.0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10192.0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30312</v>
      </c>
    </row>
    <row r="19" ht="18.0" customHeight="1">
      <c r="A19" s="17" t="s">
        <v>14</v>
      </c>
      <c r="B19" s="17" t="s">
        <v>7</v>
      </c>
      <c r="C19" s="94" t="s">
        <v>8</v>
      </c>
      <c r="D19" s="273">
        <v>37.0</v>
      </c>
      <c r="E19" s="171">
        <v>-300.0</v>
      </c>
      <c r="F19" s="171">
        <v>2044.0</v>
      </c>
      <c r="G19" s="120">
        <v>1844.0</v>
      </c>
      <c r="H19" s="120">
        <v>980.0</v>
      </c>
      <c r="I19" s="120">
        <v>492.0</v>
      </c>
      <c r="J19" s="120">
        <v>1820.0</v>
      </c>
      <c r="K19" s="120">
        <v>2716.0</v>
      </c>
      <c r="L19" s="120">
        <v>1400.0</v>
      </c>
      <c r="M19" s="120">
        <v>1040.0</v>
      </c>
      <c r="N19" s="120"/>
      <c r="O19" s="1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176">
        <v>352.0</v>
      </c>
      <c r="E20" s="177">
        <v>944.0</v>
      </c>
      <c r="F20" s="177">
        <v>1460.0</v>
      </c>
      <c r="G20" s="178">
        <v>400.0</v>
      </c>
      <c r="H20" s="178">
        <v>-5948.0</v>
      </c>
      <c r="I20" s="178">
        <v>-2352.0</v>
      </c>
      <c r="J20" s="178">
        <v>104.0</v>
      </c>
      <c r="K20" s="178">
        <v>960.0</v>
      </c>
      <c r="L20" s="178">
        <v>1888.0</v>
      </c>
      <c r="M20" s="178">
        <v>224.0</v>
      </c>
      <c r="N20" s="178"/>
      <c r="O20" s="179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184">
        <v>2769.0</v>
      </c>
      <c r="E21" s="185">
        <v>1108.0</v>
      </c>
      <c r="F21" s="185">
        <v>4792.0</v>
      </c>
      <c r="G21" s="126">
        <v>1838.0</v>
      </c>
      <c r="H21" s="126">
        <v>-20732.0</v>
      </c>
      <c r="I21" s="120">
        <v>1358.0</v>
      </c>
      <c r="J21" s="126">
        <v>3167.0</v>
      </c>
      <c r="K21" s="126">
        <v>905.0</v>
      </c>
      <c r="L21" s="126">
        <v>740.0</v>
      </c>
      <c r="M21" s="126">
        <v>2509.0</v>
      </c>
      <c r="N21" s="126"/>
      <c r="O21" s="186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189">
        <v>27128.0</v>
      </c>
      <c r="E22" s="190">
        <v>46078.0</v>
      </c>
      <c r="F22" s="190">
        <v>44912.0</v>
      </c>
      <c r="G22" s="191">
        <v>35637.0</v>
      </c>
      <c r="H22" s="191">
        <v>66542.0</v>
      </c>
      <c r="I22" s="191">
        <v>25329.0</v>
      </c>
      <c r="J22" s="191">
        <v>14828.0</v>
      </c>
      <c r="K22" s="191">
        <v>21676.0</v>
      </c>
      <c r="L22" s="191">
        <v>32847.0</v>
      </c>
      <c r="M22" s="191">
        <v>28964.0</v>
      </c>
      <c r="N22" s="191"/>
      <c r="O22" s="192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197">
        <v>-10708.0</v>
      </c>
      <c r="E23" s="198">
        <v>-4184.0</v>
      </c>
      <c r="F23" s="198">
        <v>2080.0</v>
      </c>
      <c r="G23" s="135">
        <v>2096.0</v>
      </c>
      <c r="H23" s="135">
        <v>4612.0</v>
      </c>
      <c r="I23" s="135">
        <v>2768.0</v>
      </c>
      <c r="J23" s="135">
        <v>3772.0</v>
      </c>
      <c r="K23" s="135">
        <v>1220.0</v>
      </c>
      <c r="L23" s="135">
        <v>3884.0</v>
      </c>
      <c r="M23" s="135">
        <v>1676.0</v>
      </c>
      <c r="N23" s="214"/>
      <c r="O23" s="215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3696</v>
      </c>
      <c r="E24" s="20">
        <f t="shared" si="13"/>
        <v>5942</v>
      </c>
      <c r="F24" s="20">
        <f t="shared" si="13"/>
        <v>3762</v>
      </c>
      <c r="G24" s="20">
        <f t="shared" si="13"/>
        <v>5158</v>
      </c>
      <c r="H24" s="20">
        <f t="shared" si="13"/>
        <v>4550</v>
      </c>
      <c r="I24" s="20">
        <f t="shared" si="13"/>
        <v>4310</v>
      </c>
      <c r="J24" s="20">
        <f t="shared" si="13"/>
        <v>5382</v>
      </c>
      <c r="K24" s="20">
        <f t="shared" si="13"/>
        <v>4658</v>
      </c>
      <c r="L24" s="20">
        <f t="shared" si="13"/>
        <v>3506</v>
      </c>
      <c r="M24" s="20">
        <f t="shared" si="13"/>
        <v>3782</v>
      </c>
      <c r="N24" s="20">
        <f t="shared" si="13"/>
        <v>3782</v>
      </c>
      <c r="O24" s="21">
        <f t="shared" si="13"/>
        <v>3782</v>
      </c>
      <c r="P24" s="274">
        <f t="shared" si="13"/>
        <v>3782</v>
      </c>
      <c r="Q24" s="74">
        <f t="shared" si="13"/>
        <v>3782</v>
      </c>
      <c r="R24" s="66">
        <f t="shared" si="13"/>
        <v>3782</v>
      </c>
      <c r="S24" s="66">
        <f t="shared" si="13"/>
        <v>4922</v>
      </c>
      <c r="T24" s="66">
        <f t="shared" si="13"/>
        <v>4922</v>
      </c>
      <c r="U24" s="66">
        <f t="shared" si="13"/>
        <v>5338</v>
      </c>
      <c r="V24" s="66">
        <f t="shared" si="13"/>
        <v>5338</v>
      </c>
      <c r="W24" s="66">
        <f t="shared" si="13"/>
        <v>6586</v>
      </c>
      <c r="X24" s="66">
        <f t="shared" si="13"/>
        <v>6586</v>
      </c>
      <c r="Y24" s="66">
        <f t="shared" si="13"/>
        <v>6586</v>
      </c>
      <c r="Z24" s="66">
        <f t="shared" si="13"/>
        <v>6554</v>
      </c>
      <c r="AA24" s="66">
        <f t="shared" si="13"/>
        <v>6554</v>
      </c>
      <c r="AB24" s="66">
        <f t="shared" si="13"/>
        <v>6554</v>
      </c>
      <c r="AC24" s="66">
        <f t="shared" si="13"/>
        <v>6554</v>
      </c>
      <c r="AD24" s="66">
        <f t="shared" si="13"/>
        <v>6554</v>
      </c>
      <c r="AE24" s="66">
        <f t="shared" si="13"/>
        <v>6554</v>
      </c>
      <c r="AF24" s="66">
        <f t="shared" si="13"/>
        <v>6554</v>
      </c>
      <c r="AG24" s="66">
        <f t="shared" si="13"/>
        <v>6554</v>
      </c>
      <c r="AH24" s="66">
        <f t="shared" si="13"/>
        <v>6554</v>
      </c>
      <c r="AI24" s="66">
        <f t="shared" si="13"/>
        <v>6554</v>
      </c>
      <c r="AJ24" s="66">
        <f t="shared" si="13"/>
        <v>6554</v>
      </c>
      <c r="AK24" s="66">
        <f t="shared" si="13"/>
        <v>6554</v>
      </c>
      <c r="AL24" s="66">
        <f t="shared" si="13"/>
        <v>6554</v>
      </c>
      <c r="AM24" s="66">
        <f t="shared" si="13"/>
        <v>6554</v>
      </c>
      <c r="AN24" s="66">
        <f t="shared" si="13"/>
        <v>6554</v>
      </c>
      <c r="AO24" s="66">
        <f t="shared" si="13"/>
        <v>6554</v>
      </c>
      <c r="AP24" s="66">
        <f t="shared" si="13"/>
        <v>6554</v>
      </c>
      <c r="AQ24" s="66">
        <f t="shared" si="13"/>
        <v>6554</v>
      </c>
      <c r="AR24" s="66">
        <f t="shared" si="13"/>
        <v>6554</v>
      </c>
      <c r="AS24" s="66">
        <f t="shared" si="13"/>
        <v>6554</v>
      </c>
      <c r="AT24" s="66">
        <f t="shared" si="13"/>
        <v>6554</v>
      </c>
      <c r="AU24" s="66">
        <f t="shared" si="13"/>
        <v>6554</v>
      </c>
      <c r="AV24" s="220">
        <f t="shared" si="13"/>
        <v>6554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5428</v>
      </c>
      <c r="E25" s="222">
        <f t="shared" si="14"/>
        <v>9712</v>
      </c>
      <c r="F25" s="222">
        <f t="shared" si="14"/>
        <v>14620</v>
      </c>
      <c r="G25" s="222">
        <f t="shared" si="14"/>
        <v>9348</v>
      </c>
      <c r="H25" s="222">
        <f t="shared" si="14"/>
        <v>12696</v>
      </c>
      <c r="I25" s="222">
        <f t="shared" si="14"/>
        <v>8592</v>
      </c>
      <c r="J25" s="222">
        <f t="shared" si="14"/>
        <v>13040</v>
      </c>
      <c r="K25" s="222">
        <f t="shared" si="14"/>
        <v>12024</v>
      </c>
      <c r="L25" s="222">
        <f t="shared" si="14"/>
        <v>8496</v>
      </c>
      <c r="M25" s="222">
        <f t="shared" si="14"/>
        <v>7800</v>
      </c>
      <c r="N25" s="222">
        <f t="shared" si="14"/>
        <v>7800</v>
      </c>
      <c r="O25" s="223">
        <f t="shared" si="14"/>
        <v>7800</v>
      </c>
      <c r="P25" s="275">
        <f t="shared" si="14"/>
        <v>7800</v>
      </c>
      <c r="Q25" s="35">
        <f t="shared" si="14"/>
        <v>7800</v>
      </c>
      <c r="R25" s="36">
        <f t="shared" si="14"/>
        <v>7800</v>
      </c>
      <c r="S25" s="36">
        <f t="shared" si="14"/>
        <v>5040</v>
      </c>
      <c r="T25" s="36">
        <f t="shared" si="14"/>
        <v>4740</v>
      </c>
      <c r="U25" s="36">
        <f t="shared" si="14"/>
        <v>4820</v>
      </c>
      <c r="V25" s="36">
        <f t="shared" si="14"/>
        <v>3808</v>
      </c>
      <c r="W25" s="36">
        <f t="shared" si="14"/>
        <v>5008</v>
      </c>
      <c r="X25" s="36">
        <f t="shared" si="14"/>
        <v>5008</v>
      </c>
      <c r="Y25" s="36">
        <f t="shared" si="14"/>
        <v>5008</v>
      </c>
      <c r="Z25" s="36">
        <f t="shared" si="14"/>
        <v>6328</v>
      </c>
      <c r="AA25" s="36">
        <f t="shared" si="14"/>
        <v>6328</v>
      </c>
      <c r="AB25" s="36">
        <f t="shared" si="14"/>
        <v>6328</v>
      </c>
      <c r="AC25" s="36">
        <f t="shared" si="14"/>
        <v>6328</v>
      </c>
      <c r="AD25" s="36">
        <f t="shared" si="14"/>
        <v>6328</v>
      </c>
      <c r="AE25" s="36">
        <f t="shared" si="14"/>
        <v>6328</v>
      </c>
      <c r="AF25" s="36">
        <f t="shared" si="14"/>
        <v>6328</v>
      </c>
      <c r="AG25" s="36">
        <f t="shared" si="14"/>
        <v>6328</v>
      </c>
      <c r="AH25" s="36">
        <f t="shared" si="14"/>
        <v>6328</v>
      </c>
      <c r="AI25" s="36">
        <f t="shared" si="14"/>
        <v>6328</v>
      </c>
      <c r="AJ25" s="36">
        <f t="shared" si="14"/>
        <v>6328</v>
      </c>
      <c r="AK25" s="36">
        <f t="shared" si="14"/>
        <v>6328</v>
      </c>
      <c r="AL25" s="36">
        <f t="shared" si="14"/>
        <v>6328</v>
      </c>
      <c r="AM25" s="36">
        <f t="shared" si="14"/>
        <v>6328</v>
      </c>
      <c r="AN25" s="36">
        <f t="shared" si="14"/>
        <v>6328</v>
      </c>
      <c r="AO25" s="36">
        <f t="shared" si="14"/>
        <v>6328</v>
      </c>
      <c r="AP25" s="36">
        <f t="shared" si="14"/>
        <v>6328</v>
      </c>
      <c r="AQ25" s="36">
        <f t="shared" si="14"/>
        <v>6328</v>
      </c>
      <c r="AR25" s="36">
        <f t="shared" si="14"/>
        <v>6328</v>
      </c>
      <c r="AS25" s="36">
        <f t="shared" si="14"/>
        <v>6328</v>
      </c>
      <c r="AT25" s="36">
        <f t="shared" si="14"/>
        <v>6328</v>
      </c>
      <c r="AU25" s="36">
        <f t="shared" si="14"/>
        <v>6328</v>
      </c>
      <c r="AV25" s="276">
        <f t="shared" si="14"/>
        <v>6328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9501</v>
      </c>
      <c r="E26" s="32">
        <f t="shared" si="15"/>
        <v>8921</v>
      </c>
      <c r="F26" s="32">
        <f t="shared" si="15"/>
        <v>11511</v>
      </c>
      <c r="G26" s="32">
        <f t="shared" si="15"/>
        <v>8707</v>
      </c>
      <c r="H26" s="32">
        <f t="shared" si="15"/>
        <v>8607</v>
      </c>
      <c r="I26" s="32">
        <f t="shared" si="15"/>
        <v>11713</v>
      </c>
      <c r="J26" s="32">
        <f t="shared" si="15"/>
        <v>8846</v>
      </c>
      <c r="K26" s="32">
        <f t="shared" si="15"/>
        <v>14626</v>
      </c>
      <c r="L26" s="32">
        <f t="shared" si="15"/>
        <v>18830</v>
      </c>
      <c r="M26" s="32">
        <f t="shared" si="15"/>
        <v>14598</v>
      </c>
      <c r="N26" s="32">
        <f t="shared" si="15"/>
        <v>14598</v>
      </c>
      <c r="O26" s="33">
        <f t="shared" si="15"/>
        <v>14598</v>
      </c>
      <c r="P26" s="274">
        <f t="shared" si="15"/>
        <v>14598</v>
      </c>
      <c r="Q26" s="74">
        <f t="shared" si="15"/>
        <v>14598</v>
      </c>
      <c r="R26" s="66">
        <f t="shared" si="15"/>
        <v>14598</v>
      </c>
      <c r="S26" s="66">
        <f t="shared" si="15"/>
        <v>15461</v>
      </c>
      <c r="T26" s="66">
        <f t="shared" si="15"/>
        <v>15461</v>
      </c>
      <c r="U26" s="66">
        <f t="shared" si="15"/>
        <v>13229</v>
      </c>
      <c r="V26" s="66">
        <f t="shared" si="15"/>
        <v>13850</v>
      </c>
      <c r="W26" s="66">
        <f t="shared" si="15"/>
        <v>13474</v>
      </c>
      <c r="X26" s="66">
        <f t="shared" si="15"/>
        <v>13474</v>
      </c>
      <c r="Y26" s="66">
        <f t="shared" si="15"/>
        <v>13474</v>
      </c>
      <c r="Z26" s="66">
        <f t="shared" si="15"/>
        <v>10754</v>
      </c>
      <c r="AA26" s="66">
        <f t="shared" si="15"/>
        <v>10754</v>
      </c>
      <c r="AB26" s="66">
        <f t="shared" si="15"/>
        <v>10754</v>
      </c>
      <c r="AC26" s="66">
        <f t="shared" si="15"/>
        <v>10754</v>
      </c>
      <c r="AD26" s="66">
        <f t="shared" si="15"/>
        <v>10754</v>
      </c>
      <c r="AE26" s="66">
        <f t="shared" si="15"/>
        <v>10754</v>
      </c>
      <c r="AF26" s="66">
        <f t="shared" si="15"/>
        <v>10754</v>
      </c>
      <c r="AG26" s="66">
        <f t="shared" si="15"/>
        <v>10754</v>
      </c>
      <c r="AH26" s="66">
        <f t="shared" si="15"/>
        <v>10754</v>
      </c>
      <c r="AI26" s="66">
        <f t="shared" si="15"/>
        <v>10754</v>
      </c>
      <c r="AJ26" s="66">
        <f t="shared" si="15"/>
        <v>10754</v>
      </c>
      <c r="AK26" s="66">
        <f t="shared" si="15"/>
        <v>10754</v>
      </c>
      <c r="AL26" s="66">
        <f t="shared" si="15"/>
        <v>10754</v>
      </c>
      <c r="AM26" s="66">
        <f t="shared" si="15"/>
        <v>10754</v>
      </c>
      <c r="AN26" s="66">
        <f t="shared" si="15"/>
        <v>10754</v>
      </c>
      <c r="AO26" s="66">
        <f t="shared" si="15"/>
        <v>10754</v>
      </c>
      <c r="AP26" s="66">
        <f t="shared" si="15"/>
        <v>10754</v>
      </c>
      <c r="AQ26" s="66">
        <f t="shared" si="15"/>
        <v>10754</v>
      </c>
      <c r="AR26" s="66">
        <f t="shared" si="15"/>
        <v>10754</v>
      </c>
      <c r="AS26" s="66">
        <f t="shared" si="15"/>
        <v>10754</v>
      </c>
      <c r="AT26" s="66">
        <f t="shared" si="15"/>
        <v>10754</v>
      </c>
      <c r="AU26" s="66">
        <f t="shared" si="15"/>
        <v>10754</v>
      </c>
      <c r="AV26" s="67">
        <f t="shared" si="15"/>
        <v>10754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91278</v>
      </c>
      <c r="E27" s="222">
        <f t="shared" si="16"/>
        <v>73664</v>
      </c>
      <c r="F27" s="222">
        <f t="shared" si="16"/>
        <v>82229</v>
      </c>
      <c r="G27" s="222">
        <f t="shared" si="16"/>
        <v>144098</v>
      </c>
      <c r="H27" s="222">
        <f t="shared" si="16"/>
        <v>119649</v>
      </c>
      <c r="I27" s="222">
        <f t="shared" si="16"/>
        <v>97884</v>
      </c>
      <c r="J27" s="222">
        <f t="shared" si="16"/>
        <v>112603</v>
      </c>
      <c r="K27" s="222">
        <f t="shared" si="16"/>
        <v>127009</v>
      </c>
      <c r="L27" s="222">
        <f t="shared" si="16"/>
        <v>113154</v>
      </c>
      <c r="M27" s="222">
        <f t="shared" si="16"/>
        <v>104269</v>
      </c>
      <c r="N27" s="222">
        <f t="shared" si="16"/>
        <v>104269</v>
      </c>
      <c r="O27" s="223">
        <f t="shared" si="16"/>
        <v>104269</v>
      </c>
      <c r="P27" s="275">
        <f t="shared" si="16"/>
        <v>104269</v>
      </c>
      <c r="Q27" s="35">
        <f t="shared" si="16"/>
        <v>104269</v>
      </c>
      <c r="R27" s="36">
        <f t="shared" si="16"/>
        <v>104269</v>
      </c>
      <c r="S27" s="36">
        <f t="shared" si="16"/>
        <v>94775</v>
      </c>
      <c r="T27" s="36">
        <f t="shared" si="16"/>
        <v>102754</v>
      </c>
      <c r="U27" s="36">
        <f t="shared" si="16"/>
        <v>104600</v>
      </c>
      <c r="V27" s="36">
        <f t="shared" si="16"/>
        <v>106614</v>
      </c>
      <c r="W27" s="36">
        <f t="shared" si="16"/>
        <v>100825</v>
      </c>
      <c r="X27" s="36">
        <f t="shared" si="16"/>
        <v>100825</v>
      </c>
      <c r="Y27" s="36">
        <f t="shared" si="16"/>
        <v>100825</v>
      </c>
      <c r="Z27" s="36">
        <f t="shared" si="16"/>
        <v>99765</v>
      </c>
      <c r="AA27" s="36">
        <f t="shared" si="16"/>
        <v>99765</v>
      </c>
      <c r="AB27" s="36">
        <f t="shared" si="16"/>
        <v>99765</v>
      </c>
      <c r="AC27" s="36">
        <f t="shared" si="16"/>
        <v>99765</v>
      </c>
      <c r="AD27" s="36">
        <f t="shared" si="16"/>
        <v>99765</v>
      </c>
      <c r="AE27" s="36">
        <f t="shared" si="16"/>
        <v>99765</v>
      </c>
      <c r="AF27" s="36">
        <f t="shared" si="16"/>
        <v>99765</v>
      </c>
      <c r="AG27" s="36">
        <f t="shared" si="16"/>
        <v>99765</v>
      </c>
      <c r="AH27" s="36">
        <f t="shared" si="16"/>
        <v>99765</v>
      </c>
      <c r="AI27" s="36">
        <f t="shared" si="16"/>
        <v>99765</v>
      </c>
      <c r="AJ27" s="36">
        <f t="shared" si="16"/>
        <v>99765</v>
      </c>
      <c r="AK27" s="36">
        <f t="shared" si="16"/>
        <v>99765</v>
      </c>
      <c r="AL27" s="36">
        <f t="shared" si="16"/>
        <v>99765</v>
      </c>
      <c r="AM27" s="36">
        <f t="shared" si="16"/>
        <v>99765</v>
      </c>
      <c r="AN27" s="36">
        <f t="shared" si="16"/>
        <v>99765</v>
      </c>
      <c r="AO27" s="36">
        <f t="shared" si="16"/>
        <v>99765</v>
      </c>
      <c r="AP27" s="36">
        <f t="shared" si="16"/>
        <v>99765</v>
      </c>
      <c r="AQ27" s="36">
        <f t="shared" si="16"/>
        <v>99765</v>
      </c>
      <c r="AR27" s="36">
        <f t="shared" si="16"/>
        <v>99765</v>
      </c>
      <c r="AS27" s="36">
        <f t="shared" si="16"/>
        <v>99765</v>
      </c>
      <c r="AT27" s="36">
        <f t="shared" si="16"/>
        <v>99765</v>
      </c>
      <c r="AU27" s="36">
        <f t="shared" si="16"/>
        <v>99765</v>
      </c>
      <c r="AV27" s="63">
        <f t="shared" si="16"/>
        <v>99765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13528</v>
      </c>
      <c r="E28" s="230">
        <f t="shared" si="17"/>
        <v>24744</v>
      </c>
      <c r="F28" s="230">
        <f t="shared" si="17"/>
        <v>13616</v>
      </c>
      <c r="G28" s="230">
        <f t="shared" si="17"/>
        <v>13536</v>
      </c>
      <c r="H28" s="230">
        <f t="shared" si="17"/>
        <v>23460</v>
      </c>
      <c r="I28" s="230">
        <f t="shared" si="17"/>
        <v>26600</v>
      </c>
      <c r="J28" s="230">
        <f t="shared" si="17"/>
        <v>12316</v>
      </c>
      <c r="K28" s="230">
        <f t="shared" si="17"/>
        <v>14856</v>
      </c>
      <c r="L28" s="230">
        <f t="shared" si="17"/>
        <v>9568</v>
      </c>
      <c r="M28" s="230">
        <f t="shared" si="17"/>
        <v>25900</v>
      </c>
      <c r="N28" s="230">
        <f t="shared" si="17"/>
        <v>25900</v>
      </c>
      <c r="O28" s="231">
        <f t="shared" si="17"/>
        <v>25900</v>
      </c>
      <c r="P28" s="232">
        <f t="shared" si="17"/>
        <v>25900</v>
      </c>
      <c r="Q28" s="84">
        <f t="shared" si="17"/>
        <v>25900</v>
      </c>
      <c r="R28" s="71">
        <f t="shared" si="17"/>
        <v>25900</v>
      </c>
      <c r="S28" s="71">
        <f t="shared" si="17"/>
        <v>5780</v>
      </c>
      <c r="T28" s="71">
        <f t="shared" si="17"/>
        <v>5780</v>
      </c>
      <c r="U28" s="71">
        <f t="shared" si="17"/>
        <v>5780</v>
      </c>
      <c r="V28" s="71">
        <f t="shared" si="17"/>
        <v>11604</v>
      </c>
      <c r="W28" s="71">
        <f t="shared" si="17"/>
        <v>13212</v>
      </c>
      <c r="X28" s="71">
        <f t="shared" si="17"/>
        <v>13212</v>
      </c>
      <c r="Y28" s="71">
        <f t="shared" si="17"/>
        <v>13212</v>
      </c>
      <c r="Z28" s="71">
        <f t="shared" si="17"/>
        <v>7180</v>
      </c>
      <c r="AA28" s="71">
        <f t="shared" si="17"/>
        <v>7180</v>
      </c>
      <c r="AB28" s="71">
        <f t="shared" si="17"/>
        <v>7180</v>
      </c>
      <c r="AC28" s="71">
        <f t="shared" si="17"/>
        <v>7180</v>
      </c>
      <c r="AD28" s="71">
        <f t="shared" si="17"/>
        <v>7180</v>
      </c>
      <c r="AE28" s="71">
        <f t="shared" si="17"/>
        <v>7180</v>
      </c>
      <c r="AF28" s="71">
        <f t="shared" si="17"/>
        <v>7180</v>
      </c>
      <c r="AG28" s="71">
        <f t="shared" si="17"/>
        <v>7180</v>
      </c>
      <c r="AH28" s="71">
        <f t="shared" si="17"/>
        <v>7180</v>
      </c>
      <c r="AI28" s="71">
        <f t="shared" si="17"/>
        <v>7180</v>
      </c>
      <c r="AJ28" s="71">
        <f t="shared" si="17"/>
        <v>7180</v>
      </c>
      <c r="AK28" s="71">
        <f t="shared" si="17"/>
        <v>7180</v>
      </c>
      <c r="AL28" s="71">
        <f t="shared" si="17"/>
        <v>7180</v>
      </c>
      <c r="AM28" s="71">
        <f t="shared" si="17"/>
        <v>7180</v>
      </c>
      <c r="AN28" s="71">
        <f t="shared" si="17"/>
        <v>7180</v>
      </c>
      <c r="AO28" s="71">
        <f t="shared" si="17"/>
        <v>7180</v>
      </c>
      <c r="AP28" s="71">
        <f t="shared" si="17"/>
        <v>7180</v>
      </c>
      <c r="AQ28" s="71">
        <f t="shared" si="17"/>
        <v>7180</v>
      </c>
      <c r="AR28" s="71">
        <f t="shared" si="17"/>
        <v>7180</v>
      </c>
      <c r="AS28" s="71">
        <f t="shared" si="17"/>
        <v>7180</v>
      </c>
      <c r="AT28" s="71">
        <f t="shared" si="17"/>
        <v>7180</v>
      </c>
      <c r="AU28" s="71">
        <f t="shared" si="17"/>
        <v>7180</v>
      </c>
      <c r="AV28" s="63">
        <f t="shared" si="17"/>
        <v>7180</v>
      </c>
    </row>
    <row r="29" ht="18.0" customHeight="1">
      <c r="A29" s="1"/>
      <c r="B29" s="1"/>
      <c r="C29" s="1"/>
      <c r="D29" s="27">
        <f t="shared" ref="D29:AV29" si="18">SUM(D24:D28)</f>
        <v>123431</v>
      </c>
      <c r="E29" s="27">
        <f t="shared" si="18"/>
        <v>122983</v>
      </c>
      <c r="F29" s="27">
        <f t="shared" si="18"/>
        <v>125738</v>
      </c>
      <c r="G29" s="27">
        <f t="shared" si="18"/>
        <v>180847</v>
      </c>
      <c r="H29" s="27">
        <f t="shared" si="18"/>
        <v>168962</v>
      </c>
      <c r="I29" s="27">
        <f t="shared" si="18"/>
        <v>149099</v>
      </c>
      <c r="J29" s="27">
        <f t="shared" si="18"/>
        <v>152187</v>
      </c>
      <c r="K29" s="27">
        <f t="shared" si="18"/>
        <v>173173</v>
      </c>
      <c r="L29" s="27">
        <f t="shared" si="18"/>
        <v>153554</v>
      </c>
      <c r="M29" s="27">
        <f t="shared" si="18"/>
        <v>156349</v>
      </c>
      <c r="N29" s="27">
        <f t="shared" si="18"/>
        <v>156349</v>
      </c>
      <c r="O29" s="27">
        <f t="shared" si="18"/>
        <v>156349</v>
      </c>
      <c r="P29" s="27">
        <f t="shared" si="18"/>
        <v>156349</v>
      </c>
      <c r="Q29" s="27">
        <f t="shared" si="18"/>
        <v>156349</v>
      </c>
      <c r="R29" s="27">
        <f t="shared" si="18"/>
        <v>156349</v>
      </c>
      <c r="S29" s="27">
        <f t="shared" si="18"/>
        <v>125978</v>
      </c>
      <c r="T29" s="27">
        <f t="shared" si="18"/>
        <v>133657</v>
      </c>
      <c r="U29" s="27">
        <f t="shared" si="18"/>
        <v>133767</v>
      </c>
      <c r="V29" s="27">
        <f t="shared" si="18"/>
        <v>141214</v>
      </c>
      <c r="W29" s="27">
        <f t="shared" si="18"/>
        <v>139105</v>
      </c>
      <c r="X29" s="27">
        <f t="shared" si="18"/>
        <v>139105</v>
      </c>
      <c r="Y29" s="27">
        <f t="shared" si="18"/>
        <v>139105</v>
      </c>
      <c r="Z29" s="27">
        <f t="shared" si="18"/>
        <v>130581</v>
      </c>
      <c r="AA29" s="27">
        <f t="shared" si="18"/>
        <v>130581</v>
      </c>
      <c r="AB29" s="27">
        <f t="shared" si="18"/>
        <v>130581</v>
      </c>
      <c r="AC29" s="27">
        <f t="shared" si="18"/>
        <v>130581</v>
      </c>
      <c r="AD29" s="27">
        <f t="shared" si="18"/>
        <v>130581</v>
      </c>
      <c r="AE29" s="27">
        <f t="shared" si="18"/>
        <v>130581</v>
      </c>
      <c r="AF29" s="27">
        <f t="shared" si="18"/>
        <v>130581</v>
      </c>
      <c r="AG29" s="27">
        <f t="shared" si="18"/>
        <v>130581</v>
      </c>
      <c r="AH29" s="27">
        <f t="shared" si="18"/>
        <v>130581</v>
      </c>
      <c r="AI29" s="27">
        <f t="shared" si="18"/>
        <v>130581</v>
      </c>
      <c r="AJ29" s="27">
        <f t="shared" si="18"/>
        <v>130581</v>
      </c>
      <c r="AK29" s="27">
        <f t="shared" si="18"/>
        <v>130581</v>
      </c>
      <c r="AL29" s="27">
        <f t="shared" si="18"/>
        <v>130581</v>
      </c>
      <c r="AM29" s="27">
        <f t="shared" si="18"/>
        <v>130581</v>
      </c>
      <c r="AN29" s="27">
        <f t="shared" si="18"/>
        <v>130581</v>
      </c>
      <c r="AO29" s="27">
        <f t="shared" si="18"/>
        <v>130581</v>
      </c>
      <c r="AP29" s="27">
        <f t="shared" si="18"/>
        <v>130581</v>
      </c>
      <c r="AQ29" s="27">
        <f t="shared" si="18"/>
        <v>130581</v>
      </c>
      <c r="AR29" s="27">
        <f t="shared" si="18"/>
        <v>130581</v>
      </c>
      <c r="AS29" s="27">
        <f t="shared" si="18"/>
        <v>130581</v>
      </c>
      <c r="AT29" s="27">
        <f t="shared" si="18"/>
        <v>130581</v>
      </c>
      <c r="AU29" s="27">
        <f t="shared" si="18"/>
        <v>130581</v>
      </c>
      <c r="AV29" s="27">
        <f t="shared" si="18"/>
        <v>130581</v>
      </c>
    </row>
    <row r="30" ht="18.0" customHeight="1">
      <c r="A30" s="1"/>
      <c r="B30" s="1"/>
      <c r="C30" s="1"/>
      <c r="D30" s="1"/>
      <c r="E30" s="1"/>
      <c r="F30" s="1"/>
      <c r="K30" s="27"/>
      <c r="L30" s="27"/>
      <c r="M30" s="27"/>
      <c r="N30" s="27"/>
      <c r="O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58"/>
    </row>
    <row r="31" ht="18.0" customHeight="1">
      <c r="A31" s="93" t="s">
        <v>16</v>
      </c>
      <c r="B31" s="17" t="s">
        <v>7</v>
      </c>
      <c r="C31" s="94" t="s">
        <v>8</v>
      </c>
      <c r="D31" s="233">
        <v>20.76</v>
      </c>
      <c r="E31" s="234">
        <f t="shared" ref="E31:AV31" si="19">E24/200</f>
        <v>29.71</v>
      </c>
      <c r="F31" s="234">
        <f t="shared" si="19"/>
        <v>18.81</v>
      </c>
      <c r="G31" s="234">
        <f t="shared" si="19"/>
        <v>25.79</v>
      </c>
      <c r="H31" s="234">
        <f t="shared" si="19"/>
        <v>22.75</v>
      </c>
      <c r="I31" s="234">
        <f t="shared" si="19"/>
        <v>21.55</v>
      </c>
      <c r="J31" s="234">
        <f t="shared" si="19"/>
        <v>26.91</v>
      </c>
      <c r="K31" s="234">
        <f t="shared" si="19"/>
        <v>23.29</v>
      </c>
      <c r="L31" s="234">
        <f t="shared" si="19"/>
        <v>17.53</v>
      </c>
      <c r="M31" s="234">
        <f t="shared" si="19"/>
        <v>18.91</v>
      </c>
      <c r="N31" s="234">
        <f t="shared" si="19"/>
        <v>18.91</v>
      </c>
      <c r="O31" s="234">
        <f t="shared" si="19"/>
        <v>18.91</v>
      </c>
      <c r="P31" s="233">
        <f t="shared" si="19"/>
        <v>18.91</v>
      </c>
      <c r="Q31" s="201">
        <f t="shared" si="19"/>
        <v>18.91</v>
      </c>
      <c r="R31" s="171">
        <f t="shared" si="19"/>
        <v>18.91</v>
      </c>
      <c r="S31" s="171">
        <f t="shared" si="19"/>
        <v>24.61</v>
      </c>
      <c r="T31" s="171">
        <f t="shared" si="19"/>
        <v>24.61</v>
      </c>
      <c r="U31" s="171">
        <f t="shared" si="19"/>
        <v>26.69</v>
      </c>
      <c r="V31" s="171">
        <f t="shared" si="19"/>
        <v>26.69</v>
      </c>
      <c r="W31" s="171">
        <f t="shared" si="19"/>
        <v>32.93</v>
      </c>
      <c r="X31" s="171">
        <f t="shared" si="19"/>
        <v>32.93</v>
      </c>
      <c r="Y31" s="171">
        <f t="shared" si="19"/>
        <v>32.93</v>
      </c>
      <c r="Z31" s="171">
        <f t="shared" si="19"/>
        <v>32.77</v>
      </c>
      <c r="AA31" s="171">
        <f t="shared" si="19"/>
        <v>32.77</v>
      </c>
      <c r="AB31" s="171">
        <f t="shared" si="19"/>
        <v>32.77</v>
      </c>
      <c r="AC31" s="171">
        <f t="shared" si="19"/>
        <v>32.77</v>
      </c>
      <c r="AD31" s="171">
        <f t="shared" si="19"/>
        <v>32.77</v>
      </c>
      <c r="AE31" s="171">
        <f t="shared" si="19"/>
        <v>32.77</v>
      </c>
      <c r="AF31" s="171">
        <f t="shared" si="19"/>
        <v>32.77</v>
      </c>
      <c r="AG31" s="171">
        <f t="shared" si="19"/>
        <v>32.77</v>
      </c>
      <c r="AH31" s="171">
        <f t="shared" si="19"/>
        <v>32.77</v>
      </c>
      <c r="AI31" s="171">
        <f t="shared" si="19"/>
        <v>32.77</v>
      </c>
      <c r="AJ31" s="171">
        <f t="shared" si="19"/>
        <v>32.77</v>
      </c>
      <c r="AK31" s="171">
        <f t="shared" si="19"/>
        <v>32.77</v>
      </c>
      <c r="AL31" s="171">
        <f t="shared" si="19"/>
        <v>32.77</v>
      </c>
      <c r="AM31" s="171">
        <f t="shared" si="19"/>
        <v>32.77</v>
      </c>
      <c r="AN31" s="171">
        <f t="shared" si="19"/>
        <v>32.77</v>
      </c>
      <c r="AO31" s="171">
        <f t="shared" si="19"/>
        <v>32.77</v>
      </c>
      <c r="AP31" s="171">
        <f t="shared" si="19"/>
        <v>32.77</v>
      </c>
      <c r="AQ31" s="171">
        <f t="shared" si="19"/>
        <v>32.77</v>
      </c>
      <c r="AR31" s="171">
        <f t="shared" si="19"/>
        <v>32.77</v>
      </c>
      <c r="AS31" s="171">
        <f t="shared" si="19"/>
        <v>32.77</v>
      </c>
      <c r="AT31" s="171">
        <f t="shared" si="19"/>
        <v>32.77</v>
      </c>
      <c r="AU31" s="171">
        <f t="shared" si="19"/>
        <v>32.77</v>
      </c>
      <c r="AV31" s="201">
        <f t="shared" si="19"/>
        <v>32.77</v>
      </c>
    </row>
    <row r="32" ht="18.0" customHeight="1">
      <c r="A32" s="28"/>
      <c r="B32" s="29"/>
      <c r="C32" s="100" t="s">
        <v>9</v>
      </c>
      <c r="D32" s="176">
        <v>27.96</v>
      </c>
      <c r="E32" s="177">
        <f t="shared" ref="E32:AV32" si="20">E25/200</f>
        <v>48.56</v>
      </c>
      <c r="F32" s="177">
        <f t="shared" si="20"/>
        <v>73.1</v>
      </c>
      <c r="G32" s="177">
        <f t="shared" si="20"/>
        <v>46.74</v>
      </c>
      <c r="H32" s="177">
        <f t="shared" si="20"/>
        <v>63.48</v>
      </c>
      <c r="I32" s="177">
        <f t="shared" si="20"/>
        <v>42.96</v>
      </c>
      <c r="J32" s="177">
        <f t="shared" si="20"/>
        <v>65.2</v>
      </c>
      <c r="K32" s="177">
        <f t="shared" si="20"/>
        <v>60.12</v>
      </c>
      <c r="L32" s="177">
        <f t="shared" si="20"/>
        <v>42.48</v>
      </c>
      <c r="M32" s="177">
        <f t="shared" si="20"/>
        <v>39</v>
      </c>
      <c r="N32" s="177">
        <f t="shared" si="20"/>
        <v>39</v>
      </c>
      <c r="O32" s="177">
        <f t="shared" si="20"/>
        <v>39</v>
      </c>
      <c r="P32" s="176">
        <f t="shared" si="20"/>
        <v>39</v>
      </c>
      <c r="Q32" s="176">
        <f t="shared" si="20"/>
        <v>39</v>
      </c>
      <c r="R32" s="177">
        <f t="shared" si="20"/>
        <v>39</v>
      </c>
      <c r="S32" s="177">
        <f t="shared" si="20"/>
        <v>25.2</v>
      </c>
      <c r="T32" s="177">
        <f t="shared" si="20"/>
        <v>23.7</v>
      </c>
      <c r="U32" s="177">
        <f t="shared" si="20"/>
        <v>24.1</v>
      </c>
      <c r="V32" s="177">
        <f t="shared" si="20"/>
        <v>19.04</v>
      </c>
      <c r="W32" s="177">
        <f t="shared" si="20"/>
        <v>25.04</v>
      </c>
      <c r="X32" s="177">
        <f t="shared" si="20"/>
        <v>25.04</v>
      </c>
      <c r="Y32" s="177">
        <f t="shared" si="20"/>
        <v>25.04</v>
      </c>
      <c r="Z32" s="177">
        <f t="shared" si="20"/>
        <v>31.64</v>
      </c>
      <c r="AA32" s="177">
        <f t="shared" si="20"/>
        <v>31.64</v>
      </c>
      <c r="AB32" s="177">
        <f t="shared" si="20"/>
        <v>31.64</v>
      </c>
      <c r="AC32" s="177">
        <f t="shared" si="20"/>
        <v>31.64</v>
      </c>
      <c r="AD32" s="177">
        <f t="shared" si="20"/>
        <v>31.64</v>
      </c>
      <c r="AE32" s="177">
        <f t="shared" si="20"/>
        <v>31.64</v>
      </c>
      <c r="AF32" s="177">
        <f t="shared" si="20"/>
        <v>31.64</v>
      </c>
      <c r="AG32" s="177">
        <f t="shared" si="20"/>
        <v>31.64</v>
      </c>
      <c r="AH32" s="177">
        <f t="shared" si="20"/>
        <v>31.64</v>
      </c>
      <c r="AI32" s="177">
        <f t="shared" si="20"/>
        <v>31.64</v>
      </c>
      <c r="AJ32" s="177">
        <f t="shared" si="20"/>
        <v>31.64</v>
      </c>
      <c r="AK32" s="177">
        <f t="shared" si="20"/>
        <v>31.64</v>
      </c>
      <c r="AL32" s="177">
        <f t="shared" si="20"/>
        <v>31.64</v>
      </c>
      <c r="AM32" s="177">
        <f t="shared" si="20"/>
        <v>31.64</v>
      </c>
      <c r="AN32" s="177">
        <f t="shared" si="20"/>
        <v>31.64</v>
      </c>
      <c r="AO32" s="177">
        <f t="shared" si="20"/>
        <v>31.64</v>
      </c>
      <c r="AP32" s="177">
        <f t="shared" si="20"/>
        <v>31.64</v>
      </c>
      <c r="AQ32" s="177">
        <f t="shared" si="20"/>
        <v>31.64</v>
      </c>
      <c r="AR32" s="177">
        <f t="shared" si="20"/>
        <v>31.64</v>
      </c>
      <c r="AS32" s="177">
        <f t="shared" si="20"/>
        <v>31.64</v>
      </c>
      <c r="AT32" s="177">
        <f t="shared" si="20"/>
        <v>31.64</v>
      </c>
      <c r="AU32" s="177">
        <f t="shared" si="20"/>
        <v>31.64</v>
      </c>
      <c r="AV32" s="176">
        <f t="shared" si="20"/>
        <v>31.64</v>
      </c>
    </row>
    <row r="33" ht="18.0" customHeight="1">
      <c r="A33" s="28"/>
      <c r="B33" s="38" t="s">
        <v>10</v>
      </c>
      <c r="C33" s="106" t="s">
        <v>8</v>
      </c>
      <c r="D33" s="277">
        <v>33.0</v>
      </c>
      <c r="E33" s="278">
        <f t="shared" ref="E33:P33" si="21">ROUND(E26/200,0)</f>
        <v>45</v>
      </c>
      <c r="F33" s="278">
        <f t="shared" si="21"/>
        <v>58</v>
      </c>
      <c r="G33" s="278">
        <f t="shared" si="21"/>
        <v>44</v>
      </c>
      <c r="H33" s="278">
        <f t="shared" si="21"/>
        <v>43</v>
      </c>
      <c r="I33" s="278">
        <f t="shared" si="21"/>
        <v>59</v>
      </c>
      <c r="J33" s="278">
        <f t="shared" si="21"/>
        <v>44</v>
      </c>
      <c r="K33" s="278">
        <f t="shared" si="21"/>
        <v>73</v>
      </c>
      <c r="L33" s="278">
        <f t="shared" si="21"/>
        <v>94</v>
      </c>
      <c r="M33" s="278">
        <f t="shared" si="21"/>
        <v>73</v>
      </c>
      <c r="N33" s="278">
        <f t="shared" si="21"/>
        <v>73</v>
      </c>
      <c r="O33" s="278">
        <f t="shared" si="21"/>
        <v>73</v>
      </c>
      <c r="P33" s="277">
        <f t="shared" si="21"/>
        <v>73</v>
      </c>
      <c r="Q33" s="184">
        <f t="shared" ref="Q33:AV33" si="22">Q26/200</f>
        <v>72.99</v>
      </c>
      <c r="R33" s="185">
        <f t="shared" si="22"/>
        <v>72.99</v>
      </c>
      <c r="S33" s="185">
        <f t="shared" si="22"/>
        <v>77.305</v>
      </c>
      <c r="T33" s="185">
        <f t="shared" si="22"/>
        <v>77.305</v>
      </c>
      <c r="U33" s="185">
        <f t="shared" si="22"/>
        <v>66.145</v>
      </c>
      <c r="V33" s="185">
        <f t="shared" si="22"/>
        <v>69.25</v>
      </c>
      <c r="W33" s="185">
        <f t="shared" si="22"/>
        <v>67.37</v>
      </c>
      <c r="X33" s="185">
        <f t="shared" si="22"/>
        <v>67.37</v>
      </c>
      <c r="Y33" s="185">
        <f t="shared" si="22"/>
        <v>67.37</v>
      </c>
      <c r="Z33" s="185">
        <f t="shared" si="22"/>
        <v>53.77</v>
      </c>
      <c r="AA33" s="185">
        <f t="shared" si="22"/>
        <v>53.77</v>
      </c>
      <c r="AB33" s="185">
        <f t="shared" si="22"/>
        <v>53.77</v>
      </c>
      <c r="AC33" s="185">
        <f t="shared" si="22"/>
        <v>53.77</v>
      </c>
      <c r="AD33" s="185">
        <f t="shared" si="22"/>
        <v>53.77</v>
      </c>
      <c r="AE33" s="185">
        <f t="shared" si="22"/>
        <v>53.77</v>
      </c>
      <c r="AF33" s="185">
        <f t="shared" si="22"/>
        <v>53.77</v>
      </c>
      <c r="AG33" s="185">
        <f t="shared" si="22"/>
        <v>53.77</v>
      </c>
      <c r="AH33" s="185">
        <f t="shared" si="22"/>
        <v>53.77</v>
      </c>
      <c r="AI33" s="185">
        <f t="shared" si="22"/>
        <v>53.77</v>
      </c>
      <c r="AJ33" s="185">
        <f t="shared" si="22"/>
        <v>53.77</v>
      </c>
      <c r="AK33" s="185">
        <f t="shared" si="22"/>
        <v>53.77</v>
      </c>
      <c r="AL33" s="185">
        <f t="shared" si="22"/>
        <v>53.77</v>
      </c>
      <c r="AM33" s="185">
        <f t="shared" si="22"/>
        <v>53.77</v>
      </c>
      <c r="AN33" s="185">
        <f t="shared" si="22"/>
        <v>53.77</v>
      </c>
      <c r="AO33" s="185">
        <f t="shared" si="22"/>
        <v>53.77</v>
      </c>
      <c r="AP33" s="185">
        <f t="shared" si="22"/>
        <v>53.77</v>
      </c>
      <c r="AQ33" s="185">
        <f t="shared" si="22"/>
        <v>53.77</v>
      </c>
      <c r="AR33" s="185">
        <f t="shared" si="22"/>
        <v>53.77</v>
      </c>
      <c r="AS33" s="185">
        <f t="shared" si="22"/>
        <v>53.77</v>
      </c>
      <c r="AT33" s="185">
        <f t="shared" si="22"/>
        <v>53.77</v>
      </c>
      <c r="AU33" s="185">
        <f t="shared" si="22"/>
        <v>53.77</v>
      </c>
      <c r="AV33" s="184">
        <f t="shared" si="22"/>
        <v>53.77</v>
      </c>
    </row>
    <row r="34" ht="18.0" customHeight="1">
      <c r="A34" s="28"/>
      <c r="B34" s="29"/>
      <c r="C34" s="100" t="s">
        <v>9</v>
      </c>
      <c r="D34" s="176">
        <v>560.175</v>
      </c>
      <c r="E34" s="177">
        <f t="shared" ref="E34:AV34" si="23">E27/200</f>
        <v>368.32</v>
      </c>
      <c r="F34" s="177">
        <f t="shared" si="23"/>
        <v>411.145</v>
      </c>
      <c r="G34" s="177">
        <f t="shared" si="23"/>
        <v>720.49</v>
      </c>
      <c r="H34" s="177">
        <f t="shared" si="23"/>
        <v>598.245</v>
      </c>
      <c r="I34" s="177">
        <f t="shared" si="23"/>
        <v>489.42</v>
      </c>
      <c r="J34" s="177">
        <f t="shared" si="23"/>
        <v>563.015</v>
      </c>
      <c r="K34" s="177">
        <f t="shared" si="23"/>
        <v>635.045</v>
      </c>
      <c r="L34" s="177">
        <f t="shared" si="23"/>
        <v>565.77</v>
      </c>
      <c r="M34" s="177">
        <f t="shared" si="23"/>
        <v>521.345</v>
      </c>
      <c r="N34" s="177">
        <f t="shared" si="23"/>
        <v>521.345</v>
      </c>
      <c r="O34" s="177">
        <f t="shared" si="23"/>
        <v>521.345</v>
      </c>
      <c r="P34" s="176">
        <f t="shared" si="23"/>
        <v>521.345</v>
      </c>
      <c r="Q34" s="176">
        <f t="shared" si="23"/>
        <v>521.345</v>
      </c>
      <c r="R34" s="177">
        <f t="shared" si="23"/>
        <v>521.345</v>
      </c>
      <c r="S34" s="177">
        <f t="shared" si="23"/>
        <v>473.875</v>
      </c>
      <c r="T34" s="177">
        <f t="shared" si="23"/>
        <v>513.77</v>
      </c>
      <c r="U34" s="177">
        <f t="shared" si="23"/>
        <v>523</v>
      </c>
      <c r="V34" s="177">
        <f t="shared" si="23"/>
        <v>533.07</v>
      </c>
      <c r="W34" s="177">
        <f t="shared" si="23"/>
        <v>504.125</v>
      </c>
      <c r="X34" s="177">
        <f t="shared" si="23"/>
        <v>504.125</v>
      </c>
      <c r="Y34" s="177">
        <f t="shared" si="23"/>
        <v>504.125</v>
      </c>
      <c r="Z34" s="177">
        <f t="shared" si="23"/>
        <v>498.825</v>
      </c>
      <c r="AA34" s="177">
        <f t="shared" si="23"/>
        <v>498.825</v>
      </c>
      <c r="AB34" s="177">
        <f t="shared" si="23"/>
        <v>498.825</v>
      </c>
      <c r="AC34" s="177">
        <f t="shared" si="23"/>
        <v>498.825</v>
      </c>
      <c r="AD34" s="177">
        <f t="shared" si="23"/>
        <v>498.825</v>
      </c>
      <c r="AE34" s="177">
        <f t="shared" si="23"/>
        <v>498.825</v>
      </c>
      <c r="AF34" s="177">
        <f t="shared" si="23"/>
        <v>498.825</v>
      </c>
      <c r="AG34" s="177">
        <f t="shared" si="23"/>
        <v>498.825</v>
      </c>
      <c r="AH34" s="177">
        <f t="shared" si="23"/>
        <v>498.825</v>
      </c>
      <c r="AI34" s="177">
        <f t="shared" si="23"/>
        <v>498.825</v>
      </c>
      <c r="AJ34" s="177">
        <f t="shared" si="23"/>
        <v>498.825</v>
      </c>
      <c r="AK34" s="177">
        <f t="shared" si="23"/>
        <v>498.825</v>
      </c>
      <c r="AL34" s="177">
        <f t="shared" si="23"/>
        <v>498.825</v>
      </c>
      <c r="AM34" s="177">
        <f t="shared" si="23"/>
        <v>498.825</v>
      </c>
      <c r="AN34" s="177">
        <f t="shared" si="23"/>
        <v>498.825</v>
      </c>
      <c r="AO34" s="177">
        <f t="shared" si="23"/>
        <v>498.825</v>
      </c>
      <c r="AP34" s="177">
        <f t="shared" si="23"/>
        <v>498.825</v>
      </c>
      <c r="AQ34" s="177">
        <f t="shared" si="23"/>
        <v>498.825</v>
      </c>
      <c r="AR34" s="177">
        <f t="shared" si="23"/>
        <v>498.825</v>
      </c>
      <c r="AS34" s="177">
        <f t="shared" si="23"/>
        <v>498.825</v>
      </c>
      <c r="AT34" s="177">
        <f t="shared" si="23"/>
        <v>498.825</v>
      </c>
      <c r="AU34" s="177">
        <f t="shared" si="23"/>
        <v>498.825</v>
      </c>
      <c r="AV34" s="176">
        <f t="shared" si="23"/>
        <v>498.825</v>
      </c>
    </row>
    <row r="35" ht="18.0" customHeight="1">
      <c r="A35" s="29"/>
      <c r="B35" s="43" t="s">
        <v>11</v>
      </c>
      <c r="C35" s="43" t="s">
        <v>9</v>
      </c>
      <c r="D35" s="197">
        <v>83.02</v>
      </c>
      <c r="E35" s="198">
        <f t="shared" ref="E35:AV35" si="24">E28/200</f>
        <v>123.72</v>
      </c>
      <c r="F35" s="198">
        <f t="shared" si="24"/>
        <v>68.08</v>
      </c>
      <c r="G35" s="198">
        <f t="shared" si="24"/>
        <v>67.68</v>
      </c>
      <c r="H35" s="198">
        <f t="shared" si="24"/>
        <v>117.3</v>
      </c>
      <c r="I35" s="198">
        <f t="shared" si="24"/>
        <v>133</v>
      </c>
      <c r="J35" s="198">
        <f t="shared" si="24"/>
        <v>61.58</v>
      </c>
      <c r="K35" s="198">
        <f t="shared" si="24"/>
        <v>74.28</v>
      </c>
      <c r="L35" s="198">
        <f t="shared" si="24"/>
        <v>47.84</v>
      </c>
      <c r="M35" s="198">
        <f t="shared" si="24"/>
        <v>129.5</v>
      </c>
      <c r="N35" s="198">
        <f t="shared" si="24"/>
        <v>129.5</v>
      </c>
      <c r="O35" s="198">
        <f t="shared" si="24"/>
        <v>129.5</v>
      </c>
      <c r="P35" s="197">
        <f t="shared" si="24"/>
        <v>129.5</v>
      </c>
      <c r="Q35" s="197">
        <f t="shared" si="24"/>
        <v>129.5</v>
      </c>
      <c r="R35" s="198">
        <f t="shared" si="24"/>
        <v>129.5</v>
      </c>
      <c r="S35" s="198">
        <f t="shared" si="24"/>
        <v>28.9</v>
      </c>
      <c r="T35" s="198">
        <f t="shared" si="24"/>
        <v>28.9</v>
      </c>
      <c r="U35" s="198">
        <f t="shared" si="24"/>
        <v>28.9</v>
      </c>
      <c r="V35" s="198">
        <f t="shared" si="24"/>
        <v>58.02</v>
      </c>
      <c r="W35" s="198">
        <f t="shared" si="24"/>
        <v>66.06</v>
      </c>
      <c r="X35" s="198">
        <f t="shared" si="24"/>
        <v>66.06</v>
      </c>
      <c r="Y35" s="198">
        <f t="shared" si="24"/>
        <v>66.06</v>
      </c>
      <c r="Z35" s="198">
        <f t="shared" si="24"/>
        <v>35.9</v>
      </c>
      <c r="AA35" s="198">
        <f t="shared" si="24"/>
        <v>35.9</v>
      </c>
      <c r="AB35" s="198">
        <f t="shared" si="24"/>
        <v>35.9</v>
      </c>
      <c r="AC35" s="198">
        <f t="shared" si="24"/>
        <v>35.9</v>
      </c>
      <c r="AD35" s="198">
        <f t="shared" si="24"/>
        <v>35.9</v>
      </c>
      <c r="AE35" s="198">
        <f t="shared" si="24"/>
        <v>35.9</v>
      </c>
      <c r="AF35" s="198">
        <f t="shared" si="24"/>
        <v>35.9</v>
      </c>
      <c r="AG35" s="198">
        <f t="shared" si="24"/>
        <v>35.9</v>
      </c>
      <c r="AH35" s="198">
        <f t="shared" si="24"/>
        <v>35.9</v>
      </c>
      <c r="AI35" s="198">
        <f t="shared" si="24"/>
        <v>35.9</v>
      </c>
      <c r="AJ35" s="198">
        <f t="shared" si="24"/>
        <v>35.9</v>
      </c>
      <c r="AK35" s="198">
        <f t="shared" si="24"/>
        <v>35.9</v>
      </c>
      <c r="AL35" s="198">
        <f t="shared" si="24"/>
        <v>35.9</v>
      </c>
      <c r="AM35" s="198">
        <f t="shared" si="24"/>
        <v>35.9</v>
      </c>
      <c r="AN35" s="198">
        <f t="shared" si="24"/>
        <v>35.9</v>
      </c>
      <c r="AO35" s="198">
        <f t="shared" si="24"/>
        <v>35.9</v>
      </c>
      <c r="AP35" s="198">
        <f t="shared" si="24"/>
        <v>35.9</v>
      </c>
      <c r="AQ35" s="198">
        <f t="shared" si="24"/>
        <v>35.9</v>
      </c>
      <c r="AR35" s="198">
        <f t="shared" si="24"/>
        <v>35.9</v>
      </c>
      <c r="AS35" s="198">
        <f t="shared" si="24"/>
        <v>35.9</v>
      </c>
      <c r="AT35" s="198">
        <f t="shared" si="24"/>
        <v>35.9</v>
      </c>
      <c r="AU35" s="198">
        <f t="shared" si="24"/>
        <v>35.9</v>
      </c>
      <c r="AV35" s="197">
        <f t="shared" si="24"/>
        <v>35.9</v>
      </c>
    </row>
    <row r="36" ht="17.25" customHeight="1">
      <c r="A36" s="1"/>
      <c r="B36" s="1"/>
      <c r="C36" s="1"/>
      <c r="D36" s="1"/>
      <c r="E36" s="1"/>
      <c r="F36" s="1"/>
      <c r="K36" s="27"/>
      <c r="L36" s="27"/>
      <c r="M36" s="27"/>
      <c r="N36" s="27"/>
      <c r="O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58"/>
    </row>
    <row r="37" ht="17.25" customHeight="1">
      <c r="A37" s="1"/>
      <c r="B37" s="1"/>
      <c r="C37" s="1"/>
      <c r="D37" s="1"/>
      <c r="E37" s="1"/>
      <c r="F37" s="1"/>
      <c r="K37" s="27"/>
      <c r="L37" s="27"/>
      <c r="M37" s="27"/>
      <c r="N37" s="27"/>
      <c r="O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58"/>
    </row>
    <row r="38" ht="17.25" customHeight="1">
      <c r="A38" s="1"/>
      <c r="B38" s="1"/>
      <c r="C38" s="1"/>
      <c r="D38" s="1"/>
      <c r="E38" s="1"/>
      <c r="F38" s="1"/>
      <c r="K38" s="27"/>
      <c r="L38" s="27"/>
      <c r="M38" s="27"/>
      <c r="N38" s="27"/>
      <c r="O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58"/>
    </row>
    <row r="39" ht="17.25" customHeight="1">
      <c r="A39" s="1"/>
      <c r="B39" s="1"/>
      <c r="C39" s="1"/>
      <c r="D39" s="1"/>
      <c r="E39" s="1"/>
      <c r="F39" s="1"/>
      <c r="K39" s="27"/>
      <c r="L39" s="27"/>
      <c r="M39" s="27"/>
      <c r="N39" s="27"/>
      <c r="O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K40" s="27"/>
      <c r="L40" s="27"/>
      <c r="M40" s="27"/>
      <c r="N40" s="27"/>
      <c r="O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ht="17.25" customHeight="1">
      <c r="A41" s="1"/>
      <c r="B41" s="1"/>
      <c r="C41" s="1"/>
      <c r="D41" s="1"/>
      <c r="E41" s="1"/>
      <c r="F41" s="1"/>
      <c r="K41" s="27"/>
      <c r="L41" s="27"/>
      <c r="M41" s="27"/>
      <c r="N41" s="27"/>
      <c r="O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ht="17.25" customHeight="1">
      <c r="A42" s="1"/>
      <c r="B42" s="1"/>
      <c r="C42" s="1"/>
      <c r="D42" s="1"/>
      <c r="E42" s="1"/>
      <c r="F42" s="1"/>
      <c r="K42" s="27"/>
      <c r="L42" s="27"/>
      <c r="M42" s="27"/>
      <c r="N42" s="27"/>
      <c r="O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ht="17.25" customHeight="1">
      <c r="A43" s="1"/>
      <c r="B43" s="1"/>
      <c r="C43" s="1"/>
      <c r="D43" s="1"/>
      <c r="E43" s="1"/>
      <c r="F43" s="1"/>
      <c r="K43" s="27"/>
      <c r="L43" s="27"/>
      <c r="M43" s="27"/>
      <c r="N43" s="27"/>
      <c r="O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ht="17.25" customHeight="1">
      <c r="A44" s="1"/>
      <c r="B44" s="1"/>
      <c r="C44" s="1"/>
      <c r="D44" s="1"/>
      <c r="E44" s="1"/>
      <c r="F44" s="1"/>
      <c r="K44" s="27"/>
      <c r="L44" s="27"/>
      <c r="M44" s="27"/>
      <c r="N44" s="27"/>
      <c r="O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58"/>
    </row>
    <row r="45" ht="17.25" customHeight="1">
      <c r="A45" s="1"/>
      <c r="B45" s="1"/>
      <c r="C45" s="1"/>
      <c r="D45" s="1"/>
      <c r="E45" s="1"/>
      <c r="F45" s="1"/>
      <c r="K45" s="27"/>
      <c r="L45" s="27"/>
      <c r="M45" s="27"/>
      <c r="N45" s="27"/>
      <c r="O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58"/>
    </row>
    <row r="46" ht="17.25" customHeight="1">
      <c r="A46" s="1"/>
      <c r="B46" s="1"/>
      <c r="C46" s="1"/>
      <c r="D46" s="1"/>
      <c r="E46" s="1"/>
      <c r="F46" s="1"/>
      <c r="K46" s="27"/>
      <c r="L46" s="27"/>
      <c r="M46" s="27"/>
      <c r="N46" s="27"/>
      <c r="O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58"/>
    </row>
    <row r="47" ht="17.25" customHeight="1">
      <c r="A47" s="1"/>
      <c r="B47" s="1"/>
      <c r="C47" s="1"/>
      <c r="D47" s="1"/>
      <c r="E47" s="1"/>
      <c r="F47" s="1"/>
      <c r="K47" s="27"/>
      <c r="L47" s="27"/>
      <c r="M47" s="27"/>
      <c r="N47" s="27"/>
      <c r="O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58"/>
    </row>
    <row r="48" ht="17.25" customHeight="1">
      <c r="A48" s="1"/>
      <c r="B48" s="1"/>
      <c r="C48" s="1"/>
      <c r="D48" s="1"/>
      <c r="E48" s="1"/>
      <c r="F48" s="1"/>
      <c r="K48" s="27"/>
      <c r="L48" s="27"/>
      <c r="M48" s="27"/>
      <c r="N48" s="27"/>
      <c r="O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58"/>
    </row>
    <row r="49" ht="17.25" customHeight="1">
      <c r="A49" s="1"/>
      <c r="B49" s="1"/>
      <c r="C49" s="1"/>
      <c r="D49" s="1"/>
      <c r="E49" s="1"/>
      <c r="F49" s="1"/>
      <c r="K49" s="27"/>
      <c r="L49" s="27"/>
      <c r="M49" s="27"/>
      <c r="N49" s="27"/>
      <c r="O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58"/>
    </row>
    <row r="50" ht="17.25" customHeight="1">
      <c r="A50" s="1"/>
      <c r="B50" s="1"/>
      <c r="C50" s="1"/>
      <c r="D50" s="1"/>
      <c r="E50" s="1"/>
      <c r="F50" s="1"/>
      <c r="K50" s="27"/>
      <c r="L50" s="27"/>
      <c r="M50" s="27"/>
      <c r="N50" s="27"/>
      <c r="O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ht="17.25" customHeight="1">
      <c r="A51" s="1"/>
      <c r="B51" s="1"/>
      <c r="C51" s="1"/>
      <c r="D51" s="1"/>
      <c r="E51" s="1"/>
      <c r="F51" s="1"/>
      <c r="K51" s="27"/>
      <c r="L51" s="27"/>
      <c r="M51" s="27"/>
      <c r="N51" s="27"/>
      <c r="O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58"/>
    </row>
    <row r="52" ht="17.25" customHeight="1">
      <c r="A52" s="1"/>
      <c r="B52" s="1"/>
      <c r="C52" s="1"/>
      <c r="D52" s="1"/>
      <c r="E52" s="1"/>
      <c r="F52" s="1"/>
      <c r="K52" s="27"/>
      <c r="L52" s="27"/>
      <c r="M52" s="27"/>
      <c r="N52" s="27"/>
      <c r="O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58"/>
    </row>
    <row r="53" ht="17.25" customHeight="1">
      <c r="A53" s="1"/>
      <c r="B53" s="1"/>
      <c r="C53" s="1"/>
      <c r="D53" s="1"/>
      <c r="E53" s="1"/>
      <c r="F53" s="1"/>
      <c r="K53" s="27"/>
      <c r="L53" s="27"/>
      <c r="M53" s="27"/>
      <c r="N53" s="27"/>
      <c r="O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58"/>
    </row>
    <row r="54" ht="17.25" customHeight="1">
      <c r="A54" s="1"/>
      <c r="B54" s="1"/>
      <c r="C54" s="1"/>
      <c r="D54" s="1"/>
      <c r="E54" s="1"/>
      <c r="F54" s="1"/>
      <c r="K54" s="27"/>
      <c r="L54" s="27"/>
      <c r="M54" s="27"/>
      <c r="N54" s="27"/>
      <c r="O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58"/>
    </row>
    <row r="55" ht="17.25" customHeight="1">
      <c r="A55" s="1"/>
      <c r="B55" s="1"/>
      <c r="C55" s="1"/>
      <c r="D55" s="1"/>
      <c r="E55" s="1"/>
      <c r="F55" s="1"/>
      <c r="K55" s="27"/>
      <c r="L55" s="27"/>
      <c r="M55" s="27"/>
      <c r="N55" s="27"/>
      <c r="O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58"/>
    </row>
    <row r="56" ht="17.25" customHeight="1">
      <c r="A56" s="1"/>
      <c r="B56" s="1"/>
      <c r="C56" s="1"/>
      <c r="D56" s="1"/>
      <c r="E56" s="1"/>
      <c r="F56" s="1"/>
      <c r="K56" s="27"/>
      <c r="L56" s="27"/>
      <c r="M56" s="27"/>
      <c r="N56" s="27"/>
      <c r="O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58"/>
    </row>
    <row r="57" ht="17.25" customHeight="1">
      <c r="A57" s="1"/>
      <c r="B57" s="1"/>
      <c r="C57" s="1"/>
      <c r="D57" s="1"/>
      <c r="E57" s="1"/>
      <c r="F57" s="1"/>
      <c r="K57" s="27"/>
      <c r="L57" s="27"/>
      <c r="M57" s="27"/>
      <c r="N57" s="27"/>
      <c r="O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58"/>
    </row>
    <row r="58" ht="17.25" customHeight="1">
      <c r="A58" s="1"/>
      <c r="B58" s="1"/>
      <c r="C58" s="1"/>
      <c r="D58" s="1"/>
      <c r="E58" s="1"/>
      <c r="F58" s="1"/>
      <c r="K58" s="27"/>
      <c r="L58" s="27"/>
      <c r="M58" s="27"/>
      <c r="N58" s="27"/>
      <c r="O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58"/>
    </row>
    <row r="59" ht="17.25" customHeight="1">
      <c r="A59" s="1"/>
      <c r="B59" s="1"/>
      <c r="C59" s="1"/>
      <c r="D59" s="1"/>
      <c r="E59" s="1"/>
      <c r="F59" s="1"/>
      <c r="K59" s="27"/>
      <c r="L59" s="27"/>
      <c r="M59" s="27"/>
      <c r="N59" s="27"/>
      <c r="O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58"/>
    </row>
    <row r="60" ht="17.25" customHeight="1">
      <c r="A60" s="1"/>
      <c r="B60" s="1"/>
      <c r="C60" s="1"/>
      <c r="D60" s="1"/>
      <c r="E60" s="1"/>
      <c r="F60" s="1"/>
      <c r="K60" s="27"/>
      <c r="L60" s="27"/>
      <c r="M60" s="27"/>
      <c r="N60" s="27"/>
      <c r="O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58"/>
    </row>
    <row r="61" ht="17.25" customHeight="1">
      <c r="A61" s="1"/>
      <c r="B61" s="1"/>
      <c r="C61" s="1"/>
      <c r="D61" s="1"/>
      <c r="E61" s="1"/>
      <c r="F61" s="1"/>
      <c r="K61" s="27"/>
      <c r="L61" s="27"/>
      <c r="M61" s="27"/>
      <c r="N61" s="27"/>
      <c r="O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58"/>
    </row>
    <row r="62" ht="17.25" customHeight="1">
      <c r="A62" s="1"/>
      <c r="B62" s="1"/>
      <c r="C62" s="1"/>
      <c r="D62" s="1"/>
      <c r="E62" s="1"/>
      <c r="F62" s="1"/>
      <c r="K62" s="27"/>
      <c r="L62" s="27"/>
      <c r="M62" s="27"/>
      <c r="N62" s="27"/>
      <c r="O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58"/>
    </row>
    <row r="63" ht="17.25" customHeight="1">
      <c r="A63" s="1"/>
      <c r="B63" s="1"/>
      <c r="C63" s="1"/>
      <c r="D63" s="1"/>
      <c r="E63" s="1"/>
      <c r="F63" s="1"/>
      <c r="K63" s="27"/>
      <c r="L63" s="27"/>
      <c r="M63" s="27"/>
      <c r="N63" s="27"/>
      <c r="O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58"/>
    </row>
    <row r="64" ht="17.25" customHeight="1">
      <c r="A64" s="1"/>
      <c r="B64" s="1"/>
      <c r="C64" s="1"/>
      <c r="D64" s="1"/>
      <c r="E64" s="1"/>
      <c r="F64" s="1"/>
      <c r="K64" s="27"/>
      <c r="L64" s="27"/>
      <c r="M64" s="27"/>
      <c r="N64" s="27"/>
      <c r="O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58"/>
    </row>
    <row r="65" ht="17.25" customHeight="1">
      <c r="A65" s="1"/>
      <c r="B65" s="1"/>
      <c r="C65" s="1"/>
      <c r="D65" s="1"/>
      <c r="E65" s="1"/>
      <c r="F65" s="1"/>
      <c r="K65" s="27"/>
      <c r="L65" s="27"/>
      <c r="M65" s="27"/>
      <c r="N65" s="27"/>
      <c r="O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58"/>
    </row>
    <row r="66" ht="17.25" customHeight="1">
      <c r="A66" s="1"/>
      <c r="B66" s="1"/>
      <c r="C66" s="1"/>
      <c r="D66" s="1"/>
      <c r="E66" s="1"/>
      <c r="F66" s="1"/>
      <c r="K66" s="27"/>
      <c r="L66" s="27"/>
      <c r="M66" s="27"/>
      <c r="N66" s="27"/>
      <c r="O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58"/>
    </row>
    <row r="67" ht="17.25" customHeight="1">
      <c r="A67" s="1"/>
      <c r="B67" s="1"/>
      <c r="C67" s="1"/>
      <c r="D67" s="1"/>
      <c r="E67" s="1"/>
      <c r="F67" s="1"/>
      <c r="K67" s="27"/>
      <c r="L67" s="27"/>
      <c r="M67" s="27"/>
      <c r="N67" s="27"/>
      <c r="O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58"/>
    </row>
    <row r="68" ht="17.25" customHeight="1">
      <c r="A68" s="1"/>
      <c r="B68" s="1"/>
      <c r="C68" s="1"/>
      <c r="D68" s="1"/>
      <c r="E68" s="1"/>
      <c r="F68" s="1"/>
      <c r="K68" s="27"/>
      <c r="L68" s="27"/>
      <c r="M68" s="27"/>
      <c r="N68" s="27"/>
      <c r="O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58"/>
    </row>
    <row r="69" ht="17.25" customHeight="1">
      <c r="A69" s="1"/>
      <c r="B69" s="1"/>
      <c r="C69" s="1"/>
      <c r="D69" s="1"/>
      <c r="E69" s="1"/>
      <c r="F69" s="1"/>
      <c r="K69" s="27"/>
      <c r="L69" s="27"/>
      <c r="M69" s="27"/>
      <c r="N69" s="27"/>
      <c r="O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58"/>
    </row>
    <row r="70" ht="17.25" customHeight="1">
      <c r="A70" s="1"/>
      <c r="B70" s="1"/>
      <c r="C70" s="1"/>
      <c r="D70" s="1"/>
      <c r="E70" s="1"/>
      <c r="F70" s="1"/>
      <c r="K70" s="27"/>
      <c r="L70" s="27"/>
      <c r="M70" s="27"/>
      <c r="N70" s="27"/>
      <c r="O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58"/>
    </row>
    <row r="71" ht="17.25" customHeight="1">
      <c r="A71" s="1"/>
      <c r="B71" s="1"/>
      <c r="C71" s="1"/>
      <c r="D71" s="1"/>
      <c r="E71" s="1"/>
      <c r="F71" s="1"/>
      <c r="K71" s="27"/>
      <c r="L71" s="27"/>
      <c r="M71" s="27"/>
      <c r="N71" s="27"/>
      <c r="O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58"/>
    </row>
    <row r="72" ht="17.25" customHeight="1">
      <c r="A72" s="1"/>
      <c r="B72" s="1"/>
      <c r="C72" s="1"/>
      <c r="D72" s="1"/>
      <c r="E72" s="1"/>
      <c r="F72" s="1"/>
      <c r="K72" s="27"/>
      <c r="L72" s="27"/>
      <c r="M72" s="27"/>
      <c r="N72" s="27"/>
      <c r="O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58"/>
    </row>
    <row r="73" ht="17.25" customHeight="1">
      <c r="A73" s="1"/>
      <c r="B73" s="1"/>
      <c r="C73" s="1"/>
      <c r="D73" s="1"/>
      <c r="E73" s="1"/>
      <c r="F73" s="1"/>
      <c r="K73" s="27"/>
      <c r="L73" s="27"/>
      <c r="M73" s="27"/>
      <c r="N73" s="27"/>
      <c r="O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58"/>
    </row>
    <row r="74" ht="17.25" customHeight="1">
      <c r="A74" s="1"/>
      <c r="B74" s="1"/>
      <c r="C74" s="1"/>
      <c r="D74" s="1"/>
      <c r="E74" s="1"/>
      <c r="F74" s="1"/>
      <c r="K74" s="27"/>
      <c r="L74" s="27"/>
      <c r="M74" s="27"/>
      <c r="N74" s="27"/>
      <c r="O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58"/>
    </row>
    <row r="75" ht="17.25" customHeight="1">
      <c r="A75" s="1"/>
      <c r="B75" s="1"/>
      <c r="C75" s="1"/>
      <c r="D75" s="1"/>
      <c r="E75" s="1"/>
      <c r="F75" s="1"/>
      <c r="K75" s="27"/>
      <c r="L75" s="27"/>
      <c r="M75" s="27"/>
      <c r="N75" s="27"/>
      <c r="O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58"/>
    </row>
    <row r="76" ht="17.25" customHeight="1">
      <c r="A76" s="1"/>
      <c r="B76" s="1"/>
      <c r="C76" s="1"/>
      <c r="D76" s="1"/>
      <c r="E76" s="1"/>
      <c r="F76" s="1"/>
      <c r="K76" s="27"/>
      <c r="L76" s="27"/>
      <c r="M76" s="27"/>
      <c r="N76" s="27"/>
      <c r="O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58"/>
    </row>
    <row r="77" ht="17.25" customHeight="1">
      <c r="A77" s="1"/>
      <c r="B77" s="1"/>
      <c r="C77" s="1"/>
      <c r="D77" s="1"/>
      <c r="E77" s="1"/>
      <c r="F77" s="1"/>
      <c r="K77" s="27"/>
      <c r="L77" s="27"/>
      <c r="M77" s="27"/>
      <c r="N77" s="27"/>
      <c r="O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58"/>
    </row>
    <row r="78" ht="17.25" customHeight="1">
      <c r="A78" s="1"/>
      <c r="B78" s="1"/>
      <c r="C78" s="1"/>
      <c r="D78" s="1"/>
      <c r="E78" s="1"/>
      <c r="F78" s="1"/>
      <c r="K78" s="27"/>
      <c r="L78" s="27"/>
      <c r="M78" s="27"/>
      <c r="N78" s="27"/>
      <c r="O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58"/>
    </row>
    <row r="79" ht="17.25" customHeight="1">
      <c r="A79" s="1"/>
      <c r="B79" s="1"/>
      <c r="C79" s="1"/>
      <c r="D79" s="1"/>
      <c r="E79" s="1"/>
      <c r="F79" s="1"/>
      <c r="K79" s="27"/>
      <c r="L79" s="27"/>
      <c r="M79" s="27"/>
      <c r="N79" s="27"/>
      <c r="O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58"/>
    </row>
    <row r="80" ht="17.25" customHeight="1">
      <c r="A80" s="1"/>
      <c r="B80" s="1"/>
      <c r="C80" s="1"/>
      <c r="D80" s="1"/>
      <c r="E80" s="1"/>
      <c r="F80" s="1"/>
      <c r="K80" s="27"/>
      <c r="L80" s="27"/>
      <c r="M80" s="27"/>
      <c r="N80" s="27"/>
      <c r="O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58"/>
    </row>
    <row r="81" ht="17.25" customHeight="1">
      <c r="A81" s="1"/>
      <c r="B81" s="1"/>
      <c r="C81" s="1"/>
      <c r="D81" s="1"/>
      <c r="E81" s="1"/>
      <c r="F81" s="1"/>
      <c r="K81" s="27"/>
      <c r="L81" s="27"/>
      <c r="M81" s="27"/>
      <c r="N81" s="27"/>
      <c r="O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58"/>
    </row>
    <row r="82" ht="17.25" customHeight="1">
      <c r="A82" s="1"/>
      <c r="B82" s="1"/>
      <c r="C82" s="1"/>
      <c r="D82" s="1"/>
      <c r="E82" s="1"/>
      <c r="F82" s="1"/>
      <c r="K82" s="27"/>
      <c r="L82" s="27"/>
      <c r="M82" s="27"/>
      <c r="N82" s="27"/>
      <c r="O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58"/>
    </row>
    <row r="83" ht="17.25" customHeight="1">
      <c r="A83" s="1"/>
      <c r="B83" s="1"/>
      <c r="C83" s="1"/>
      <c r="D83" s="1"/>
      <c r="E83" s="1"/>
      <c r="F83" s="1"/>
      <c r="K83" s="27"/>
      <c r="L83" s="27"/>
      <c r="M83" s="27"/>
      <c r="N83" s="27"/>
      <c r="O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58"/>
    </row>
    <row r="84" ht="17.25" customHeight="1">
      <c r="A84" s="1"/>
      <c r="B84" s="1"/>
      <c r="C84" s="1"/>
      <c r="D84" s="1"/>
      <c r="E84" s="1"/>
      <c r="F84" s="1"/>
      <c r="K84" s="27"/>
      <c r="L84" s="27"/>
      <c r="M84" s="27"/>
      <c r="N84" s="27"/>
      <c r="O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58"/>
    </row>
    <row r="85" ht="17.25" customHeight="1">
      <c r="A85" s="1"/>
      <c r="B85" s="1"/>
      <c r="C85" s="1"/>
      <c r="D85" s="1"/>
      <c r="E85" s="1"/>
      <c r="F85" s="1"/>
      <c r="K85" s="27"/>
      <c r="L85" s="27"/>
      <c r="M85" s="27"/>
      <c r="N85" s="27"/>
      <c r="O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58"/>
    </row>
    <row r="86" ht="17.25" customHeight="1">
      <c r="A86" s="1"/>
      <c r="B86" s="1"/>
      <c r="C86" s="1"/>
      <c r="D86" s="1"/>
      <c r="E86" s="1"/>
      <c r="F86" s="1"/>
      <c r="K86" s="27"/>
      <c r="L86" s="27"/>
      <c r="M86" s="27"/>
      <c r="N86" s="27"/>
      <c r="O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58"/>
    </row>
    <row r="87" ht="17.25" customHeight="1">
      <c r="A87" s="1"/>
      <c r="B87" s="1"/>
      <c r="C87" s="1"/>
      <c r="D87" s="1"/>
      <c r="E87" s="1"/>
      <c r="F87" s="1"/>
      <c r="K87" s="27"/>
      <c r="L87" s="27"/>
      <c r="M87" s="27"/>
      <c r="N87" s="27"/>
      <c r="O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58"/>
    </row>
    <row r="88" ht="17.25" customHeight="1">
      <c r="A88" s="1"/>
      <c r="B88" s="1"/>
      <c r="C88" s="1"/>
      <c r="D88" s="1"/>
      <c r="E88" s="1"/>
      <c r="F88" s="1"/>
      <c r="K88" s="27"/>
      <c r="L88" s="27"/>
      <c r="M88" s="27"/>
      <c r="N88" s="27"/>
      <c r="O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58"/>
    </row>
    <row r="89" ht="17.25" customHeight="1">
      <c r="A89" s="1"/>
      <c r="B89" s="1"/>
      <c r="C89" s="1"/>
      <c r="D89" s="1"/>
      <c r="E89" s="1"/>
      <c r="F89" s="1"/>
      <c r="K89" s="27"/>
      <c r="L89" s="27"/>
      <c r="M89" s="27"/>
      <c r="N89" s="27"/>
      <c r="O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58"/>
    </row>
    <row r="90" ht="17.25" customHeight="1">
      <c r="A90" s="1"/>
      <c r="B90" s="1"/>
      <c r="C90" s="1"/>
      <c r="D90" s="1"/>
      <c r="E90" s="1"/>
      <c r="F90" s="1"/>
      <c r="K90" s="27"/>
      <c r="L90" s="27"/>
      <c r="M90" s="27"/>
      <c r="N90" s="27"/>
      <c r="O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58"/>
    </row>
    <row r="91" ht="17.25" customHeight="1">
      <c r="A91" s="1"/>
      <c r="B91" s="1"/>
      <c r="C91" s="1"/>
      <c r="D91" s="1"/>
      <c r="E91" s="1"/>
      <c r="F91" s="1"/>
      <c r="K91" s="27"/>
      <c r="L91" s="27"/>
      <c r="M91" s="27"/>
      <c r="N91" s="27"/>
      <c r="O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58"/>
    </row>
    <row r="92" ht="17.25" customHeight="1">
      <c r="A92" s="1"/>
      <c r="B92" s="1"/>
      <c r="C92" s="1"/>
      <c r="D92" s="1"/>
      <c r="E92" s="1"/>
      <c r="F92" s="1"/>
      <c r="K92" s="27"/>
      <c r="L92" s="27"/>
      <c r="M92" s="27"/>
      <c r="N92" s="27"/>
      <c r="O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58"/>
    </row>
    <row r="93" ht="17.25" customHeight="1">
      <c r="A93" s="1"/>
      <c r="B93" s="1"/>
      <c r="C93" s="1"/>
      <c r="D93" s="1"/>
      <c r="E93" s="1"/>
      <c r="F93" s="1"/>
      <c r="K93" s="27"/>
      <c r="L93" s="27"/>
      <c r="M93" s="27"/>
      <c r="N93" s="27"/>
      <c r="O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58"/>
    </row>
    <row r="94" ht="17.25" customHeight="1">
      <c r="A94" s="1"/>
      <c r="B94" s="1"/>
      <c r="C94" s="1"/>
      <c r="D94" s="1"/>
      <c r="E94" s="1"/>
      <c r="F94" s="1"/>
      <c r="K94" s="27"/>
      <c r="L94" s="27"/>
      <c r="M94" s="27"/>
      <c r="N94" s="27"/>
      <c r="O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58"/>
    </row>
    <row r="95" ht="17.25" customHeight="1">
      <c r="A95" s="1"/>
      <c r="B95" s="1"/>
      <c r="C95" s="1"/>
      <c r="D95" s="1"/>
      <c r="E95" s="1"/>
      <c r="F95" s="1"/>
      <c r="K95" s="27"/>
      <c r="L95" s="27"/>
      <c r="M95" s="27"/>
      <c r="N95" s="27"/>
      <c r="O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58"/>
    </row>
    <row r="96" ht="17.25" customHeight="1">
      <c r="A96" s="1"/>
      <c r="B96" s="1"/>
      <c r="C96" s="1"/>
      <c r="D96" s="1"/>
      <c r="E96" s="1"/>
      <c r="F96" s="1"/>
      <c r="K96" s="27"/>
      <c r="L96" s="27"/>
      <c r="M96" s="27"/>
      <c r="N96" s="27"/>
      <c r="O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58"/>
    </row>
    <row r="97" ht="17.25" customHeight="1">
      <c r="A97" s="1"/>
      <c r="B97" s="1"/>
      <c r="C97" s="1"/>
      <c r="D97" s="1"/>
      <c r="E97" s="1"/>
      <c r="F97" s="1"/>
      <c r="K97" s="27"/>
      <c r="L97" s="27"/>
      <c r="M97" s="27"/>
      <c r="N97" s="27"/>
      <c r="O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58"/>
    </row>
    <row r="98" ht="17.25" customHeight="1">
      <c r="A98" s="1"/>
      <c r="B98" s="1"/>
      <c r="C98" s="1"/>
      <c r="D98" s="1"/>
      <c r="E98" s="1"/>
      <c r="F98" s="1"/>
      <c r="K98" s="27"/>
      <c r="L98" s="27"/>
      <c r="M98" s="27"/>
      <c r="N98" s="27"/>
      <c r="O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58"/>
    </row>
    <row r="99" ht="17.25" customHeight="1">
      <c r="A99" s="1"/>
      <c r="B99" s="1"/>
      <c r="C99" s="1"/>
      <c r="D99" s="1"/>
      <c r="E99" s="1"/>
      <c r="F99" s="1"/>
      <c r="K99" s="27"/>
      <c r="L99" s="27"/>
      <c r="M99" s="27"/>
      <c r="N99" s="27"/>
      <c r="O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58"/>
    </row>
    <row r="100" ht="17.25" customHeight="1">
      <c r="A100" s="1"/>
      <c r="B100" s="1"/>
      <c r="C100" s="1"/>
      <c r="D100" s="1"/>
      <c r="E100" s="1"/>
      <c r="F100" s="1"/>
      <c r="K100" s="27"/>
      <c r="L100" s="27"/>
      <c r="M100" s="27"/>
      <c r="N100" s="27"/>
      <c r="O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58"/>
    </row>
    <row r="101" ht="17.25" customHeight="1">
      <c r="A101" s="1"/>
      <c r="B101" s="1"/>
      <c r="C101" s="1"/>
      <c r="D101" s="1"/>
      <c r="E101" s="1"/>
      <c r="F101" s="1"/>
      <c r="K101" s="27"/>
      <c r="L101" s="27"/>
      <c r="M101" s="27"/>
      <c r="N101" s="27"/>
      <c r="O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58"/>
    </row>
    <row r="102" ht="17.25" customHeight="1">
      <c r="A102" s="1"/>
      <c r="B102" s="1"/>
      <c r="C102" s="1"/>
      <c r="D102" s="1"/>
      <c r="E102" s="1"/>
      <c r="F102" s="1"/>
      <c r="K102" s="27"/>
      <c r="L102" s="27"/>
      <c r="M102" s="27"/>
      <c r="N102" s="27"/>
      <c r="O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58"/>
    </row>
    <row r="103" ht="17.25" customHeight="1">
      <c r="A103" s="1"/>
      <c r="B103" s="1"/>
      <c r="C103" s="1"/>
      <c r="D103" s="1"/>
      <c r="E103" s="1"/>
      <c r="F103" s="1"/>
      <c r="K103" s="27"/>
      <c r="L103" s="27"/>
      <c r="M103" s="27"/>
      <c r="N103" s="27"/>
      <c r="O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58"/>
    </row>
    <row r="104" ht="17.25" customHeight="1">
      <c r="A104" s="1"/>
      <c r="B104" s="1"/>
      <c r="C104" s="1"/>
      <c r="D104" s="1"/>
      <c r="E104" s="1"/>
      <c r="F104" s="1"/>
      <c r="K104" s="27"/>
      <c r="L104" s="27"/>
      <c r="M104" s="27"/>
      <c r="N104" s="27"/>
      <c r="O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58"/>
    </row>
    <row r="105" ht="17.25" customHeight="1">
      <c r="A105" s="1"/>
      <c r="B105" s="1"/>
      <c r="C105" s="1"/>
      <c r="D105" s="1"/>
      <c r="E105" s="1"/>
      <c r="F105" s="1"/>
      <c r="K105" s="27"/>
      <c r="L105" s="27"/>
      <c r="M105" s="27"/>
      <c r="N105" s="27"/>
      <c r="O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58"/>
    </row>
    <row r="106" ht="17.25" customHeight="1">
      <c r="A106" s="1"/>
      <c r="B106" s="1"/>
      <c r="C106" s="1"/>
      <c r="D106" s="1"/>
      <c r="E106" s="1"/>
      <c r="F106" s="1"/>
      <c r="K106" s="27"/>
      <c r="L106" s="27"/>
      <c r="M106" s="27"/>
      <c r="N106" s="27"/>
      <c r="O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58"/>
    </row>
    <row r="107" ht="17.25" customHeight="1">
      <c r="A107" s="1"/>
      <c r="B107" s="1"/>
      <c r="C107" s="1"/>
      <c r="D107" s="1"/>
      <c r="E107" s="1"/>
      <c r="F107" s="1"/>
      <c r="K107" s="27"/>
      <c r="L107" s="27"/>
      <c r="M107" s="27"/>
      <c r="N107" s="27"/>
      <c r="O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58"/>
    </row>
    <row r="108" ht="17.25" customHeight="1">
      <c r="A108" s="1"/>
      <c r="B108" s="1"/>
      <c r="C108" s="1"/>
      <c r="D108" s="1"/>
      <c r="E108" s="1"/>
      <c r="F108" s="1"/>
      <c r="K108" s="27"/>
      <c r="L108" s="27"/>
      <c r="M108" s="27"/>
      <c r="N108" s="27"/>
      <c r="O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58"/>
    </row>
    <row r="109" ht="17.25" customHeight="1">
      <c r="A109" s="1"/>
      <c r="B109" s="1"/>
      <c r="C109" s="1"/>
      <c r="D109" s="1"/>
      <c r="E109" s="1"/>
      <c r="F109" s="1"/>
      <c r="K109" s="27"/>
      <c r="L109" s="27"/>
      <c r="M109" s="27"/>
      <c r="N109" s="27"/>
      <c r="O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58"/>
    </row>
    <row r="110" ht="17.25" customHeight="1">
      <c r="A110" s="1"/>
      <c r="B110" s="1"/>
      <c r="C110" s="1"/>
      <c r="D110" s="1"/>
      <c r="E110" s="1"/>
      <c r="F110" s="1"/>
      <c r="K110" s="27"/>
      <c r="L110" s="27"/>
      <c r="M110" s="27"/>
      <c r="N110" s="27"/>
      <c r="O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58"/>
    </row>
    <row r="111" ht="17.25" customHeight="1">
      <c r="A111" s="1"/>
      <c r="B111" s="1"/>
      <c r="C111" s="1"/>
      <c r="D111" s="1"/>
      <c r="E111" s="1"/>
      <c r="F111" s="1"/>
      <c r="K111" s="27"/>
      <c r="L111" s="27"/>
      <c r="M111" s="27"/>
      <c r="N111" s="27"/>
      <c r="O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58"/>
    </row>
    <row r="112" ht="17.25" customHeight="1">
      <c r="A112" s="1"/>
      <c r="B112" s="1"/>
      <c r="C112" s="1"/>
      <c r="D112" s="1"/>
      <c r="E112" s="1"/>
      <c r="F112" s="1"/>
      <c r="K112" s="27"/>
      <c r="L112" s="27"/>
      <c r="M112" s="27"/>
      <c r="N112" s="27"/>
      <c r="O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58"/>
    </row>
    <row r="113" ht="17.25" customHeight="1">
      <c r="A113" s="1"/>
      <c r="B113" s="1"/>
      <c r="C113" s="1"/>
      <c r="D113" s="1"/>
      <c r="E113" s="1"/>
      <c r="F113" s="1"/>
      <c r="K113" s="27"/>
      <c r="L113" s="27"/>
      <c r="M113" s="27"/>
      <c r="N113" s="27"/>
      <c r="O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58"/>
    </row>
    <row r="114" ht="17.25" customHeight="1">
      <c r="A114" s="1"/>
      <c r="B114" s="1"/>
      <c r="C114" s="1"/>
      <c r="D114" s="1"/>
      <c r="E114" s="1"/>
      <c r="F114" s="1"/>
      <c r="K114" s="27"/>
      <c r="L114" s="27"/>
      <c r="M114" s="27"/>
      <c r="N114" s="27"/>
      <c r="O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58"/>
    </row>
    <row r="115" ht="17.25" customHeight="1">
      <c r="A115" s="1"/>
      <c r="B115" s="1"/>
      <c r="C115" s="1"/>
      <c r="D115" s="1"/>
      <c r="E115" s="1"/>
      <c r="F115" s="1"/>
      <c r="K115" s="27"/>
      <c r="L115" s="27"/>
      <c r="M115" s="27"/>
      <c r="N115" s="27"/>
      <c r="O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58"/>
    </row>
    <row r="116" ht="17.25" customHeight="1">
      <c r="A116" s="1"/>
      <c r="B116" s="1"/>
      <c r="C116" s="1"/>
      <c r="D116" s="1"/>
      <c r="E116" s="1"/>
      <c r="F116" s="1"/>
      <c r="K116" s="27"/>
      <c r="L116" s="27"/>
      <c r="M116" s="27"/>
      <c r="N116" s="27"/>
      <c r="O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58"/>
    </row>
    <row r="117" ht="17.25" customHeight="1">
      <c r="A117" s="1"/>
      <c r="B117" s="1"/>
      <c r="C117" s="1"/>
      <c r="D117" s="1"/>
      <c r="E117" s="1"/>
      <c r="F117" s="1"/>
      <c r="K117" s="27"/>
      <c r="L117" s="27"/>
      <c r="M117" s="27"/>
      <c r="N117" s="27"/>
      <c r="O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58"/>
    </row>
    <row r="118" ht="17.25" customHeight="1">
      <c r="A118" s="1"/>
      <c r="B118" s="1"/>
      <c r="C118" s="1"/>
      <c r="D118" s="1"/>
      <c r="E118" s="1"/>
      <c r="F118" s="1"/>
      <c r="K118" s="27"/>
      <c r="L118" s="27"/>
      <c r="M118" s="27"/>
      <c r="N118" s="27"/>
      <c r="O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58"/>
    </row>
    <row r="119" ht="17.25" customHeight="1">
      <c r="A119" s="1"/>
      <c r="B119" s="1"/>
      <c r="C119" s="1"/>
      <c r="D119" s="1"/>
      <c r="E119" s="1"/>
      <c r="F119" s="1"/>
      <c r="K119" s="27"/>
      <c r="L119" s="27"/>
      <c r="M119" s="27"/>
      <c r="N119" s="27"/>
      <c r="O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58"/>
    </row>
    <row r="120" ht="17.25" customHeight="1">
      <c r="A120" s="1"/>
      <c r="B120" s="1"/>
      <c r="C120" s="1"/>
      <c r="D120" s="1"/>
      <c r="E120" s="1"/>
      <c r="F120" s="1"/>
      <c r="K120" s="27"/>
      <c r="L120" s="27"/>
      <c r="M120" s="27"/>
      <c r="N120" s="27"/>
      <c r="O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58"/>
    </row>
    <row r="121" ht="17.25" customHeight="1">
      <c r="A121" s="1"/>
      <c r="B121" s="1"/>
      <c r="C121" s="1"/>
      <c r="D121" s="1"/>
      <c r="E121" s="1"/>
      <c r="F121" s="1"/>
      <c r="K121" s="27"/>
      <c r="L121" s="27"/>
      <c r="M121" s="27"/>
      <c r="N121" s="27"/>
      <c r="O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58"/>
    </row>
    <row r="122" ht="17.25" customHeight="1">
      <c r="A122" s="1"/>
      <c r="B122" s="1"/>
      <c r="C122" s="1"/>
      <c r="D122" s="1"/>
      <c r="E122" s="1"/>
      <c r="F122" s="1"/>
      <c r="K122" s="27"/>
      <c r="L122" s="27"/>
      <c r="M122" s="27"/>
      <c r="N122" s="27"/>
      <c r="O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58"/>
    </row>
    <row r="123" ht="17.25" customHeight="1">
      <c r="A123" s="1"/>
      <c r="B123" s="1"/>
      <c r="C123" s="1"/>
      <c r="D123" s="1"/>
      <c r="E123" s="1"/>
      <c r="F123" s="1"/>
      <c r="K123" s="27"/>
      <c r="L123" s="27"/>
      <c r="M123" s="27"/>
      <c r="N123" s="27"/>
      <c r="O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58"/>
    </row>
    <row r="124" ht="17.25" customHeight="1">
      <c r="A124" s="1"/>
      <c r="B124" s="1"/>
      <c r="C124" s="1"/>
      <c r="D124" s="1"/>
      <c r="E124" s="1"/>
      <c r="F124" s="1"/>
      <c r="K124" s="27"/>
      <c r="L124" s="27"/>
      <c r="M124" s="27"/>
      <c r="N124" s="27"/>
      <c r="O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58"/>
    </row>
    <row r="125" ht="17.25" customHeight="1">
      <c r="A125" s="1"/>
      <c r="B125" s="1"/>
      <c r="C125" s="1"/>
      <c r="D125" s="1"/>
      <c r="E125" s="1"/>
      <c r="F125" s="1"/>
      <c r="K125" s="27"/>
      <c r="L125" s="27"/>
      <c r="M125" s="27"/>
      <c r="N125" s="27"/>
      <c r="O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58"/>
    </row>
    <row r="126" ht="17.25" customHeight="1">
      <c r="A126" s="1"/>
      <c r="B126" s="1"/>
      <c r="C126" s="1"/>
      <c r="D126" s="1"/>
      <c r="E126" s="1"/>
      <c r="F126" s="1"/>
      <c r="K126" s="27"/>
      <c r="L126" s="27"/>
      <c r="M126" s="27"/>
      <c r="N126" s="27"/>
      <c r="O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58"/>
    </row>
    <row r="127" ht="17.25" customHeight="1">
      <c r="A127" s="1"/>
      <c r="B127" s="1"/>
      <c r="C127" s="1"/>
      <c r="D127" s="1"/>
      <c r="E127" s="1"/>
      <c r="F127" s="1"/>
      <c r="K127" s="27"/>
      <c r="L127" s="27"/>
      <c r="M127" s="27"/>
      <c r="N127" s="27"/>
      <c r="O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58"/>
    </row>
    <row r="128" ht="17.25" customHeight="1">
      <c r="A128" s="1"/>
      <c r="B128" s="1"/>
      <c r="C128" s="1"/>
      <c r="D128" s="1"/>
      <c r="E128" s="1"/>
      <c r="F128" s="1"/>
      <c r="K128" s="27"/>
      <c r="L128" s="27"/>
      <c r="M128" s="27"/>
      <c r="N128" s="27"/>
      <c r="O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58"/>
    </row>
    <row r="129" ht="17.25" customHeight="1">
      <c r="A129" s="1"/>
      <c r="B129" s="1"/>
      <c r="C129" s="1"/>
      <c r="D129" s="1"/>
      <c r="E129" s="1"/>
      <c r="F129" s="1"/>
      <c r="K129" s="27"/>
      <c r="L129" s="27"/>
      <c r="M129" s="27"/>
      <c r="N129" s="27"/>
      <c r="O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58"/>
    </row>
    <row r="130" ht="17.25" customHeight="1">
      <c r="A130" s="1"/>
      <c r="B130" s="1"/>
      <c r="C130" s="1"/>
      <c r="D130" s="1"/>
      <c r="E130" s="1"/>
      <c r="F130" s="1"/>
      <c r="K130" s="27"/>
      <c r="L130" s="27"/>
      <c r="M130" s="27"/>
      <c r="N130" s="27"/>
      <c r="O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58"/>
    </row>
    <row r="131" ht="17.25" customHeight="1">
      <c r="A131" s="1"/>
      <c r="B131" s="1"/>
      <c r="C131" s="1"/>
      <c r="D131" s="1"/>
      <c r="E131" s="1"/>
      <c r="F131" s="1"/>
      <c r="K131" s="27"/>
      <c r="L131" s="27"/>
      <c r="M131" s="27"/>
      <c r="N131" s="27"/>
      <c r="O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58"/>
    </row>
    <row r="132" ht="17.25" customHeight="1">
      <c r="A132" s="1"/>
      <c r="B132" s="1"/>
      <c r="C132" s="1"/>
      <c r="D132" s="1"/>
      <c r="E132" s="1"/>
      <c r="F132" s="1"/>
      <c r="K132" s="27"/>
      <c r="L132" s="27"/>
      <c r="M132" s="27"/>
      <c r="N132" s="27"/>
      <c r="O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58"/>
    </row>
    <row r="133" ht="17.25" customHeight="1">
      <c r="A133" s="1"/>
      <c r="B133" s="1"/>
      <c r="C133" s="1"/>
      <c r="D133" s="1"/>
      <c r="E133" s="1"/>
      <c r="F133" s="1"/>
      <c r="K133" s="27"/>
      <c r="L133" s="27"/>
      <c r="M133" s="27"/>
      <c r="N133" s="27"/>
      <c r="O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58"/>
    </row>
    <row r="134" ht="17.25" customHeight="1">
      <c r="A134" s="1"/>
      <c r="B134" s="1"/>
      <c r="C134" s="1"/>
      <c r="D134" s="1"/>
      <c r="E134" s="1"/>
      <c r="F134" s="1"/>
      <c r="K134" s="27"/>
      <c r="L134" s="27"/>
      <c r="M134" s="27"/>
      <c r="N134" s="27"/>
      <c r="O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58"/>
    </row>
    <row r="135" ht="17.25" customHeight="1">
      <c r="A135" s="1"/>
      <c r="B135" s="1"/>
      <c r="C135" s="1"/>
      <c r="D135" s="1"/>
      <c r="E135" s="1"/>
      <c r="F135" s="1"/>
      <c r="K135" s="27"/>
      <c r="L135" s="27"/>
      <c r="M135" s="27"/>
      <c r="N135" s="27"/>
      <c r="O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58"/>
    </row>
    <row r="136" ht="17.25" customHeight="1">
      <c r="A136" s="1"/>
      <c r="B136" s="1"/>
      <c r="C136" s="1"/>
      <c r="D136" s="1"/>
      <c r="E136" s="1"/>
      <c r="F136" s="1"/>
      <c r="K136" s="27"/>
      <c r="L136" s="27"/>
      <c r="M136" s="27"/>
      <c r="N136" s="27"/>
      <c r="O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58"/>
    </row>
    <row r="137" ht="17.25" customHeight="1">
      <c r="A137" s="1"/>
      <c r="B137" s="1"/>
      <c r="C137" s="1"/>
      <c r="D137" s="1"/>
      <c r="E137" s="1"/>
      <c r="F137" s="1"/>
      <c r="K137" s="27"/>
      <c r="L137" s="27"/>
      <c r="M137" s="27"/>
      <c r="N137" s="27"/>
      <c r="O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58"/>
    </row>
    <row r="138" ht="17.25" customHeight="1">
      <c r="A138" s="1"/>
      <c r="B138" s="1"/>
      <c r="C138" s="1"/>
      <c r="D138" s="1"/>
      <c r="E138" s="1"/>
      <c r="F138" s="1"/>
      <c r="K138" s="27"/>
      <c r="L138" s="27"/>
      <c r="M138" s="27"/>
      <c r="N138" s="27"/>
      <c r="O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58"/>
    </row>
    <row r="139" ht="17.25" customHeight="1">
      <c r="A139" s="1"/>
      <c r="B139" s="1"/>
      <c r="C139" s="1"/>
      <c r="D139" s="1"/>
      <c r="E139" s="1"/>
      <c r="F139" s="1"/>
      <c r="K139" s="27"/>
      <c r="L139" s="27"/>
      <c r="M139" s="27"/>
      <c r="N139" s="27"/>
      <c r="O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58"/>
    </row>
    <row r="140" ht="17.25" customHeight="1">
      <c r="A140" s="1"/>
      <c r="B140" s="1"/>
      <c r="C140" s="1"/>
      <c r="D140" s="1"/>
      <c r="E140" s="1"/>
      <c r="F140" s="1"/>
      <c r="K140" s="27"/>
      <c r="L140" s="27"/>
      <c r="M140" s="27"/>
      <c r="N140" s="27"/>
      <c r="O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58"/>
    </row>
    <row r="141" ht="17.25" customHeight="1">
      <c r="A141" s="1"/>
      <c r="B141" s="1"/>
      <c r="C141" s="1"/>
      <c r="D141" s="1"/>
      <c r="E141" s="1"/>
      <c r="F141" s="1"/>
      <c r="K141" s="27"/>
      <c r="L141" s="27"/>
      <c r="M141" s="27"/>
      <c r="N141" s="27"/>
      <c r="O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58"/>
    </row>
    <row r="142" ht="17.25" customHeight="1">
      <c r="A142" s="1"/>
      <c r="B142" s="1"/>
      <c r="C142" s="1"/>
      <c r="D142" s="1"/>
      <c r="E142" s="1"/>
      <c r="F142" s="1"/>
      <c r="K142" s="27"/>
      <c r="L142" s="27"/>
      <c r="M142" s="27"/>
      <c r="N142" s="27"/>
      <c r="O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58"/>
    </row>
    <row r="143" ht="17.25" customHeight="1">
      <c r="A143" s="1"/>
      <c r="B143" s="1"/>
      <c r="C143" s="1"/>
      <c r="D143" s="1"/>
      <c r="E143" s="1"/>
      <c r="F143" s="1"/>
      <c r="K143" s="27"/>
      <c r="L143" s="27"/>
      <c r="M143" s="27"/>
      <c r="N143" s="27"/>
      <c r="O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58"/>
    </row>
    <row r="144" ht="17.25" customHeight="1">
      <c r="A144" s="1"/>
      <c r="B144" s="1"/>
      <c r="C144" s="1"/>
      <c r="D144" s="1"/>
      <c r="E144" s="1"/>
      <c r="F144" s="1"/>
      <c r="K144" s="27"/>
      <c r="L144" s="27"/>
      <c r="M144" s="27"/>
      <c r="N144" s="27"/>
      <c r="O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58"/>
    </row>
    <row r="145" ht="17.25" customHeight="1">
      <c r="A145" s="1"/>
      <c r="B145" s="1"/>
      <c r="C145" s="1"/>
      <c r="D145" s="1"/>
      <c r="E145" s="1"/>
      <c r="F145" s="1"/>
      <c r="K145" s="27"/>
      <c r="L145" s="27"/>
      <c r="M145" s="27"/>
      <c r="N145" s="27"/>
      <c r="O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58"/>
    </row>
    <row r="146" ht="17.25" customHeight="1">
      <c r="A146" s="1"/>
      <c r="B146" s="1"/>
      <c r="C146" s="1"/>
      <c r="D146" s="1"/>
      <c r="E146" s="1"/>
      <c r="F146" s="1"/>
      <c r="K146" s="27"/>
      <c r="L146" s="27"/>
      <c r="M146" s="27"/>
      <c r="N146" s="27"/>
      <c r="O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58"/>
    </row>
    <row r="147" ht="17.25" customHeight="1">
      <c r="A147" s="1"/>
      <c r="B147" s="1"/>
      <c r="C147" s="1"/>
      <c r="D147" s="1"/>
      <c r="E147" s="1"/>
      <c r="F147" s="1"/>
      <c r="K147" s="27"/>
      <c r="L147" s="27"/>
      <c r="M147" s="27"/>
      <c r="N147" s="27"/>
      <c r="O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58"/>
    </row>
    <row r="148" ht="17.25" customHeight="1">
      <c r="A148" s="1"/>
      <c r="B148" s="1"/>
      <c r="C148" s="1"/>
      <c r="D148" s="1"/>
      <c r="E148" s="1"/>
      <c r="F148" s="1"/>
      <c r="K148" s="27"/>
      <c r="L148" s="27"/>
      <c r="M148" s="27"/>
      <c r="N148" s="27"/>
      <c r="O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58"/>
    </row>
    <row r="149" ht="17.25" customHeight="1">
      <c r="A149" s="1"/>
      <c r="B149" s="1"/>
      <c r="C149" s="1"/>
      <c r="D149" s="1"/>
      <c r="E149" s="1"/>
      <c r="F149" s="1"/>
      <c r="K149" s="27"/>
      <c r="L149" s="27"/>
      <c r="M149" s="27"/>
      <c r="N149" s="27"/>
      <c r="O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58"/>
    </row>
    <row r="150" ht="17.25" customHeight="1">
      <c r="A150" s="1"/>
      <c r="B150" s="1"/>
      <c r="C150" s="1"/>
      <c r="D150" s="1"/>
      <c r="E150" s="1"/>
      <c r="F150" s="1"/>
      <c r="K150" s="27"/>
      <c r="L150" s="27"/>
      <c r="M150" s="27"/>
      <c r="N150" s="27"/>
      <c r="O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58"/>
    </row>
    <row r="151" ht="17.25" customHeight="1">
      <c r="A151" s="1"/>
      <c r="B151" s="1"/>
      <c r="C151" s="1"/>
      <c r="D151" s="1"/>
      <c r="E151" s="1"/>
      <c r="F151" s="1"/>
      <c r="K151" s="27"/>
      <c r="L151" s="27"/>
      <c r="M151" s="27"/>
      <c r="N151" s="27"/>
      <c r="O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58"/>
    </row>
    <row r="152" ht="17.25" customHeight="1">
      <c r="A152" s="1"/>
      <c r="B152" s="1"/>
      <c r="C152" s="1"/>
      <c r="D152" s="1"/>
      <c r="E152" s="1"/>
      <c r="F152" s="1"/>
      <c r="K152" s="27"/>
      <c r="L152" s="27"/>
      <c r="M152" s="27"/>
      <c r="N152" s="27"/>
      <c r="O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58"/>
    </row>
    <row r="153" ht="17.25" customHeight="1">
      <c r="A153" s="1"/>
      <c r="B153" s="1"/>
      <c r="C153" s="1"/>
      <c r="D153" s="1"/>
      <c r="E153" s="1"/>
      <c r="F153" s="1"/>
      <c r="K153" s="27"/>
      <c r="L153" s="27"/>
      <c r="M153" s="27"/>
      <c r="N153" s="27"/>
      <c r="O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58"/>
    </row>
    <row r="154" ht="17.25" customHeight="1">
      <c r="A154" s="1"/>
      <c r="B154" s="1"/>
      <c r="C154" s="1"/>
      <c r="D154" s="1"/>
      <c r="E154" s="1"/>
      <c r="F154" s="1"/>
      <c r="K154" s="27"/>
      <c r="L154" s="27"/>
      <c r="M154" s="27"/>
      <c r="N154" s="27"/>
      <c r="O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58"/>
    </row>
    <row r="155" ht="17.25" customHeight="1">
      <c r="A155" s="1"/>
      <c r="B155" s="1"/>
      <c r="C155" s="1"/>
      <c r="D155" s="1"/>
      <c r="E155" s="1"/>
      <c r="F155" s="1"/>
      <c r="K155" s="27"/>
      <c r="L155" s="27"/>
      <c r="M155" s="27"/>
      <c r="N155" s="27"/>
      <c r="O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58"/>
    </row>
    <row r="156" ht="17.25" customHeight="1">
      <c r="A156" s="1"/>
      <c r="B156" s="1"/>
      <c r="C156" s="1"/>
      <c r="D156" s="1"/>
      <c r="E156" s="1"/>
      <c r="F156" s="1"/>
      <c r="K156" s="27"/>
      <c r="L156" s="27"/>
      <c r="M156" s="27"/>
      <c r="N156" s="27"/>
      <c r="O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58"/>
    </row>
    <row r="157" ht="17.25" customHeight="1">
      <c r="A157" s="1"/>
      <c r="B157" s="1"/>
      <c r="C157" s="1"/>
      <c r="D157" s="1"/>
      <c r="E157" s="1"/>
      <c r="F157" s="1"/>
      <c r="K157" s="27"/>
      <c r="L157" s="27"/>
      <c r="M157" s="27"/>
      <c r="N157" s="27"/>
      <c r="O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58"/>
    </row>
    <row r="158" ht="17.25" customHeight="1">
      <c r="A158" s="1"/>
      <c r="B158" s="1"/>
      <c r="C158" s="1"/>
      <c r="D158" s="1"/>
      <c r="E158" s="1"/>
      <c r="F158" s="1"/>
      <c r="K158" s="27"/>
      <c r="L158" s="27"/>
      <c r="M158" s="27"/>
      <c r="N158" s="27"/>
      <c r="O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58"/>
    </row>
    <row r="159" ht="17.25" customHeight="1">
      <c r="A159" s="1"/>
      <c r="B159" s="1"/>
      <c r="C159" s="1"/>
      <c r="D159" s="1"/>
      <c r="E159" s="1"/>
      <c r="F159" s="1"/>
      <c r="K159" s="27"/>
      <c r="L159" s="27"/>
      <c r="M159" s="27"/>
      <c r="N159" s="27"/>
      <c r="O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58"/>
    </row>
    <row r="160" ht="17.25" customHeight="1">
      <c r="A160" s="1"/>
      <c r="B160" s="1"/>
      <c r="C160" s="1"/>
      <c r="D160" s="1"/>
      <c r="E160" s="1"/>
      <c r="F160" s="1"/>
      <c r="K160" s="27"/>
      <c r="L160" s="27"/>
      <c r="M160" s="27"/>
      <c r="N160" s="27"/>
      <c r="O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58"/>
    </row>
    <row r="161" ht="17.25" customHeight="1">
      <c r="A161" s="1"/>
      <c r="B161" s="1"/>
      <c r="C161" s="1"/>
      <c r="D161" s="1"/>
      <c r="E161" s="1"/>
      <c r="F161" s="1"/>
      <c r="K161" s="27"/>
      <c r="L161" s="27"/>
      <c r="M161" s="27"/>
      <c r="N161" s="27"/>
      <c r="O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58"/>
    </row>
    <row r="162" ht="17.25" customHeight="1">
      <c r="A162" s="1"/>
      <c r="B162" s="1"/>
      <c r="C162" s="1"/>
      <c r="D162" s="1"/>
      <c r="E162" s="1"/>
      <c r="F162" s="1"/>
      <c r="K162" s="27"/>
      <c r="L162" s="27"/>
      <c r="M162" s="27"/>
      <c r="N162" s="27"/>
      <c r="O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58"/>
    </row>
    <row r="163" ht="17.25" customHeight="1">
      <c r="A163" s="1"/>
      <c r="B163" s="1"/>
      <c r="C163" s="1"/>
      <c r="D163" s="1"/>
      <c r="E163" s="1"/>
      <c r="F163" s="1"/>
      <c r="K163" s="27"/>
      <c r="L163" s="27"/>
      <c r="M163" s="27"/>
      <c r="N163" s="27"/>
      <c r="O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58"/>
    </row>
    <row r="164" ht="17.25" customHeight="1">
      <c r="A164" s="1"/>
      <c r="B164" s="1"/>
      <c r="C164" s="1"/>
      <c r="D164" s="1"/>
      <c r="E164" s="1"/>
      <c r="F164" s="1"/>
      <c r="K164" s="27"/>
      <c r="L164" s="27"/>
      <c r="M164" s="27"/>
      <c r="N164" s="27"/>
      <c r="O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58"/>
    </row>
    <row r="165" ht="17.25" customHeight="1">
      <c r="A165" s="1"/>
      <c r="B165" s="1"/>
      <c r="C165" s="1"/>
      <c r="D165" s="1"/>
      <c r="E165" s="1"/>
      <c r="F165" s="1"/>
      <c r="K165" s="27"/>
      <c r="L165" s="27"/>
      <c r="M165" s="27"/>
      <c r="N165" s="27"/>
      <c r="O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58"/>
    </row>
    <row r="166" ht="17.25" customHeight="1">
      <c r="A166" s="1"/>
      <c r="B166" s="1"/>
      <c r="C166" s="1"/>
      <c r="D166" s="1"/>
      <c r="E166" s="1"/>
      <c r="F166" s="1"/>
      <c r="K166" s="27"/>
      <c r="L166" s="27"/>
      <c r="M166" s="27"/>
      <c r="N166" s="27"/>
      <c r="O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58"/>
    </row>
    <row r="167" ht="17.25" customHeight="1">
      <c r="A167" s="1"/>
      <c r="B167" s="1"/>
      <c r="C167" s="1"/>
      <c r="D167" s="1"/>
      <c r="E167" s="1"/>
      <c r="F167" s="1"/>
      <c r="K167" s="27"/>
      <c r="L167" s="27"/>
      <c r="M167" s="27"/>
      <c r="N167" s="27"/>
      <c r="O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58"/>
    </row>
    <row r="168" ht="17.25" customHeight="1">
      <c r="A168" s="1"/>
      <c r="B168" s="1"/>
      <c r="C168" s="1"/>
      <c r="D168" s="1"/>
      <c r="E168" s="1"/>
      <c r="F168" s="1"/>
      <c r="K168" s="27"/>
      <c r="L168" s="27"/>
      <c r="M168" s="27"/>
      <c r="N168" s="27"/>
      <c r="O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58"/>
    </row>
    <row r="169" ht="17.25" customHeight="1">
      <c r="A169" s="1"/>
      <c r="B169" s="1"/>
      <c r="C169" s="1"/>
      <c r="D169" s="1"/>
      <c r="E169" s="1"/>
      <c r="F169" s="1"/>
      <c r="K169" s="27"/>
      <c r="L169" s="27"/>
      <c r="M169" s="27"/>
      <c r="N169" s="27"/>
      <c r="O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58"/>
    </row>
    <row r="170" ht="17.25" customHeight="1">
      <c r="A170" s="1"/>
      <c r="B170" s="1"/>
      <c r="C170" s="1"/>
      <c r="D170" s="1"/>
      <c r="E170" s="1"/>
      <c r="F170" s="1"/>
      <c r="K170" s="27"/>
      <c r="L170" s="27"/>
      <c r="M170" s="27"/>
      <c r="N170" s="27"/>
      <c r="O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58"/>
    </row>
    <row r="171" ht="17.25" customHeight="1">
      <c r="A171" s="1"/>
      <c r="B171" s="1"/>
      <c r="C171" s="1"/>
      <c r="D171" s="1"/>
      <c r="E171" s="1"/>
      <c r="F171" s="1"/>
      <c r="K171" s="27"/>
      <c r="L171" s="27"/>
      <c r="M171" s="27"/>
      <c r="N171" s="27"/>
      <c r="O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58"/>
    </row>
    <row r="172" ht="17.25" customHeight="1">
      <c r="A172" s="1"/>
      <c r="B172" s="1"/>
      <c r="C172" s="1"/>
      <c r="D172" s="1"/>
      <c r="E172" s="1"/>
      <c r="F172" s="1"/>
      <c r="K172" s="27"/>
      <c r="L172" s="27"/>
      <c r="M172" s="27"/>
      <c r="N172" s="27"/>
      <c r="O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58"/>
    </row>
    <row r="173" ht="17.25" customHeight="1">
      <c r="A173" s="1"/>
      <c r="B173" s="1"/>
      <c r="C173" s="1"/>
      <c r="D173" s="1"/>
      <c r="E173" s="1"/>
      <c r="F173" s="1"/>
      <c r="K173" s="27"/>
      <c r="L173" s="27"/>
      <c r="M173" s="27"/>
      <c r="N173" s="27"/>
      <c r="O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58"/>
    </row>
    <row r="174" ht="17.25" customHeight="1">
      <c r="A174" s="1"/>
      <c r="B174" s="1"/>
      <c r="C174" s="1"/>
      <c r="D174" s="1"/>
      <c r="E174" s="1"/>
      <c r="F174" s="1"/>
      <c r="K174" s="27"/>
      <c r="L174" s="27"/>
      <c r="M174" s="27"/>
      <c r="N174" s="27"/>
      <c r="O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58"/>
    </row>
    <row r="175" ht="17.25" customHeight="1">
      <c r="A175" s="1"/>
      <c r="B175" s="1"/>
      <c r="C175" s="1"/>
      <c r="D175" s="1"/>
      <c r="E175" s="1"/>
      <c r="F175" s="1"/>
      <c r="K175" s="27"/>
      <c r="L175" s="27"/>
      <c r="M175" s="27"/>
      <c r="N175" s="27"/>
      <c r="O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58"/>
    </row>
    <row r="176" ht="17.25" customHeight="1">
      <c r="A176" s="1"/>
      <c r="B176" s="1"/>
      <c r="C176" s="1"/>
      <c r="D176" s="1"/>
      <c r="E176" s="1"/>
      <c r="F176" s="1"/>
      <c r="K176" s="27"/>
      <c r="L176" s="27"/>
      <c r="M176" s="27"/>
      <c r="N176" s="27"/>
      <c r="O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58"/>
    </row>
    <row r="177" ht="17.25" customHeight="1">
      <c r="A177" s="1"/>
      <c r="B177" s="1"/>
      <c r="C177" s="1"/>
      <c r="D177" s="1"/>
      <c r="E177" s="1"/>
      <c r="F177" s="1"/>
      <c r="K177" s="27"/>
      <c r="L177" s="27"/>
      <c r="M177" s="27"/>
      <c r="N177" s="27"/>
      <c r="O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58"/>
    </row>
    <row r="178" ht="17.25" customHeight="1">
      <c r="A178" s="1"/>
      <c r="B178" s="1"/>
      <c r="C178" s="1"/>
      <c r="D178" s="1"/>
      <c r="E178" s="1"/>
      <c r="F178" s="1"/>
      <c r="K178" s="27"/>
      <c r="L178" s="27"/>
      <c r="M178" s="27"/>
      <c r="N178" s="27"/>
      <c r="O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58"/>
    </row>
    <row r="179" ht="17.25" customHeight="1">
      <c r="A179" s="1"/>
      <c r="B179" s="1"/>
      <c r="C179" s="1"/>
      <c r="D179" s="1"/>
      <c r="E179" s="1"/>
      <c r="F179" s="1"/>
      <c r="K179" s="27"/>
      <c r="L179" s="27"/>
      <c r="M179" s="27"/>
      <c r="N179" s="27"/>
      <c r="O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58"/>
    </row>
    <row r="180" ht="17.25" customHeight="1">
      <c r="A180" s="1"/>
      <c r="B180" s="1"/>
      <c r="C180" s="1"/>
      <c r="D180" s="1"/>
      <c r="E180" s="1"/>
      <c r="F180" s="1"/>
      <c r="K180" s="27"/>
      <c r="L180" s="27"/>
      <c r="M180" s="27"/>
      <c r="N180" s="27"/>
      <c r="O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58"/>
    </row>
    <row r="181" ht="17.25" customHeight="1">
      <c r="A181" s="1"/>
      <c r="B181" s="1"/>
      <c r="C181" s="1"/>
      <c r="D181" s="1"/>
      <c r="E181" s="1"/>
      <c r="F181" s="1"/>
      <c r="K181" s="27"/>
      <c r="L181" s="27"/>
      <c r="M181" s="27"/>
      <c r="N181" s="27"/>
      <c r="O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58"/>
    </row>
    <row r="182" ht="17.25" customHeight="1">
      <c r="A182" s="1"/>
      <c r="B182" s="1"/>
      <c r="C182" s="1"/>
      <c r="D182" s="1"/>
      <c r="E182" s="1"/>
      <c r="F182" s="1"/>
      <c r="K182" s="27"/>
      <c r="L182" s="27"/>
      <c r="M182" s="27"/>
      <c r="N182" s="27"/>
      <c r="O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58"/>
    </row>
    <row r="183" ht="17.25" customHeight="1">
      <c r="A183" s="1"/>
      <c r="B183" s="1"/>
      <c r="C183" s="1"/>
      <c r="D183" s="1"/>
      <c r="E183" s="1"/>
      <c r="F183" s="1"/>
      <c r="K183" s="27"/>
      <c r="L183" s="27"/>
      <c r="M183" s="27"/>
      <c r="N183" s="27"/>
      <c r="O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58"/>
    </row>
    <row r="184" ht="17.25" customHeight="1">
      <c r="A184" s="1"/>
      <c r="B184" s="1"/>
      <c r="C184" s="1"/>
      <c r="D184" s="1"/>
      <c r="E184" s="1"/>
      <c r="F184" s="1"/>
      <c r="K184" s="27"/>
      <c r="L184" s="27"/>
      <c r="M184" s="27"/>
      <c r="N184" s="27"/>
      <c r="O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58"/>
    </row>
    <row r="185" ht="17.25" customHeight="1">
      <c r="A185" s="1"/>
      <c r="B185" s="1"/>
      <c r="C185" s="1"/>
      <c r="D185" s="1"/>
      <c r="E185" s="1"/>
      <c r="F185" s="1"/>
      <c r="K185" s="27"/>
      <c r="L185" s="27"/>
      <c r="M185" s="27"/>
      <c r="N185" s="27"/>
      <c r="O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58"/>
    </row>
    <row r="186" ht="17.25" customHeight="1">
      <c r="A186" s="1"/>
      <c r="B186" s="1"/>
      <c r="C186" s="1"/>
      <c r="D186" s="1"/>
      <c r="E186" s="1"/>
      <c r="F186" s="1"/>
      <c r="K186" s="27"/>
      <c r="L186" s="27"/>
      <c r="M186" s="27"/>
      <c r="N186" s="27"/>
      <c r="O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58"/>
    </row>
    <row r="187" ht="17.25" customHeight="1">
      <c r="A187" s="1"/>
      <c r="B187" s="1"/>
      <c r="C187" s="1"/>
      <c r="D187" s="1"/>
      <c r="E187" s="1"/>
      <c r="F187" s="1"/>
      <c r="K187" s="27"/>
      <c r="L187" s="27"/>
      <c r="M187" s="27"/>
      <c r="N187" s="27"/>
      <c r="O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58"/>
    </row>
    <row r="188" ht="17.25" customHeight="1">
      <c r="A188" s="1"/>
      <c r="B188" s="1"/>
      <c r="C188" s="1"/>
      <c r="D188" s="1"/>
      <c r="E188" s="1"/>
      <c r="F188" s="1"/>
      <c r="K188" s="27"/>
      <c r="L188" s="27"/>
      <c r="M188" s="27"/>
      <c r="N188" s="27"/>
      <c r="O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58"/>
    </row>
    <row r="189" ht="17.25" customHeight="1">
      <c r="A189" s="1"/>
      <c r="B189" s="1"/>
      <c r="C189" s="1"/>
      <c r="D189" s="1"/>
      <c r="E189" s="1"/>
      <c r="F189" s="1"/>
      <c r="K189" s="27"/>
      <c r="L189" s="27"/>
      <c r="M189" s="27"/>
      <c r="N189" s="27"/>
      <c r="O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58"/>
    </row>
    <row r="190" ht="17.25" customHeight="1">
      <c r="A190" s="1"/>
      <c r="B190" s="1"/>
      <c r="C190" s="1"/>
      <c r="D190" s="1"/>
      <c r="E190" s="1"/>
      <c r="F190" s="1"/>
      <c r="K190" s="27"/>
      <c r="L190" s="27"/>
      <c r="M190" s="27"/>
      <c r="N190" s="27"/>
      <c r="O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58"/>
    </row>
    <row r="191" ht="17.25" customHeight="1">
      <c r="A191" s="1"/>
      <c r="B191" s="1"/>
      <c r="C191" s="1"/>
      <c r="D191" s="1"/>
      <c r="E191" s="1"/>
      <c r="F191" s="1"/>
      <c r="K191" s="27"/>
      <c r="L191" s="27"/>
      <c r="M191" s="27"/>
      <c r="N191" s="27"/>
      <c r="O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58"/>
    </row>
    <row r="192" ht="17.25" customHeight="1">
      <c r="A192" s="1"/>
      <c r="B192" s="1"/>
      <c r="C192" s="1"/>
      <c r="D192" s="1"/>
      <c r="E192" s="1"/>
      <c r="F192" s="1"/>
      <c r="K192" s="27"/>
      <c r="L192" s="27"/>
      <c r="M192" s="27"/>
      <c r="N192" s="27"/>
      <c r="O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58"/>
    </row>
    <row r="193" ht="17.25" customHeight="1">
      <c r="A193" s="1"/>
      <c r="B193" s="1"/>
      <c r="C193" s="1"/>
      <c r="D193" s="1"/>
      <c r="E193" s="1"/>
      <c r="F193" s="1"/>
      <c r="K193" s="27"/>
      <c r="L193" s="27"/>
      <c r="M193" s="27"/>
      <c r="N193" s="27"/>
      <c r="O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58"/>
    </row>
    <row r="194" ht="17.25" customHeight="1">
      <c r="A194" s="1"/>
      <c r="B194" s="1"/>
      <c r="C194" s="1"/>
      <c r="D194" s="1"/>
      <c r="E194" s="1"/>
      <c r="F194" s="1"/>
      <c r="K194" s="27"/>
      <c r="L194" s="27"/>
      <c r="M194" s="27"/>
      <c r="N194" s="27"/>
      <c r="O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58"/>
    </row>
    <row r="195" ht="17.25" customHeight="1">
      <c r="A195" s="1"/>
      <c r="B195" s="1"/>
      <c r="C195" s="1"/>
      <c r="D195" s="1"/>
      <c r="E195" s="1"/>
      <c r="F195" s="1"/>
      <c r="K195" s="27"/>
      <c r="L195" s="27"/>
      <c r="M195" s="27"/>
      <c r="N195" s="27"/>
      <c r="O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58"/>
    </row>
    <row r="196" ht="17.25" customHeight="1">
      <c r="A196" s="1"/>
      <c r="B196" s="1"/>
      <c r="C196" s="1"/>
      <c r="D196" s="1"/>
      <c r="E196" s="1"/>
      <c r="F196" s="1"/>
      <c r="K196" s="27"/>
      <c r="L196" s="27"/>
      <c r="M196" s="27"/>
      <c r="N196" s="27"/>
      <c r="O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58"/>
    </row>
    <row r="197" ht="17.25" customHeight="1">
      <c r="A197" s="1"/>
      <c r="B197" s="1"/>
      <c r="C197" s="1"/>
      <c r="D197" s="1"/>
      <c r="E197" s="1"/>
      <c r="F197" s="1"/>
      <c r="K197" s="27"/>
      <c r="L197" s="27"/>
      <c r="M197" s="27"/>
      <c r="N197" s="27"/>
      <c r="O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58"/>
    </row>
    <row r="198" ht="17.25" customHeight="1">
      <c r="A198" s="1"/>
      <c r="B198" s="1"/>
      <c r="C198" s="1"/>
      <c r="D198" s="1"/>
      <c r="E198" s="1"/>
      <c r="F198" s="1"/>
      <c r="K198" s="27"/>
      <c r="L198" s="27"/>
      <c r="M198" s="27"/>
      <c r="N198" s="27"/>
      <c r="O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58"/>
    </row>
    <row r="199" ht="17.25" customHeight="1">
      <c r="A199" s="1"/>
      <c r="B199" s="1"/>
      <c r="C199" s="1"/>
      <c r="D199" s="1"/>
      <c r="E199" s="1"/>
      <c r="F199" s="1"/>
      <c r="K199" s="27"/>
      <c r="L199" s="27"/>
      <c r="M199" s="27"/>
      <c r="N199" s="27"/>
      <c r="O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58"/>
    </row>
    <row r="200" ht="17.25" customHeight="1">
      <c r="A200" s="1"/>
      <c r="B200" s="1"/>
      <c r="C200" s="1"/>
      <c r="D200" s="1"/>
      <c r="E200" s="1"/>
      <c r="F200" s="1"/>
      <c r="K200" s="27"/>
      <c r="L200" s="27"/>
      <c r="M200" s="27"/>
      <c r="N200" s="27"/>
      <c r="O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58"/>
    </row>
    <row r="201" ht="17.25" customHeight="1">
      <c r="A201" s="1"/>
      <c r="B201" s="1"/>
      <c r="C201" s="1"/>
      <c r="D201" s="1"/>
      <c r="E201" s="1"/>
      <c r="F201" s="1"/>
      <c r="K201" s="27"/>
      <c r="L201" s="27"/>
      <c r="M201" s="27"/>
      <c r="N201" s="27"/>
      <c r="O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58"/>
    </row>
    <row r="202" ht="17.25" customHeight="1">
      <c r="A202" s="1"/>
      <c r="B202" s="1"/>
      <c r="C202" s="1"/>
      <c r="D202" s="1"/>
      <c r="E202" s="1"/>
      <c r="F202" s="1"/>
      <c r="K202" s="27"/>
      <c r="L202" s="27"/>
      <c r="M202" s="27"/>
      <c r="N202" s="27"/>
      <c r="O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58"/>
    </row>
    <row r="203" ht="17.25" customHeight="1">
      <c r="A203" s="1"/>
      <c r="B203" s="1"/>
      <c r="C203" s="1"/>
      <c r="D203" s="1"/>
      <c r="E203" s="1"/>
      <c r="F203" s="1"/>
      <c r="K203" s="27"/>
      <c r="L203" s="27"/>
      <c r="M203" s="27"/>
      <c r="N203" s="27"/>
      <c r="O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58"/>
    </row>
    <row r="204" ht="17.25" customHeight="1">
      <c r="A204" s="1"/>
      <c r="B204" s="1"/>
      <c r="C204" s="1"/>
      <c r="D204" s="1"/>
      <c r="E204" s="1"/>
      <c r="F204" s="1"/>
      <c r="K204" s="27"/>
      <c r="L204" s="27"/>
      <c r="M204" s="27"/>
      <c r="N204" s="27"/>
      <c r="O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58"/>
    </row>
    <row r="205" ht="17.25" customHeight="1">
      <c r="A205" s="1"/>
      <c r="B205" s="1"/>
      <c r="C205" s="1"/>
      <c r="D205" s="1"/>
      <c r="E205" s="1"/>
      <c r="F205" s="1"/>
      <c r="K205" s="27"/>
      <c r="L205" s="27"/>
      <c r="M205" s="27"/>
      <c r="N205" s="27"/>
      <c r="O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58"/>
    </row>
    <row r="206" ht="17.25" customHeight="1">
      <c r="A206" s="1"/>
      <c r="B206" s="1"/>
      <c r="C206" s="1"/>
      <c r="D206" s="1"/>
      <c r="E206" s="1"/>
      <c r="F206" s="1"/>
      <c r="K206" s="27"/>
      <c r="L206" s="27"/>
      <c r="M206" s="27"/>
      <c r="N206" s="27"/>
      <c r="O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58"/>
    </row>
    <row r="207" ht="17.25" customHeight="1">
      <c r="A207" s="1"/>
      <c r="B207" s="1"/>
      <c r="C207" s="1"/>
      <c r="D207" s="1"/>
      <c r="E207" s="1"/>
      <c r="F207" s="1"/>
      <c r="K207" s="27"/>
      <c r="L207" s="27"/>
      <c r="M207" s="27"/>
      <c r="N207" s="27"/>
      <c r="O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58"/>
    </row>
    <row r="208" ht="17.25" customHeight="1">
      <c r="A208" s="1"/>
      <c r="B208" s="1"/>
      <c r="C208" s="1"/>
      <c r="D208" s="1"/>
      <c r="E208" s="1"/>
      <c r="F208" s="1"/>
      <c r="K208" s="27"/>
      <c r="L208" s="27"/>
      <c r="M208" s="27"/>
      <c r="N208" s="27"/>
      <c r="O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58"/>
    </row>
    <row r="209" ht="17.25" customHeight="1">
      <c r="A209" s="1"/>
      <c r="B209" s="1"/>
      <c r="C209" s="1"/>
      <c r="D209" s="1"/>
      <c r="E209" s="1"/>
      <c r="F209" s="1"/>
      <c r="K209" s="27"/>
      <c r="L209" s="27"/>
      <c r="M209" s="27"/>
      <c r="N209" s="27"/>
      <c r="O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58"/>
    </row>
    <row r="210" ht="17.25" customHeight="1">
      <c r="A210" s="1"/>
      <c r="B210" s="1"/>
      <c r="C210" s="1"/>
      <c r="D210" s="1"/>
      <c r="E210" s="1"/>
      <c r="F210" s="1"/>
      <c r="K210" s="27"/>
      <c r="L210" s="27"/>
      <c r="M210" s="27"/>
      <c r="N210" s="27"/>
      <c r="O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58"/>
    </row>
    <row r="211" ht="17.25" customHeight="1">
      <c r="A211" s="1"/>
      <c r="B211" s="1"/>
      <c r="C211" s="1"/>
      <c r="D211" s="1"/>
      <c r="E211" s="1"/>
      <c r="F211" s="1"/>
      <c r="K211" s="27"/>
      <c r="L211" s="27"/>
      <c r="M211" s="27"/>
      <c r="N211" s="27"/>
      <c r="O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58"/>
    </row>
    <row r="212" ht="17.25" customHeight="1">
      <c r="A212" s="1"/>
      <c r="B212" s="1"/>
      <c r="C212" s="1"/>
      <c r="D212" s="1"/>
      <c r="E212" s="1"/>
      <c r="F212" s="1"/>
      <c r="K212" s="27"/>
      <c r="L212" s="27"/>
      <c r="M212" s="27"/>
      <c r="N212" s="27"/>
      <c r="O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58"/>
    </row>
    <row r="213" ht="17.25" customHeight="1">
      <c r="A213" s="1"/>
      <c r="B213" s="1"/>
      <c r="C213" s="1"/>
      <c r="D213" s="1"/>
      <c r="E213" s="1"/>
      <c r="F213" s="1"/>
      <c r="K213" s="27"/>
      <c r="L213" s="27"/>
      <c r="M213" s="27"/>
      <c r="N213" s="27"/>
      <c r="O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58"/>
    </row>
    <row r="214" ht="17.25" customHeight="1">
      <c r="A214" s="1"/>
      <c r="B214" s="1"/>
      <c r="C214" s="1"/>
      <c r="D214" s="1"/>
      <c r="E214" s="1"/>
      <c r="F214" s="1"/>
      <c r="K214" s="27"/>
      <c r="L214" s="27"/>
      <c r="M214" s="27"/>
      <c r="N214" s="27"/>
      <c r="O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58"/>
    </row>
    <row r="215" ht="17.25" customHeight="1">
      <c r="A215" s="1"/>
      <c r="B215" s="1"/>
      <c r="C215" s="1"/>
      <c r="D215" s="1"/>
      <c r="E215" s="1"/>
      <c r="F215" s="1"/>
      <c r="K215" s="27"/>
      <c r="L215" s="27"/>
      <c r="M215" s="27"/>
      <c r="N215" s="27"/>
      <c r="O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58"/>
    </row>
    <row r="216" ht="17.25" customHeight="1">
      <c r="A216" s="1"/>
      <c r="B216" s="1"/>
      <c r="C216" s="1"/>
      <c r="D216" s="1"/>
      <c r="E216" s="1"/>
      <c r="F216" s="1"/>
      <c r="K216" s="27"/>
      <c r="L216" s="27"/>
      <c r="M216" s="27"/>
      <c r="N216" s="27"/>
      <c r="O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58"/>
    </row>
    <row r="217" ht="17.25" customHeight="1">
      <c r="A217" s="1"/>
      <c r="B217" s="1"/>
      <c r="C217" s="1"/>
      <c r="D217" s="1"/>
      <c r="E217" s="1"/>
      <c r="F217" s="1"/>
      <c r="K217" s="27"/>
      <c r="L217" s="27"/>
      <c r="M217" s="27"/>
      <c r="N217" s="27"/>
      <c r="O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58"/>
    </row>
    <row r="218" ht="17.25" customHeight="1">
      <c r="A218" s="1"/>
      <c r="B218" s="1"/>
      <c r="C218" s="1"/>
      <c r="D218" s="1"/>
      <c r="E218" s="1"/>
      <c r="F218" s="1"/>
      <c r="K218" s="27"/>
      <c r="L218" s="27"/>
      <c r="M218" s="27"/>
      <c r="N218" s="27"/>
      <c r="O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58"/>
    </row>
    <row r="219" ht="17.25" customHeight="1">
      <c r="A219" s="1"/>
      <c r="B219" s="1"/>
      <c r="C219" s="1"/>
      <c r="D219" s="1"/>
      <c r="E219" s="1"/>
      <c r="F219" s="1"/>
      <c r="K219" s="27"/>
      <c r="L219" s="27"/>
      <c r="M219" s="27"/>
      <c r="N219" s="27"/>
      <c r="O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58"/>
    </row>
    <row r="220" ht="17.25" customHeight="1">
      <c r="A220" s="1"/>
      <c r="B220" s="1"/>
      <c r="C220" s="1"/>
      <c r="D220" s="1"/>
      <c r="E220" s="1"/>
      <c r="F220" s="1"/>
      <c r="K220" s="27"/>
      <c r="L220" s="27"/>
      <c r="M220" s="27"/>
      <c r="N220" s="27"/>
      <c r="O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58"/>
    </row>
    <row r="221" ht="17.25" customHeight="1">
      <c r="A221" s="1"/>
      <c r="B221" s="1"/>
      <c r="C221" s="1"/>
      <c r="D221" s="1"/>
      <c r="E221" s="1"/>
      <c r="F221" s="1"/>
      <c r="K221" s="27"/>
      <c r="L221" s="27"/>
      <c r="M221" s="27"/>
      <c r="N221" s="27"/>
      <c r="O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58"/>
    </row>
    <row r="222" ht="17.25" customHeight="1">
      <c r="A222" s="1"/>
      <c r="B222" s="1"/>
      <c r="C222" s="1"/>
      <c r="D222" s="1"/>
      <c r="E222" s="1"/>
      <c r="F222" s="1"/>
      <c r="K222" s="27"/>
      <c r="L222" s="27"/>
      <c r="M222" s="27"/>
      <c r="N222" s="27"/>
      <c r="O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58"/>
    </row>
    <row r="223" ht="17.25" customHeight="1">
      <c r="A223" s="1"/>
      <c r="B223" s="1"/>
      <c r="C223" s="1"/>
      <c r="D223" s="1"/>
      <c r="E223" s="1"/>
      <c r="F223" s="1"/>
      <c r="K223" s="27"/>
      <c r="L223" s="27"/>
      <c r="M223" s="27"/>
      <c r="N223" s="27"/>
      <c r="O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58"/>
    </row>
    <row r="224" ht="17.25" customHeight="1">
      <c r="A224" s="1"/>
      <c r="B224" s="1"/>
      <c r="C224" s="1"/>
      <c r="D224" s="1"/>
      <c r="E224" s="1"/>
      <c r="F224" s="1"/>
      <c r="K224" s="27"/>
      <c r="L224" s="27"/>
      <c r="M224" s="27"/>
      <c r="N224" s="27"/>
      <c r="O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58"/>
    </row>
    <row r="225" ht="17.25" customHeight="1">
      <c r="A225" s="1"/>
      <c r="B225" s="1"/>
      <c r="C225" s="1"/>
      <c r="D225" s="1"/>
      <c r="E225" s="1"/>
      <c r="F225" s="1"/>
      <c r="K225" s="27"/>
      <c r="L225" s="27"/>
      <c r="M225" s="27"/>
      <c r="N225" s="27"/>
      <c r="O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58"/>
    </row>
    <row r="226" ht="17.25" customHeight="1">
      <c r="A226" s="1"/>
      <c r="B226" s="1"/>
      <c r="C226" s="1"/>
      <c r="D226" s="1"/>
      <c r="E226" s="1"/>
      <c r="F226" s="1"/>
      <c r="K226" s="27"/>
      <c r="L226" s="27"/>
      <c r="M226" s="27"/>
      <c r="N226" s="27"/>
      <c r="O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58"/>
    </row>
    <row r="227" ht="17.25" customHeight="1">
      <c r="A227" s="1"/>
      <c r="B227" s="1"/>
      <c r="C227" s="1"/>
      <c r="D227" s="1"/>
      <c r="E227" s="1"/>
      <c r="F227" s="1"/>
      <c r="K227" s="27"/>
      <c r="L227" s="27"/>
      <c r="M227" s="27"/>
      <c r="N227" s="27"/>
      <c r="O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58"/>
    </row>
    <row r="228" ht="17.25" customHeight="1">
      <c r="A228" s="1"/>
      <c r="B228" s="1"/>
      <c r="C228" s="1"/>
      <c r="D228" s="1"/>
      <c r="E228" s="1"/>
      <c r="F228" s="1"/>
      <c r="K228" s="27"/>
      <c r="L228" s="27"/>
      <c r="M228" s="27"/>
      <c r="N228" s="27"/>
      <c r="O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58"/>
    </row>
    <row r="229" ht="17.25" customHeight="1">
      <c r="A229" s="1"/>
      <c r="B229" s="1"/>
      <c r="C229" s="1"/>
      <c r="D229" s="1"/>
      <c r="E229" s="1"/>
      <c r="F229" s="1"/>
      <c r="K229" s="27"/>
      <c r="L229" s="27"/>
      <c r="M229" s="27"/>
      <c r="N229" s="27"/>
      <c r="O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58"/>
    </row>
    <row r="230" ht="17.25" customHeight="1">
      <c r="A230" s="1"/>
      <c r="B230" s="1"/>
      <c r="C230" s="1"/>
      <c r="D230" s="1"/>
      <c r="E230" s="1"/>
      <c r="F230" s="1"/>
      <c r="K230" s="27"/>
      <c r="L230" s="27"/>
      <c r="M230" s="27"/>
      <c r="N230" s="27"/>
      <c r="O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58"/>
    </row>
    <row r="231" ht="17.25" customHeight="1">
      <c r="A231" s="1"/>
      <c r="B231" s="1"/>
      <c r="C231" s="1"/>
      <c r="D231" s="1"/>
      <c r="E231" s="1"/>
      <c r="F231" s="1"/>
      <c r="K231" s="27"/>
      <c r="L231" s="27"/>
      <c r="M231" s="27"/>
      <c r="N231" s="27"/>
      <c r="O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58"/>
    </row>
    <row r="232" ht="17.25" customHeight="1">
      <c r="A232" s="1"/>
      <c r="B232" s="1"/>
      <c r="C232" s="1"/>
      <c r="D232" s="1"/>
      <c r="E232" s="1"/>
      <c r="F232" s="1"/>
      <c r="K232" s="27"/>
      <c r="L232" s="27"/>
      <c r="M232" s="27"/>
      <c r="N232" s="27"/>
      <c r="O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58"/>
    </row>
    <row r="233" ht="17.25" customHeight="1">
      <c r="A233" s="1"/>
      <c r="B233" s="1"/>
      <c r="C233" s="1"/>
      <c r="D233" s="1"/>
      <c r="E233" s="1"/>
      <c r="F233" s="1"/>
      <c r="K233" s="27"/>
      <c r="L233" s="27"/>
      <c r="M233" s="27"/>
      <c r="N233" s="27"/>
      <c r="O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58"/>
    </row>
    <row r="234" ht="17.25" customHeight="1">
      <c r="A234" s="1"/>
      <c r="B234" s="1"/>
      <c r="C234" s="1"/>
      <c r="D234" s="1"/>
      <c r="E234" s="1"/>
      <c r="F234" s="1"/>
      <c r="K234" s="27"/>
      <c r="L234" s="27"/>
      <c r="M234" s="27"/>
      <c r="N234" s="27"/>
      <c r="O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58"/>
    </row>
    <row r="235" ht="17.25" customHeight="1">
      <c r="A235" s="1"/>
      <c r="B235" s="1"/>
      <c r="C235" s="1"/>
      <c r="D235" s="1"/>
      <c r="E235" s="1"/>
      <c r="F235" s="1"/>
      <c r="K235" s="27"/>
      <c r="L235" s="27"/>
      <c r="M235" s="27"/>
      <c r="N235" s="27"/>
      <c r="O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58"/>
    </row>
    <row r="236" ht="17.25" customHeight="1">
      <c r="A236" s="1"/>
      <c r="B236" s="1"/>
      <c r="C236" s="1"/>
      <c r="D236" s="1"/>
      <c r="E236" s="1"/>
      <c r="F236" s="1"/>
      <c r="K236" s="27"/>
      <c r="L236" s="27"/>
      <c r="M236" s="27"/>
      <c r="N236" s="27"/>
      <c r="O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58"/>
    </row>
    <row r="237" ht="17.25" customHeight="1">
      <c r="A237" s="1"/>
      <c r="B237" s="1"/>
      <c r="C237" s="1"/>
      <c r="D237" s="1"/>
      <c r="E237" s="1"/>
      <c r="F237" s="1"/>
      <c r="K237" s="27"/>
      <c r="L237" s="27"/>
      <c r="M237" s="27"/>
      <c r="N237" s="27"/>
      <c r="O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58"/>
    </row>
    <row r="238" ht="17.25" customHeight="1">
      <c r="A238" s="1"/>
      <c r="B238" s="1"/>
      <c r="C238" s="1"/>
      <c r="D238" s="1"/>
      <c r="E238" s="1"/>
      <c r="F238" s="1"/>
      <c r="K238" s="27"/>
      <c r="L238" s="27"/>
      <c r="M238" s="27"/>
      <c r="N238" s="27"/>
      <c r="O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58"/>
    </row>
    <row r="239" ht="17.25" customHeight="1">
      <c r="A239" s="1"/>
      <c r="B239" s="1"/>
      <c r="C239" s="1"/>
      <c r="D239" s="1"/>
      <c r="E239" s="1"/>
      <c r="F239" s="1"/>
      <c r="K239" s="27"/>
      <c r="L239" s="27"/>
      <c r="M239" s="27"/>
      <c r="N239" s="27"/>
      <c r="O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58"/>
    </row>
    <row r="240" ht="17.25" customHeight="1">
      <c r="A240" s="1"/>
      <c r="B240" s="1"/>
      <c r="C240" s="1"/>
      <c r="D240" s="1"/>
      <c r="E240" s="1"/>
      <c r="F240" s="1"/>
      <c r="K240" s="27"/>
      <c r="L240" s="27"/>
      <c r="M240" s="27"/>
      <c r="N240" s="27"/>
      <c r="O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58"/>
    </row>
    <row r="241" ht="17.25" customHeight="1">
      <c r="A241" s="1"/>
      <c r="B241" s="1"/>
      <c r="C241" s="1"/>
      <c r="D241" s="1"/>
      <c r="E241" s="1"/>
      <c r="F241" s="1"/>
      <c r="K241" s="27"/>
      <c r="L241" s="27"/>
      <c r="M241" s="27"/>
      <c r="N241" s="27"/>
      <c r="O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58"/>
    </row>
    <row r="242" ht="17.25" customHeight="1">
      <c r="A242" s="1"/>
      <c r="B242" s="1"/>
      <c r="C242" s="1"/>
      <c r="D242" s="1"/>
      <c r="E242" s="1"/>
      <c r="F242" s="1"/>
      <c r="K242" s="27"/>
      <c r="L242" s="27"/>
      <c r="M242" s="27"/>
      <c r="N242" s="27"/>
      <c r="O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58"/>
    </row>
    <row r="243" ht="17.25" customHeight="1">
      <c r="A243" s="1"/>
      <c r="B243" s="1"/>
      <c r="C243" s="1"/>
      <c r="D243" s="1"/>
      <c r="E243" s="1"/>
      <c r="F243" s="1"/>
      <c r="K243" s="27"/>
      <c r="L243" s="27"/>
      <c r="M243" s="27"/>
      <c r="N243" s="27"/>
      <c r="O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58"/>
    </row>
    <row r="244" ht="17.25" customHeight="1">
      <c r="A244" s="1"/>
      <c r="B244" s="1"/>
      <c r="C244" s="1"/>
      <c r="D244" s="1"/>
      <c r="E244" s="1"/>
      <c r="F244" s="1"/>
      <c r="K244" s="27"/>
      <c r="L244" s="27"/>
      <c r="M244" s="27"/>
      <c r="N244" s="27"/>
      <c r="O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58"/>
    </row>
    <row r="245" ht="17.25" customHeight="1">
      <c r="A245" s="1"/>
      <c r="B245" s="1"/>
      <c r="C245" s="1"/>
      <c r="D245" s="1"/>
      <c r="E245" s="1"/>
      <c r="F245" s="1"/>
      <c r="K245" s="27"/>
      <c r="L245" s="27"/>
      <c r="M245" s="27"/>
      <c r="N245" s="27"/>
      <c r="O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58"/>
    </row>
    <row r="246" ht="17.25" customHeight="1">
      <c r="A246" s="1"/>
      <c r="B246" s="1"/>
      <c r="C246" s="1"/>
      <c r="D246" s="1"/>
      <c r="E246" s="1"/>
      <c r="F246" s="1"/>
      <c r="K246" s="27"/>
      <c r="L246" s="27"/>
      <c r="M246" s="27"/>
      <c r="N246" s="27"/>
      <c r="O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58"/>
    </row>
    <row r="247" ht="17.25" customHeight="1">
      <c r="A247" s="1"/>
      <c r="B247" s="1"/>
      <c r="C247" s="1"/>
      <c r="D247" s="1"/>
      <c r="E247" s="1"/>
      <c r="F247" s="1"/>
      <c r="K247" s="27"/>
      <c r="L247" s="27"/>
      <c r="M247" s="27"/>
      <c r="N247" s="27"/>
      <c r="O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58"/>
    </row>
    <row r="248" ht="17.25" customHeight="1">
      <c r="A248" s="1"/>
      <c r="B248" s="1"/>
      <c r="C248" s="1"/>
      <c r="D248" s="1"/>
      <c r="E248" s="1"/>
      <c r="F248" s="1"/>
      <c r="K248" s="27"/>
      <c r="L248" s="27"/>
      <c r="M248" s="27"/>
      <c r="N248" s="27"/>
      <c r="O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58"/>
    </row>
    <row r="249" ht="17.25" customHeight="1">
      <c r="A249" s="1"/>
      <c r="B249" s="1"/>
      <c r="C249" s="1"/>
      <c r="D249" s="1"/>
      <c r="E249" s="1"/>
      <c r="F249" s="1"/>
      <c r="K249" s="27"/>
      <c r="L249" s="27"/>
      <c r="M249" s="27"/>
      <c r="N249" s="27"/>
      <c r="O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58"/>
    </row>
    <row r="250" ht="17.25" customHeight="1">
      <c r="A250" s="1"/>
      <c r="B250" s="1"/>
      <c r="C250" s="1"/>
      <c r="D250" s="1"/>
      <c r="E250" s="1"/>
      <c r="F250" s="1"/>
      <c r="K250" s="27"/>
      <c r="L250" s="27"/>
      <c r="M250" s="27"/>
      <c r="N250" s="27"/>
      <c r="O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58"/>
    </row>
    <row r="251" ht="17.25" customHeight="1">
      <c r="A251" s="1"/>
      <c r="B251" s="1"/>
      <c r="C251" s="1"/>
      <c r="D251" s="1"/>
      <c r="E251" s="1"/>
      <c r="F251" s="1"/>
      <c r="K251" s="27"/>
      <c r="L251" s="27"/>
      <c r="M251" s="27"/>
      <c r="N251" s="27"/>
      <c r="O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58"/>
    </row>
    <row r="252" ht="17.25" customHeight="1">
      <c r="A252" s="1"/>
      <c r="B252" s="1"/>
      <c r="C252" s="1"/>
      <c r="D252" s="1"/>
      <c r="E252" s="1"/>
      <c r="F252" s="1"/>
      <c r="K252" s="27"/>
      <c r="L252" s="27"/>
      <c r="M252" s="27"/>
      <c r="N252" s="27"/>
      <c r="O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58"/>
    </row>
    <row r="253" ht="17.25" customHeight="1">
      <c r="A253" s="1"/>
      <c r="B253" s="1"/>
      <c r="C253" s="1"/>
      <c r="D253" s="1"/>
      <c r="E253" s="1"/>
      <c r="F253" s="1"/>
      <c r="K253" s="27"/>
      <c r="L253" s="27"/>
      <c r="M253" s="27"/>
      <c r="N253" s="27"/>
      <c r="O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58"/>
    </row>
    <row r="254" ht="17.25" customHeight="1">
      <c r="A254" s="1"/>
      <c r="B254" s="1"/>
      <c r="C254" s="1"/>
      <c r="D254" s="1"/>
      <c r="E254" s="1"/>
      <c r="F254" s="1"/>
      <c r="K254" s="27"/>
      <c r="L254" s="27"/>
      <c r="M254" s="27"/>
      <c r="N254" s="27"/>
      <c r="O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58"/>
    </row>
    <row r="255" ht="17.25" customHeight="1">
      <c r="A255" s="1"/>
      <c r="B255" s="1"/>
      <c r="C255" s="1"/>
      <c r="D255" s="1"/>
      <c r="E255" s="1"/>
      <c r="F255" s="1"/>
      <c r="K255" s="27"/>
      <c r="L255" s="27"/>
      <c r="M255" s="27"/>
      <c r="N255" s="27"/>
      <c r="O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58"/>
    </row>
    <row r="256" ht="17.25" customHeight="1">
      <c r="A256" s="1"/>
      <c r="B256" s="1"/>
      <c r="C256" s="1"/>
      <c r="D256" s="1"/>
      <c r="E256" s="1"/>
      <c r="F256" s="1"/>
      <c r="K256" s="27"/>
      <c r="L256" s="27"/>
      <c r="M256" s="27"/>
      <c r="N256" s="27"/>
      <c r="O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58"/>
    </row>
    <row r="257" ht="17.25" customHeight="1">
      <c r="A257" s="1"/>
      <c r="B257" s="1"/>
      <c r="C257" s="1"/>
      <c r="D257" s="1"/>
      <c r="E257" s="1"/>
      <c r="F257" s="1"/>
      <c r="K257" s="27"/>
      <c r="L257" s="27"/>
      <c r="M257" s="27"/>
      <c r="N257" s="27"/>
      <c r="O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58"/>
    </row>
    <row r="258" ht="17.25" customHeight="1">
      <c r="A258" s="1"/>
      <c r="B258" s="1"/>
      <c r="C258" s="1"/>
      <c r="D258" s="1"/>
      <c r="E258" s="1"/>
      <c r="F258" s="1"/>
      <c r="K258" s="27"/>
      <c r="L258" s="27"/>
      <c r="M258" s="27"/>
      <c r="N258" s="27"/>
      <c r="O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58"/>
    </row>
    <row r="259" ht="17.25" customHeight="1">
      <c r="A259" s="1"/>
      <c r="B259" s="1"/>
      <c r="C259" s="1"/>
      <c r="D259" s="1"/>
      <c r="E259" s="1"/>
      <c r="F259" s="1"/>
      <c r="K259" s="27"/>
      <c r="L259" s="27"/>
      <c r="M259" s="27"/>
      <c r="N259" s="27"/>
      <c r="O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58"/>
    </row>
    <row r="260" ht="17.25" customHeight="1">
      <c r="A260" s="1"/>
      <c r="B260" s="1"/>
      <c r="C260" s="1"/>
      <c r="D260" s="1"/>
      <c r="E260" s="1"/>
      <c r="F260" s="1"/>
      <c r="K260" s="27"/>
      <c r="L260" s="27"/>
      <c r="M260" s="27"/>
      <c r="N260" s="27"/>
      <c r="O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58"/>
    </row>
    <row r="261" ht="17.25" customHeight="1">
      <c r="A261" s="1"/>
      <c r="B261" s="1"/>
      <c r="C261" s="1"/>
      <c r="D261" s="1"/>
      <c r="E261" s="1"/>
      <c r="F261" s="1"/>
      <c r="K261" s="27"/>
      <c r="L261" s="27"/>
      <c r="M261" s="27"/>
      <c r="N261" s="27"/>
      <c r="O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58"/>
    </row>
    <row r="262" ht="17.25" customHeight="1">
      <c r="A262" s="1"/>
      <c r="B262" s="1"/>
      <c r="C262" s="1"/>
      <c r="D262" s="1"/>
      <c r="E262" s="1"/>
      <c r="F262" s="1"/>
      <c r="K262" s="27"/>
      <c r="L262" s="27"/>
      <c r="M262" s="27"/>
      <c r="N262" s="27"/>
      <c r="O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58"/>
    </row>
    <row r="263" ht="17.25" customHeight="1">
      <c r="A263" s="1"/>
      <c r="B263" s="1"/>
      <c r="C263" s="1"/>
      <c r="D263" s="1"/>
      <c r="E263" s="1"/>
      <c r="F263" s="1"/>
      <c r="K263" s="27"/>
      <c r="L263" s="27"/>
      <c r="M263" s="27"/>
      <c r="N263" s="27"/>
      <c r="O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58"/>
    </row>
    <row r="264" ht="17.25" customHeight="1">
      <c r="A264" s="1"/>
      <c r="B264" s="1"/>
      <c r="C264" s="1"/>
      <c r="D264" s="1"/>
      <c r="E264" s="1"/>
      <c r="F264" s="1"/>
      <c r="K264" s="27"/>
      <c r="L264" s="27"/>
      <c r="M264" s="27"/>
      <c r="N264" s="27"/>
      <c r="O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58"/>
    </row>
    <row r="265" ht="17.25" customHeight="1">
      <c r="A265" s="1"/>
      <c r="B265" s="1"/>
      <c r="C265" s="1"/>
      <c r="D265" s="1"/>
      <c r="E265" s="1"/>
      <c r="F265" s="1"/>
      <c r="K265" s="27"/>
      <c r="L265" s="27"/>
      <c r="M265" s="27"/>
      <c r="N265" s="27"/>
      <c r="O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58"/>
    </row>
    <row r="266" ht="17.25" customHeight="1">
      <c r="A266" s="1"/>
      <c r="B266" s="1"/>
      <c r="C266" s="1"/>
      <c r="D266" s="1"/>
      <c r="E266" s="1"/>
      <c r="F266" s="1"/>
      <c r="K266" s="27"/>
      <c r="L266" s="27"/>
      <c r="M266" s="27"/>
      <c r="N266" s="27"/>
      <c r="O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58"/>
    </row>
    <row r="267" ht="17.25" customHeight="1">
      <c r="A267" s="1"/>
      <c r="B267" s="1"/>
      <c r="C267" s="1"/>
      <c r="D267" s="1"/>
      <c r="E267" s="1"/>
      <c r="F267" s="1"/>
      <c r="K267" s="27"/>
      <c r="L267" s="27"/>
      <c r="M267" s="27"/>
      <c r="N267" s="27"/>
      <c r="O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58"/>
    </row>
    <row r="268" ht="17.25" customHeight="1">
      <c r="A268" s="1"/>
      <c r="B268" s="1"/>
      <c r="C268" s="1"/>
      <c r="D268" s="1"/>
      <c r="E268" s="1"/>
      <c r="F268" s="1"/>
      <c r="K268" s="27"/>
      <c r="L268" s="27"/>
      <c r="M268" s="27"/>
      <c r="N268" s="27"/>
      <c r="O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58"/>
    </row>
    <row r="269" ht="17.25" customHeight="1">
      <c r="A269" s="1"/>
      <c r="B269" s="1"/>
      <c r="C269" s="1"/>
      <c r="D269" s="1"/>
      <c r="E269" s="1"/>
      <c r="F269" s="1"/>
      <c r="K269" s="27"/>
      <c r="L269" s="27"/>
      <c r="M269" s="27"/>
      <c r="N269" s="27"/>
      <c r="O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58"/>
    </row>
    <row r="270" ht="17.25" customHeight="1">
      <c r="A270" s="1"/>
      <c r="B270" s="1"/>
      <c r="C270" s="1"/>
      <c r="D270" s="1"/>
      <c r="E270" s="1"/>
      <c r="F270" s="1"/>
      <c r="K270" s="27"/>
      <c r="L270" s="27"/>
      <c r="M270" s="27"/>
      <c r="N270" s="27"/>
      <c r="O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58"/>
    </row>
    <row r="271" ht="17.25" customHeight="1">
      <c r="A271" s="1"/>
      <c r="B271" s="1"/>
      <c r="C271" s="1"/>
      <c r="D271" s="1"/>
      <c r="E271" s="1"/>
      <c r="F271" s="1"/>
      <c r="K271" s="27"/>
      <c r="L271" s="27"/>
      <c r="M271" s="27"/>
      <c r="N271" s="27"/>
      <c r="O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58"/>
    </row>
    <row r="272" ht="17.25" customHeight="1">
      <c r="A272" s="1"/>
      <c r="B272" s="1"/>
      <c r="C272" s="1"/>
      <c r="D272" s="1"/>
      <c r="E272" s="1"/>
      <c r="F272" s="1"/>
      <c r="K272" s="27"/>
      <c r="L272" s="27"/>
      <c r="M272" s="27"/>
      <c r="N272" s="27"/>
      <c r="O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58"/>
    </row>
    <row r="273" ht="17.25" customHeight="1">
      <c r="A273" s="1"/>
      <c r="B273" s="1"/>
      <c r="C273" s="1"/>
      <c r="D273" s="1"/>
      <c r="E273" s="1"/>
      <c r="F273" s="1"/>
      <c r="K273" s="27"/>
      <c r="L273" s="27"/>
      <c r="M273" s="27"/>
      <c r="N273" s="27"/>
      <c r="O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58"/>
    </row>
    <row r="274" ht="17.25" customHeight="1">
      <c r="A274" s="1"/>
      <c r="B274" s="1"/>
      <c r="C274" s="1"/>
      <c r="D274" s="1"/>
      <c r="E274" s="1"/>
      <c r="F274" s="1"/>
      <c r="K274" s="27"/>
      <c r="L274" s="27"/>
      <c r="M274" s="27"/>
      <c r="N274" s="27"/>
      <c r="O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58"/>
    </row>
    <row r="275" ht="17.25" customHeight="1">
      <c r="A275" s="1"/>
      <c r="B275" s="1"/>
      <c r="C275" s="1"/>
      <c r="D275" s="1"/>
      <c r="E275" s="1"/>
      <c r="F275" s="1"/>
      <c r="K275" s="27"/>
      <c r="L275" s="27"/>
      <c r="M275" s="27"/>
      <c r="N275" s="27"/>
      <c r="O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58"/>
    </row>
    <row r="276" ht="17.25" customHeight="1">
      <c r="A276" s="1"/>
      <c r="B276" s="1"/>
      <c r="C276" s="1"/>
      <c r="D276" s="1"/>
      <c r="E276" s="1"/>
      <c r="F276" s="1"/>
      <c r="K276" s="27"/>
      <c r="L276" s="27"/>
      <c r="M276" s="27"/>
      <c r="N276" s="27"/>
      <c r="O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58"/>
    </row>
    <row r="277" ht="17.25" customHeight="1">
      <c r="A277" s="1"/>
      <c r="B277" s="1"/>
      <c r="C277" s="1"/>
      <c r="D277" s="1"/>
      <c r="E277" s="1"/>
      <c r="F277" s="1"/>
      <c r="K277" s="27"/>
      <c r="L277" s="27"/>
      <c r="M277" s="27"/>
      <c r="N277" s="27"/>
      <c r="O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58"/>
    </row>
    <row r="278" ht="17.25" customHeight="1">
      <c r="A278" s="1"/>
      <c r="B278" s="1"/>
      <c r="C278" s="1"/>
      <c r="D278" s="1"/>
      <c r="E278" s="1"/>
      <c r="F278" s="1"/>
      <c r="K278" s="27"/>
      <c r="L278" s="27"/>
      <c r="M278" s="27"/>
      <c r="N278" s="27"/>
      <c r="O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58"/>
    </row>
    <row r="279" ht="17.25" customHeight="1">
      <c r="A279" s="1"/>
      <c r="B279" s="1"/>
      <c r="C279" s="1"/>
      <c r="D279" s="1"/>
      <c r="E279" s="1"/>
      <c r="F279" s="1"/>
      <c r="K279" s="27"/>
      <c r="L279" s="27"/>
      <c r="M279" s="27"/>
      <c r="N279" s="27"/>
      <c r="O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58"/>
    </row>
    <row r="280" ht="17.25" customHeight="1">
      <c r="A280" s="1"/>
      <c r="B280" s="1"/>
      <c r="C280" s="1"/>
      <c r="D280" s="1"/>
      <c r="E280" s="1"/>
      <c r="F280" s="1"/>
      <c r="K280" s="27"/>
      <c r="L280" s="27"/>
      <c r="M280" s="27"/>
      <c r="N280" s="27"/>
      <c r="O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58"/>
    </row>
    <row r="281" ht="17.25" customHeight="1">
      <c r="A281" s="1"/>
      <c r="B281" s="1"/>
      <c r="C281" s="1"/>
      <c r="D281" s="1"/>
      <c r="E281" s="1"/>
      <c r="F281" s="1"/>
      <c r="K281" s="27"/>
      <c r="L281" s="27"/>
      <c r="M281" s="27"/>
      <c r="N281" s="27"/>
      <c r="O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58"/>
    </row>
    <row r="282" ht="17.25" customHeight="1">
      <c r="A282" s="1"/>
      <c r="B282" s="1"/>
      <c r="C282" s="1"/>
      <c r="D282" s="1"/>
      <c r="E282" s="1"/>
      <c r="F282" s="1"/>
      <c r="K282" s="27"/>
      <c r="L282" s="27"/>
      <c r="M282" s="27"/>
      <c r="N282" s="27"/>
      <c r="O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58"/>
    </row>
    <row r="283" ht="17.25" customHeight="1">
      <c r="A283" s="1"/>
      <c r="B283" s="1"/>
      <c r="C283" s="1"/>
      <c r="D283" s="1"/>
      <c r="E283" s="1"/>
      <c r="F283" s="1"/>
      <c r="K283" s="27"/>
      <c r="L283" s="27"/>
      <c r="M283" s="27"/>
      <c r="N283" s="27"/>
      <c r="O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58"/>
    </row>
    <row r="284" ht="17.25" customHeight="1">
      <c r="A284" s="1"/>
      <c r="B284" s="1"/>
      <c r="C284" s="1"/>
      <c r="D284" s="1"/>
      <c r="E284" s="1"/>
      <c r="F284" s="1"/>
      <c r="K284" s="27"/>
      <c r="L284" s="27"/>
      <c r="M284" s="27"/>
      <c r="N284" s="27"/>
      <c r="O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58"/>
    </row>
    <row r="285" ht="17.25" customHeight="1">
      <c r="A285" s="1"/>
      <c r="B285" s="1"/>
      <c r="C285" s="1"/>
      <c r="D285" s="1"/>
      <c r="E285" s="1"/>
      <c r="F285" s="1"/>
      <c r="K285" s="27"/>
      <c r="L285" s="27"/>
      <c r="M285" s="27"/>
      <c r="N285" s="27"/>
      <c r="O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58"/>
    </row>
    <row r="286" ht="17.25" customHeight="1">
      <c r="A286" s="1"/>
      <c r="B286" s="1"/>
      <c r="C286" s="1"/>
      <c r="D286" s="1"/>
      <c r="E286" s="1"/>
      <c r="F286" s="1"/>
      <c r="K286" s="27"/>
      <c r="L286" s="27"/>
      <c r="M286" s="27"/>
      <c r="N286" s="27"/>
      <c r="O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58"/>
    </row>
    <row r="287" ht="17.25" customHeight="1">
      <c r="A287" s="1"/>
      <c r="B287" s="1"/>
      <c r="C287" s="1"/>
      <c r="D287" s="1"/>
      <c r="E287" s="1"/>
      <c r="F287" s="1"/>
      <c r="K287" s="27"/>
      <c r="L287" s="27"/>
      <c r="M287" s="27"/>
      <c r="N287" s="27"/>
      <c r="O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58"/>
    </row>
    <row r="288" ht="17.25" customHeight="1">
      <c r="A288" s="1"/>
      <c r="B288" s="1"/>
      <c r="C288" s="1"/>
      <c r="D288" s="1"/>
      <c r="E288" s="1"/>
      <c r="F288" s="1"/>
      <c r="K288" s="27"/>
      <c r="L288" s="27"/>
      <c r="M288" s="27"/>
      <c r="N288" s="27"/>
      <c r="O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58"/>
    </row>
    <row r="289" ht="17.25" customHeight="1">
      <c r="A289" s="1"/>
      <c r="B289" s="1"/>
      <c r="C289" s="1"/>
      <c r="D289" s="1"/>
      <c r="E289" s="1"/>
      <c r="F289" s="1"/>
      <c r="K289" s="27"/>
      <c r="L289" s="27"/>
      <c r="M289" s="27"/>
      <c r="N289" s="27"/>
      <c r="O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58"/>
    </row>
    <row r="290" ht="17.25" customHeight="1">
      <c r="A290" s="1"/>
      <c r="B290" s="1"/>
      <c r="C290" s="1"/>
      <c r="D290" s="1"/>
      <c r="E290" s="1"/>
      <c r="F290" s="1"/>
      <c r="K290" s="27"/>
      <c r="L290" s="27"/>
      <c r="M290" s="27"/>
      <c r="N290" s="27"/>
      <c r="O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58"/>
    </row>
    <row r="291" ht="17.25" customHeight="1">
      <c r="A291" s="1"/>
      <c r="B291" s="1"/>
      <c r="C291" s="1"/>
      <c r="D291" s="1"/>
      <c r="E291" s="1"/>
      <c r="F291" s="1"/>
      <c r="K291" s="27"/>
      <c r="L291" s="27"/>
      <c r="M291" s="27"/>
      <c r="N291" s="27"/>
      <c r="O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58"/>
    </row>
    <row r="292" ht="17.25" customHeight="1">
      <c r="A292" s="1"/>
      <c r="B292" s="1"/>
      <c r="C292" s="1"/>
      <c r="D292" s="1"/>
      <c r="E292" s="1"/>
      <c r="F292" s="1"/>
      <c r="K292" s="27"/>
      <c r="L292" s="27"/>
      <c r="M292" s="27"/>
      <c r="N292" s="27"/>
      <c r="O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58"/>
    </row>
    <row r="293" ht="17.25" customHeight="1">
      <c r="A293" s="1"/>
      <c r="B293" s="1"/>
      <c r="C293" s="1"/>
      <c r="D293" s="1"/>
      <c r="E293" s="1"/>
      <c r="F293" s="1"/>
      <c r="K293" s="27"/>
      <c r="L293" s="27"/>
      <c r="M293" s="27"/>
      <c r="N293" s="27"/>
      <c r="O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58"/>
    </row>
    <row r="294" ht="17.25" customHeight="1">
      <c r="A294" s="1"/>
      <c r="B294" s="1"/>
      <c r="C294" s="1"/>
      <c r="D294" s="1"/>
      <c r="E294" s="1"/>
      <c r="F294" s="1"/>
      <c r="K294" s="27"/>
      <c r="L294" s="27"/>
      <c r="M294" s="27"/>
      <c r="N294" s="27"/>
      <c r="O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58"/>
    </row>
    <row r="295" ht="17.25" customHeight="1">
      <c r="A295" s="1"/>
      <c r="B295" s="1"/>
      <c r="C295" s="1"/>
      <c r="D295" s="1"/>
      <c r="E295" s="1"/>
      <c r="F295" s="1"/>
      <c r="K295" s="27"/>
      <c r="L295" s="27"/>
      <c r="M295" s="27"/>
      <c r="N295" s="27"/>
      <c r="O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58"/>
    </row>
    <row r="296" ht="17.25" customHeight="1">
      <c r="A296" s="1"/>
      <c r="B296" s="1"/>
      <c r="C296" s="1"/>
      <c r="D296" s="1"/>
      <c r="E296" s="1"/>
      <c r="F296" s="1"/>
      <c r="K296" s="27"/>
      <c r="L296" s="27"/>
      <c r="M296" s="27"/>
      <c r="N296" s="27"/>
      <c r="O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58"/>
    </row>
    <row r="297" ht="17.25" customHeight="1">
      <c r="A297" s="1"/>
      <c r="B297" s="1"/>
      <c r="C297" s="1"/>
      <c r="D297" s="1"/>
      <c r="E297" s="1"/>
      <c r="F297" s="1"/>
      <c r="K297" s="27"/>
      <c r="L297" s="27"/>
      <c r="M297" s="27"/>
      <c r="N297" s="27"/>
      <c r="O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58"/>
    </row>
    <row r="298" ht="17.25" customHeight="1">
      <c r="A298" s="1"/>
      <c r="B298" s="1"/>
      <c r="C298" s="1"/>
      <c r="D298" s="1"/>
      <c r="E298" s="1"/>
      <c r="F298" s="1"/>
      <c r="K298" s="27"/>
      <c r="L298" s="27"/>
      <c r="M298" s="27"/>
      <c r="N298" s="27"/>
      <c r="O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58"/>
    </row>
    <row r="299" ht="17.25" customHeight="1">
      <c r="A299" s="1"/>
      <c r="B299" s="1"/>
      <c r="C299" s="1"/>
      <c r="D299" s="1"/>
      <c r="E299" s="1"/>
      <c r="F299" s="1"/>
      <c r="K299" s="27"/>
      <c r="L299" s="27"/>
      <c r="M299" s="27"/>
      <c r="N299" s="27"/>
      <c r="O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58"/>
    </row>
    <row r="300" ht="17.25" customHeight="1">
      <c r="A300" s="1"/>
      <c r="B300" s="1"/>
      <c r="C300" s="1"/>
      <c r="D300" s="1"/>
      <c r="E300" s="1"/>
      <c r="F300" s="1"/>
      <c r="K300" s="27"/>
      <c r="L300" s="27"/>
      <c r="M300" s="27"/>
      <c r="N300" s="27"/>
      <c r="O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58"/>
    </row>
    <row r="301" ht="17.25" customHeight="1">
      <c r="A301" s="1"/>
      <c r="B301" s="1"/>
      <c r="C301" s="1"/>
      <c r="D301" s="1"/>
      <c r="E301" s="1"/>
      <c r="F301" s="1"/>
      <c r="K301" s="27"/>
      <c r="L301" s="27"/>
      <c r="M301" s="27"/>
      <c r="N301" s="27"/>
      <c r="O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58"/>
    </row>
    <row r="302" ht="17.25" customHeight="1">
      <c r="A302" s="1"/>
      <c r="B302" s="1"/>
      <c r="C302" s="1"/>
      <c r="D302" s="1"/>
      <c r="E302" s="1"/>
      <c r="F302" s="1"/>
      <c r="K302" s="27"/>
      <c r="L302" s="27"/>
      <c r="M302" s="27"/>
      <c r="N302" s="27"/>
      <c r="O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58"/>
    </row>
    <row r="303" ht="17.25" customHeight="1">
      <c r="A303" s="1"/>
      <c r="B303" s="1"/>
      <c r="C303" s="1"/>
      <c r="D303" s="1"/>
      <c r="E303" s="1"/>
      <c r="F303" s="1"/>
      <c r="K303" s="27"/>
      <c r="L303" s="27"/>
      <c r="M303" s="27"/>
      <c r="N303" s="27"/>
      <c r="O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58"/>
    </row>
    <row r="304" ht="17.25" customHeight="1">
      <c r="A304" s="1"/>
      <c r="B304" s="1"/>
      <c r="C304" s="1"/>
      <c r="D304" s="1"/>
      <c r="E304" s="1"/>
      <c r="F304" s="1"/>
      <c r="K304" s="27"/>
      <c r="L304" s="27"/>
      <c r="M304" s="27"/>
      <c r="N304" s="27"/>
      <c r="O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58"/>
    </row>
    <row r="305" ht="17.25" customHeight="1">
      <c r="A305" s="1"/>
      <c r="B305" s="1"/>
      <c r="C305" s="1"/>
      <c r="D305" s="1"/>
      <c r="E305" s="1"/>
      <c r="F305" s="1"/>
      <c r="K305" s="27"/>
      <c r="L305" s="27"/>
      <c r="M305" s="27"/>
      <c r="N305" s="27"/>
      <c r="O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58"/>
    </row>
    <row r="306" ht="17.25" customHeight="1">
      <c r="A306" s="1"/>
      <c r="B306" s="1"/>
      <c r="C306" s="1"/>
      <c r="D306" s="1"/>
      <c r="E306" s="1"/>
      <c r="F306" s="1"/>
      <c r="K306" s="27"/>
      <c r="L306" s="27"/>
      <c r="M306" s="27"/>
      <c r="N306" s="27"/>
      <c r="O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58"/>
    </row>
    <row r="307" ht="17.25" customHeight="1">
      <c r="A307" s="1"/>
      <c r="B307" s="1"/>
      <c r="C307" s="1"/>
      <c r="D307" s="1"/>
      <c r="E307" s="1"/>
      <c r="F307" s="1"/>
      <c r="K307" s="27"/>
      <c r="L307" s="27"/>
      <c r="M307" s="27"/>
      <c r="N307" s="27"/>
      <c r="O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58"/>
    </row>
    <row r="308" ht="17.25" customHeight="1">
      <c r="A308" s="1"/>
      <c r="B308" s="1"/>
      <c r="C308" s="1"/>
      <c r="D308" s="1"/>
      <c r="E308" s="1"/>
      <c r="F308" s="1"/>
      <c r="K308" s="27"/>
      <c r="L308" s="27"/>
      <c r="M308" s="27"/>
      <c r="N308" s="27"/>
      <c r="O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58"/>
    </row>
    <row r="309" ht="17.25" customHeight="1">
      <c r="A309" s="1"/>
      <c r="B309" s="1"/>
      <c r="C309" s="1"/>
      <c r="D309" s="1"/>
      <c r="E309" s="1"/>
      <c r="F309" s="1"/>
      <c r="K309" s="27"/>
      <c r="L309" s="27"/>
      <c r="M309" s="27"/>
      <c r="N309" s="27"/>
      <c r="O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58"/>
    </row>
    <row r="310" ht="17.25" customHeight="1">
      <c r="A310" s="1"/>
      <c r="B310" s="1"/>
      <c r="C310" s="1"/>
      <c r="D310" s="1"/>
      <c r="E310" s="1"/>
      <c r="F310" s="1"/>
      <c r="K310" s="27"/>
      <c r="L310" s="27"/>
      <c r="M310" s="27"/>
      <c r="N310" s="27"/>
      <c r="O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58"/>
    </row>
    <row r="311" ht="17.25" customHeight="1">
      <c r="A311" s="1"/>
      <c r="B311" s="1"/>
      <c r="C311" s="1"/>
      <c r="D311" s="1"/>
      <c r="E311" s="1"/>
      <c r="F311" s="1"/>
      <c r="K311" s="27"/>
      <c r="L311" s="27"/>
      <c r="M311" s="27"/>
      <c r="N311" s="27"/>
      <c r="O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58"/>
    </row>
    <row r="312" ht="17.25" customHeight="1">
      <c r="A312" s="1"/>
      <c r="B312" s="1"/>
      <c r="C312" s="1"/>
      <c r="D312" s="1"/>
      <c r="E312" s="1"/>
      <c r="F312" s="1"/>
      <c r="K312" s="27"/>
      <c r="L312" s="27"/>
      <c r="M312" s="27"/>
      <c r="N312" s="27"/>
      <c r="O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58"/>
    </row>
    <row r="313" ht="17.25" customHeight="1">
      <c r="A313" s="1"/>
      <c r="B313" s="1"/>
      <c r="C313" s="1"/>
      <c r="D313" s="1"/>
      <c r="E313" s="1"/>
      <c r="F313" s="1"/>
      <c r="K313" s="27"/>
      <c r="L313" s="27"/>
      <c r="M313" s="27"/>
      <c r="N313" s="27"/>
      <c r="O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58"/>
    </row>
    <row r="314" ht="17.25" customHeight="1">
      <c r="A314" s="1"/>
      <c r="B314" s="1"/>
      <c r="C314" s="1"/>
      <c r="D314" s="1"/>
      <c r="E314" s="1"/>
      <c r="F314" s="1"/>
      <c r="K314" s="27"/>
      <c r="L314" s="27"/>
      <c r="M314" s="27"/>
      <c r="N314" s="27"/>
      <c r="O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58"/>
    </row>
    <row r="315" ht="17.25" customHeight="1">
      <c r="A315" s="1"/>
      <c r="B315" s="1"/>
      <c r="C315" s="1"/>
      <c r="D315" s="1"/>
      <c r="E315" s="1"/>
      <c r="F315" s="1"/>
      <c r="K315" s="27"/>
      <c r="L315" s="27"/>
      <c r="M315" s="27"/>
      <c r="N315" s="27"/>
      <c r="O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58"/>
    </row>
    <row r="316" ht="17.25" customHeight="1">
      <c r="A316" s="1"/>
      <c r="B316" s="1"/>
      <c r="C316" s="1"/>
      <c r="D316" s="1"/>
      <c r="E316" s="1"/>
      <c r="F316" s="1"/>
      <c r="K316" s="27"/>
      <c r="L316" s="27"/>
      <c r="M316" s="27"/>
      <c r="N316" s="27"/>
      <c r="O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58"/>
    </row>
    <row r="317" ht="17.25" customHeight="1">
      <c r="A317" s="1"/>
      <c r="B317" s="1"/>
      <c r="C317" s="1"/>
      <c r="D317" s="1"/>
      <c r="E317" s="1"/>
      <c r="F317" s="1"/>
      <c r="K317" s="27"/>
      <c r="L317" s="27"/>
      <c r="M317" s="27"/>
      <c r="N317" s="27"/>
      <c r="O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58"/>
    </row>
    <row r="318" ht="17.25" customHeight="1">
      <c r="A318" s="1"/>
      <c r="B318" s="1"/>
      <c r="C318" s="1"/>
      <c r="D318" s="1"/>
      <c r="E318" s="1"/>
      <c r="F318" s="1"/>
      <c r="K318" s="27"/>
      <c r="L318" s="27"/>
      <c r="M318" s="27"/>
      <c r="N318" s="27"/>
      <c r="O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58"/>
    </row>
    <row r="319" ht="17.25" customHeight="1">
      <c r="A319" s="1"/>
      <c r="B319" s="1"/>
      <c r="C319" s="1"/>
      <c r="D319" s="1"/>
      <c r="E319" s="1"/>
      <c r="F319" s="1"/>
      <c r="K319" s="27"/>
      <c r="L319" s="27"/>
      <c r="M319" s="27"/>
      <c r="N319" s="27"/>
      <c r="O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58"/>
    </row>
    <row r="320" ht="17.25" customHeight="1">
      <c r="A320" s="1"/>
      <c r="B320" s="1"/>
      <c r="C320" s="1"/>
      <c r="D320" s="1"/>
      <c r="E320" s="1"/>
      <c r="F320" s="1"/>
      <c r="K320" s="27"/>
      <c r="L320" s="27"/>
      <c r="M320" s="27"/>
      <c r="N320" s="27"/>
      <c r="O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58"/>
    </row>
    <row r="321" ht="17.25" customHeight="1">
      <c r="A321" s="1"/>
      <c r="B321" s="1"/>
      <c r="C321" s="1"/>
      <c r="D321" s="1"/>
      <c r="E321" s="1"/>
      <c r="F321" s="1"/>
      <c r="K321" s="27"/>
      <c r="L321" s="27"/>
      <c r="M321" s="27"/>
      <c r="N321" s="27"/>
      <c r="O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58"/>
    </row>
    <row r="322" ht="17.25" customHeight="1">
      <c r="A322" s="1"/>
      <c r="B322" s="1"/>
      <c r="C322" s="1"/>
      <c r="D322" s="1"/>
      <c r="E322" s="1"/>
      <c r="F322" s="1"/>
      <c r="K322" s="27"/>
      <c r="L322" s="27"/>
      <c r="M322" s="27"/>
      <c r="N322" s="27"/>
      <c r="O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58"/>
    </row>
    <row r="323" ht="17.25" customHeight="1">
      <c r="A323" s="1"/>
      <c r="B323" s="1"/>
      <c r="C323" s="1"/>
      <c r="D323" s="1"/>
      <c r="E323" s="1"/>
      <c r="F323" s="1"/>
      <c r="K323" s="27"/>
      <c r="L323" s="27"/>
      <c r="M323" s="27"/>
      <c r="N323" s="27"/>
      <c r="O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58"/>
    </row>
    <row r="324" ht="17.25" customHeight="1">
      <c r="A324" s="1"/>
      <c r="B324" s="1"/>
      <c r="C324" s="1"/>
      <c r="D324" s="1"/>
      <c r="E324" s="1"/>
      <c r="F324" s="1"/>
      <c r="K324" s="27"/>
      <c r="L324" s="27"/>
      <c r="M324" s="27"/>
      <c r="N324" s="27"/>
      <c r="O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58"/>
    </row>
    <row r="325" ht="17.25" customHeight="1">
      <c r="A325" s="1"/>
      <c r="B325" s="1"/>
      <c r="C325" s="1"/>
      <c r="D325" s="1"/>
      <c r="E325" s="1"/>
      <c r="F325" s="1"/>
      <c r="K325" s="27"/>
      <c r="L325" s="27"/>
      <c r="M325" s="27"/>
      <c r="N325" s="27"/>
      <c r="O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58"/>
    </row>
    <row r="326" ht="17.25" customHeight="1">
      <c r="A326" s="1"/>
      <c r="B326" s="1"/>
      <c r="C326" s="1"/>
      <c r="D326" s="1"/>
      <c r="E326" s="1"/>
      <c r="F326" s="1"/>
      <c r="K326" s="27"/>
      <c r="L326" s="27"/>
      <c r="M326" s="27"/>
      <c r="N326" s="27"/>
      <c r="O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58"/>
    </row>
    <row r="327" ht="17.25" customHeight="1">
      <c r="A327" s="1"/>
      <c r="B327" s="1"/>
      <c r="C327" s="1"/>
      <c r="D327" s="1"/>
      <c r="E327" s="1"/>
      <c r="F327" s="1"/>
      <c r="K327" s="27"/>
      <c r="L327" s="27"/>
      <c r="M327" s="27"/>
      <c r="N327" s="27"/>
      <c r="O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58"/>
    </row>
    <row r="328" ht="17.25" customHeight="1">
      <c r="A328" s="1"/>
      <c r="B328" s="1"/>
      <c r="C328" s="1"/>
      <c r="D328" s="1"/>
      <c r="E328" s="1"/>
      <c r="F328" s="1"/>
      <c r="K328" s="27"/>
      <c r="L328" s="27"/>
      <c r="M328" s="27"/>
      <c r="N328" s="27"/>
      <c r="O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58"/>
    </row>
    <row r="329" ht="17.25" customHeight="1">
      <c r="A329" s="1"/>
      <c r="B329" s="1"/>
      <c r="C329" s="1"/>
      <c r="D329" s="1"/>
      <c r="E329" s="1"/>
      <c r="F329" s="1"/>
      <c r="K329" s="27"/>
      <c r="L329" s="27"/>
      <c r="M329" s="27"/>
      <c r="N329" s="27"/>
      <c r="O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58"/>
    </row>
    <row r="330" ht="17.25" customHeight="1">
      <c r="A330" s="1"/>
      <c r="B330" s="1"/>
      <c r="C330" s="1"/>
      <c r="D330" s="1"/>
      <c r="E330" s="1"/>
      <c r="F330" s="1"/>
      <c r="K330" s="27"/>
      <c r="L330" s="27"/>
      <c r="M330" s="27"/>
      <c r="N330" s="27"/>
      <c r="O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58"/>
    </row>
    <row r="331" ht="17.25" customHeight="1">
      <c r="A331" s="1"/>
      <c r="B331" s="1"/>
      <c r="C331" s="1"/>
      <c r="D331" s="1"/>
      <c r="E331" s="1"/>
      <c r="F331" s="1"/>
      <c r="K331" s="27"/>
      <c r="L331" s="27"/>
      <c r="M331" s="27"/>
      <c r="N331" s="27"/>
      <c r="O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58"/>
    </row>
    <row r="332" ht="17.25" customHeight="1">
      <c r="A332" s="1"/>
      <c r="B332" s="1"/>
      <c r="C332" s="1"/>
      <c r="D332" s="1"/>
      <c r="E332" s="1"/>
      <c r="F332" s="1"/>
      <c r="K332" s="27"/>
      <c r="L332" s="27"/>
      <c r="M332" s="27"/>
      <c r="N332" s="27"/>
      <c r="O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58"/>
    </row>
    <row r="333" ht="17.25" customHeight="1">
      <c r="A333" s="1"/>
      <c r="B333" s="1"/>
      <c r="C333" s="1"/>
      <c r="D333" s="1"/>
      <c r="E333" s="1"/>
      <c r="F333" s="1"/>
      <c r="K333" s="27"/>
      <c r="L333" s="27"/>
      <c r="M333" s="27"/>
      <c r="N333" s="27"/>
      <c r="O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58"/>
    </row>
    <row r="334" ht="17.25" customHeight="1">
      <c r="A334" s="1"/>
      <c r="B334" s="1"/>
      <c r="C334" s="1"/>
      <c r="D334" s="1"/>
      <c r="E334" s="1"/>
      <c r="F334" s="1"/>
      <c r="K334" s="27"/>
      <c r="L334" s="27"/>
      <c r="M334" s="27"/>
      <c r="N334" s="27"/>
      <c r="O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58"/>
    </row>
    <row r="335" ht="17.25" customHeight="1">
      <c r="A335" s="1"/>
      <c r="B335" s="1"/>
      <c r="C335" s="1"/>
      <c r="D335" s="1"/>
      <c r="E335" s="1"/>
      <c r="F335" s="1"/>
      <c r="K335" s="27"/>
      <c r="L335" s="27"/>
      <c r="M335" s="27"/>
      <c r="N335" s="27"/>
      <c r="O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58"/>
    </row>
    <row r="336" ht="17.25" customHeight="1">
      <c r="A336" s="1"/>
      <c r="B336" s="1"/>
      <c r="C336" s="1"/>
      <c r="D336" s="1"/>
      <c r="E336" s="1"/>
      <c r="F336" s="1"/>
      <c r="K336" s="27"/>
      <c r="L336" s="27"/>
      <c r="M336" s="27"/>
      <c r="N336" s="27"/>
      <c r="O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58"/>
    </row>
    <row r="337" ht="17.25" customHeight="1">
      <c r="A337" s="1"/>
      <c r="B337" s="1"/>
      <c r="C337" s="1"/>
      <c r="D337" s="1"/>
      <c r="E337" s="1"/>
      <c r="F337" s="1"/>
      <c r="K337" s="27"/>
      <c r="L337" s="27"/>
      <c r="M337" s="27"/>
      <c r="N337" s="27"/>
      <c r="O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58"/>
    </row>
    <row r="338" ht="17.25" customHeight="1">
      <c r="A338" s="1"/>
      <c r="B338" s="1"/>
      <c r="C338" s="1"/>
      <c r="D338" s="1"/>
      <c r="E338" s="1"/>
      <c r="F338" s="1"/>
      <c r="K338" s="27"/>
      <c r="L338" s="27"/>
      <c r="M338" s="27"/>
      <c r="N338" s="27"/>
      <c r="O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58"/>
    </row>
    <row r="339" ht="17.25" customHeight="1">
      <c r="A339" s="1"/>
      <c r="B339" s="1"/>
      <c r="C339" s="1"/>
      <c r="D339" s="1"/>
      <c r="E339" s="1"/>
      <c r="F339" s="1"/>
      <c r="K339" s="27"/>
      <c r="L339" s="27"/>
      <c r="M339" s="27"/>
      <c r="N339" s="27"/>
      <c r="O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58"/>
    </row>
    <row r="340" ht="17.25" customHeight="1">
      <c r="A340" s="1"/>
      <c r="B340" s="1"/>
      <c r="C340" s="1"/>
      <c r="D340" s="1"/>
      <c r="E340" s="1"/>
      <c r="F340" s="1"/>
      <c r="K340" s="27"/>
      <c r="L340" s="27"/>
      <c r="M340" s="27"/>
      <c r="N340" s="27"/>
      <c r="O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58"/>
    </row>
    <row r="341" ht="17.25" customHeight="1">
      <c r="A341" s="1"/>
      <c r="B341" s="1"/>
      <c r="C341" s="1"/>
      <c r="D341" s="1"/>
      <c r="E341" s="1"/>
      <c r="F341" s="1"/>
      <c r="K341" s="27"/>
      <c r="L341" s="27"/>
      <c r="M341" s="27"/>
      <c r="N341" s="27"/>
      <c r="O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58"/>
    </row>
    <row r="342" ht="17.25" customHeight="1">
      <c r="A342" s="1"/>
      <c r="B342" s="1"/>
      <c r="C342" s="1"/>
      <c r="D342" s="1"/>
      <c r="E342" s="1"/>
      <c r="F342" s="1"/>
      <c r="K342" s="27"/>
      <c r="L342" s="27"/>
      <c r="M342" s="27"/>
      <c r="N342" s="27"/>
      <c r="O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58"/>
    </row>
    <row r="343" ht="17.25" customHeight="1">
      <c r="A343" s="1"/>
      <c r="B343" s="1"/>
      <c r="C343" s="1"/>
      <c r="D343" s="1"/>
      <c r="E343" s="1"/>
      <c r="F343" s="1"/>
      <c r="K343" s="27"/>
      <c r="L343" s="27"/>
      <c r="M343" s="27"/>
      <c r="N343" s="27"/>
      <c r="O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58"/>
    </row>
    <row r="344" ht="17.25" customHeight="1">
      <c r="A344" s="1"/>
      <c r="B344" s="1"/>
      <c r="C344" s="1"/>
      <c r="D344" s="1"/>
      <c r="E344" s="1"/>
      <c r="F344" s="1"/>
      <c r="K344" s="27"/>
      <c r="L344" s="27"/>
      <c r="M344" s="27"/>
      <c r="N344" s="27"/>
      <c r="O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58"/>
    </row>
    <row r="345" ht="17.25" customHeight="1">
      <c r="A345" s="1"/>
      <c r="B345" s="1"/>
      <c r="C345" s="1"/>
      <c r="D345" s="1"/>
      <c r="E345" s="1"/>
      <c r="F345" s="1"/>
      <c r="K345" s="27"/>
      <c r="L345" s="27"/>
      <c r="M345" s="27"/>
      <c r="N345" s="27"/>
      <c r="O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58"/>
    </row>
    <row r="346" ht="17.25" customHeight="1">
      <c r="A346" s="1"/>
      <c r="B346" s="1"/>
      <c r="C346" s="1"/>
      <c r="D346" s="1"/>
      <c r="E346" s="1"/>
      <c r="F346" s="1"/>
      <c r="K346" s="27"/>
      <c r="L346" s="27"/>
      <c r="M346" s="27"/>
      <c r="N346" s="27"/>
      <c r="O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58"/>
    </row>
    <row r="347" ht="17.25" customHeight="1">
      <c r="A347" s="1"/>
      <c r="B347" s="1"/>
      <c r="C347" s="1"/>
      <c r="D347" s="1"/>
      <c r="E347" s="1"/>
      <c r="F347" s="1"/>
      <c r="K347" s="27"/>
      <c r="L347" s="27"/>
      <c r="M347" s="27"/>
      <c r="N347" s="27"/>
      <c r="O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58"/>
    </row>
    <row r="348" ht="17.25" customHeight="1">
      <c r="A348" s="1"/>
      <c r="B348" s="1"/>
      <c r="C348" s="1"/>
      <c r="D348" s="1"/>
      <c r="E348" s="1"/>
      <c r="F348" s="1"/>
      <c r="K348" s="27"/>
      <c r="L348" s="27"/>
      <c r="M348" s="27"/>
      <c r="N348" s="27"/>
      <c r="O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58"/>
    </row>
    <row r="349" ht="17.25" customHeight="1">
      <c r="A349" s="1"/>
      <c r="B349" s="1"/>
      <c r="C349" s="1"/>
      <c r="D349" s="1"/>
      <c r="E349" s="1"/>
      <c r="F349" s="1"/>
      <c r="K349" s="27"/>
      <c r="L349" s="27"/>
      <c r="M349" s="27"/>
      <c r="N349" s="27"/>
      <c r="O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58"/>
    </row>
    <row r="350" ht="17.25" customHeight="1">
      <c r="A350" s="1"/>
      <c r="B350" s="1"/>
      <c r="C350" s="1"/>
      <c r="D350" s="1"/>
      <c r="E350" s="1"/>
      <c r="F350" s="1"/>
      <c r="K350" s="27"/>
      <c r="L350" s="27"/>
      <c r="M350" s="27"/>
      <c r="N350" s="27"/>
      <c r="O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58"/>
    </row>
    <row r="351" ht="17.25" customHeight="1">
      <c r="A351" s="1"/>
      <c r="B351" s="1"/>
      <c r="C351" s="1"/>
      <c r="D351" s="1"/>
      <c r="E351" s="1"/>
      <c r="F351" s="1"/>
      <c r="K351" s="27"/>
      <c r="L351" s="27"/>
      <c r="M351" s="27"/>
      <c r="N351" s="27"/>
      <c r="O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58"/>
    </row>
    <row r="352" ht="17.25" customHeight="1">
      <c r="A352" s="1"/>
      <c r="B352" s="1"/>
      <c r="C352" s="1"/>
      <c r="D352" s="1"/>
      <c r="E352" s="1"/>
      <c r="F352" s="1"/>
      <c r="K352" s="27"/>
      <c r="L352" s="27"/>
      <c r="M352" s="27"/>
      <c r="N352" s="27"/>
      <c r="O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58"/>
    </row>
    <row r="353" ht="17.25" customHeight="1">
      <c r="A353" s="1"/>
      <c r="B353" s="1"/>
      <c r="C353" s="1"/>
      <c r="D353" s="1"/>
      <c r="E353" s="1"/>
      <c r="F353" s="1"/>
      <c r="K353" s="27"/>
      <c r="L353" s="27"/>
      <c r="M353" s="27"/>
      <c r="N353" s="27"/>
      <c r="O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58"/>
    </row>
    <row r="354" ht="17.25" customHeight="1">
      <c r="A354" s="1"/>
      <c r="B354" s="1"/>
      <c r="C354" s="1"/>
      <c r="D354" s="1"/>
      <c r="E354" s="1"/>
      <c r="F354" s="1"/>
      <c r="K354" s="27"/>
      <c r="L354" s="27"/>
      <c r="M354" s="27"/>
      <c r="N354" s="27"/>
      <c r="O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58"/>
    </row>
    <row r="355" ht="17.25" customHeight="1">
      <c r="A355" s="1"/>
      <c r="B355" s="1"/>
      <c r="C355" s="1"/>
      <c r="D355" s="1"/>
      <c r="E355" s="1"/>
      <c r="F355" s="1"/>
      <c r="K355" s="27"/>
      <c r="L355" s="27"/>
      <c r="M355" s="27"/>
      <c r="N355" s="27"/>
      <c r="O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58"/>
    </row>
    <row r="356" ht="17.25" customHeight="1">
      <c r="A356" s="1"/>
      <c r="B356" s="1"/>
      <c r="C356" s="1"/>
      <c r="D356" s="1"/>
      <c r="E356" s="1"/>
      <c r="F356" s="1"/>
      <c r="K356" s="27"/>
      <c r="L356" s="27"/>
      <c r="M356" s="27"/>
      <c r="N356" s="27"/>
      <c r="O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58"/>
    </row>
    <row r="357" ht="17.25" customHeight="1">
      <c r="A357" s="1"/>
      <c r="B357" s="1"/>
      <c r="C357" s="1"/>
      <c r="D357" s="1"/>
      <c r="E357" s="1"/>
      <c r="F357" s="1"/>
      <c r="K357" s="27"/>
      <c r="L357" s="27"/>
      <c r="M357" s="27"/>
      <c r="N357" s="27"/>
      <c r="O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58"/>
    </row>
    <row r="358" ht="17.25" customHeight="1">
      <c r="A358" s="1"/>
      <c r="B358" s="1"/>
      <c r="C358" s="1"/>
      <c r="D358" s="1"/>
      <c r="E358" s="1"/>
      <c r="F358" s="1"/>
      <c r="K358" s="27"/>
      <c r="L358" s="27"/>
      <c r="M358" s="27"/>
      <c r="N358" s="27"/>
      <c r="O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58"/>
    </row>
    <row r="359" ht="17.25" customHeight="1">
      <c r="A359" s="1"/>
      <c r="B359" s="1"/>
      <c r="C359" s="1"/>
      <c r="D359" s="1"/>
      <c r="E359" s="1"/>
      <c r="F359" s="1"/>
      <c r="K359" s="27"/>
      <c r="L359" s="27"/>
      <c r="M359" s="27"/>
      <c r="N359" s="27"/>
      <c r="O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58"/>
    </row>
    <row r="360" ht="17.25" customHeight="1">
      <c r="A360" s="1"/>
      <c r="B360" s="1"/>
      <c r="C360" s="1"/>
      <c r="D360" s="1"/>
      <c r="E360" s="1"/>
      <c r="F360" s="1"/>
      <c r="K360" s="27"/>
      <c r="L360" s="27"/>
      <c r="M360" s="27"/>
      <c r="N360" s="27"/>
      <c r="O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58"/>
    </row>
    <row r="361" ht="17.25" customHeight="1">
      <c r="A361" s="1"/>
      <c r="B361" s="1"/>
      <c r="C361" s="1"/>
      <c r="D361" s="1"/>
      <c r="E361" s="1"/>
      <c r="F361" s="1"/>
      <c r="K361" s="27"/>
      <c r="L361" s="27"/>
      <c r="M361" s="27"/>
      <c r="N361" s="27"/>
      <c r="O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58"/>
    </row>
    <row r="362" ht="17.25" customHeight="1">
      <c r="A362" s="1"/>
      <c r="B362" s="1"/>
      <c r="C362" s="1"/>
      <c r="D362" s="1"/>
      <c r="E362" s="1"/>
      <c r="F362" s="1"/>
      <c r="K362" s="27"/>
      <c r="L362" s="27"/>
      <c r="M362" s="27"/>
      <c r="N362" s="27"/>
      <c r="O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58"/>
    </row>
    <row r="363" ht="17.25" customHeight="1">
      <c r="A363" s="1"/>
      <c r="B363" s="1"/>
      <c r="C363" s="1"/>
      <c r="D363" s="1"/>
      <c r="E363" s="1"/>
      <c r="F363" s="1"/>
      <c r="K363" s="27"/>
      <c r="L363" s="27"/>
      <c r="M363" s="27"/>
      <c r="N363" s="27"/>
      <c r="O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58"/>
    </row>
    <row r="364" ht="17.25" customHeight="1">
      <c r="A364" s="1"/>
      <c r="B364" s="1"/>
      <c r="C364" s="1"/>
      <c r="D364" s="1"/>
      <c r="E364" s="1"/>
      <c r="F364" s="1"/>
      <c r="K364" s="27"/>
      <c r="L364" s="27"/>
      <c r="M364" s="27"/>
      <c r="N364" s="27"/>
      <c r="O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58"/>
    </row>
    <row r="365" ht="17.25" customHeight="1">
      <c r="A365" s="1"/>
      <c r="B365" s="1"/>
      <c r="C365" s="1"/>
      <c r="D365" s="1"/>
      <c r="E365" s="1"/>
      <c r="F365" s="1"/>
      <c r="K365" s="27"/>
      <c r="L365" s="27"/>
      <c r="M365" s="27"/>
      <c r="N365" s="27"/>
      <c r="O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58"/>
    </row>
    <row r="366" ht="17.25" customHeight="1">
      <c r="A366" s="1"/>
      <c r="B366" s="1"/>
      <c r="C366" s="1"/>
      <c r="D366" s="1"/>
      <c r="E366" s="1"/>
      <c r="F366" s="1"/>
      <c r="K366" s="27"/>
      <c r="L366" s="27"/>
      <c r="M366" s="27"/>
      <c r="N366" s="27"/>
      <c r="O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58"/>
    </row>
    <row r="367" ht="17.25" customHeight="1">
      <c r="A367" s="1"/>
      <c r="B367" s="1"/>
      <c r="C367" s="1"/>
      <c r="D367" s="1"/>
      <c r="E367" s="1"/>
      <c r="F367" s="1"/>
      <c r="K367" s="27"/>
      <c r="L367" s="27"/>
      <c r="M367" s="27"/>
      <c r="N367" s="27"/>
      <c r="O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58"/>
    </row>
    <row r="368" ht="17.25" customHeight="1">
      <c r="A368" s="1"/>
      <c r="B368" s="1"/>
      <c r="C368" s="1"/>
      <c r="D368" s="1"/>
      <c r="E368" s="1"/>
      <c r="F368" s="1"/>
      <c r="K368" s="27"/>
      <c r="L368" s="27"/>
      <c r="M368" s="27"/>
      <c r="N368" s="27"/>
      <c r="O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58"/>
    </row>
    <row r="369" ht="17.25" customHeight="1">
      <c r="A369" s="1"/>
      <c r="B369" s="1"/>
      <c r="C369" s="1"/>
      <c r="D369" s="1"/>
      <c r="E369" s="1"/>
      <c r="F369" s="1"/>
      <c r="K369" s="27"/>
      <c r="L369" s="27"/>
      <c r="M369" s="27"/>
      <c r="N369" s="27"/>
      <c r="O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58"/>
    </row>
    <row r="370" ht="17.25" customHeight="1">
      <c r="A370" s="1"/>
      <c r="B370" s="1"/>
      <c r="C370" s="1"/>
      <c r="D370" s="1"/>
      <c r="E370" s="1"/>
      <c r="F370" s="1"/>
      <c r="K370" s="27"/>
      <c r="L370" s="27"/>
      <c r="M370" s="27"/>
      <c r="N370" s="27"/>
      <c r="O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58"/>
    </row>
    <row r="371" ht="17.25" customHeight="1">
      <c r="A371" s="1"/>
      <c r="B371" s="1"/>
      <c r="C371" s="1"/>
      <c r="D371" s="1"/>
      <c r="E371" s="1"/>
      <c r="F371" s="1"/>
      <c r="K371" s="27"/>
      <c r="L371" s="27"/>
      <c r="M371" s="27"/>
      <c r="N371" s="27"/>
      <c r="O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58"/>
    </row>
    <row r="372" ht="17.25" customHeight="1">
      <c r="A372" s="1"/>
      <c r="B372" s="1"/>
      <c r="C372" s="1"/>
      <c r="D372" s="1"/>
      <c r="E372" s="1"/>
      <c r="F372" s="1"/>
      <c r="K372" s="27"/>
      <c r="L372" s="27"/>
      <c r="M372" s="27"/>
      <c r="N372" s="27"/>
      <c r="O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58"/>
    </row>
    <row r="373" ht="17.25" customHeight="1">
      <c r="A373" s="1"/>
      <c r="B373" s="1"/>
      <c r="C373" s="1"/>
      <c r="D373" s="1"/>
      <c r="E373" s="1"/>
      <c r="F373" s="1"/>
      <c r="K373" s="27"/>
      <c r="L373" s="27"/>
      <c r="M373" s="27"/>
      <c r="N373" s="27"/>
      <c r="O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58"/>
    </row>
    <row r="374" ht="17.25" customHeight="1">
      <c r="A374" s="1"/>
      <c r="B374" s="1"/>
      <c r="C374" s="1"/>
      <c r="D374" s="1"/>
      <c r="E374" s="1"/>
      <c r="F374" s="1"/>
      <c r="K374" s="27"/>
      <c r="L374" s="27"/>
      <c r="M374" s="27"/>
      <c r="N374" s="27"/>
      <c r="O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58"/>
    </row>
    <row r="375" ht="17.25" customHeight="1">
      <c r="A375" s="1"/>
      <c r="B375" s="1"/>
      <c r="C375" s="1"/>
      <c r="D375" s="1"/>
      <c r="E375" s="1"/>
      <c r="F375" s="1"/>
      <c r="K375" s="27"/>
      <c r="L375" s="27"/>
      <c r="M375" s="27"/>
      <c r="N375" s="27"/>
      <c r="O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58"/>
    </row>
    <row r="376" ht="17.25" customHeight="1">
      <c r="A376" s="1"/>
      <c r="B376" s="1"/>
      <c r="C376" s="1"/>
      <c r="D376" s="1"/>
      <c r="E376" s="1"/>
      <c r="F376" s="1"/>
      <c r="K376" s="27"/>
      <c r="L376" s="27"/>
      <c r="M376" s="27"/>
      <c r="N376" s="27"/>
      <c r="O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58"/>
    </row>
    <row r="377" ht="17.25" customHeight="1">
      <c r="A377" s="1"/>
      <c r="B377" s="1"/>
      <c r="C377" s="1"/>
      <c r="D377" s="1"/>
      <c r="E377" s="1"/>
      <c r="F377" s="1"/>
      <c r="K377" s="27"/>
      <c r="L377" s="27"/>
      <c r="M377" s="27"/>
      <c r="N377" s="27"/>
      <c r="O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58"/>
    </row>
    <row r="378" ht="17.25" customHeight="1">
      <c r="A378" s="1"/>
      <c r="B378" s="1"/>
      <c r="C378" s="1"/>
      <c r="D378" s="1"/>
      <c r="E378" s="1"/>
      <c r="F378" s="1"/>
      <c r="K378" s="27"/>
      <c r="L378" s="27"/>
      <c r="M378" s="27"/>
      <c r="N378" s="27"/>
      <c r="O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58"/>
    </row>
    <row r="379" ht="17.25" customHeight="1">
      <c r="A379" s="1"/>
      <c r="B379" s="1"/>
      <c r="C379" s="1"/>
      <c r="D379" s="1"/>
      <c r="E379" s="1"/>
      <c r="F379" s="1"/>
      <c r="K379" s="27"/>
      <c r="L379" s="27"/>
      <c r="M379" s="27"/>
      <c r="N379" s="27"/>
      <c r="O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58"/>
    </row>
    <row r="380" ht="17.25" customHeight="1">
      <c r="A380" s="1"/>
      <c r="B380" s="1"/>
      <c r="C380" s="1"/>
      <c r="D380" s="1"/>
      <c r="E380" s="1"/>
      <c r="F380" s="1"/>
      <c r="K380" s="27"/>
      <c r="L380" s="27"/>
      <c r="M380" s="27"/>
      <c r="N380" s="27"/>
      <c r="O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58"/>
    </row>
    <row r="381" ht="17.25" customHeight="1">
      <c r="A381" s="1"/>
      <c r="B381" s="1"/>
      <c r="C381" s="1"/>
      <c r="D381" s="1"/>
      <c r="E381" s="1"/>
      <c r="F381" s="1"/>
      <c r="K381" s="27"/>
      <c r="L381" s="27"/>
      <c r="M381" s="27"/>
      <c r="N381" s="27"/>
      <c r="O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58"/>
    </row>
    <row r="382" ht="17.25" customHeight="1">
      <c r="A382" s="1"/>
      <c r="B382" s="1"/>
      <c r="C382" s="1"/>
      <c r="D382" s="1"/>
      <c r="E382" s="1"/>
      <c r="F382" s="1"/>
      <c r="K382" s="27"/>
      <c r="L382" s="27"/>
      <c r="M382" s="27"/>
      <c r="N382" s="27"/>
      <c r="O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58"/>
    </row>
    <row r="383" ht="17.25" customHeight="1">
      <c r="A383" s="1"/>
      <c r="B383" s="1"/>
      <c r="C383" s="1"/>
      <c r="D383" s="1"/>
      <c r="E383" s="1"/>
      <c r="F383" s="1"/>
      <c r="K383" s="27"/>
      <c r="L383" s="27"/>
      <c r="M383" s="27"/>
      <c r="N383" s="27"/>
      <c r="O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58"/>
    </row>
    <row r="384" ht="17.25" customHeight="1">
      <c r="A384" s="1"/>
      <c r="B384" s="1"/>
      <c r="C384" s="1"/>
      <c r="D384" s="1"/>
      <c r="E384" s="1"/>
      <c r="F384" s="1"/>
      <c r="K384" s="27"/>
      <c r="L384" s="27"/>
      <c r="M384" s="27"/>
      <c r="N384" s="27"/>
      <c r="O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58"/>
    </row>
    <row r="385" ht="17.25" customHeight="1">
      <c r="A385" s="1"/>
      <c r="B385" s="1"/>
      <c r="C385" s="1"/>
      <c r="D385" s="1"/>
      <c r="E385" s="1"/>
      <c r="F385" s="1"/>
      <c r="K385" s="27"/>
      <c r="L385" s="27"/>
      <c r="M385" s="27"/>
      <c r="N385" s="27"/>
      <c r="O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58"/>
    </row>
    <row r="386" ht="17.25" customHeight="1">
      <c r="A386" s="1"/>
      <c r="B386" s="1"/>
      <c r="C386" s="1"/>
      <c r="D386" s="1"/>
      <c r="E386" s="1"/>
      <c r="F386" s="1"/>
      <c r="K386" s="27"/>
      <c r="L386" s="27"/>
      <c r="M386" s="27"/>
      <c r="N386" s="27"/>
      <c r="O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58"/>
    </row>
    <row r="387" ht="17.25" customHeight="1">
      <c r="A387" s="1"/>
      <c r="B387" s="1"/>
      <c r="C387" s="1"/>
      <c r="D387" s="1"/>
      <c r="E387" s="1"/>
      <c r="F387" s="1"/>
      <c r="K387" s="27"/>
      <c r="L387" s="27"/>
      <c r="M387" s="27"/>
      <c r="N387" s="27"/>
      <c r="O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58"/>
    </row>
    <row r="388" ht="17.25" customHeight="1">
      <c r="A388" s="1"/>
      <c r="B388" s="1"/>
      <c r="C388" s="1"/>
      <c r="D388" s="1"/>
      <c r="E388" s="1"/>
      <c r="F388" s="1"/>
      <c r="K388" s="27"/>
      <c r="L388" s="27"/>
      <c r="M388" s="27"/>
      <c r="N388" s="27"/>
      <c r="O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58"/>
    </row>
    <row r="389" ht="17.25" customHeight="1">
      <c r="A389" s="1"/>
      <c r="B389" s="1"/>
      <c r="C389" s="1"/>
      <c r="D389" s="1"/>
      <c r="E389" s="1"/>
      <c r="F389" s="1"/>
      <c r="K389" s="27"/>
      <c r="L389" s="27"/>
      <c r="M389" s="27"/>
      <c r="N389" s="27"/>
      <c r="O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58"/>
    </row>
    <row r="390" ht="17.25" customHeight="1">
      <c r="A390" s="1"/>
      <c r="B390" s="1"/>
      <c r="C390" s="1"/>
      <c r="D390" s="1"/>
      <c r="E390" s="1"/>
      <c r="F390" s="1"/>
      <c r="K390" s="27"/>
      <c r="L390" s="27"/>
      <c r="M390" s="27"/>
      <c r="N390" s="27"/>
      <c r="O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58"/>
    </row>
    <row r="391" ht="17.25" customHeight="1">
      <c r="A391" s="1"/>
      <c r="B391" s="1"/>
      <c r="C391" s="1"/>
      <c r="D391" s="1"/>
      <c r="E391" s="1"/>
      <c r="F391" s="1"/>
      <c r="K391" s="27"/>
      <c r="L391" s="27"/>
      <c r="M391" s="27"/>
      <c r="N391" s="27"/>
      <c r="O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58"/>
    </row>
    <row r="392" ht="17.25" customHeight="1">
      <c r="A392" s="1"/>
      <c r="B392" s="1"/>
      <c r="C392" s="1"/>
      <c r="D392" s="1"/>
      <c r="E392" s="1"/>
      <c r="F392" s="1"/>
      <c r="K392" s="27"/>
      <c r="L392" s="27"/>
      <c r="M392" s="27"/>
      <c r="N392" s="27"/>
      <c r="O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58"/>
    </row>
    <row r="393" ht="17.25" customHeight="1">
      <c r="A393" s="1"/>
      <c r="B393" s="1"/>
      <c r="C393" s="1"/>
      <c r="D393" s="1"/>
      <c r="E393" s="1"/>
      <c r="F393" s="1"/>
      <c r="K393" s="27"/>
      <c r="L393" s="27"/>
      <c r="M393" s="27"/>
      <c r="N393" s="27"/>
      <c r="O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58"/>
    </row>
    <row r="394" ht="17.25" customHeight="1">
      <c r="A394" s="1"/>
      <c r="B394" s="1"/>
      <c r="C394" s="1"/>
      <c r="D394" s="1"/>
      <c r="E394" s="1"/>
      <c r="F394" s="1"/>
      <c r="K394" s="27"/>
      <c r="L394" s="27"/>
      <c r="M394" s="27"/>
      <c r="N394" s="27"/>
      <c r="O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58"/>
    </row>
    <row r="395" ht="17.25" customHeight="1">
      <c r="A395" s="1"/>
      <c r="B395" s="1"/>
      <c r="C395" s="1"/>
      <c r="D395" s="1"/>
      <c r="E395" s="1"/>
      <c r="F395" s="1"/>
      <c r="K395" s="27"/>
      <c r="L395" s="27"/>
      <c r="M395" s="27"/>
      <c r="N395" s="27"/>
      <c r="O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58"/>
    </row>
    <row r="396" ht="17.25" customHeight="1">
      <c r="A396" s="1"/>
      <c r="B396" s="1"/>
      <c r="C396" s="1"/>
      <c r="D396" s="1"/>
      <c r="E396" s="1"/>
      <c r="F396" s="1"/>
      <c r="K396" s="27"/>
      <c r="L396" s="27"/>
      <c r="M396" s="27"/>
      <c r="N396" s="27"/>
      <c r="O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58"/>
    </row>
    <row r="397" ht="17.25" customHeight="1">
      <c r="A397" s="1"/>
      <c r="B397" s="1"/>
      <c r="C397" s="1"/>
      <c r="D397" s="1"/>
      <c r="E397" s="1"/>
      <c r="F397" s="1"/>
      <c r="K397" s="27"/>
      <c r="L397" s="27"/>
      <c r="M397" s="27"/>
      <c r="N397" s="27"/>
      <c r="O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58"/>
    </row>
    <row r="398" ht="17.25" customHeight="1">
      <c r="A398" s="1"/>
      <c r="B398" s="1"/>
      <c r="C398" s="1"/>
      <c r="D398" s="1"/>
      <c r="E398" s="1"/>
      <c r="F398" s="1"/>
      <c r="K398" s="27"/>
      <c r="L398" s="27"/>
      <c r="M398" s="27"/>
      <c r="N398" s="27"/>
      <c r="O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58"/>
    </row>
    <row r="399" ht="17.25" customHeight="1">
      <c r="A399" s="1"/>
      <c r="B399" s="1"/>
      <c r="C399" s="1"/>
      <c r="D399" s="1"/>
      <c r="E399" s="1"/>
      <c r="F399" s="1"/>
      <c r="K399" s="27"/>
      <c r="L399" s="27"/>
      <c r="M399" s="27"/>
      <c r="N399" s="27"/>
      <c r="O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58"/>
    </row>
    <row r="400" ht="17.25" customHeight="1">
      <c r="A400" s="1"/>
      <c r="B400" s="1"/>
      <c r="C400" s="1"/>
      <c r="D400" s="1"/>
      <c r="E400" s="1"/>
      <c r="F400" s="1"/>
      <c r="K400" s="27"/>
      <c r="L400" s="27"/>
      <c r="M400" s="27"/>
      <c r="N400" s="27"/>
      <c r="O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58"/>
    </row>
    <row r="401" ht="17.25" customHeight="1">
      <c r="A401" s="1"/>
      <c r="B401" s="1"/>
      <c r="C401" s="1"/>
      <c r="D401" s="1"/>
      <c r="E401" s="1"/>
      <c r="F401" s="1"/>
      <c r="K401" s="27"/>
      <c r="L401" s="27"/>
      <c r="M401" s="27"/>
      <c r="N401" s="27"/>
      <c r="O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58"/>
    </row>
    <row r="402" ht="17.25" customHeight="1">
      <c r="A402" s="1"/>
      <c r="B402" s="1"/>
      <c r="C402" s="1"/>
      <c r="D402" s="1"/>
      <c r="E402" s="1"/>
      <c r="F402" s="1"/>
      <c r="K402" s="27"/>
      <c r="L402" s="27"/>
      <c r="M402" s="27"/>
      <c r="N402" s="27"/>
      <c r="O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58"/>
    </row>
    <row r="403" ht="17.25" customHeight="1">
      <c r="A403" s="1"/>
      <c r="B403" s="1"/>
      <c r="C403" s="1"/>
      <c r="D403" s="1"/>
      <c r="E403" s="1"/>
      <c r="F403" s="1"/>
      <c r="K403" s="27"/>
      <c r="L403" s="27"/>
      <c r="M403" s="27"/>
      <c r="N403" s="27"/>
      <c r="O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58"/>
    </row>
    <row r="404" ht="17.25" customHeight="1">
      <c r="A404" s="1"/>
      <c r="B404" s="1"/>
      <c r="C404" s="1"/>
      <c r="D404" s="1"/>
      <c r="E404" s="1"/>
      <c r="F404" s="1"/>
      <c r="K404" s="27"/>
      <c r="L404" s="27"/>
      <c r="M404" s="27"/>
      <c r="N404" s="27"/>
      <c r="O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58"/>
    </row>
    <row r="405" ht="17.25" customHeight="1">
      <c r="A405" s="1"/>
      <c r="B405" s="1"/>
      <c r="C405" s="1"/>
      <c r="D405" s="1"/>
      <c r="E405" s="1"/>
      <c r="F405" s="1"/>
      <c r="K405" s="27"/>
      <c r="L405" s="27"/>
      <c r="M405" s="27"/>
      <c r="N405" s="27"/>
      <c r="O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58"/>
    </row>
    <row r="406" ht="17.25" customHeight="1">
      <c r="A406" s="1"/>
      <c r="B406" s="1"/>
      <c r="C406" s="1"/>
      <c r="D406" s="1"/>
      <c r="E406" s="1"/>
      <c r="F406" s="1"/>
      <c r="K406" s="27"/>
      <c r="L406" s="27"/>
      <c r="M406" s="27"/>
      <c r="N406" s="27"/>
      <c r="O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58"/>
    </row>
    <row r="407" ht="17.25" customHeight="1">
      <c r="A407" s="1"/>
      <c r="B407" s="1"/>
      <c r="C407" s="1"/>
      <c r="D407" s="1"/>
      <c r="E407" s="1"/>
      <c r="F407" s="1"/>
      <c r="K407" s="27"/>
      <c r="L407" s="27"/>
      <c r="M407" s="27"/>
      <c r="N407" s="27"/>
      <c r="O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58"/>
    </row>
    <row r="408" ht="17.25" customHeight="1">
      <c r="A408" s="1"/>
      <c r="B408" s="1"/>
      <c r="C408" s="1"/>
      <c r="D408" s="1"/>
      <c r="E408" s="1"/>
      <c r="F408" s="1"/>
      <c r="K408" s="27"/>
      <c r="L408" s="27"/>
      <c r="M408" s="27"/>
      <c r="N408" s="27"/>
      <c r="O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58"/>
    </row>
    <row r="409" ht="17.25" customHeight="1">
      <c r="A409" s="1"/>
      <c r="B409" s="1"/>
      <c r="C409" s="1"/>
      <c r="D409" s="1"/>
      <c r="E409" s="1"/>
      <c r="F409" s="1"/>
      <c r="K409" s="27"/>
      <c r="L409" s="27"/>
      <c r="M409" s="27"/>
      <c r="N409" s="27"/>
      <c r="O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58"/>
    </row>
    <row r="410" ht="17.25" customHeight="1">
      <c r="A410" s="1"/>
      <c r="B410" s="1"/>
      <c r="C410" s="1"/>
      <c r="D410" s="1"/>
      <c r="E410" s="1"/>
      <c r="F410" s="1"/>
      <c r="K410" s="27"/>
      <c r="L410" s="27"/>
      <c r="M410" s="27"/>
      <c r="N410" s="27"/>
      <c r="O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58"/>
    </row>
    <row r="411" ht="17.25" customHeight="1">
      <c r="A411" s="1"/>
      <c r="B411" s="1"/>
      <c r="C411" s="1"/>
      <c r="D411" s="1"/>
      <c r="E411" s="1"/>
      <c r="F411" s="1"/>
      <c r="K411" s="27"/>
      <c r="L411" s="27"/>
      <c r="M411" s="27"/>
      <c r="N411" s="27"/>
      <c r="O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58"/>
    </row>
    <row r="412" ht="17.25" customHeight="1">
      <c r="A412" s="1"/>
      <c r="B412" s="1"/>
      <c r="C412" s="1"/>
      <c r="D412" s="1"/>
      <c r="E412" s="1"/>
      <c r="F412" s="1"/>
      <c r="K412" s="27"/>
      <c r="L412" s="27"/>
      <c r="M412" s="27"/>
      <c r="N412" s="27"/>
      <c r="O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58"/>
    </row>
    <row r="413" ht="17.25" customHeight="1">
      <c r="A413" s="1"/>
      <c r="B413" s="1"/>
      <c r="C413" s="1"/>
      <c r="D413" s="1"/>
      <c r="E413" s="1"/>
      <c r="F413" s="1"/>
      <c r="K413" s="27"/>
      <c r="L413" s="27"/>
      <c r="M413" s="27"/>
      <c r="N413" s="27"/>
      <c r="O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58"/>
    </row>
    <row r="414" ht="17.25" customHeight="1">
      <c r="A414" s="1"/>
      <c r="B414" s="1"/>
      <c r="C414" s="1"/>
      <c r="D414" s="1"/>
      <c r="E414" s="1"/>
      <c r="F414" s="1"/>
      <c r="K414" s="27"/>
      <c r="L414" s="27"/>
      <c r="M414" s="27"/>
      <c r="N414" s="27"/>
      <c r="O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58"/>
    </row>
    <row r="415" ht="17.25" customHeight="1">
      <c r="A415" s="1"/>
      <c r="B415" s="1"/>
      <c r="C415" s="1"/>
      <c r="D415" s="1"/>
      <c r="E415" s="1"/>
      <c r="F415" s="1"/>
      <c r="K415" s="27"/>
      <c r="L415" s="27"/>
      <c r="M415" s="27"/>
      <c r="N415" s="27"/>
      <c r="O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58"/>
    </row>
    <row r="416" ht="17.25" customHeight="1">
      <c r="A416" s="1"/>
      <c r="B416" s="1"/>
      <c r="C416" s="1"/>
      <c r="D416" s="1"/>
      <c r="E416" s="1"/>
      <c r="F416" s="1"/>
      <c r="K416" s="27"/>
      <c r="L416" s="27"/>
      <c r="M416" s="27"/>
      <c r="N416" s="27"/>
      <c r="O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58"/>
    </row>
    <row r="417" ht="17.25" customHeight="1">
      <c r="A417" s="1"/>
      <c r="B417" s="1"/>
      <c r="C417" s="1"/>
      <c r="D417" s="1"/>
      <c r="E417" s="1"/>
      <c r="F417" s="1"/>
      <c r="K417" s="27"/>
      <c r="L417" s="27"/>
      <c r="M417" s="27"/>
      <c r="N417" s="27"/>
      <c r="O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58"/>
    </row>
    <row r="418" ht="17.25" customHeight="1">
      <c r="A418" s="1"/>
      <c r="B418" s="1"/>
      <c r="C418" s="1"/>
      <c r="D418" s="1"/>
      <c r="E418" s="1"/>
      <c r="F418" s="1"/>
      <c r="K418" s="27"/>
      <c r="L418" s="27"/>
      <c r="M418" s="27"/>
      <c r="N418" s="27"/>
      <c r="O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58"/>
    </row>
    <row r="419" ht="17.25" customHeight="1">
      <c r="A419" s="1"/>
      <c r="B419" s="1"/>
      <c r="C419" s="1"/>
      <c r="D419" s="1"/>
      <c r="E419" s="1"/>
      <c r="F419" s="1"/>
      <c r="K419" s="27"/>
      <c r="L419" s="27"/>
      <c r="M419" s="27"/>
      <c r="N419" s="27"/>
      <c r="O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58"/>
    </row>
    <row r="420" ht="17.25" customHeight="1">
      <c r="A420" s="1"/>
      <c r="B420" s="1"/>
      <c r="C420" s="1"/>
      <c r="D420" s="1"/>
      <c r="E420" s="1"/>
      <c r="F420" s="1"/>
      <c r="K420" s="27"/>
      <c r="L420" s="27"/>
      <c r="M420" s="27"/>
      <c r="N420" s="27"/>
      <c r="O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58"/>
    </row>
    <row r="421" ht="17.25" customHeight="1">
      <c r="A421" s="1"/>
      <c r="B421" s="1"/>
      <c r="C421" s="1"/>
      <c r="D421" s="1"/>
      <c r="E421" s="1"/>
      <c r="F421" s="1"/>
      <c r="K421" s="27"/>
      <c r="L421" s="27"/>
      <c r="M421" s="27"/>
      <c r="N421" s="27"/>
      <c r="O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58"/>
    </row>
    <row r="422" ht="17.25" customHeight="1">
      <c r="A422" s="1"/>
      <c r="B422" s="1"/>
      <c r="C422" s="1"/>
      <c r="D422" s="1"/>
      <c r="E422" s="1"/>
      <c r="F422" s="1"/>
      <c r="K422" s="27"/>
      <c r="L422" s="27"/>
      <c r="M422" s="27"/>
      <c r="N422" s="27"/>
      <c r="O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58"/>
    </row>
    <row r="423" ht="17.25" customHeight="1">
      <c r="A423" s="1"/>
      <c r="B423" s="1"/>
      <c r="C423" s="1"/>
      <c r="D423" s="1"/>
      <c r="E423" s="1"/>
      <c r="F423" s="1"/>
      <c r="K423" s="27"/>
      <c r="L423" s="27"/>
      <c r="M423" s="27"/>
      <c r="N423" s="27"/>
      <c r="O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58"/>
    </row>
    <row r="424" ht="17.25" customHeight="1">
      <c r="A424" s="1"/>
      <c r="B424" s="1"/>
      <c r="C424" s="1"/>
      <c r="D424" s="1"/>
      <c r="E424" s="1"/>
      <c r="F424" s="1"/>
      <c r="K424" s="27"/>
      <c r="L424" s="27"/>
      <c r="M424" s="27"/>
      <c r="N424" s="27"/>
      <c r="O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58"/>
    </row>
    <row r="425" ht="17.25" customHeight="1">
      <c r="A425" s="1"/>
      <c r="B425" s="1"/>
      <c r="C425" s="1"/>
      <c r="D425" s="1"/>
      <c r="E425" s="1"/>
      <c r="F425" s="1"/>
      <c r="K425" s="27"/>
      <c r="L425" s="27"/>
      <c r="M425" s="27"/>
      <c r="N425" s="27"/>
      <c r="O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58"/>
    </row>
    <row r="426" ht="17.25" customHeight="1">
      <c r="A426" s="1"/>
      <c r="B426" s="1"/>
      <c r="C426" s="1"/>
      <c r="D426" s="1"/>
      <c r="E426" s="1"/>
      <c r="F426" s="1"/>
      <c r="K426" s="27"/>
      <c r="L426" s="27"/>
      <c r="M426" s="27"/>
      <c r="N426" s="27"/>
      <c r="O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58"/>
    </row>
    <row r="427" ht="17.25" customHeight="1">
      <c r="A427" s="1"/>
      <c r="B427" s="1"/>
      <c r="C427" s="1"/>
      <c r="D427" s="1"/>
      <c r="E427" s="1"/>
      <c r="F427" s="1"/>
      <c r="K427" s="27"/>
      <c r="L427" s="27"/>
      <c r="M427" s="27"/>
      <c r="N427" s="27"/>
      <c r="O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58"/>
    </row>
    <row r="428" ht="17.25" customHeight="1">
      <c r="A428" s="1"/>
      <c r="B428" s="1"/>
      <c r="C428" s="1"/>
      <c r="D428" s="1"/>
      <c r="E428" s="1"/>
      <c r="F428" s="1"/>
      <c r="K428" s="27"/>
      <c r="L428" s="27"/>
      <c r="M428" s="27"/>
      <c r="N428" s="27"/>
      <c r="O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58"/>
    </row>
    <row r="429" ht="17.25" customHeight="1">
      <c r="A429" s="1"/>
      <c r="B429" s="1"/>
      <c r="C429" s="1"/>
      <c r="D429" s="1"/>
      <c r="E429" s="1"/>
      <c r="F429" s="1"/>
      <c r="K429" s="27"/>
      <c r="L429" s="27"/>
      <c r="M429" s="27"/>
      <c r="N429" s="27"/>
      <c r="O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58"/>
    </row>
    <row r="430" ht="17.25" customHeight="1">
      <c r="A430" s="1"/>
      <c r="B430" s="1"/>
      <c r="C430" s="1"/>
      <c r="D430" s="1"/>
      <c r="E430" s="1"/>
      <c r="F430" s="1"/>
      <c r="K430" s="27"/>
      <c r="L430" s="27"/>
      <c r="M430" s="27"/>
      <c r="N430" s="27"/>
      <c r="O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58"/>
    </row>
    <row r="431" ht="17.25" customHeight="1">
      <c r="A431" s="1"/>
      <c r="B431" s="1"/>
      <c r="C431" s="1"/>
      <c r="D431" s="1"/>
      <c r="E431" s="1"/>
      <c r="F431" s="1"/>
      <c r="K431" s="27"/>
      <c r="L431" s="27"/>
      <c r="M431" s="27"/>
      <c r="N431" s="27"/>
      <c r="O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58"/>
    </row>
    <row r="432" ht="17.25" customHeight="1">
      <c r="A432" s="1"/>
      <c r="B432" s="1"/>
      <c r="C432" s="1"/>
      <c r="D432" s="1"/>
      <c r="E432" s="1"/>
      <c r="F432" s="1"/>
      <c r="K432" s="27"/>
      <c r="L432" s="27"/>
      <c r="M432" s="27"/>
      <c r="N432" s="27"/>
      <c r="O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58"/>
    </row>
    <row r="433" ht="17.25" customHeight="1">
      <c r="A433" s="1"/>
      <c r="B433" s="1"/>
      <c r="C433" s="1"/>
      <c r="D433" s="1"/>
      <c r="E433" s="1"/>
      <c r="F433" s="1"/>
      <c r="K433" s="27"/>
      <c r="L433" s="27"/>
      <c r="M433" s="27"/>
      <c r="N433" s="27"/>
      <c r="O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58"/>
    </row>
    <row r="434" ht="17.25" customHeight="1">
      <c r="A434" s="1"/>
      <c r="B434" s="1"/>
      <c r="C434" s="1"/>
      <c r="D434" s="1"/>
      <c r="E434" s="1"/>
      <c r="F434" s="1"/>
      <c r="K434" s="27"/>
      <c r="L434" s="27"/>
      <c r="M434" s="27"/>
      <c r="N434" s="27"/>
      <c r="O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58"/>
    </row>
    <row r="435" ht="17.25" customHeight="1">
      <c r="A435" s="1"/>
      <c r="B435" s="1"/>
      <c r="C435" s="1"/>
      <c r="D435" s="1"/>
      <c r="E435" s="1"/>
      <c r="F435" s="1"/>
      <c r="K435" s="27"/>
      <c r="L435" s="27"/>
      <c r="M435" s="27"/>
      <c r="N435" s="27"/>
      <c r="O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58"/>
    </row>
    <row r="436" ht="17.25" customHeight="1">
      <c r="A436" s="1"/>
      <c r="B436" s="1"/>
      <c r="C436" s="1"/>
      <c r="D436" s="1"/>
      <c r="E436" s="1"/>
      <c r="F436" s="1"/>
      <c r="K436" s="27"/>
      <c r="L436" s="27"/>
      <c r="M436" s="27"/>
      <c r="N436" s="27"/>
      <c r="O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58"/>
    </row>
    <row r="437" ht="17.25" customHeight="1">
      <c r="A437" s="1"/>
      <c r="B437" s="1"/>
      <c r="C437" s="1"/>
      <c r="D437" s="1"/>
      <c r="E437" s="1"/>
      <c r="F437" s="1"/>
      <c r="K437" s="27"/>
      <c r="L437" s="27"/>
      <c r="M437" s="27"/>
      <c r="N437" s="27"/>
      <c r="O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58"/>
    </row>
    <row r="438" ht="17.25" customHeight="1">
      <c r="A438" s="1"/>
      <c r="B438" s="1"/>
      <c r="C438" s="1"/>
      <c r="D438" s="1"/>
      <c r="E438" s="1"/>
      <c r="F438" s="1"/>
      <c r="K438" s="27"/>
      <c r="L438" s="27"/>
      <c r="M438" s="27"/>
      <c r="N438" s="27"/>
      <c r="O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58"/>
    </row>
    <row r="439" ht="17.25" customHeight="1">
      <c r="A439" s="1"/>
      <c r="B439" s="1"/>
      <c r="C439" s="1"/>
      <c r="D439" s="1"/>
      <c r="E439" s="1"/>
      <c r="F439" s="1"/>
      <c r="K439" s="27"/>
      <c r="L439" s="27"/>
      <c r="M439" s="27"/>
      <c r="N439" s="27"/>
      <c r="O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58"/>
    </row>
    <row r="440" ht="17.25" customHeight="1">
      <c r="A440" s="1"/>
      <c r="B440" s="1"/>
      <c r="C440" s="1"/>
      <c r="D440" s="1"/>
      <c r="E440" s="1"/>
      <c r="F440" s="1"/>
      <c r="K440" s="27"/>
      <c r="L440" s="27"/>
      <c r="M440" s="27"/>
      <c r="N440" s="27"/>
      <c r="O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58"/>
    </row>
    <row r="441" ht="17.25" customHeight="1">
      <c r="A441" s="1"/>
      <c r="B441" s="1"/>
      <c r="C441" s="1"/>
      <c r="D441" s="1"/>
      <c r="E441" s="1"/>
      <c r="F441" s="1"/>
      <c r="K441" s="27"/>
      <c r="L441" s="27"/>
      <c r="M441" s="27"/>
      <c r="N441" s="27"/>
      <c r="O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58"/>
    </row>
    <row r="442" ht="17.25" customHeight="1">
      <c r="A442" s="1"/>
      <c r="B442" s="1"/>
      <c r="C442" s="1"/>
      <c r="D442" s="1"/>
      <c r="E442" s="1"/>
      <c r="F442" s="1"/>
      <c r="K442" s="27"/>
      <c r="L442" s="27"/>
      <c r="M442" s="27"/>
      <c r="N442" s="27"/>
      <c r="O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58"/>
    </row>
    <row r="443" ht="17.25" customHeight="1">
      <c r="A443" s="1"/>
      <c r="B443" s="1"/>
      <c r="C443" s="1"/>
      <c r="D443" s="1"/>
      <c r="E443" s="1"/>
      <c r="F443" s="1"/>
      <c r="K443" s="27"/>
      <c r="L443" s="27"/>
      <c r="M443" s="27"/>
      <c r="N443" s="27"/>
      <c r="O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58"/>
    </row>
    <row r="444" ht="17.25" customHeight="1">
      <c r="A444" s="1"/>
      <c r="B444" s="1"/>
      <c r="C444" s="1"/>
      <c r="D444" s="1"/>
      <c r="E444" s="1"/>
      <c r="F444" s="1"/>
      <c r="K444" s="27"/>
      <c r="L444" s="27"/>
      <c r="M444" s="27"/>
      <c r="N444" s="27"/>
      <c r="O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58"/>
    </row>
    <row r="445" ht="17.25" customHeight="1">
      <c r="A445" s="1"/>
      <c r="B445" s="1"/>
      <c r="C445" s="1"/>
      <c r="D445" s="1"/>
      <c r="E445" s="1"/>
      <c r="F445" s="1"/>
      <c r="K445" s="27"/>
      <c r="L445" s="27"/>
      <c r="M445" s="27"/>
      <c r="N445" s="27"/>
      <c r="O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58"/>
    </row>
    <row r="446" ht="17.25" customHeight="1">
      <c r="A446" s="1"/>
      <c r="B446" s="1"/>
      <c r="C446" s="1"/>
      <c r="D446" s="1"/>
      <c r="E446" s="1"/>
      <c r="F446" s="1"/>
      <c r="K446" s="27"/>
      <c r="L446" s="27"/>
      <c r="M446" s="27"/>
      <c r="N446" s="27"/>
      <c r="O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58"/>
    </row>
    <row r="447" ht="17.25" customHeight="1">
      <c r="A447" s="1"/>
      <c r="B447" s="1"/>
      <c r="C447" s="1"/>
      <c r="D447" s="1"/>
      <c r="E447" s="1"/>
      <c r="F447" s="1"/>
      <c r="K447" s="27"/>
      <c r="L447" s="27"/>
      <c r="M447" s="27"/>
      <c r="N447" s="27"/>
      <c r="O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58"/>
    </row>
    <row r="448" ht="17.25" customHeight="1">
      <c r="A448" s="1"/>
      <c r="B448" s="1"/>
      <c r="C448" s="1"/>
      <c r="D448" s="1"/>
      <c r="E448" s="1"/>
      <c r="F448" s="1"/>
      <c r="K448" s="27"/>
      <c r="L448" s="27"/>
      <c r="M448" s="27"/>
      <c r="N448" s="27"/>
      <c r="O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58"/>
    </row>
    <row r="449" ht="17.25" customHeight="1">
      <c r="A449" s="1"/>
      <c r="B449" s="1"/>
      <c r="C449" s="1"/>
      <c r="D449" s="1"/>
      <c r="E449" s="1"/>
      <c r="F449" s="1"/>
      <c r="K449" s="27"/>
      <c r="L449" s="27"/>
      <c r="M449" s="27"/>
      <c r="N449" s="27"/>
      <c r="O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58"/>
    </row>
    <row r="450" ht="17.25" customHeight="1">
      <c r="A450" s="1"/>
      <c r="B450" s="1"/>
      <c r="C450" s="1"/>
      <c r="D450" s="1"/>
      <c r="E450" s="1"/>
      <c r="F450" s="1"/>
      <c r="K450" s="27"/>
      <c r="L450" s="27"/>
      <c r="M450" s="27"/>
      <c r="N450" s="27"/>
      <c r="O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58"/>
    </row>
    <row r="451" ht="17.25" customHeight="1">
      <c r="A451" s="1"/>
      <c r="B451" s="1"/>
      <c r="C451" s="1"/>
      <c r="D451" s="1"/>
      <c r="E451" s="1"/>
      <c r="F451" s="1"/>
      <c r="K451" s="27"/>
      <c r="L451" s="27"/>
      <c r="M451" s="27"/>
      <c r="N451" s="27"/>
      <c r="O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58"/>
    </row>
    <row r="452" ht="17.25" customHeight="1">
      <c r="A452" s="1"/>
      <c r="B452" s="1"/>
      <c r="C452" s="1"/>
      <c r="D452" s="1"/>
      <c r="E452" s="1"/>
      <c r="F452" s="1"/>
      <c r="K452" s="27"/>
      <c r="L452" s="27"/>
      <c r="M452" s="27"/>
      <c r="N452" s="27"/>
      <c r="O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58"/>
    </row>
    <row r="453" ht="17.25" customHeight="1">
      <c r="A453" s="1"/>
      <c r="B453" s="1"/>
      <c r="C453" s="1"/>
      <c r="D453" s="1"/>
      <c r="E453" s="1"/>
      <c r="F453" s="1"/>
      <c r="K453" s="27"/>
      <c r="L453" s="27"/>
      <c r="M453" s="27"/>
      <c r="N453" s="27"/>
      <c r="O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58"/>
    </row>
    <row r="454" ht="17.25" customHeight="1">
      <c r="A454" s="1"/>
      <c r="B454" s="1"/>
      <c r="C454" s="1"/>
      <c r="D454" s="1"/>
      <c r="E454" s="1"/>
      <c r="F454" s="1"/>
      <c r="K454" s="27"/>
      <c r="L454" s="27"/>
      <c r="M454" s="27"/>
      <c r="N454" s="27"/>
      <c r="O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58"/>
    </row>
    <row r="455" ht="17.25" customHeight="1">
      <c r="A455" s="1"/>
      <c r="B455" s="1"/>
      <c r="C455" s="1"/>
      <c r="D455" s="1"/>
      <c r="E455" s="1"/>
      <c r="F455" s="1"/>
      <c r="K455" s="27"/>
      <c r="L455" s="27"/>
      <c r="M455" s="27"/>
      <c r="N455" s="27"/>
      <c r="O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58"/>
    </row>
    <row r="456" ht="17.25" customHeight="1">
      <c r="A456" s="1"/>
      <c r="B456" s="1"/>
      <c r="C456" s="1"/>
      <c r="D456" s="1"/>
      <c r="E456" s="1"/>
      <c r="F456" s="1"/>
      <c r="K456" s="27"/>
      <c r="L456" s="27"/>
      <c r="M456" s="27"/>
      <c r="N456" s="27"/>
      <c r="O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58"/>
    </row>
    <row r="457" ht="17.25" customHeight="1">
      <c r="A457" s="1"/>
      <c r="B457" s="1"/>
      <c r="C457" s="1"/>
      <c r="D457" s="1"/>
      <c r="E457" s="1"/>
      <c r="F457" s="1"/>
      <c r="K457" s="27"/>
      <c r="L457" s="27"/>
      <c r="M457" s="27"/>
      <c r="N457" s="27"/>
      <c r="O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58"/>
    </row>
    <row r="458" ht="17.25" customHeight="1">
      <c r="A458" s="1"/>
      <c r="B458" s="1"/>
      <c r="C458" s="1"/>
      <c r="D458" s="1"/>
      <c r="E458" s="1"/>
      <c r="F458" s="1"/>
      <c r="K458" s="27"/>
      <c r="L458" s="27"/>
      <c r="M458" s="27"/>
      <c r="N458" s="27"/>
      <c r="O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58"/>
    </row>
    <row r="459" ht="17.25" customHeight="1">
      <c r="A459" s="1"/>
      <c r="B459" s="1"/>
      <c r="C459" s="1"/>
      <c r="D459" s="1"/>
      <c r="E459" s="1"/>
      <c r="F459" s="1"/>
      <c r="K459" s="27"/>
      <c r="L459" s="27"/>
      <c r="M459" s="27"/>
      <c r="N459" s="27"/>
      <c r="O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58"/>
    </row>
    <row r="460" ht="17.25" customHeight="1">
      <c r="A460" s="1"/>
      <c r="B460" s="1"/>
      <c r="C460" s="1"/>
      <c r="D460" s="1"/>
      <c r="E460" s="1"/>
      <c r="F460" s="1"/>
      <c r="K460" s="27"/>
      <c r="L460" s="27"/>
      <c r="M460" s="27"/>
      <c r="N460" s="27"/>
      <c r="O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58"/>
    </row>
    <row r="461" ht="17.25" customHeight="1">
      <c r="A461" s="1"/>
      <c r="B461" s="1"/>
      <c r="C461" s="1"/>
      <c r="D461" s="1"/>
      <c r="E461" s="1"/>
      <c r="F461" s="1"/>
      <c r="K461" s="27"/>
      <c r="L461" s="27"/>
      <c r="M461" s="27"/>
      <c r="N461" s="27"/>
      <c r="O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58"/>
    </row>
    <row r="462" ht="17.25" customHeight="1">
      <c r="A462" s="1"/>
      <c r="B462" s="1"/>
      <c r="C462" s="1"/>
      <c r="D462" s="1"/>
      <c r="E462" s="1"/>
      <c r="F462" s="1"/>
      <c r="K462" s="27"/>
      <c r="L462" s="27"/>
      <c r="M462" s="27"/>
      <c r="N462" s="27"/>
      <c r="O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58"/>
    </row>
    <row r="463" ht="17.25" customHeight="1">
      <c r="A463" s="1"/>
      <c r="B463" s="1"/>
      <c r="C463" s="1"/>
      <c r="D463" s="1"/>
      <c r="E463" s="1"/>
      <c r="F463" s="1"/>
      <c r="K463" s="27"/>
      <c r="L463" s="27"/>
      <c r="M463" s="27"/>
      <c r="N463" s="27"/>
      <c r="O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58"/>
    </row>
    <row r="464" ht="17.25" customHeight="1">
      <c r="A464" s="1"/>
      <c r="B464" s="1"/>
      <c r="C464" s="1"/>
      <c r="D464" s="1"/>
      <c r="E464" s="1"/>
      <c r="F464" s="1"/>
      <c r="K464" s="27"/>
      <c r="L464" s="27"/>
      <c r="M464" s="27"/>
      <c r="N464" s="27"/>
      <c r="O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58"/>
    </row>
    <row r="465" ht="17.25" customHeight="1">
      <c r="A465" s="1"/>
      <c r="B465" s="1"/>
      <c r="C465" s="1"/>
      <c r="D465" s="1"/>
      <c r="E465" s="1"/>
      <c r="F465" s="1"/>
      <c r="K465" s="27"/>
      <c r="L465" s="27"/>
      <c r="M465" s="27"/>
      <c r="N465" s="27"/>
      <c r="O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58"/>
    </row>
    <row r="466" ht="17.25" customHeight="1">
      <c r="A466" s="1"/>
      <c r="B466" s="1"/>
      <c r="C466" s="1"/>
      <c r="D466" s="1"/>
      <c r="E466" s="1"/>
      <c r="F466" s="1"/>
      <c r="K466" s="27"/>
      <c r="L466" s="27"/>
      <c r="M466" s="27"/>
      <c r="N466" s="27"/>
      <c r="O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58"/>
    </row>
    <row r="467" ht="17.25" customHeight="1">
      <c r="A467" s="1"/>
      <c r="B467" s="1"/>
      <c r="C467" s="1"/>
      <c r="D467" s="1"/>
      <c r="E467" s="1"/>
      <c r="F467" s="1"/>
      <c r="K467" s="27"/>
      <c r="L467" s="27"/>
      <c r="M467" s="27"/>
      <c r="N467" s="27"/>
      <c r="O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58"/>
    </row>
    <row r="468" ht="17.25" customHeight="1">
      <c r="A468" s="1"/>
      <c r="B468" s="1"/>
      <c r="C468" s="1"/>
      <c r="D468" s="1"/>
      <c r="E468" s="1"/>
      <c r="F468" s="1"/>
      <c r="K468" s="27"/>
      <c r="L468" s="27"/>
      <c r="M468" s="27"/>
      <c r="N468" s="27"/>
      <c r="O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58"/>
    </row>
    <row r="469" ht="17.25" customHeight="1">
      <c r="A469" s="1"/>
      <c r="B469" s="1"/>
      <c r="C469" s="1"/>
      <c r="D469" s="1"/>
      <c r="E469" s="1"/>
      <c r="F469" s="1"/>
      <c r="K469" s="27"/>
      <c r="L469" s="27"/>
      <c r="M469" s="27"/>
      <c r="N469" s="27"/>
      <c r="O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58"/>
    </row>
    <row r="470" ht="17.25" customHeight="1">
      <c r="A470" s="1"/>
      <c r="B470" s="1"/>
      <c r="C470" s="1"/>
      <c r="D470" s="1"/>
      <c r="E470" s="1"/>
      <c r="F470" s="1"/>
      <c r="K470" s="27"/>
      <c r="L470" s="27"/>
      <c r="M470" s="27"/>
      <c r="N470" s="27"/>
      <c r="O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58"/>
    </row>
    <row r="471" ht="17.25" customHeight="1">
      <c r="A471" s="1"/>
      <c r="B471" s="1"/>
      <c r="C471" s="1"/>
      <c r="D471" s="1"/>
      <c r="E471" s="1"/>
      <c r="F471" s="1"/>
      <c r="K471" s="27"/>
      <c r="L471" s="27"/>
      <c r="M471" s="27"/>
      <c r="N471" s="27"/>
      <c r="O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58"/>
    </row>
    <row r="472" ht="17.25" customHeight="1">
      <c r="A472" s="1"/>
      <c r="B472" s="1"/>
      <c r="C472" s="1"/>
      <c r="D472" s="1"/>
      <c r="E472" s="1"/>
      <c r="F472" s="1"/>
      <c r="K472" s="27"/>
      <c r="L472" s="27"/>
      <c r="M472" s="27"/>
      <c r="N472" s="27"/>
      <c r="O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58"/>
    </row>
    <row r="473" ht="17.25" customHeight="1">
      <c r="A473" s="1"/>
      <c r="B473" s="1"/>
      <c r="C473" s="1"/>
      <c r="D473" s="1"/>
      <c r="E473" s="1"/>
      <c r="F473" s="1"/>
      <c r="K473" s="27"/>
      <c r="L473" s="27"/>
      <c r="M473" s="27"/>
      <c r="N473" s="27"/>
      <c r="O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58"/>
    </row>
    <row r="474" ht="17.25" customHeight="1">
      <c r="A474" s="1"/>
      <c r="B474" s="1"/>
      <c r="C474" s="1"/>
      <c r="D474" s="1"/>
      <c r="E474" s="1"/>
      <c r="F474" s="1"/>
      <c r="K474" s="27"/>
      <c r="L474" s="27"/>
      <c r="M474" s="27"/>
      <c r="N474" s="27"/>
      <c r="O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58"/>
    </row>
    <row r="475" ht="17.25" customHeight="1">
      <c r="A475" s="1"/>
      <c r="B475" s="1"/>
      <c r="C475" s="1"/>
      <c r="D475" s="1"/>
      <c r="E475" s="1"/>
      <c r="F475" s="1"/>
      <c r="K475" s="27"/>
      <c r="L475" s="27"/>
      <c r="M475" s="27"/>
      <c r="N475" s="27"/>
      <c r="O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58"/>
    </row>
    <row r="476" ht="17.25" customHeight="1">
      <c r="A476" s="1"/>
      <c r="B476" s="1"/>
      <c r="C476" s="1"/>
      <c r="D476" s="1"/>
      <c r="E476" s="1"/>
      <c r="F476" s="1"/>
      <c r="K476" s="27"/>
      <c r="L476" s="27"/>
      <c r="M476" s="27"/>
      <c r="N476" s="27"/>
      <c r="O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58"/>
    </row>
    <row r="477" ht="17.25" customHeight="1">
      <c r="A477" s="1"/>
      <c r="B477" s="1"/>
      <c r="C477" s="1"/>
      <c r="D477" s="1"/>
      <c r="E477" s="1"/>
      <c r="F477" s="1"/>
      <c r="K477" s="27"/>
      <c r="L477" s="27"/>
      <c r="M477" s="27"/>
      <c r="N477" s="27"/>
      <c r="O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58"/>
    </row>
    <row r="478" ht="17.25" customHeight="1">
      <c r="A478" s="1"/>
      <c r="B478" s="1"/>
      <c r="C478" s="1"/>
      <c r="D478" s="1"/>
      <c r="E478" s="1"/>
      <c r="F478" s="1"/>
      <c r="K478" s="27"/>
      <c r="L478" s="27"/>
      <c r="M478" s="27"/>
      <c r="N478" s="27"/>
      <c r="O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58"/>
    </row>
    <row r="479" ht="17.25" customHeight="1">
      <c r="A479" s="1"/>
      <c r="B479" s="1"/>
      <c r="C479" s="1"/>
      <c r="D479" s="1"/>
      <c r="E479" s="1"/>
      <c r="F479" s="1"/>
      <c r="K479" s="27"/>
      <c r="L479" s="27"/>
      <c r="M479" s="27"/>
      <c r="N479" s="27"/>
      <c r="O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58"/>
    </row>
    <row r="480" ht="17.25" customHeight="1">
      <c r="A480" s="1"/>
      <c r="B480" s="1"/>
      <c r="C480" s="1"/>
      <c r="D480" s="1"/>
      <c r="E480" s="1"/>
      <c r="F480" s="1"/>
      <c r="K480" s="27"/>
      <c r="L480" s="27"/>
      <c r="M480" s="27"/>
      <c r="N480" s="27"/>
      <c r="O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58"/>
    </row>
    <row r="481" ht="17.25" customHeight="1">
      <c r="A481" s="1"/>
      <c r="B481" s="1"/>
      <c r="C481" s="1"/>
      <c r="D481" s="1"/>
      <c r="E481" s="1"/>
      <c r="F481" s="1"/>
      <c r="K481" s="27"/>
      <c r="L481" s="27"/>
      <c r="M481" s="27"/>
      <c r="N481" s="27"/>
      <c r="O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58"/>
    </row>
    <row r="482" ht="17.25" customHeight="1">
      <c r="A482" s="1"/>
      <c r="B482" s="1"/>
      <c r="C482" s="1"/>
      <c r="D482" s="1"/>
      <c r="E482" s="1"/>
      <c r="F482" s="1"/>
      <c r="K482" s="27"/>
      <c r="L482" s="27"/>
      <c r="M482" s="27"/>
      <c r="N482" s="27"/>
      <c r="O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58"/>
    </row>
    <row r="483" ht="17.25" customHeight="1">
      <c r="A483" s="1"/>
      <c r="B483" s="1"/>
      <c r="C483" s="1"/>
      <c r="D483" s="1"/>
      <c r="E483" s="1"/>
      <c r="F483" s="1"/>
      <c r="K483" s="27"/>
      <c r="L483" s="27"/>
      <c r="M483" s="27"/>
      <c r="N483" s="27"/>
      <c r="O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58"/>
    </row>
    <row r="484" ht="17.25" customHeight="1">
      <c r="A484" s="1"/>
      <c r="B484" s="1"/>
      <c r="C484" s="1"/>
      <c r="D484" s="1"/>
      <c r="E484" s="1"/>
      <c r="F484" s="1"/>
      <c r="K484" s="27"/>
      <c r="L484" s="27"/>
      <c r="M484" s="27"/>
      <c r="N484" s="27"/>
      <c r="O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58"/>
    </row>
    <row r="485" ht="17.25" customHeight="1">
      <c r="A485" s="1"/>
      <c r="B485" s="1"/>
      <c r="C485" s="1"/>
      <c r="D485" s="1"/>
      <c r="E485" s="1"/>
      <c r="F485" s="1"/>
      <c r="K485" s="27"/>
      <c r="L485" s="27"/>
      <c r="M485" s="27"/>
      <c r="N485" s="27"/>
      <c r="O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58"/>
    </row>
    <row r="486" ht="17.25" customHeight="1">
      <c r="A486" s="1"/>
      <c r="B486" s="1"/>
      <c r="C486" s="1"/>
      <c r="D486" s="1"/>
      <c r="E486" s="1"/>
      <c r="F486" s="1"/>
      <c r="K486" s="27"/>
      <c r="L486" s="27"/>
      <c r="M486" s="27"/>
      <c r="N486" s="27"/>
      <c r="O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58"/>
    </row>
    <row r="487" ht="17.25" customHeight="1">
      <c r="A487" s="1"/>
      <c r="B487" s="1"/>
      <c r="C487" s="1"/>
      <c r="D487" s="1"/>
      <c r="E487" s="1"/>
      <c r="F487" s="1"/>
      <c r="K487" s="27"/>
      <c r="L487" s="27"/>
      <c r="M487" s="27"/>
      <c r="N487" s="27"/>
      <c r="O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58"/>
    </row>
    <row r="488" ht="17.25" customHeight="1">
      <c r="A488" s="1"/>
      <c r="B488" s="1"/>
      <c r="C488" s="1"/>
      <c r="D488" s="1"/>
      <c r="E488" s="1"/>
      <c r="F488" s="1"/>
      <c r="K488" s="27"/>
      <c r="L488" s="27"/>
      <c r="M488" s="27"/>
      <c r="N488" s="27"/>
      <c r="O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58"/>
    </row>
    <row r="489" ht="17.25" customHeight="1">
      <c r="A489" s="1"/>
      <c r="B489" s="1"/>
      <c r="C489" s="1"/>
      <c r="D489" s="1"/>
      <c r="E489" s="1"/>
      <c r="F489" s="1"/>
      <c r="K489" s="27"/>
      <c r="L489" s="27"/>
      <c r="M489" s="27"/>
      <c r="N489" s="27"/>
      <c r="O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58"/>
    </row>
    <row r="490" ht="17.25" customHeight="1">
      <c r="A490" s="1"/>
      <c r="B490" s="1"/>
      <c r="C490" s="1"/>
      <c r="D490" s="1"/>
      <c r="E490" s="1"/>
      <c r="F490" s="1"/>
      <c r="K490" s="27"/>
      <c r="L490" s="27"/>
      <c r="M490" s="27"/>
      <c r="N490" s="27"/>
      <c r="O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58"/>
    </row>
    <row r="491" ht="17.25" customHeight="1">
      <c r="A491" s="1"/>
      <c r="B491" s="1"/>
      <c r="C491" s="1"/>
      <c r="D491" s="1"/>
      <c r="E491" s="1"/>
      <c r="F491" s="1"/>
      <c r="K491" s="27"/>
      <c r="L491" s="27"/>
      <c r="M491" s="27"/>
      <c r="N491" s="27"/>
      <c r="O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58"/>
    </row>
    <row r="492" ht="17.25" customHeight="1">
      <c r="A492" s="1"/>
      <c r="B492" s="1"/>
      <c r="C492" s="1"/>
      <c r="D492" s="1"/>
      <c r="E492" s="1"/>
      <c r="F492" s="1"/>
      <c r="K492" s="27"/>
      <c r="L492" s="27"/>
      <c r="M492" s="27"/>
      <c r="N492" s="27"/>
      <c r="O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58"/>
    </row>
    <row r="493" ht="17.25" customHeight="1">
      <c r="A493" s="1"/>
      <c r="B493" s="1"/>
      <c r="C493" s="1"/>
      <c r="D493" s="1"/>
      <c r="E493" s="1"/>
      <c r="F493" s="1"/>
      <c r="K493" s="27"/>
      <c r="L493" s="27"/>
      <c r="M493" s="27"/>
      <c r="N493" s="27"/>
      <c r="O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58"/>
    </row>
    <row r="494" ht="17.25" customHeight="1">
      <c r="A494" s="1"/>
      <c r="B494" s="1"/>
      <c r="C494" s="1"/>
      <c r="D494" s="1"/>
      <c r="E494" s="1"/>
      <c r="F494" s="1"/>
      <c r="K494" s="27"/>
      <c r="L494" s="27"/>
      <c r="M494" s="27"/>
      <c r="N494" s="27"/>
      <c r="O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58"/>
    </row>
    <row r="495" ht="17.25" customHeight="1">
      <c r="A495" s="1"/>
      <c r="B495" s="1"/>
      <c r="C495" s="1"/>
      <c r="D495" s="1"/>
      <c r="E495" s="1"/>
      <c r="F495" s="1"/>
      <c r="K495" s="27"/>
      <c r="L495" s="27"/>
      <c r="M495" s="27"/>
      <c r="N495" s="27"/>
      <c r="O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58"/>
    </row>
    <row r="496" ht="17.25" customHeight="1">
      <c r="A496" s="1"/>
      <c r="B496" s="1"/>
      <c r="C496" s="1"/>
      <c r="D496" s="1"/>
      <c r="E496" s="1"/>
      <c r="F496" s="1"/>
      <c r="K496" s="27"/>
      <c r="L496" s="27"/>
      <c r="M496" s="27"/>
      <c r="N496" s="27"/>
      <c r="O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58"/>
    </row>
    <row r="497" ht="17.25" customHeight="1">
      <c r="A497" s="1"/>
      <c r="B497" s="1"/>
      <c r="C497" s="1"/>
      <c r="D497" s="1"/>
      <c r="E497" s="1"/>
      <c r="F497" s="1"/>
      <c r="K497" s="27"/>
      <c r="L497" s="27"/>
      <c r="M497" s="27"/>
      <c r="N497" s="27"/>
      <c r="O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58"/>
    </row>
    <row r="498" ht="17.25" customHeight="1">
      <c r="A498" s="1"/>
      <c r="B498" s="1"/>
      <c r="C498" s="1"/>
      <c r="D498" s="1"/>
      <c r="E498" s="1"/>
      <c r="F498" s="1"/>
      <c r="K498" s="27"/>
      <c r="L498" s="27"/>
      <c r="M498" s="27"/>
      <c r="N498" s="27"/>
      <c r="O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58"/>
    </row>
    <row r="499" ht="17.25" customHeight="1">
      <c r="A499" s="1"/>
      <c r="B499" s="1"/>
      <c r="C499" s="1"/>
      <c r="D499" s="1"/>
      <c r="E499" s="1"/>
      <c r="F499" s="1"/>
      <c r="K499" s="27"/>
      <c r="L499" s="27"/>
      <c r="M499" s="27"/>
      <c r="N499" s="27"/>
      <c r="O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58"/>
    </row>
    <row r="500" ht="17.25" customHeight="1">
      <c r="A500" s="1"/>
      <c r="B500" s="1"/>
      <c r="C500" s="1"/>
      <c r="D500" s="1"/>
      <c r="E500" s="1"/>
      <c r="F500" s="1"/>
      <c r="K500" s="27"/>
      <c r="L500" s="27"/>
      <c r="M500" s="27"/>
      <c r="N500" s="27"/>
      <c r="O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58"/>
    </row>
    <row r="501" ht="17.25" customHeight="1">
      <c r="A501" s="1"/>
      <c r="B501" s="1"/>
      <c r="C501" s="1"/>
      <c r="D501" s="1"/>
      <c r="E501" s="1"/>
      <c r="F501" s="1"/>
      <c r="K501" s="27"/>
      <c r="L501" s="27"/>
      <c r="M501" s="27"/>
      <c r="N501" s="27"/>
      <c r="O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58"/>
    </row>
    <row r="502" ht="17.25" customHeight="1">
      <c r="A502" s="1"/>
      <c r="B502" s="1"/>
      <c r="C502" s="1"/>
      <c r="D502" s="1"/>
      <c r="E502" s="1"/>
      <c r="F502" s="1"/>
      <c r="K502" s="27"/>
      <c r="L502" s="27"/>
      <c r="M502" s="27"/>
      <c r="N502" s="27"/>
      <c r="O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58"/>
    </row>
    <row r="503" ht="17.25" customHeight="1">
      <c r="A503" s="1"/>
      <c r="B503" s="1"/>
      <c r="C503" s="1"/>
      <c r="D503" s="1"/>
      <c r="E503" s="1"/>
      <c r="F503" s="1"/>
      <c r="K503" s="27"/>
      <c r="L503" s="27"/>
      <c r="M503" s="27"/>
      <c r="N503" s="27"/>
      <c r="O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58"/>
    </row>
    <row r="504" ht="17.25" customHeight="1">
      <c r="A504" s="1"/>
      <c r="B504" s="1"/>
      <c r="C504" s="1"/>
      <c r="D504" s="1"/>
      <c r="E504" s="1"/>
      <c r="F504" s="1"/>
      <c r="K504" s="27"/>
      <c r="L504" s="27"/>
      <c r="M504" s="27"/>
      <c r="N504" s="27"/>
      <c r="O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58"/>
    </row>
    <row r="505" ht="17.25" customHeight="1">
      <c r="A505" s="1"/>
      <c r="B505" s="1"/>
      <c r="C505" s="1"/>
      <c r="D505" s="1"/>
      <c r="E505" s="1"/>
      <c r="F505" s="1"/>
      <c r="K505" s="27"/>
      <c r="L505" s="27"/>
      <c r="M505" s="27"/>
      <c r="N505" s="27"/>
      <c r="O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58"/>
    </row>
    <row r="506" ht="17.25" customHeight="1">
      <c r="A506" s="1"/>
      <c r="B506" s="1"/>
      <c r="C506" s="1"/>
      <c r="D506" s="1"/>
      <c r="E506" s="1"/>
      <c r="F506" s="1"/>
      <c r="K506" s="27"/>
      <c r="L506" s="27"/>
      <c r="M506" s="27"/>
      <c r="N506" s="27"/>
      <c r="O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58"/>
    </row>
    <row r="507" ht="17.25" customHeight="1">
      <c r="A507" s="1"/>
      <c r="B507" s="1"/>
      <c r="C507" s="1"/>
      <c r="D507" s="1"/>
      <c r="E507" s="1"/>
      <c r="F507" s="1"/>
      <c r="K507" s="27"/>
      <c r="L507" s="27"/>
      <c r="M507" s="27"/>
      <c r="N507" s="27"/>
      <c r="O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58"/>
    </row>
    <row r="508" ht="17.25" customHeight="1">
      <c r="A508" s="1"/>
      <c r="B508" s="1"/>
      <c r="C508" s="1"/>
      <c r="D508" s="1"/>
      <c r="E508" s="1"/>
      <c r="F508" s="1"/>
      <c r="K508" s="27"/>
      <c r="L508" s="27"/>
      <c r="M508" s="27"/>
      <c r="N508" s="27"/>
      <c r="O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58"/>
    </row>
    <row r="509" ht="17.25" customHeight="1">
      <c r="A509" s="1"/>
      <c r="B509" s="1"/>
      <c r="C509" s="1"/>
      <c r="D509" s="1"/>
      <c r="E509" s="1"/>
      <c r="F509" s="1"/>
      <c r="K509" s="27"/>
      <c r="L509" s="27"/>
      <c r="M509" s="27"/>
      <c r="N509" s="27"/>
      <c r="O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58"/>
    </row>
    <row r="510" ht="17.25" customHeight="1">
      <c r="A510" s="1"/>
      <c r="B510" s="1"/>
      <c r="C510" s="1"/>
      <c r="D510" s="1"/>
      <c r="E510" s="1"/>
      <c r="F510" s="1"/>
      <c r="K510" s="27"/>
      <c r="L510" s="27"/>
      <c r="M510" s="27"/>
      <c r="N510" s="27"/>
      <c r="O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58"/>
    </row>
    <row r="511" ht="17.25" customHeight="1">
      <c r="A511" s="1"/>
      <c r="B511" s="1"/>
      <c r="C511" s="1"/>
      <c r="D511" s="1"/>
      <c r="E511" s="1"/>
      <c r="F511" s="1"/>
      <c r="K511" s="27"/>
      <c r="L511" s="27"/>
      <c r="M511" s="27"/>
      <c r="N511" s="27"/>
      <c r="O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58"/>
    </row>
    <row r="512" ht="17.25" customHeight="1">
      <c r="A512" s="1"/>
      <c r="B512" s="1"/>
      <c r="C512" s="1"/>
      <c r="D512" s="1"/>
      <c r="E512" s="1"/>
      <c r="F512" s="1"/>
      <c r="K512" s="27"/>
      <c r="L512" s="27"/>
      <c r="M512" s="27"/>
      <c r="N512" s="27"/>
      <c r="O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58"/>
    </row>
    <row r="513" ht="17.25" customHeight="1">
      <c r="A513" s="1"/>
      <c r="B513" s="1"/>
      <c r="C513" s="1"/>
      <c r="D513" s="1"/>
      <c r="E513" s="1"/>
      <c r="F513" s="1"/>
      <c r="K513" s="27"/>
      <c r="L513" s="27"/>
      <c r="M513" s="27"/>
      <c r="N513" s="27"/>
      <c r="O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58"/>
    </row>
    <row r="514" ht="17.25" customHeight="1">
      <c r="A514" s="1"/>
      <c r="B514" s="1"/>
      <c r="C514" s="1"/>
      <c r="D514" s="1"/>
      <c r="E514" s="1"/>
      <c r="F514" s="1"/>
      <c r="K514" s="27"/>
      <c r="L514" s="27"/>
      <c r="M514" s="27"/>
      <c r="N514" s="27"/>
      <c r="O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58"/>
    </row>
    <row r="515" ht="17.25" customHeight="1">
      <c r="A515" s="1"/>
      <c r="B515" s="1"/>
      <c r="C515" s="1"/>
      <c r="D515" s="1"/>
      <c r="E515" s="1"/>
      <c r="F515" s="1"/>
      <c r="K515" s="27"/>
      <c r="L515" s="27"/>
      <c r="M515" s="27"/>
      <c r="N515" s="27"/>
      <c r="O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58"/>
    </row>
    <row r="516" ht="17.25" customHeight="1">
      <c r="A516" s="1"/>
      <c r="B516" s="1"/>
      <c r="C516" s="1"/>
      <c r="D516" s="1"/>
      <c r="E516" s="1"/>
      <c r="F516" s="1"/>
      <c r="K516" s="27"/>
      <c r="L516" s="27"/>
      <c r="M516" s="27"/>
      <c r="N516" s="27"/>
      <c r="O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58"/>
    </row>
    <row r="517" ht="17.25" customHeight="1">
      <c r="A517" s="1"/>
      <c r="B517" s="1"/>
      <c r="C517" s="1"/>
      <c r="D517" s="1"/>
      <c r="E517" s="1"/>
      <c r="F517" s="1"/>
      <c r="K517" s="27"/>
      <c r="L517" s="27"/>
      <c r="M517" s="27"/>
      <c r="N517" s="27"/>
      <c r="O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58"/>
    </row>
    <row r="518" ht="17.25" customHeight="1">
      <c r="A518" s="1"/>
      <c r="B518" s="1"/>
      <c r="C518" s="1"/>
      <c r="D518" s="1"/>
      <c r="E518" s="1"/>
      <c r="F518" s="1"/>
      <c r="K518" s="27"/>
      <c r="L518" s="27"/>
      <c r="M518" s="27"/>
      <c r="N518" s="27"/>
      <c r="O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58"/>
    </row>
    <row r="519" ht="17.25" customHeight="1">
      <c r="A519" s="1"/>
      <c r="B519" s="1"/>
      <c r="C519" s="1"/>
      <c r="D519" s="1"/>
      <c r="E519" s="1"/>
      <c r="F519" s="1"/>
      <c r="K519" s="27"/>
      <c r="L519" s="27"/>
      <c r="M519" s="27"/>
      <c r="N519" s="27"/>
      <c r="O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58"/>
    </row>
    <row r="520" ht="17.25" customHeight="1">
      <c r="A520" s="1"/>
      <c r="B520" s="1"/>
      <c r="C520" s="1"/>
      <c r="D520" s="1"/>
      <c r="E520" s="1"/>
      <c r="F520" s="1"/>
      <c r="K520" s="27"/>
      <c r="L520" s="27"/>
      <c r="M520" s="27"/>
      <c r="N520" s="27"/>
      <c r="O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58"/>
    </row>
    <row r="521" ht="17.25" customHeight="1">
      <c r="A521" s="1"/>
      <c r="B521" s="1"/>
      <c r="C521" s="1"/>
      <c r="D521" s="1"/>
      <c r="E521" s="1"/>
      <c r="F521" s="1"/>
      <c r="K521" s="27"/>
      <c r="L521" s="27"/>
      <c r="M521" s="27"/>
      <c r="N521" s="27"/>
      <c r="O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58"/>
    </row>
    <row r="522" ht="17.25" customHeight="1">
      <c r="A522" s="1"/>
      <c r="B522" s="1"/>
      <c r="C522" s="1"/>
      <c r="D522" s="1"/>
      <c r="E522" s="1"/>
      <c r="F522" s="1"/>
      <c r="K522" s="27"/>
      <c r="L522" s="27"/>
      <c r="M522" s="27"/>
      <c r="N522" s="27"/>
      <c r="O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58"/>
    </row>
    <row r="523" ht="17.25" customHeight="1">
      <c r="A523" s="1"/>
      <c r="B523" s="1"/>
      <c r="C523" s="1"/>
      <c r="D523" s="1"/>
      <c r="E523" s="1"/>
      <c r="F523" s="1"/>
      <c r="K523" s="27"/>
      <c r="L523" s="27"/>
      <c r="M523" s="27"/>
      <c r="N523" s="27"/>
      <c r="O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58"/>
    </row>
    <row r="524" ht="17.25" customHeight="1">
      <c r="A524" s="1"/>
      <c r="B524" s="1"/>
      <c r="C524" s="1"/>
      <c r="D524" s="1"/>
      <c r="E524" s="1"/>
      <c r="F524" s="1"/>
      <c r="K524" s="27"/>
      <c r="L524" s="27"/>
      <c r="M524" s="27"/>
      <c r="N524" s="27"/>
      <c r="O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58"/>
    </row>
    <row r="525" ht="17.25" customHeight="1">
      <c r="A525" s="1"/>
      <c r="B525" s="1"/>
      <c r="C525" s="1"/>
      <c r="D525" s="1"/>
      <c r="E525" s="1"/>
      <c r="F525" s="1"/>
      <c r="K525" s="27"/>
      <c r="L525" s="27"/>
      <c r="M525" s="27"/>
      <c r="N525" s="27"/>
      <c r="O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58"/>
    </row>
    <row r="526" ht="17.25" customHeight="1">
      <c r="A526" s="1"/>
      <c r="B526" s="1"/>
      <c r="C526" s="1"/>
      <c r="D526" s="1"/>
      <c r="E526" s="1"/>
      <c r="F526" s="1"/>
      <c r="K526" s="27"/>
      <c r="L526" s="27"/>
      <c r="M526" s="27"/>
      <c r="N526" s="27"/>
      <c r="O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58"/>
    </row>
    <row r="527" ht="17.25" customHeight="1">
      <c r="A527" s="1"/>
      <c r="B527" s="1"/>
      <c r="C527" s="1"/>
      <c r="D527" s="1"/>
      <c r="E527" s="1"/>
      <c r="F527" s="1"/>
      <c r="K527" s="27"/>
      <c r="L527" s="27"/>
      <c r="M527" s="27"/>
      <c r="N527" s="27"/>
      <c r="O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58"/>
    </row>
    <row r="528" ht="17.25" customHeight="1">
      <c r="A528" s="1"/>
      <c r="B528" s="1"/>
      <c r="C528" s="1"/>
      <c r="D528" s="1"/>
      <c r="E528" s="1"/>
      <c r="F528" s="1"/>
      <c r="K528" s="27"/>
      <c r="L528" s="27"/>
      <c r="M528" s="27"/>
      <c r="N528" s="27"/>
      <c r="O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58"/>
    </row>
    <row r="529" ht="17.25" customHeight="1">
      <c r="A529" s="1"/>
      <c r="B529" s="1"/>
      <c r="C529" s="1"/>
      <c r="D529" s="1"/>
      <c r="E529" s="1"/>
      <c r="F529" s="1"/>
      <c r="K529" s="27"/>
      <c r="L529" s="27"/>
      <c r="M529" s="27"/>
      <c r="N529" s="27"/>
      <c r="O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58"/>
    </row>
    <row r="530" ht="17.25" customHeight="1">
      <c r="A530" s="1"/>
      <c r="B530" s="1"/>
      <c r="C530" s="1"/>
      <c r="D530" s="1"/>
      <c r="E530" s="1"/>
      <c r="F530" s="1"/>
      <c r="K530" s="27"/>
      <c r="L530" s="27"/>
      <c r="M530" s="27"/>
      <c r="N530" s="27"/>
      <c r="O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58"/>
    </row>
    <row r="531" ht="17.25" customHeight="1">
      <c r="A531" s="1"/>
      <c r="B531" s="1"/>
      <c r="C531" s="1"/>
      <c r="D531" s="1"/>
      <c r="E531" s="1"/>
      <c r="F531" s="1"/>
      <c r="K531" s="27"/>
      <c r="L531" s="27"/>
      <c r="M531" s="27"/>
      <c r="N531" s="27"/>
      <c r="O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58"/>
    </row>
    <row r="532" ht="17.25" customHeight="1">
      <c r="A532" s="1"/>
      <c r="B532" s="1"/>
      <c r="C532" s="1"/>
      <c r="D532" s="1"/>
      <c r="E532" s="1"/>
      <c r="F532" s="1"/>
      <c r="K532" s="27"/>
      <c r="L532" s="27"/>
      <c r="M532" s="27"/>
      <c r="N532" s="27"/>
      <c r="O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58"/>
    </row>
    <row r="533" ht="17.25" customHeight="1">
      <c r="A533" s="1"/>
      <c r="B533" s="1"/>
      <c r="C533" s="1"/>
      <c r="D533" s="1"/>
      <c r="E533" s="1"/>
      <c r="F533" s="1"/>
      <c r="K533" s="27"/>
      <c r="L533" s="27"/>
      <c r="M533" s="27"/>
      <c r="N533" s="27"/>
      <c r="O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58"/>
    </row>
    <row r="534" ht="17.25" customHeight="1">
      <c r="A534" s="1"/>
      <c r="B534" s="1"/>
      <c r="C534" s="1"/>
      <c r="D534" s="1"/>
      <c r="E534" s="1"/>
      <c r="F534" s="1"/>
      <c r="K534" s="27"/>
      <c r="L534" s="27"/>
      <c r="M534" s="27"/>
      <c r="N534" s="27"/>
      <c r="O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58"/>
    </row>
    <row r="535" ht="17.25" customHeight="1">
      <c r="A535" s="1"/>
      <c r="B535" s="1"/>
      <c r="C535" s="1"/>
      <c r="D535" s="1"/>
      <c r="E535" s="1"/>
      <c r="F535" s="1"/>
      <c r="K535" s="27"/>
      <c r="L535" s="27"/>
      <c r="M535" s="27"/>
      <c r="N535" s="27"/>
      <c r="O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58"/>
    </row>
    <row r="536" ht="17.25" customHeight="1">
      <c r="A536" s="1"/>
      <c r="B536" s="1"/>
      <c r="C536" s="1"/>
      <c r="D536" s="1"/>
      <c r="E536" s="1"/>
      <c r="F536" s="1"/>
      <c r="K536" s="27"/>
      <c r="L536" s="27"/>
      <c r="M536" s="27"/>
      <c r="N536" s="27"/>
      <c r="O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58"/>
    </row>
    <row r="537" ht="17.25" customHeight="1">
      <c r="A537" s="1"/>
      <c r="B537" s="1"/>
      <c r="C537" s="1"/>
      <c r="D537" s="1"/>
      <c r="E537" s="1"/>
      <c r="F537" s="1"/>
      <c r="K537" s="27"/>
      <c r="L537" s="27"/>
      <c r="M537" s="27"/>
      <c r="N537" s="27"/>
      <c r="O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58"/>
    </row>
    <row r="538" ht="17.25" customHeight="1">
      <c r="A538" s="1"/>
      <c r="B538" s="1"/>
      <c r="C538" s="1"/>
      <c r="D538" s="1"/>
      <c r="E538" s="1"/>
      <c r="F538" s="1"/>
      <c r="K538" s="27"/>
      <c r="L538" s="27"/>
      <c r="M538" s="27"/>
      <c r="N538" s="27"/>
      <c r="O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58"/>
    </row>
    <row r="539" ht="17.25" customHeight="1">
      <c r="A539" s="1"/>
      <c r="B539" s="1"/>
      <c r="C539" s="1"/>
      <c r="D539" s="1"/>
      <c r="E539" s="1"/>
      <c r="F539" s="1"/>
      <c r="K539" s="27"/>
      <c r="L539" s="27"/>
      <c r="M539" s="27"/>
      <c r="N539" s="27"/>
      <c r="O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58"/>
    </row>
    <row r="540" ht="17.25" customHeight="1">
      <c r="A540" s="1"/>
      <c r="B540" s="1"/>
      <c r="C540" s="1"/>
      <c r="D540" s="1"/>
      <c r="E540" s="1"/>
      <c r="F540" s="1"/>
      <c r="K540" s="27"/>
      <c r="L540" s="27"/>
      <c r="M540" s="27"/>
      <c r="N540" s="27"/>
      <c r="O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58"/>
    </row>
    <row r="541" ht="17.25" customHeight="1">
      <c r="A541" s="1"/>
      <c r="B541" s="1"/>
      <c r="C541" s="1"/>
      <c r="D541" s="1"/>
      <c r="E541" s="1"/>
      <c r="F541" s="1"/>
      <c r="K541" s="27"/>
      <c r="L541" s="27"/>
      <c r="M541" s="27"/>
      <c r="N541" s="27"/>
      <c r="O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58"/>
    </row>
    <row r="542" ht="17.25" customHeight="1">
      <c r="A542" s="1"/>
      <c r="B542" s="1"/>
      <c r="C542" s="1"/>
      <c r="D542" s="1"/>
      <c r="E542" s="1"/>
      <c r="F542" s="1"/>
      <c r="K542" s="27"/>
      <c r="L542" s="27"/>
      <c r="M542" s="27"/>
      <c r="N542" s="27"/>
      <c r="O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58"/>
    </row>
    <row r="543" ht="17.25" customHeight="1">
      <c r="A543" s="1"/>
      <c r="B543" s="1"/>
      <c r="C543" s="1"/>
      <c r="D543" s="1"/>
      <c r="E543" s="1"/>
      <c r="F543" s="1"/>
      <c r="K543" s="27"/>
      <c r="L543" s="27"/>
      <c r="M543" s="27"/>
      <c r="N543" s="27"/>
      <c r="O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58"/>
    </row>
    <row r="544" ht="17.25" customHeight="1">
      <c r="A544" s="1"/>
      <c r="B544" s="1"/>
      <c r="C544" s="1"/>
      <c r="D544" s="1"/>
      <c r="E544" s="1"/>
      <c r="F544" s="1"/>
      <c r="K544" s="27"/>
      <c r="L544" s="27"/>
      <c r="M544" s="27"/>
      <c r="N544" s="27"/>
      <c r="O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58"/>
    </row>
    <row r="545" ht="17.25" customHeight="1">
      <c r="A545" s="1"/>
      <c r="B545" s="1"/>
      <c r="C545" s="1"/>
      <c r="D545" s="1"/>
      <c r="E545" s="1"/>
      <c r="F545" s="1"/>
      <c r="K545" s="27"/>
      <c r="L545" s="27"/>
      <c r="M545" s="27"/>
      <c r="N545" s="27"/>
      <c r="O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58"/>
    </row>
    <row r="546" ht="17.25" customHeight="1">
      <c r="A546" s="1"/>
      <c r="B546" s="1"/>
      <c r="C546" s="1"/>
      <c r="D546" s="1"/>
      <c r="E546" s="1"/>
      <c r="F546" s="1"/>
      <c r="K546" s="27"/>
      <c r="L546" s="27"/>
      <c r="M546" s="27"/>
      <c r="N546" s="27"/>
      <c r="O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58"/>
    </row>
    <row r="547" ht="17.25" customHeight="1">
      <c r="A547" s="1"/>
      <c r="B547" s="1"/>
      <c r="C547" s="1"/>
      <c r="D547" s="1"/>
      <c r="E547" s="1"/>
      <c r="F547" s="1"/>
      <c r="K547" s="27"/>
      <c r="L547" s="27"/>
      <c r="M547" s="27"/>
      <c r="N547" s="27"/>
      <c r="O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58"/>
    </row>
    <row r="548" ht="17.25" customHeight="1">
      <c r="A548" s="1"/>
      <c r="B548" s="1"/>
      <c r="C548" s="1"/>
      <c r="D548" s="1"/>
      <c r="E548" s="1"/>
      <c r="F548" s="1"/>
      <c r="K548" s="27"/>
      <c r="L548" s="27"/>
      <c r="M548" s="27"/>
      <c r="N548" s="27"/>
      <c r="O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58"/>
    </row>
    <row r="549" ht="17.25" customHeight="1">
      <c r="A549" s="1"/>
      <c r="B549" s="1"/>
      <c r="C549" s="1"/>
      <c r="D549" s="1"/>
      <c r="E549" s="1"/>
      <c r="F549" s="1"/>
      <c r="K549" s="27"/>
      <c r="L549" s="27"/>
      <c r="M549" s="27"/>
      <c r="N549" s="27"/>
      <c r="O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58"/>
    </row>
    <row r="550" ht="17.25" customHeight="1">
      <c r="A550" s="1"/>
      <c r="B550" s="1"/>
      <c r="C550" s="1"/>
      <c r="D550" s="1"/>
      <c r="E550" s="1"/>
      <c r="F550" s="1"/>
      <c r="K550" s="27"/>
      <c r="L550" s="27"/>
      <c r="M550" s="27"/>
      <c r="N550" s="27"/>
      <c r="O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58"/>
    </row>
    <row r="551" ht="17.25" customHeight="1">
      <c r="A551" s="1"/>
      <c r="B551" s="1"/>
      <c r="C551" s="1"/>
      <c r="D551" s="1"/>
      <c r="E551" s="1"/>
      <c r="F551" s="1"/>
      <c r="K551" s="27"/>
      <c r="L551" s="27"/>
      <c r="M551" s="27"/>
      <c r="N551" s="27"/>
      <c r="O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58"/>
    </row>
    <row r="552" ht="17.25" customHeight="1">
      <c r="A552" s="1"/>
      <c r="B552" s="1"/>
      <c r="C552" s="1"/>
      <c r="D552" s="1"/>
      <c r="E552" s="1"/>
      <c r="F552" s="1"/>
      <c r="K552" s="27"/>
      <c r="L552" s="27"/>
      <c r="M552" s="27"/>
      <c r="N552" s="27"/>
      <c r="O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58"/>
    </row>
    <row r="553" ht="17.25" customHeight="1">
      <c r="A553" s="1"/>
      <c r="B553" s="1"/>
      <c r="C553" s="1"/>
      <c r="D553" s="1"/>
      <c r="E553" s="1"/>
      <c r="F553" s="1"/>
      <c r="K553" s="27"/>
      <c r="L553" s="27"/>
      <c r="M553" s="27"/>
      <c r="N553" s="27"/>
      <c r="O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58"/>
    </row>
    <row r="554" ht="17.25" customHeight="1">
      <c r="A554" s="1"/>
      <c r="B554" s="1"/>
      <c r="C554" s="1"/>
      <c r="D554" s="1"/>
      <c r="E554" s="1"/>
      <c r="F554" s="1"/>
      <c r="K554" s="27"/>
      <c r="L554" s="27"/>
      <c r="M554" s="27"/>
      <c r="N554" s="27"/>
      <c r="O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58"/>
    </row>
    <row r="555" ht="17.25" customHeight="1">
      <c r="A555" s="1"/>
      <c r="B555" s="1"/>
      <c r="C555" s="1"/>
      <c r="D555" s="1"/>
      <c r="E555" s="1"/>
      <c r="F555" s="1"/>
      <c r="K555" s="27"/>
      <c r="L555" s="27"/>
      <c r="M555" s="27"/>
      <c r="N555" s="27"/>
      <c r="O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58"/>
    </row>
    <row r="556" ht="17.25" customHeight="1">
      <c r="A556" s="1"/>
      <c r="B556" s="1"/>
      <c r="C556" s="1"/>
      <c r="D556" s="1"/>
      <c r="E556" s="1"/>
      <c r="F556" s="1"/>
      <c r="K556" s="27"/>
      <c r="L556" s="27"/>
      <c r="M556" s="27"/>
      <c r="N556" s="27"/>
      <c r="O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58"/>
    </row>
    <row r="557" ht="17.25" customHeight="1">
      <c r="A557" s="1"/>
      <c r="B557" s="1"/>
      <c r="C557" s="1"/>
      <c r="D557" s="1"/>
      <c r="E557" s="1"/>
      <c r="F557" s="1"/>
      <c r="K557" s="27"/>
      <c r="L557" s="27"/>
      <c r="M557" s="27"/>
      <c r="N557" s="27"/>
      <c r="O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58"/>
    </row>
    <row r="558" ht="17.25" customHeight="1">
      <c r="A558" s="1"/>
      <c r="B558" s="1"/>
      <c r="C558" s="1"/>
      <c r="D558" s="1"/>
      <c r="E558" s="1"/>
      <c r="F558" s="1"/>
      <c r="K558" s="27"/>
      <c r="L558" s="27"/>
      <c r="M558" s="27"/>
      <c r="N558" s="27"/>
      <c r="O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58"/>
    </row>
    <row r="559" ht="17.25" customHeight="1">
      <c r="A559" s="1"/>
      <c r="B559" s="1"/>
      <c r="C559" s="1"/>
      <c r="D559" s="1"/>
      <c r="E559" s="1"/>
      <c r="F559" s="1"/>
      <c r="K559" s="27"/>
      <c r="L559" s="27"/>
      <c r="M559" s="27"/>
      <c r="N559" s="27"/>
      <c r="O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58"/>
    </row>
    <row r="560" ht="17.25" customHeight="1">
      <c r="A560" s="1"/>
      <c r="B560" s="1"/>
      <c r="C560" s="1"/>
      <c r="D560" s="1"/>
      <c r="E560" s="1"/>
      <c r="F560" s="1"/>
      <c r="K560" s="27"/>
      <c r="L560" s="27"/>
      <c r="M560" s="27"/>
      <c r="N560" s="27"/>
      <c r="O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58"/>
    </row>
    <row r="561" ht="17.25" customHeight="1">
      <c r="A561" s="1"/>
      <c r="B561" s="1"/>
      <c r="C561" s="1"/>
      <c r="D561" s="1"/>
      <c r="E561" s="1"/>
      <c r="F561" s="1"/>
      <c r="K561" s="27"/>
      <c r="L561" s="27"/>
      <c r="M561" s="27"/>
      <c r="N561" s="27"/>
      <c r="O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58"/>
    </row>
    <row r="562" ht="17.25" customHeight="1">
      <c r="A562" s="1"/>
      <c r="B562" s="1"/>
      <c r="C562" s="1"/>
      <c r="D562" s="1"/>
      <c r="E562" s="1"/>
      <c r="F562" s="1"/>
      <c r="K562" s="27"/>
      <c r="L562" s="27"/>
      <c r="M562" s="27"/>
      <c r="N562" s="27"/>
      <c r="O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58"/>
    </row>
    <row r="563" ht="17.25" customHeight="1">
      <c r="A563" s="1"/>
      <c r="B563" s="1"/>
      <c r="C563" s="1"/>
      <c r="D563" s="1"/>
      <c r="E563" s="1"/>
      <c r="F563" s="1"/>
      <c r="K563" s="27"/>
      <c r="L563" s="27"/>
      <c r="M563" s="27"/>
      <c r="N563" s="27"/>
      <c r="O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58"/>
    </row>
    <row r="564" ht="17.25" customHeight="1">
      <c r="A564" s="1"/>
      <c r="B564" s="1"/>
      <c r="C564" s="1"/>
      <c r="D564" s="1"/>
      <c r="E564" s="1"/>
      <c r="F564" s="1"/>
      <c r="K564" s="27"/>
      <c r="L564" s="27"/>
      <c r="M564" s="27"/>
      <c r="N564" s="27"/>
      <c r="O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58"/>
    </row>
    <row r="565" ht="17.25" customHeight="1">
      <c r="A565" s="1"/>
      <c r="B565" s="1"/>
      <c r="C565" s="1"/>
      <c r="D565" s="1"/>
      <c r="E565" s="1"/>
      <c r="F565" s="1"/>
      <c r="K565" s="27"/>
      <c r="L565" s="27"/>
      <c r="M565" s="27"/>
      <c r="N565" s="27"/>
      <c r="O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58"/>
    </row>
    <row r="566" ht="17.25" customHeight="1">
      <c r="A566" s="1"/>
      <c r="B566" s="1"/>
      <c r="C566" s="1"/>
      <c r="D566" s="1"/>
      <c r="E566" s="1"/>
      <c r="F566" s="1"/>
      <c r="K566" s="27"/>
      <c r="L566" s="27"/>
      <c r="M566" s="27"/>
      <c r="N566" s="27"/>
      <c r="O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58"/>
    </row>
    <row r="567" ht="17.25" customHeight="1">
      <c r="A567" s="1"/>
      <c r="B567" s="1"/>
      <c r="C567" s="1"/>
      <c r="D567" s="1"/>
      <c r="E567" s="1"/>
      <c r="F567" s="1"/>
      <c r="K567" s="27"/>
      <c r="L567" s="27"/>
      <c r="M567" s="27"/>
      <c r="N567" s="27"/>
      <c r="O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58"/>
    </row>
    <row r="568" ht="17.25" customHeight="1">
      <c r="A568" s="1"/>
      <c r="B568" s="1"/>
      <c r="C568" s="1"/>
      <c r="D568" s="1"/>
      <c r="E568" s="1"/>
      <c r="F568" s="1"/>
      <c r="K568" s="27"/>
      <c r="L568" s="27"/>
      <c r="M568" s="27"/>
      <c r="N568" s="27"/>
      <c r="O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58"/>
    </row>
    <row r="569" ht="17.25" customHeight="1">
      <c r="A569" s="1"/>
      <c r="B569" s="1"/>
      <c r="C569" s="1"/>
      <c r="D569" s="1"/>
      <c r="E569" s="1"/>
      <c r="F569" s="1"/>
      <c r="K569" s="27"/>
      <c r="L569" s="27"/>
      <c r="M569" s="27"/>
      <c r="N569" s="27"/>
      <c r="O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58"/>
    </row>
    <row r="570" ht="17.25" customHeight="1">
      <c r="A570" s="1"/>
      <c r="B570" s="1"/>
      <c r="C570" s="1"/>
      <c r="D570" s="1"/>
      <c r="E570" s="1"/>
      <c r="F570" s="1"/>
      <c r="K570" s="27"/>
      <c r="L570" s="27"/>
      <c r="M570" s="27"/>
      <c r="N570" s="27"/>
      <c r="O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58"/>
    </row>
    <row r="571" ht="17.25" customHeight="1">
      <c r="A571" s="1"/>
      <c r="B571" s="1"/>
      <c r="C571" s="1"/>
      <c r="D571" s="1"/>
      <c r="E571" s="1"/>
      <c r="F571" s="1"/>
      <c r="K571" s="27"/>
      <c r="L571" s="27"/>
      <c r="M571" s="27"/>
      <c r="N571" s="27"/>
      <c r="O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58"/>
    </row>
    <row r="572" ht="17.25" customHeight="1">
      <c r="A572" s="1"/>
      <c r="B572" s="1"/>
      <c r="C572" s="1"/>
      <c r="D572" s="1"/>
      <c r="E572" s="1"/>
      <c r="F572" s="1"/>
      <c r="K572" s="27"/>
      <c r="L572" s="27"/>
      <c r="M572" s="27"/>
      <c r="N572" s="27"/>
      <c r="O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58"/>
    </row>
    <row r="573" ht="17.25" customHeight="1">
      <c r="A573" s="1"/>
      <c r="B573" s="1"/>
      <c r="C573" s="1"/>
      <c r="D573" s="1"/>
      <c r="E573" s="1"/>
      <c r="F573" s="1"/>
      <c r="K573" s="27"/>
      <c r="L573" s="27"/>
      <c r="M573" s="27"/>
      <c r="N573" s="27"/>
      <c r="O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58"/>
    </row>
    <row r="574" ht="17.25" customHeight="1">
      <c r="A574" s="1"/>
      <c r="B574" s="1"/>
      <c r="C574" s="1"/>
      <c r="D574" s="1"/>
      <c r="E574" s="1"/>
      <c r="F574" s="1"/>
      <c r="K574" s="27"/>
      <c r="L574" s="27"/>
      <c r="M574" s="27"/>
      <c r="N574" s="27"/>
      <c r="O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58"/>
    </row>
    <row r="575" ht="17.25" customHeight="1">
      <c r="A575" s="1"/>
      <c r="B575" s="1"/>
      <c r="C575" s="1"/>
      <c r="D575" s="1"/>
      <c r="E575" s="1"/>
      <c r="F575" s="1"/>
      <c r="K575" s="27"/>
      <c r="L575" s="27"/>
      <c r="M575" s="27"/>
      <c r="N575" s="27"/>
      <c r="O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58"/>
    </row>
    <row r="576" ht="17.25" customHeight="1">
      <c r="A576" s="1"/>
      <c r="B576" s="1"/>
      <c r="C576" s="1"/>
      <c r="D576" s="1"/>
      <c r="E576" s="1"/>
      <c r="F576" s="1"/>
      <c r="K576" s="27"/>
      <c r="L576" s="27"/>
      <c r="M576" s="27"/>
      <c r="N576" s="27"/>
      <c r="O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58"/>
    </row>
    <row r="577" ht="17.25" customHeight="1">
      <c r="A577" s="1"/>
      <c r="B577" s="1"/>
      <c r="C577" s="1"/>
      <c r="D577" s="1"/>
      <c r="E577" s="1"/>
      <c r="F577" s="1"/>
      <c r="K577" s="27"/>
      <c r="L577" s="27"/>
      <c r="M577" s="27"/>
      <c r="N577" s="27"/>
      <c r="O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58"/>
    </row>
    <row r="578" ht="17.25" customHeight="1">
      <c r="A578" s="1"/>
      <c r="B578" s="1"/>
      <c r="C578" s="1"/>
      <c r="D578" s="1"/>
      <c r="E578" s="1"/>
      <c r="F578" s="1"/>
      <c r="K578" s="27"/>
      <c r="L578" s="27"/>
      <c r="M578" s="27"/>
      <c r="N578" s="27"/>
      <c r="O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58"/>
    </row>
    <row r="579" ht="17.25" customHeight="1">
      <c r="A579" s="1"/>
      <c r="B579" s="1"/>
      <c r="C579" s="1"/>
      <c r="D579" s="1"/>
      <c r="E579" s="1"/>
      <c r="F579" s="1"/>
      <c r="K579" s="27"/>
      <c r="L579" s="27"/>
      <c r="M579" s="27"/>
      <c r="N579" s="27"/>
      <c r="O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58"/>
    </row>
    <row r="580" ht="17.25" customHeight="1">
      <c r="A580" s="1"/>
      <c r="B580" s="1"/>
      <c r="C580" s="1"/>
      <c r="D580" s="1"/>
      <c r="E580" s="1"/>
      <c r="F580" s="1"/>
      <c r="K580" s="27"/>
      <c r="L580" s="27"/>
      <c r="M580" s="27"/>
      <c r="N580" s="27"/>
      <c r="O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58"/>
    </row>
    <row r="581" ht="17.25" customHeight="1">
      <c r="A581" s="1"/>
      <c r="B581" s="1"/>
      <c r="C581" s="1"/>
      <c r="D581" s="1"/>
      <c r="E581" s="1"/>
      <c r="F581" s="1"/>
      <c r="K581" s="27"/>
      <c r="L581" s="27"/>
      <c r="M581" s="27"/>
      <c r="N581" s="27"/>
      <c r="O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58"/>
    </row>
    <row r="582" ht="17.25" customHeight="1">
      <c r="A582" s="1"/>
      <c r="B582" s="1"/>
      <c r="C582" s="1"/>
      <c r="D582" s="1"/>
      <c r="E582" s="1"/>
      <c r="F582" s="1"/>
      <c r="K582" s="27"/>
      <c r="L582" s="27"/>
      <c r="M582" s="27"/>
      <c r="N582" s="27"/>
      <c r="O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58"/>
    </row>
    <row r="583" ht="17.25" customHeight="1">
      <c r="A583" s="1"/>
      <c r="B583" s="1"/>
      <c r="C583" s="1"/>
      <c r="D583" s="1"/>
      <c r="E583" s="1"/>
      <c r="F583" s="1"/>
      <c r="K583" s="27"/>
      <c r="L583" s="27"/>
      <c r="M583" s="27"/>
      <c r="N583" s="27"/>
      <c r="O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58"/>
    </row>
    <row r="584" ht="17.25" customHeight="1">
      <c r="A584" s="1"/>
      <c r="B584" s="1"/>
      <c r="C584" s="1"/>
      <c r="D584" s="1"/>
      <c r="E584" s="1"/>
      <c r="F584" s="1"/>
      <c r="K584" s="27"/>
      <c r="L584" s="27"/>
      <c r="M584" s="27"/>
      <c r="N584" s="27"/>
      <c r="O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58"/>
    </row>
    <row r="585" ht="17.25" customHeight="1">
      <c r="A585" s="1"/>
      <c r="B585" s="1"/>
      <c r="C585" s="1"/>
      <c r="D585" s="1"/>
      <c r="E585" s="1"/>
      <c r="F585" s="1"/>
      <c r="K585" s="27"/>
      <c r="L585" s="27"/>
      <c r="M585" s="27"/>
      <c r="N585" s="27"/>
      <c r="O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58"/>
    </row>
    <row r="586" ht="17.25" customHeight="1">
      <c r="A586" s="1"/>
      <c r="B586" s="1"/>
      <c r="C586" s="1"/>
      <c r="D586" s="1"/>
      <c r="E586" s="1"/>
      <c r="F586" s="1"/>
      <c r="K586" s="27"/>
      <c r="L586" s="27"/>
      <c r="M586" s="27"/>
      <c r="N586" s="27"/>
      <c r="O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58"/>
    </row>
    <row r="587" ht="17.25" customHeight="1">
      <c r="A587" s="1"/>
      <c r="B587" s="1"/>
      <c r="C587" s="1"/>
      <c r="D587" s="1"/>
      <c r="E587" s="1"/>
      <c r="F587" s="1"/>
      <c r="K587" s="27"/>
      <c r="L587" s="27"/>
      <c r="M587" s="27"/>
      <c r="N587" s="27"/>
      <c r="O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58"/>
    </row>
    <row r="588" ht="17.25" customHeight="1">
      <c r="A588" s="1"/>
      <c r="B588" s="1"/>
      <c r="C588" s="1"/>
      <c r="D588" s="1"/>
      <c r="E588" s="1"/>
      <c r="F588" s="1"/>
      <c r="K588" s="27"/>
      <c r="L588" s="27"/>
      <c r="M588" s="27"/>
      <c r="N588" s="27"/>
      <c r="O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58"/>
    </row>
    <row r="589" ht="17.25" customHeight="1">
      <c r="A589" s="1"/>
      <c r="B589" s="1"/>
      <c r="C589" s="1"/>
      <c r="D589" s="1"/>
      <c r="E589" s="1"/>
      <c r="F589" s="1"/>
      <c r="K589" s="27"/>
      <c r="L589" s="27"/>
      <c r="M589" s="27"/>
      <c r="N589" s="27"/>
      <c r="O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58"/>
    </row>
    <row r="590" ht="17.25" customHeight="1">
      <c r="A590" s="1"/>
      <c r="B590" s="1"/>
      <c r="C590" s="1"/>
      <c r="D590" s="1"/>
      <c r="E590" s="1"/>
      <c r="F590" s="1"/>
      <c r="K590" s="27"/>
      <c r="L590" s="27"/>
      <c r="M590" s="27"/>
      <c r="N590" s="27"/>
      <c r="O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58"/>
    </row>
    <row r="591" ht="17.25" customHeight="1">
      <c r="A591" s="1"/>
      <c r="B591" s="1"/>
      <c r="C591" s="1"/>
      <c r="D591" s="1"/>
      <c r="E591" s="1"/>
      <c r="F591" s="1"/>
      <c r="K591" s="27"/>
      <c r="L591" s="27"/>
      <c r="M591" s="27"/>
      <c r="N591" s="27"/>
      <c r="O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58"/>
    </row>
    <row r="592" ht="17.25" customHeight="1">
      <c r="A592" s="1"/>
      <c r="B592" s="1"/>
      <c r="C592" s="1"/>
      <c r="D592" s="1"/>
      <c r="E592" s="1"/>
      <c r="F592" s="1"/>
      <c r="K592" s="27"/>
      <c r="L592" s="27"/>
      <c r="M592" s="27"/>
      <c r="N592" s="27"/>
      <c r="O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58"/>
    </row>
    <row r="593" ht="17.25" customHeight="1">
      <c r="A593" s="1"/>
      <c r="B593" s="1"/>
      <c r="C593" s="1"/>
      <c r="D593" s="1"/>
      <c r="E593" s="1"/>
      <c r="F593" s="1"/>
      <c r="K593" s="27"/>
      <c r="L593" s="27"/>
      <c r="M593" s="27"/>
      <c r="N593" s="27"/>
      <c r="O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58"/>
    </row>
    <row r="594" ht="17.25" customHeight="1">
      <c r="A594" s="1"/>
      <c r="B594" s="1"/>
      <c r="C594" s="1"/>
      <c r="D594" s="1"/>
      <c r="E594" s="1"/>
      <c r="F594" s="1"/>
      <c r="K594" s="27"/>
      <c r="L594" s="27"/>
      <c r="M594" s="27"/>
      <c r="N594" s="27"/>
      <c r="O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58"/>
    </row>
    <row r="595" ht="17.25" customHeight="1">
      <c r="A595" s="1"/>
      <c r="B595" s="1"/>
      <c r="C595" s="1"/>
      <c r="D595" s="1"/>
      <c r="E595" s="1"/>
      <c r="F595" s="1"/>
      <c r="K595" s="27"/>
      <c r="L595" s="27"/>
      <c r="M595" s="27"/>
      <c r="N595" s="27"/>
      <c r="O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58"/>
    </row>
    <row r="596" ht="17.25" customHeight="1">
      <c r="A596" s="1"/>
      <c r="B596" s="1"/>
      <c r="C596" s="1"/>
      <c r="D596" s="1"/>
      <c r="E596" s="1"/>
      <c r="F596" s="1"/>
      <c r="K596" s="27"/>
      <c r="L596" s="27"/>
      <c r="M596" s="27"/>
      <c r="N596" s="27"/>
      <c r="O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58"/>
    </row>
    <row r="597" ht="17.25" customHeight="1">
      <c r="A597" s="1"/>
      <c r="B597" s="1"/>
      <c r="C597" s="1"/>
      <c r="D597" s="1"/>
      <c r="E597" s="1"/>
      <c r="F597" s="1"/>
      <c r="K597" s="27"/>
      <c r="L597" s="27"/>
      <c r="M597" s="27"/>
      <c r="N597" s="27"/>
      <c r="O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58"/>
    </row>
    <row r="598" ht="17.25" customHeight="1">
      <c r="A598" s="1"/>
      <c r="B598" s="1"/>
      <c r="C598" s="1"/>
      <c r="D598" s="1"/>
      <c r="E598" s="1"/>
      <c r="F598" s="1"/>
      <c r="K598" s="27"/>
      <c r="L598" s="27"/>
      <c r="M598" s="27"/>
      <c r="N598" s="27"/>
      <c r="O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58"/>
    </row>
    <row r="599" ht="17.25" customHeight="1">
      <c r="A599" s="1"/>
      <c r="B599" s="1"/>
      <c r="C599" s="1"/>
      <c r="D599" s="1"/>
      <c r="E599" s="1"/>
      <c r="F599" s="1"/>
      <c r="K599" s="27"/>
      <c r="L599" s="27"/>
      <c r="M599" s="27"/>
      <c r="N599" s="27"/>
      <c r="O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58"/>
    </row>
    <row r="600" ht="17.25" customHeight="1">
      <c r="A600" s="1"/>
      <c r="B600" s="1"/>
      <c r="C600" s="1"/>
      <c r="D600" s="1"/>
      <c r="E600" s="1"/>
      <c r="F600" s="1"/>
      <c r="K600" s="27"/>
      <c r="L600" s="27"/>
      <c r="M600" s="27"/>
      <c r="N600" s="27"/>
      <c r="O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58"/>
    </row>
    <row r="601" ht="17.25" customHeight="1">
      <c r="A601" s="1"/>
      <c r="B601" s="1"/>
      <c r="C601" s="1"/>
      <c r="D601" s="1"/>
      <c r="E601" s="1"/>
      <c r="F601" s="1"/>
      <c r="K601" s="27"/>
      <c r="L601" s="27"/>
      <c r="M601" s="27"/>
      <c r="N601" s="27"/>
      <c r="O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58"/>
    </row>
    <row r="602" ht="17.25" customHeight="1">
      <c r="A602" s="1"/>
      <c r="B602" s="1"/>
      <c r="C602" s="1"/>
      <c r="D602" s="1"/>
      <c r="E602" s="1"/>
      <c r="F602" s="1"/>
      <c r="K602" s="27"/>
      <c r="L602" s="27"/>
      <c r="M602" s="27"/>
      <c r="N602" s="27"/>
      <c r="O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58"/>
    </row>
    <row r="603" ht="17.25" customHeight="1">
      <c r="A603" s="1"/>
      <c r="B603" s="1"/>
      <c r="C603" s="1"/>
      <c r="D603" s="1"/>
      <c r="E603" s="1"/>
      <c r="F603" s="1"/>
      <c r="K603" s="27"/>
      <c r="L603" s="27"/>
      <c r="M603" s="27"/>
      <c r="N603" s="27"/>
      <c r="O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58"/>
    </row>
    <row r="604" ht="17.25" customHeight="1">
      <c r="A604" s="1"/>
      <c r="B604" s="1"/>
      <c r="C604" s="1"/>
      <c r="D604" s="1"/>
      <c r="E604" s="1"/>
      <c r="F604" s="1"/>
      <c r="K604" s="27"/>
      <c r="L604" s="27"/>
      <c r="M604" s="27"/>
      <c r="N604" s="27"/>
      <c r="O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58"/>
    </row>
    <row r="605" ht="17.25" customHeight="1">
      <c r="A605" s="1"/>
      <c r="B605" s="1"/>
      <c r="C605" s="1"/>
      <c r="D605" s="1"/>
      <c r="E605" s="1"/>
      <c r="F605" s="1"/>
      <c r="K605" s="27"/>
      <c r="L605" s="27"/>
      <c r="M605" s="27"/>
      <c r="N605" s="27"/>
      <c r="O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58"/>
    </row>
    <row r="606" ht="17.25" customHeight="1">
      <c r="A606" s="1"/>
      <c r="B606" s="1"/>
      <c r="C606" s="1"/>
      <c r="D606" s="1"/>
      <c r="E606" s="1"/>
      <c r="F606" s="1"/>
      <c r="K606" s="27"/>
      <c r="L606" s="27"/>
      <c r="M606" s="27"/>
      <c r="N606" s="27"/>
      <c r="O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58"/>
    </row>
    <row r="607" ht="17.25" customHeight="1">
      <c r="A607" s="1"/>
      <c r="B607" s="1"/>
      <c r="C607" s="1"/>
      <c r="D607" s="1"/>
      <c r="E607" s="1"/>
      <c r="F607" s="1"/>
      <c r="K607" s="27"/>
      <c r="L607" s="27"/>
      <c r="M607" s="27"/>
      <c r="N607" s="27"/>
      <c r="O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58"/>
    </row>
    <row r="608" ht="17.25" customHeight="1">
      <c r="A608" s="1"/>
      <c r="B608" s="1"/>
      <c r="C608" s="1"/>
      <c r="D608" s="1"/>
      <c r="E608" s="1"/>
      <c r="F608" s="1"/>
      <c r="K608" s="27"/>
      <c r="L608" s="27"/>
      <c r="M608" s="27"/>
      <c r="N608" s="27"/>
      <c r="O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58"/>
    </row>
    <row r="609" ht="17.25" customHeight="1">
      <c r="A609" s="1"/>
      <c r="B609" s="1"/>
      <c r="C609" s="1"/>
      <c r="D609" s="1"/>
      <c r="E609" s="1"/>
      <c r="F609" s="1"/>
      <c r="K609" s="27"/>
      <c r="L609" s="27"/>
      <c r="M609" s="27"/>
      <c r="N609" s="27"/>
      <c r="O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58"/>
    </row>
    <row r="610" ht="17.25" customHeight="1">
      <c r="A610" s="1"/>
      <c r="B610" s="1"/>
      <c r="C610" s="1"/>
      <c r="D610" s="1"/>
      <c r="E610" s="1"/>
      <c r="F610" s="1"/>
      <c r="K610" s="27"/>
      <c r="L610" s="27"/>
      <c r="M610" s="27"/>
      <c r="N610" s="27"/>
      <c r="O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58"/>
    </row>
    <row r="611" ht="17.25" customHeight="1">
      <c r="A611" s="1"/>
      <c r="B611" s="1"/>
      <c r="C611" s="1"/>
      <c r="D611" s="1"/>
      <c r="E611" s="1"/>
      <c r="F611" s="1"/>
      <c r="K611" s="27"/>
      <c r="L611" s="27"/>
      <c r="M611" s="27"/>
      <c r="N611" s="27"/>
      <c r="O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58"/>
    </row>
    <row r="612" ht="17.25" customHeight="1">
      <c r="A612" s="1"/>
      <c r="B612" s="1"/>
      <c r="C612" s="1"/>
      <c r="D612" s="1"/>
      <c r="E612" s="1"/>
      <c r="F612" s="1"/>
      <c r="K612" s="27"/>
      <c r="L612" s="27"/>
      <c r="M612" s="27"/>
      <c r="N612" s="27"/>
      <c r="O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58"/>
    </row>
    <row r="613" ht="17.25" customHeight="1">
      <c r="A613" s="1"/>
      <c r="B613" s="1"/>
      <c r="C613" s="1"/>
      <c r="D613" s="1"/>
      <c r="E613" s="1"/>
      <c r="F613" s="1"/>
      <c r="K613" s="27"/>
      <c r="L613" s="27"/>
      <c r="M613" s="27"/>
      <c r="N613" s="27"/>
      <c r="O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58"/>
    </row>
    <row r="614" ht="17.25" customHeight="1">
      <c r="A614" s="1"/>
      <c r="B614" s="1"/>
      <c r="C614" s="1"/>
      <c r="D614" s="1"/>
      <c r="E614" s="1"/>
      <c r="F614" s="1"/>
      <c r="K614" s="27"/>
      <c r="L614" s="27"/>
      <c r="M614" s="27"/>
      <c r="N614" s="27"/>
      <c r="O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58"/>
    </row>
    <row r="615" ht="17.25" customHeight="1">
      <c r="A615" s="1"/>
      <c r="B615" s="1"/>
      <c r="C615" s="1"/>
      <c r="D615" s="1"/>
      <c r="E615" s="1"/>
      <c r="F615" s="1"/>
      <c r="K615" s="27"/>
      <c r="L615" s="27"/>
      <c r="M615" s="27"/>
      <c r="N615" s="27"/>
      <c r="O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58"/>
    </row>
    <row r="616" ht="17.25" customHeight="1">
      <c r="A616" s="1"/>
      <c r="B616" s="1"/>
      <c r="C616" s="1"/>
      <c r="D616" s="1"/>
      <c r="E616" s="1"/>
      <c r="F616" s="1"/>
      <c r="K616" s="27"/>
      <c r="L616" s="27"/>
      <c r="M616" s="27"/>
      <c r="N616" s="27"/>
      <c r="O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58"/>
    </row>
    <row r="617" ht="17.25" customHeight="1">
      <c r="A617" s="1"/>
      <c r="B617" s="1"/>
      <c r="C617" s="1"/>
      <c r="D617" s="1"/>
      <c r="E617" s="1"/>
      <c r="F617" s="1"/>
      <c r="K617" s="27"/>
      <c r="L617" s="27"/>
      <c r="M617" s="27"/>
      <c r="N617" s="27"/>
      <c r="O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58"/>
    </row>
    <row r="618" ht="17.25" customHeight="1">
      <c r="A618" s="1"/>
      <c r="B618" s="1"/>
      <c r="C618" s="1"/>
      <c r="D618" s="1"/>
      <c r="E618" s="1"/>
      <c r="F618" s="1"/>
      <c r="K618" s="27"/>
      <c r="L618" s="27"/>
      <c r="M618" s="27"/>
      <c r="N618" s="27"/>
      <c r="O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58"/>
    </row>
    <row r="619" ht="17.25" customHeight="1">
      <c r="A619" s="1"/>
      <c r="B619" s="1"/>
      <c r="C619" s="1"/>
      <c r="D619" s="1"/>
      <c r="E619" s="1"/>
      <c r="F619" s="1"/>
      <c r="K619" s="27"/>
      <c r="L619" s="27"/>
      <c r="M619" s="27"/>
      <c r="N619" s="27"/>
      <c r="O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58"/>
    </row>
    <row r="620" ht="17.25" customHeight="1">
      <c r="A620" s="1"/>
      <c r="B620" s="1"/>
      <c r="C620" s="1"/>
      <c r="D620" s="1"/>
      <c r="E620" s="1"/>
      <c r="F620" s="1"/>
      <c r="K620" s="27"/>
      <c r="L620" s="27"/>
      <c r="M620" s="27"/>
      <c r="N620" s="27"/>
      <c r="O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58"/>
    </row>
    <row r="621" ht="17.25" customHeight="1">
      <c r="A621" s="1"/>
      <c r="B621" s="1"/>
      <c r="C621" s="1"/>
      <c r="D621" s="1"/>
      <c r="E621" s="1"/>
      <c r="F621" s="1"/>
      <c r="K621" s="27"/>
      <c r="L621" s="27"/>
      <c r="M621" s="27"/>
      <c r="N621" s="27"/>
      <c r="O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58"/>
    </row>
    <row r="622" ht="17.25" customHeight="1">
      <c r="A622" s="1"/>
      <c r="B622" s="1"/>
      <c r="C622" s="1"/>
      <c r="D622" s="1"/>
      <c r="E622" s="1"/>
      <c r="F622" s="1"/>
      <c r="K622" s="27"/>
      <c r="L622" s="27"/>
      <c r="M622" s="27"/>
      <c r="N622" s="27"/>
      <c r="O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58"/>
    </row>
    <row r="623" ht="17.25" customHeight="1">
      <c r="A623" s="1"/>
      <c r="B623" s="1"/>
      <c r="C623" s="1"/>
      <c r="D623" s="1"/>
      <c r="E623" s="1"/>
      <c r="F623" s="1"/>
      <c r="K623" s="27"/>
      <c r="L623" s="27"/>
      <c r="M623" s="27"/>
      <c r="N623" s="27"/>
      <c r="O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58"/>
    </row>
    <row r="624" ht="17.25" customHeight="1">
      <c r="A624" s="1"/>
      <c r="B624" s="1"/>
      <c r="C624" s="1"/>
      <c r="D624" s="1"/>
      <c r="E624" s="1"/>
      <c r="F624" s="1"/>
      <c r="K624" s="27"/>
      <c r="L624" s="27"/>
      <c r="M624" s="27"/>
      <c r="N624" s="27"/>
      <c r="O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58"/>
    </row>
    <row r="625" ht="17.25" customHeight="1">
      <c r="A625" s="1"/>
      <c r="B625" s="1"/>
      <c r="C625" s="1"/>
      <c r="D625" s="1"/>
      <c r="E625" s="1"/>
      <c r="F625" s="1"/>
      <c r="K625" s="27"/>
      <c r="L625" s="27"/>
      <c r="M625" s="27"/>
      <c r="N625" s="27"/>
      <c r="O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58"/>
    </row>
    <row r="626" ht="17.25" customHeight="1">
      <c r="A626" s="1"/>
      <c r="B626" s="1"/>
      <c r="C626" s="1"/>
      <c r="D626" s="1"/>
      <c r="E626" s="1"/>
      <c r="F626" s="1"/>
      <c r="K626" s="27"/>
      <c r="L626" s="27"/>
      <c r="M626" s="27"/>
      <c r="N626" s="27"/>
      <c r="O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58"/>
    </row>
    <row r="627" ht="17.25" customHeight="1">
      <c r="A627" s="1"/>
      <c r="B627" s="1"/>
      <c r="C627" s="1"/>
      <c r="D627" s="1"/>
      <c r="E627" s="1"/>
      <c r="F627" s="1"/>
      <c r="K627" s="27"/>
      <c r="L627" s="27"/>
      <c r="M627" s="27"/>
      <c r="N627" s="27"/>
      <c r="O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58"/>
    </row>
    <row r="628" ht="17.25" customHeight="1">
      <c r="A628" s="1"/>
      <c r="B628" s="1"/>
      <c r="C628" s="1"/>
      <c r="D628" s="1"/>
      <c r="E628" s="1"/>
      <c r="F628" s="1"/>
      <c r="K628" s="27"/>
      <c r="L628" s="27"/>
      <c r="M628" s="27"/>
      <c r="N628" s="27"/>
      <c r="O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58"/>
    </row>
    <row r="629" ht="17.25" customHeight="1">
      <c r="A629" s="1"/>
      <c r="B629" s="1"/>
      <c r="C629" s="1"/>
      <c r="D629" s="1"/>
      <c r="E629" s="1"/>
      <c r="F629" s="1"/>
      <c r="K629" s="27"/>
      <c r="L629" s="27"/>
      <c r="M629" s="27"/>
      <c r="N629" s="27"/>
      <c r="O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58"/>
    </row>
    <row r="630" ht="17.25" customHeight="1">
      <c r="A630" s="1"/>
      <c r="B630" s="1"/>
      <c r="C630" s="1"/>
      <c r="D630" s="1"/>
      <c r="E630" s="1"/>
      <c r="F630" s="1"/>
      <c r="K630" s="27"/>
      <c r="L630" s="27"/>
      <c r="M630" s="27"/>
      <c r="N630" s="27"/>
      <c r="O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58"/>
    </row>
    <row r="631" ht="17.25" customHeight="1">
      <c r="A631" s="1"/>
      <c r="B631" s="1"/>
      <c r="C631" s="1"/>
      <c r="D631" s="1"/>
      <c r="E631" s="1"/>
      <c r="F631" s="1"/>
      <c r="K631" s="27"/>
      <c r="L631" s="27"/>
      <c r="M631" s="27"/>
      <c r="N631" s="27"/>
      <c r="O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58"/>
    </row>
    <row r="632" ht="17.25" customHeight="1">
      <c r="A632" s="1"/>
      <c r="B632" s="1"/>
      <c r="C632" s="1"/>
      <c r="D632" s="1"/>
      <c r="E632" s="1"/>
      <c r="F632" s="1"/>
      <c r="K632" s="27"/>
      <c r="L632" s="27"/>
      <c r="M632" s="27"/>
      <c r="N632" s="27"/>
      <c r="O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58"/>
    </row>
    <row r="633" ht="17.25" customHeight="1">
      <c r="A633" s="1"/>
      <c r="B633" s="1"/>
      <c r="C633" s="1"/>
      <c r="D633" s="1"/>
      <c r="E633" s="1"/>
      <c r="F633" s="1"/>
      <c r="K633" s="27"/>
      <c r="L633" s="27"/>
      <c r="M633" s="27"/>
      <c r="N633" s="27"/>
      <c r="O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58"/>
    </row>
    <row r="634" ht="17.25" customHeight="1">
      <c r="A634" s="1"/>
      <c r="B634" s="1"/>
      <c r="C634" s="1"/>
      <c r="D634" s="1"/>
      <c r="E634" s="1"/>
      <c r="F634" s="1"/>
      <c r="K634" s="27"/>
      <c r="L634" s="27"/>
      <c r="M634" s="27"/>
      <c r="N634" s="27"/>
      <c r="O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58"/>
    </row>
    <row r="635" ht="17.25" customHeight="1">
      <c r="A635" s="1"/>
      <c r="B635" s="1"/>
      <c r="C635" s="1"/>
      <c r="D635" s="1"/>
      <c r="E635" s="1"/>
      <c r="F635" s="1"/>
      <c r="K635" s="27"/>
      <c r="L635" s="27"/>
      <c r="M635" s="27"/>
      <c r="N635" s="27"/>
      <c r="O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58"/>
    </row>
    <row r="636" ht="17.25" customHeight="1">
      <c r="A636" s="1"/>
      <c r="B636" s="1"/>
      <c r="C636" s="1"/>
      <c r="D636" s="1"/>
      <c r="E636" s="1"/>
      <c r="F636" s="1"/>
      <c r="K636" s="27"/>
      <c r="L636" s="27"/>
      <c r="M636" s="27"/>
      <c r="N636" s="27"/>
      <c r="O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58"/>
    </row>
    <row r="637" ht="17.25" customHeight="1">
      <c r="A637" s="1"/>
      <c r="B637" s="1"/>
      <c r="C637" s="1"/>
      <c r="D637" s="1"/>
      <c r="E637" s="1"/>
      <c r="F637" s="1"/>
      <c r="K637" s="27"/>
      <c r="L637" s="27"/>
      <c r="M637" s="27"/>
      <c r="N637" s="27"/>
      <c r="O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58"/>
    </row>
    <row r="638" ht="17.25" customHeight="1">
      <c r="A638" s="1"/>
      <c r="B638" s="1"/>
      <c r="C638" s="1"/>
      <c r="D638" s="1"/>
      <c r="E638" s="1"/>
      <c r="F638" s="1"/>
      <c r="K638" s="27"/>
      <c r="L638" s="27"/>
      <c r="M638" s="27"/>
      <c r="N638" s="27"/>
      <c r="O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58"/>
    </row>
    <row r="639" ht="17.25" customHeight="1">
      <c r="A639" s="1"/>
      <c r="B639" s="1"/>
      <c r="C639" s="1"/>
      <c r="D639" s="1"/>
      <c r="E639" s="1"/>
      <c r="F639" s="1"/>
      <c r="K639" s="27"/>
      <c r="L639" s="27"/>
      <c r="M639" s="27"/>
      <c r="N639" s="27"/>
      <c r="O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58"/>
    </row>
    <row r="640" ht="17.25" customHeight="1">
      <c r="A640" s="1"/>
      <c r="B640" s="1"/>
      <c r="C640" s="1"/>
      <c r="D640" s="1"/>
      <c r="E640" s="1"/>
      <c r="F640" s="1"/>
      <c r="K640" s="27"/>
      <c r="L640" s="27"/>
      <c r="M640" s="27"/>
      <c r="N640" s="27"/>
      <c r="O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58"/>
    </row>
    <row r="641" ht="17.25" customHeight="1">
      <c r="A641" s="1"/>
      <c r="B641" s="1"/>
      <c r="C641" s="1"/>
      <c r="D641" s="1"/>
      <c r="E641" s="1"/>
      <c r="F641" s="1"/>
      <c r="K641" s="27"/>
      <c r="L641" s="27"/>
      <c r="M641" s="27"/>
      <c r="N641" s="27"/>
      <c r="O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58"/>
    </row>
    <row r="642" ht="17.25" customHeight="1">
      <c r="A642" s="1"/>
      <c r="B642" s="1"/>
      <c r="C642" s="1"/>
      <c r="D642" s="1"/>
      <c r="E642" s="1"/>
      <c r="F642" s="1"/>
      <c r="K642" s="27"/>
      <c r="L642" s="27"/>
      <c r="M642" s="27"/>
      <c r="N642" s="27"/>
      <c r="O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58"/>
    </row>
    <row r="643" ht="17.25" customHeight="1">
      <c r="A643" s="1"/>
      <c r="B643" s="1"/>
      <c r="C643" s="1"/>
      <c r="D643" s="1"/>
      <c r="E643" s="1"/>
      <c r="F643" s="1"/>
      <c r="K643" s="27"/>
      <c r="L643" s="27"/>
      <c r="M643" s="27"/>
      <c r="N643" s="27"/>
      <c r="O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58"/>
    </row>
    <row r="644" ht="17.25" customHeight="1">
      <c r="A644" s="1"/>
      <c r="B644" s="1"/>
      <c r="C644" s="1"/>
      <c r="D644" s="1"/>
      <c r="E644" s="1"/>
      <c r="F644" s="1"/>
      <c r="K644" s="27"/>
      <c r="L644" s="27"/>
      <c r="M644" s="27"/>
      <c r="N644" s="27"/>
      <c r="O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58"/>
    </row>
    <row r="645" ht="17.25" customHeight="1">
      <c r="A645" s="1"/>
      <c r="B645" s="1"/>
      <c r="C645" s="1"/>
      <c r="D645" s="1"/>
      <c r="E645" s="1"/>
      <c r="F645" s="1"/>
      <c r="K645" s="27"/>
      <c r="L645" s="27"/>
      <c r="M645" s="27"/>
      <c r="N645" s="27"/>
      <c r="O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58"/>
    </row>
    <row r="646" ht="17.25" customHeight="1">
      <c r="A646" s="1"/>
      <c r="B646" s="1"/>
      <c r="C646" s="1"/>
      <c r="D646" s="1"/>
      <c r="E646" s="1"/>
      <c r="F646" s="1"/>
      <c r="K646" s="27"/>
      <c r="L646" s="27"/>
      <c r="M646" s="27"/>
      <c r="N646" s="27"/>
      <c r="O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58"/>
    </row>
    <row r="647" ht="17.25" customHeight="1">
      <c r="A647" s="1"/>
      <c r="B647" s="1"/>
      <c r="C647" s="1"/>
      <c r="D647" s="1"/>
      <c r="E647" s="1"/>
      <c r="F647" s="1"/>
      <c r="K647" s="27"/>
      <c r="L647" s="27"/>
      <c r="M647" s="27"/>
      <c r="N647" s="27"/>
      <c r="O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58"/>
    </row>
    <row r="648" ht="17.25" customHeight="1">
      <c r="A648" s="1"/>
      <c r="B648" s="1"/>
      <c r="C648" s="1"/>
      <c r="D648" s="1"/>
      <c r="E648" s="1"/>
      <c r="F648" s="1"/>
      <c r="K648" s="27"/>
      <c r="L648" s="27"/>
      <c r="M648" s="27"/>
      <c r="N648" s="27"/>
      <c r="O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58"/>
    </row>
    <row r="649" ht="17.25" customHeight="1">
      <c r="A649" s="1"/>
      <c r="B649" s="1"/>
      <c r="C649" s="1"/>
      <c r="D649" s="1"/>
      <c r="E649" s="1"/>
      <c r="F649" s="1"/>
      <c r="K649" s="27"/>
      <c r="L649" s="27"/>
      <c r="M649" s="27"/>
      <c r="N649" s="27"/>
      <c r="O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58"/>
    </row>
    <row r="650" ht="17.25" customHeight="1">
      <c r="A650" s="1"/>
      <c r="B650" s="1"/>
      <c r="C650" s="1"/>
      <c r="D650" s="1"/>
      <c r="E650" s="1"/>
      <c r="F650" s="1"/>
      <c r="K650" s="27"/>
      <c r="L650" s="27"/>
      <c r="M650" s="27"/>
      <c r="N650" s="27"/>
      <c r="O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58"/>
    </row>
    <row r="651" ht="17.25" customHeight="1">
      <c r="A651" s="1"/>
      <c r="B651" s="1"/>
      <c r="C651" s="1"/>
      <c r="D651" s="1"/>
      <c r="E651" s="1"/>
      <c r="F651" s="1"/>
      <c r="K651" s="27"/>
      <c r="L651" s="27"/>
      <c r="M651" s="27"/>
      <c r="N651" s="27"/>
      <c r="O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58"/>
    </row>
    <row r="652" ht="17.25" customHeight="1">
      <c r="A652" s="1"/>
      <c r="B652" s="1"/>
      <c r="C652" s="1"/>
      <c r="D652" s="1"/>
      <c r="E652" s="1"/>
      <c r="F652" s="1"/>
      <c r="K652" s="27"/>
      <c r="L652" s="27"/>
      <c r="M652" s="27"/>
      <c r="N652" s="27"/>
      <c r="O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58"/>
    </row>
    <row r="653" ht="17.25" customHeight="1">
      <c r="A653" s="1"/>
      <c r="B653" s="1"/>
      <c r="C653" s="1"/>
      <c r="D653" s="1"/>
      <c r="E653" s="1"/>
      <c r="F653" s="1"/>
      <c r="K653" s="27"/>
      <c r="L653" s="27"/>
      <c r="M653" s="27"/>
      <c r="N653" s="27"/>
      <c r="O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58"/>
    </row>
    <row r="654" ht="17.25" customHeight="1">
      <c r="A654" s="1"/>
      <c r="B654" s="1"/>
      <c r="C654" s="1"/>
      <c r="D654" s="1"/>
      <c r="E654" s="1"/>
      <c r="F654" s="1"/>
      <c r="K654" s="27"/>
      <c r="L654" s="27"/>
      <c r="M654" s="27"/>
      <c r="N654" s="27"/>
      <c r="O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58"/>
    </row>
    <row r="655" ht="17.25" customHeight="1">
      <c r="A655" s="1"/>
      <c r="B655" s="1"/>
      <c r="C655" s="1"/>
      <c r="D655" s="1"/>
      <c r="E655" s="1"/>
      <c r="F655" s="1"/>
      <c r="K655" s="27"/>
      <c r="L655" s="27"/>
      <c r="M655" s="27"/>
      <c r="N655" s="27"/>
      <c r="O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58"/>
    </row>
    <row r="656" ht="17.25" customHeight="1">
      <c r="A656" s="1"/>
      <c r="B656" s="1"/>
      <c r="C656" s="1"/>
      <c r="D656" s="1"/>
      <c r="E656" s="1"/>
      <c r="F656" s="1"/>
      <c r="K656" s="27"/>
      <c r="L656" s="27"/>
      <c r="M656" s="27"/>
      <c r="N656" s="27"/>
      <c r="O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58"/>
    </row>
    <row r="657" ht="17.25" customHeight="1">
      <c r="A657" s="1"/>
      <c r="B657" s="1"/>
      <c r="C657" s="1"/>
      <c r="D657" s="1"/>
      <c r="E657" s="1"/>
      <c r="F657" s="1"/>
      <c r="K657" s="27"/>
      <c r="L657" s="27"/>
      <c r="M657" s="27"/>
      <c r="N657" s="27"/>
      <c r="O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58"/>
    </row>
    <row r="658" ht="17.25" customHeight="1">
      <c r="A658" s="1"/>
      <c r="B658" s="1"/>
      <c r="C658" s="1"/>
      <c r="D658" s="1"/>
      <c r="E658" s="1"/>
      <c r="F658" s="1"/>
      <c r="K658" s="27"/>
      <c r="L658" s="27"/>
      <c r="M658" s="27"/>
      <c r="N658" s="27"/>
      <c r="O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58"/>
    </row>
    <row r="659" ht="17.25" customHeight="1">
      <c r="A659" s="1"/>
      <c r="B659" s="1"/>
      <c r="C659" s="1"/>
      <c r="D659" s="1"/>
      <c r="E659" s="1"/>
      <c r="F659" s="1"/>
      <c r="K659" s="27"/>
      <c r="L659" s="27"/>
      <c r="M659" s="27"/>
      <c r="N659" s="27"/>
      <c r="O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58"/>
    </row>
    <row r="660" ht="17.25" customHeight="1">
      <c r="A660" s="1"/>
      <c r="B660" s="1"/>
      <c r="C660" s="1"/>
      <c r="D660" s="1"/>
      <c r="E660" s="1"/>
      <c r="F660" s="1"/>
      <c r="K660" s="27"/>
      <c r="L660" s="27"/>
      <c r="M660" s="27"/>
      <c r="N660" s="27"/>
      <c r="O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58"/>
    </row>
    <row r="661" ht="17.25" customHeight="1">
      <c r="A661" s="1"/>
      <c r="B661" s="1"/>
      <c r="C661" s="1"/>
      <c r="D661" s="1"/>
      <c r="E661" s="1"/>
      <c r="F661" s="1"/>
      <c r="K661" s="27"/>
      <c r="L661" s="27"/>
      <c r="M661" s="27"/>
      <c r="N661" s="27"/>
      <c r="O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58"/>
    </row>
    <row r="662" ht="17.25" customHeight="1">
      <c r="A662" s="1"/>
      <c r="B662" s="1"/>
      <c r="C662" s="1"/>
      <c r="D662" s="1"/>
      <c r="E662" s="1"/>
      <c r="F662" s="1"/>
      <c r="K662" s="27"/>
      <c r="L662" s="27"/>
      <c r="M662" s="27"/>
      <c r="N662" s="27"/>
      <c r="O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58"/>
    </row>
    <row r="663" ht="17.25" customHeight="1">
      <c r="A663" s="1"/>
      <c r="B663" s="1"/>
      <c r="C663" s="1"/>
      <c r="D663" s="1"/>
      <c r="E663" s="1"/>
      <c r="F663" s="1"/>
      <c r="K663" s="27"/>
      <c r="L663" s="27"/>
      <c r="M663" s="27"/>
      <c r="N663" s="27"/>
      <c r="O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58"/>
    </row>
    <row r="664" ht="17.25" customHeight="1">
      <c r="A664" s="1"/>
      <c r="B664" s="1"/>
      <c r="C664" s="1"/>
      <c r="D664" s="1"/>
      <c r="E664" s="1"/>
      <c r="F664" s="1"/>
      <c r="K664" s="27"/>
      <c r="L664" s="27"/>
      <c r="M664" s="27"/>
      <c r="N664" s="27"/>
      <c r="O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58"/>
    </row>
    <row r="665" ht="17.25" customHeight="1">
      <c r="A665" s="1"/>
      <c r="B665" s="1"/>
      <c r="C665" s="1"/>
      <c r="D665" s="1"/>
      <c r="E665" s="1"/>
      <c r="F665" s="1"/>
      <c r="K665" s="27"/>
      <c r="L665" s="27"/>
      <c r="M665" s="27"/>
      <c r="N665" s="27"/>
      <c r="O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58"/>
    </row>
    <row r="666" ht="17.25" customHeight="1">
      <c r="A666" s="1"/>
      <c r="B666" s="1"/>
      <c r="C666" s="1"/>
      <c r="D666" s="1"/>
      <c r="E666" s="1"/>
      <c r="F666" s="1"/>
      <c r="K666" s="27"/>
      <c r="L666" s="27"/>
      <c r="M666" s="27"/>
      <c r="N666" s="27"/>
      <c r="O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58"/>
    </row>
    <row r="667" ht="17.25" customHeight="1">
      <c r="A667" s="1"/>
      <c r="B667" s="1"/>
      <c r="C667" s="1"/>
      <c r="D667" s="1"/>
      <c r="E667" s="1"/>
      <c r="F667" s="1"/>
      <c r="K667" s="27"/>
      <c r="L667" s="27"/>
      <c r="M667" s="27"/>
      <c r="N667" s="27"/>
      <c r="O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58"/>
    </row>
    <row r="668" ht="17.25" customHeight="1">
      <c r="A668" s="1"/>
      <c r="B668" s="1"/>
      <c r="C668" s="1"/>
      <c r="D668" s="1"/>
      <c r="E668" s="1"/>
      <c r="F668" s="1"/>
      <c r="K668" s="27"/>
      <c r="L668" s="27"/>
      <c r="M668" s="27"/>
      <c r="N668" s="27"/>
      <c r="O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58"/>
    </row>
    <row r="669" ht="17.25" customHeight="1">
      <c r="A669" s="1"/>
      <c r="B669" s="1"/>
      <c r="C669" s="1"/>
      <c r="D669" s="1"/>
      <c r="E669" s="1"/>
      <c r="F669" s="1"/>
      <c r="K669" s="27"/>
      <c r="L669" s="27"/>
      <c r="M669" s="27"/>
      <c r="N669" s="27"/>
      <c r="O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58"/>
    </row>
    <row r="670" ht="17.25" customHeight="1">
      <c r="A670" s="1"/>
      <c r="B670" s="1"/>
      <c r="C670" s="1"/>
      <c r="D670" s="1"/>
      <c r="E670" s="1"/>
      <c r="F670" s="1"/>
      <c r="K670" s="27"/>
      <c r="L670" s="27"/>
      <c r="M670" s="27"/>
      <c r="N670" s="27"/>
      <c r="O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58"/>
    </row>
    <row r="671" ht="17.25" customHeight="1">
      <c r="A671" s="1"/>
      <c r="B671" s="1"/>
      <c r="C671" s="1"/>
      <c r="D671" s="1"/>
      <c r="E671" s="1"/>
      <c r="F671" s="1"/>
      <c r="K671" s="27"/>
      <c r="L671" s="27"/>
      <c r="M671" s="27"/>
      <c r="N671" s="27"/>
      <c r="O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58"/>
    </row>
    <row r="672" ht="17.25" customHeight="1">
      <c r="A672" s="1"/>
      <c r="B672" s="1"/>
      <c r="C672" s="1"/>
      <c r="D672" s="1"/>
      <c r="E672" s="1"/>
      <c r="F672" s="1"/>
      <c r="K672" s="27"/>
      <c r="L672" s="27"/>
      <c r="M672" s="27"/>
      <c r="N672" s="27"/>
      <c r="O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58"/>
    </row>
    <row r="673" ht="17.25" customHeight="1">
      <c r="A673" s="1"/>
      <c r="B673" s="1"/>
      <c r="C673" s="1"/>
      <c r="D673" s="1"/>
      <c r="E673" s="1"/>
      <c r="F673" s="1"/>
      <c r="K673" s="27"/>
      <c r="L673" s="27"/>
      <c r="M673" s="27"/>
      <c r="N673" s="27"/>
      <c r="O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58"/>
    </row>
    <row r="674" ht="17.25" customHeight="1">
      <c r="A674" s="1"/>
      <c r="B674" s="1"/>
      <c r="C674" s="1"/>
      <c r="D674" s="1"/>
      <c r="E674" s="1"/>
      <c r="F674" s="1"/>
      <c r="K674" s="27"/>
      <c r="L674" s="27"/>
      <c r="M674" s="27"/>
      <c r="N674" s="27"/>
      <c r="O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58"/>
    </row>
    <row r="675" ht="17.25" customHeight="1">
      <c r="A675" s="1"/>
      <c r="B675" s="1"/>
      <c r="C675" s="1"/>
      <c r="D675" s="1"/>
      <c r="E675" s="1"/>
      <c r="F675" s="1"/>
      <c r="K675" s="27"/>
      <c r="L675" s="27"/>
      <c r="M675" s="27"/>
      <c r="N675" s="27"/>
      <c r="O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58"/>
    </row>
    <row r="676" ht="17.25" customHeight="1">
      <c r="A676" s="1"/>
      <c r="B676" s="1"/>
      <c r="C676" s="1"/>
      <c r="D676" s="1"/>
      <c r="E676" s="1"/>
      <c r="F676" s="1"/>
      <c r="K676" s="27"/>
      <c r="L676" s="27"/>
      <c r="M676" s="27"/>
      <c r="N676" s="27"/>
      <c r="O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58"/>
    </row>
    <row r="677" ht="17.25" customHeight="1">
      <c r="A677" s="1"/>
      <c r="B677" s="1"/>
      <c r="C677" s="1"/>
      <c r="D677" s="1"/>
      <c r="E677" s="1"/>
      <c r="F677" s="1"/>
      <c r="K677" s="27"/>
      <c r="L677" s="27"/>
      <c r="M677" s="27"/>
      <c r="N677" s="27"/>
      <c r="O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58"/>
    </row>
    <row r="678" ht="17.25" customHeight="1">
      <c r="A678" s="1"/>
      <c r="B678" s="1"/>
      <c r="C678" s="1"/>
      <c r="D678" s="1"/>
      <c r="E678" s="1"/>
      <c r="F678" s="1"/>
      <c r="K678" s="27"/>
      <c r="L678" s="27"/>
      <c r="M678" s="27"/>
      <c r="N678" s="27"/>
      <c r="O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58"/>
    </row>
    <row r="679" ht="17.25" customHeight="1">
      <c r="A679" s="1"/>
      <c r="B679" s="1"/>
      <c r="C679" s="1"/>
      <c r="D679" s="1"/>
      <c r="E679" s="1"/>
      <c r="F679" s="1"/>
      <c r="K679" s="27"/>
      <c r="L679" s="27"/>
      <c r="M679" s="27"/>
      <c r="N679" s="27"/>
      <c r="O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58"/>
    </row>
    <row r="680" ht="17.25" customHeight="1">
      <c r="A680" s="1"/>
      <c r="B680" s="1"/>
      <c r="C680" s="1"/>
      <c r="D680" s="1"/>
      <c r="E680" s="1"/>
      <c r="F680" s="1"/>
      <c r="K680" s="27"/>
      <c r="L680" s="27"/>
      <c r="M680" s="27"/>
      <c r="N680" s="27"/>
      <c r="O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58"/>
    </row>
    <row r="681" ht="17.25" customHeight="1">
      <c r="A681" s="1"/>
      <c r="B681" s="1"/>
      <c r="C681" s="1"/>
      <c r="D681" s="1"/>
      <c r="E681" s="1"/>
      <c r="F681" s="1"/>
      <c r="K681" s="27"/>
      <c r="L681" s="27"/>
      <c r="M681" s="27"/>
      <c r="N681" s="27"/>
      <c r="O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58"/>
    </row>
    <row r="682" ht="17.25" customHeight="1">
      <c r="A682" s="1"/>
      <c r="B682" s="1"/>
      <c r="C682" s="1"/>
      <c r="D682" s="1"/>
      <c r="E682" s="1"/>
      <c r="F682" s="1"/>
      <c r="K682" s="27"/>
      <c r="L682" s="27"/>
      <c r="M682" s="27"/>
      <c r="N682" s="27"/>
      <c r="O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58"/>
    </row>
    <row r="683" ht="17.25" customHeight="1">
      <c r="A683" s="1"/>
      <c r="B683" s="1"/>
      <c r="C683" s="1"/>
      <c r="D683" s="1"/>
      <c r="E683" s="1"/>
      <c r="F683" s="1"/>
      <c r="K683" s="27"/>
      <c r="L683" s="27"/>
      <c r="M683" s="27"/>
      <c r="N683" s="27"/>
      <c r="O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58"/>
    </row>
    <row r="684" ht="17.25" customHeight="1">
      <c r="A684" s="1"/>
      <c r="B684" s="1"/>
      <c r="C684" s="1"/>
      <c r="D684" s="1"/>
      <c r="E684" s="1"/>
      <c r="F684" s="1"/>
      <c r="K684" s="27"/>
      <c r="L684" s="27"/>
      <c r="M684" s="27"/>
      <c r="N684" s="27"/>
      <c r="O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58"/>
    </row>
    <row r="685" ht="17.25" customHeight="1">
      <c r="A685" s="1"/>
      <c r="B685" s="1"/>
      <c r="C685" s="1"/>
      <c r="D685" s="1"/>
      <c r="E685" s="1"/>
      <c r="F685" s="1"/>
      <c r="K685" s="27"/>
      <c r="L685" s="27"/>
      <c r="M685" s="27"/>
      <c r="N685" s="27"/>
      <c r="O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58"/>
    </row>
    <row r="686" ht="17.25" customHeight="1">
      <c r="A686" s="1"/>
      <c r="B686" s="1"/>
      <c r="C686" s="1"/>
      <c r="D686" s="1"/>
      <c r="E686" s="1"/>
      <c r="F686" s="1"/>
      <c r="K686" s="27"/>
      <c r="L686" s="27"/>
      <c r="M686" s="27"/>
      <c r="N686" s="27"/>
      <c r="O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58"/>
    </row>
    <row r="687" ht="17.25" customHeight="1">
      <c r="A687" s="1"/>
      <c r="B687" s="1"/>
      <c r="C687" s="1"/>
      <c r="D687" s="1"/>
      <c r="E687" s="1"/>
      <c r="F687" s="1"/>
      <c r="K687" s="27"/>
      <c r="L687" s="27"/>
      <c r="M687" s="27"/>
      <c r="N687" s="27"/>
      <c r="O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58"/>
    </row>
    <row r="688" ht="17.25" customHeight="1">
      <c r="A688" s="1"/>
      <c r="B688" s="1"/>
      <c r="C688" s="1"/>
      <c r="D688" s="1"/>
      <c r="E688" s="1"/>
      <c r="F688" s="1"/>
      <c r="K688" s="27"/>
      <c r="L688" s="27"/>
      <c r="M688" s="27"/>
      <c r="N688" s="27"/>
      <c r="O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58"/>
    </row>
    <row r="689" ht="17.25" customHeight="1">
      <c r="A689" s="1"/>
      <c r="B689" s="1"/>
      <c r="C689" s="1"/>
      <c r="D689" s="1"/>
      <c r="E689" s="1"/>
      <c r="F689" s="1"/>
      <c r="K689" s="27"/>
      <c r="L689" s="27"/>
      <c r="M689" s="27"/>
      <c r="N689" s="27"/>
      <c r="O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58"/>
    </row>
    <row r="690" ht="17.25" customHeight="1">
      <c r="A690" s="1"/>
      <c r="B690" s="1"/>
      <c r="C690" s="1"/>
      <c r="D690" s="1"/>
      <c r="E690" s="1"/>
      <c r="F690" s="1"/>
      <c r="K690" s="27"/>
      <c r="L690" s="27"/>
      <c r="M690" s="27"/>
      <c r="N690" s="27"/>
      <c r="O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58"/>
    </row>
    <row r="691" ht="17.25" customHeight="1">
      <c r="A691" s="1"/>
      <c r="B691" s="1"/>
      <c r="C691" s="1"/>
      <c r="D691" s="1"/>
      <c r="E691" s="1"/>
      <c r="F691" s="1"/>
      <c r="K691" s="27"/>
      <c r="L691" s="27"/>
      <c r="M691" s="27"/>
      <c r="N691" s="27"/>
      <c r="O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58"/>
    </row>
    <row r="692" ht="17.25" customHeight="1">
      <c r="A692" s="1"/>
      <c r="B692" s="1"/>
      <c r="C692" s="1"/>
      <c r="D692" s="1"/>
      <c r="E692" s="1"/>
      <c r="F692" s="1"/>
      <c r="K692" s="27"/>
      <c r="L692" s="27"/>
      <c r="M692" s="27"/>
      <c r="N692" s="27"/>
      <c r="O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58"/>
    </row>
    <row r="693" ht="17.25" customHeight="1">
      <c r="A693" s="1"/>
      <c r="B693" s="1"/>
      <c r="C693" s="1"/>
      <c r="D693" s="1"/>
      <c r="E693" s="1"/>
      <c r="F693" s="1"/>
      <c r="K693" s="27"/>
      <c r="L693" s="27"/>
      <c r="M693" s="27"/>
      <c r="N693" s="27"/>
      <c r="O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58"/>
    </row>
    <row r="694" ht="17.25" customHeight="1">
      <c r="A694" s="1"/>
      <c r="B694" s="1"/>
      <c r="C694" s="1"/>
      <c r="D694" s="1"/>
      <c r="E694" s="1"/>
      <c r="F694" s="1"/>
      <c r="K694" s="27"/>
      <c r="L694" s="27"/>
      <c r="M694" s="27"/>
      <c r="N694" s="27"/>
      <c r="O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58"/>
    </row>
    <row r="695" ht="17.25" customHeight="1">
      <c r="A695" s="1"/>
      <c r="B695" s="1"/>
      <c r="C695" s="1"/>
      <c r="D695" s="1"/>
      <c r="E695" s="1"/>
      <c r="F695" s="1"/>
      <c r="K695" s="27"/>
      <c r="L695" s="27"/>
      <c r="M695" s="27"/>
      <c r="N695" s="27"/>
      <c r="O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58"/>
    </row>
    <row r="696" ht="17.25" customHeight="1">
      <c r="A696" s="1"/>
      <c r="B696" s="1"/>
      <c r="C696" s="1"/>
      <c r="D696" s="1"/>
      <c r="E696" s="1"/>
      <c r="F696" s="1"/>
      <c r="K696" s="27"/>
      <c r="L696" s="27"/>
      <c r="M696" s="27"/>
      <c r="N696" s="27"/>
      <c r="O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58"/>
    </row>
    <row r="697" ht="17.25" customHeight="1">
      <c r="A697" s="1"/>
      <c r="B697" s="1"/>
      <c r="C697" s="1"/>
      <c r="D697" s="1"/>
      <c r="E697" s="1"/>
      <c r="F697" s="1"/>
      <c r="K697" s="27"/>
      <c r="L697" s="27"/>
      <c r="M697" s="27"/>
      <c r="N697" s="27"/>
      <c r="O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58"/>
    </row>
    <row r="698" ht="17.25" customHeight="1">
      <c r="A698" s="1"/>
      <c r="B698" s="1"/>
      <c r="C698" s="1"/>
      <c r="D698" s="1"/>
      <c r="E698" s="1"/>
      <c r="F698" s="1"/>
      <c r="K698" s="27"/>
      <c r="L698" s="27"/>
      <c r="M698" s="27"/>
      <c r="N698" s="27"/>
      <c r="O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58"/>
    </row>
    <row r="699" ht="17.25" customHeight="1">
      <c r="A699" s="1"/>
      <c r="B699" s="1"/>
      <c r="C699" s="1"/>
      <c r="D699" s="1"/>
      <c r="E699" s="1"/>
      <c r="F699" s="1"/>
      <c r="K699" s="27"/>
      <c r="L699" s="27"/>
      <c r="M699" s="27"/>
      <c r="N699" s="27"/>
      <c r="O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58"/>
    </row>
    <row r="700" ht="17.25" customHeight="1">
      <c r="A700" s="1"/>
      <c r="B700" s="1"/>
      <c r="C700" s="1"/>
      <c r="D700" s="1"/>
      <c r="E700" s="1"/>
      <c r="F700" s="1"/>
      <c r="K700" s="27"/>
      <c r="L700" s="27"/>
      <c r="M700" s="27"/>
      <c r="N700" s="27"/>
      <c r="O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58"/>
    </row>
    <row r="701" ht="17.25" customHeight="1">
      <c r="A701" s="1"/>
      <c r="B701" s="1"/>
      <c r="C701" s="1"/>
      <c r="D701" s="1"/>
      <c r="E701" s="1"/>
      <c r="F701" s="1"/>
      <c r="K701" s="27"/>
      <c r="L701" s="27"/>
      <c r="M701" s="27"/>
      <c r="N701" s="27"/>
      <c r="O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58"/>
    </row>
    <row r="702" ht="17.25" customHeight="1">
      <c r="A702" s="1"/>
      <c r="B702" s="1"/>
      <c r="C702" s="1"/>
      <c r="D702" s="1"/>
      <c r="E702" s="1"/>
      <c r="F702" s="1"/>
      <c r="K702" s="27"/>
      <c r="L702" s="27"/>
      <c r="M702" s="27"/>
      <c r="N702" s="27"/>
      <c r="O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58"/>
    </row>
    <row r="703" ht="17.25" customHeight="1">
      <c r="A703" s="1"/>
      <c r="B703" s="1"/>
      <c r="C703" s="1"/>
      <c r="D703" s="1"/>
      <c r="E703" s="1"/>
      <c r="F703" s="1"/>
      <c r="K703" s="27"/>
      <c r="L703" s="27"/>
      <c r="M703" s="27"/>
      <c r="N703" s="27"/>
      <c r="O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58"/>
    </row>
    <row r="704" ht="17.25" customHeight="1">
      <c r="A704" s="1"/>
      <c r="B704" s="1"/>
      <c r="C704" s="1"/>
      <c r="D704" s="1"/>
      <c r="E704" s="1"/>
      <c r="F704" s="1"/>
      <c r="K704" s="27"/>
      <c r="L704" s="27"/>
      <c r="M704" s="27"/>
      <c r="N704" s="27"/>
      <c r="O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58"/>
    </row>
    <row r="705" ht="17.25" customHeight="1">
      <c r="A705" s="1"/>
      <c r="B705" s="1"/>
      <c r="C705" s="1"/>
      <c r="D705" s="1"/>
      <c r="E705" s="1"/>
      <c r="F705" s="1"/>
      <c r="K705" s="27"/>
      <c r="L705" s="27"/>
      <c r="M705" s="27"/>
      <c r="N705" s="27"/>
      <c r="O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58"/>
    </row>
    <row r="706" ht="17.25" customHeight="1">
      <c r="A706" s="1"/>
      <c r="B706" s="1"/>
      <c r="C706" s="1"/>
      <c r="D706" s="1"/>
      <c r="E706" s="1"/>
      <c r="F706" s="1"/>
      <c r="K706" s="27"/>
      <c r="L706" s="27"/>
      <c r="M706" s="27"/>
      <c r="N706" s="27"/>
      <c r="O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58"/>
    </row>
    <row r="707" ht="17.25" customHeight="1">
      <c r="A707" s="1"/>
      <c r="B707" s="1"/>
      <c r="C707" s="1"/>
      <c r="D707" s="1"/>
      <c r="E707" s="1"/>
      <c r="F707" s="1"/>
      <c r="K707" s="27"/>
      <c r="L707" s="27"/>
      <c r="M707" s="27"/>
      <c r="N707" s="27"/>
      <c r="O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58"/>
    </row>
    <row r="708" ht="17.25" customHeight="1">
      <c r="A708" s="1"/>
      <c r="B708" s="1"/>
      <c r="C708" s="1"/>
      <c r="D708" s="1"/>
      <c r="E708" s="1"/>
      <c r="F708" s="1"/>
      <c r="K708" s="27"/>
      <c r="L708" s="27"/>
      <c r="M708" s="27"/>
      <c r="N708" s="27"/>
      <c r="O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58"/>
    </row>
    <row r="709" ht="17.25" customHeight="1">
      <c r="A709" s="1"/>
      <c r="B709" s="1"/>
      <c r="C709" s="1"/>
      <c r="D709" s="1"/>
      <c r="E709" s="1"/>
      <c r="F709" s="1"/>
      <c r="K709" s="27"/>
      <c r="L709" s="27"/>
      <c r="M709" s="27"/>
      <c r="N709" s="27"/>
      <c r="O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58"/>
    </row>
    <row r="710" ht="17.25" customHeight="1">
      <c r="A710" s="1"/>
      <c r="B710" s="1"/>
      <c r="C710" s="1"/>
      <c r="D710" s="1"/>
      <c r="E710" s="1"/>
      <c r="F710" s="1"/>
      <c r="K710" s="27"/>
      <c r="L710" s="27"/>
      <c r="M710" s="27"/>
      <c r="N710" s="27"/>
      <c r="O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58"/>
    </row>
    <row r="711" ht="17.25" customHeight="1">
      <c r="A711" s="1"/>
      <c r="B711" s="1"/>
      <c r="C711" s="1"/>
      <c r="D711" s="1"/>
      <c r="E711" s="1"/>
      <c r="F711" s="1"/>
      <c r="K711" s="27"/>
      <c r="L711" s="27"/>
      <c r="M711" s="27"/>
      <c r="N711" s="27"/>
      <c r="O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58"/>
    </row>
    <row r="712" ht="17.25" customHeight="1">
      <c r="A712" s="1"/>
      <c r="B712" s="1"/>
      <c r="C712" s="1"/>
      <c r="D712" s="1"/>
      <c r="E712" s="1"/>
      <c r="F712" s="1"/>
      <c r="K712" s="27"/>
      <c r="L712" s="27"/>
      <c r="M712" s="27"/>
      <c r="N712" s="27"/>
      <c r="O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58"/>
    </row>
    <row r="713" ht="17.25" customHeight="1">
      <c r="A713" s="1"/>
      <c r="B713" s="1"/>
      <c r="C713" s="1"/>
      <c r="D713" s="1"/>
      <c r="E713" s="1"/>
      <c r="F713" s="1"/>
      <c r="K713" s="27"/>
      <c r="L713" s="27"/>
      <c r="M713" s="27"/>
      <c r="N713" s="27"/>
      <c r="O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58"/>
    </row>
    <row r="714" ht="17.25" customHeight="1">
      <c r="A714" s="1"/>
      <c r="B714" s="1"/>
      <c r="C714" s="1"/>
      <c r="D714" s="1"/>
      <c r="E714" s="1"/>
      <c r="F714" s="1"/>
      <c r="K714" s="27"/>
      <c r="L714" s="27"/>
      <c r="M714" s="27"/>
      <c r="N714" s="27"/>
      <c r="O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58"/>
    </row>
    <row r="715" ht="17.25" customHeight="1">
      <c r="A715" s="1"/>
      <c r="B715" s="1"/>
      <c r="C715" s="1"/>
      <c r="D715" s="1"/>
      <c r="E715" s="1"/>
      <c r="F715" s="1"/>
      <c r="K715" s="27"/>
      <c r="L715" s="27"/>
      <c r="M715" s="27"/>
      <c r="N715" s="27"/>
      <c r="O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58"/>
    </row>
    <row r="716" ht="17.25" customHeight="1">
      <c r="A716" s="1"/>
      <c r="B716" s="1"/>
      <c r="C716" s="1"/>
      <c r="D716" s="1"/>
      <c r="E716" s="1"/>
      <c r="F716" s="1"/>
      <c r="K716" s="27"/>
      <c r="L716" s="27"/>
      <c r="M716" s="27"/>
      <c r="N716" s="27"/>
      <c r="O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58"/>
    </row>
    <row r="717" ht="17.25" customHeight="1">
      <c r="A717" s="1"/>
      <c r="B717" s="1"/>
      <c r="C717" s="1"/>
      <c r="D717" s="1"/>
      <c r="E717" s="1"/>
      <c r="F717" s="1"/>
      <c r="K717" s="27"/>
      <c r="L717" s="27"/>
      <c r="M717" s="27"/>
      <c r="N717" s="27"/>
      <c r="O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58"/>
    </row>
    <row r="718" ht="17.25" customHeight="1">
      <c r="A718" s="1"/>
      <c r="B718" s="1"/>
      <c r="C718" s="1"/>
      <c r="D718" s="1"/>
      <c r="E718" s="1"/>
      <c r="F718" s="1"/>
      <c r="K718" s="27"/>
      <c r="L718" s="27"/>
      <c r="M718" s="27"/>
      <c r="N718" s="27"/>
      <c r="O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58"/>
    </row>
    <row r="719" ht="17.25" customHeight="1">
      <c r="A719" s="1"/>
      <c r="B719" s="1"/>
      <c r="C719" s="1"/>
      <c r="D719" s="1"/>
      <c r="E719" s="1"/>
      <c r="F719" s="1"/>
      <c r="K719" s="27"/>
      <c r="L719" s="27"/>
      <c r="M719" s="27"/>
      <c r="N719" s="27"/>
      <c r="O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58"/>
    </row>
    <row r="720" ht="17.25" customHeight="1">
      <c r="A720" s="1"/>
      <c r="B720" s="1"/>
      <c r="C720" s="1"/>
      <c r="D720" s="1"/>
      <c r="E720" s="1"/>
      <c r="F720" s="1"/>
      <c r="K720" s="27"/>
      <c r="L720" s="27"/>
      <c r="M720" s="27"/>
      <c r="N720" s="27"/>
      <c r="O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58"/>
    </row>
    <row r="721" ht="17.25" customHeight="1">
      <c r="A721" s="1"/>
      <c r="B721" s="1"/>
      <c r="C721" s="1"/>
      <c r="D721" s="1"/>
      <c r="E721" s="1"/>
      <c r="F721" s="1"/>
      <c r="K721" s="27"/>
      <c r="L721" s="27"/>
      <c r="M721" s="27"/>
      <c r="N721" s="27"/>
      <c r="O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58"/>
    </row>
    <row r="722" ht="17.25" customHeight="1">
      <c r="A722" s="1"/>
      <c r="B722" s="1"/>
      <c r="C722" s="1"/>
      <c r="D722" s="1"/>
      <c r="E722" s="1"/>
      <c r="F722" s="1"/>
      <c r="K722" s="27"/>
      <c r="L722" s="27"/>
      <c r="M722" s="27"/>
      <c r="N722" s="27"/>
      <c r="O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58"/>
    </row>
    <row r="723" ht="17.25" customHeight="1">
      <c r="A723" s="1"/>
      <c r="B723" s="1"/>
      <c r="C723" s="1"/>
      <c r="D723" s="1"/>
      <c r="E723" s="1"/>
      <c r="F723" s="1"/>
      <c r="K723" s="27"/>
      <c r="L723" s="27"/>
      <c r="M723" s="27"/>
      <c r="N723" s="27"/>
      <c r="O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58"/>
    </row>
    <row r="724" ht="17.25" customHeight="1">
      <c r="A724" s="1"/>
      <c r="B724" s="1"/>
      <c r="C724" s="1"/>
      <c r="D724" s="1"/>
      <c r="E724" s="1"/>
      <c r="F724" s="1"/>
      <c r="K724" s="27"/>
      <c r="L724" s="27"/>
      <c r="M724" s="27"/>
      <c r="N724" s="27"/>
      <c r="O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58"/>
    </row>
    <row r="725" ht="17.25" customHeight="1">
      <c r="A725" s="1"/>
      <c r="B725" s="1"/>
      <c r="C725" s="1"/>
      <c r="D725" s="1"/>
      <c r="E725" s="1"/>
      <c r="F725" s="1"/>
      <c r="K725" s="27"/>
      <c r="L725" s="27"/>
      <c r="M725" s="27"/>
      <c r="N725" s="27"/>
      <c r="O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58"/>
    </row>
    <row r="726" ht="17.25" customHeight="1">
      <c r="A726" s="1"/>
      <c r="B726" s="1"/>
      <c r="C726" s="1"/>
      <c r="D726" s="1"/>
      <c r="E726" s="1"/>
      <c r="F726" s="1"/>
      <c r="K726" s="27"/>
      <c r="L726" s="27"/>
      <c r="M726" s="27"/>
      <c r="N726" s="27"/>
      <c r="O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58"/>
    </row>
    <row r="727" ht="17.25" customHeight="1">
      <c r="A727" s="1"/>
      <c r="B727" s="1"/>
      <c r="C727" s="1"/>
      <c r="D727" s="1"/>
      <c r="E727" s="1"/>
      <c r="F727" s="1"/>
      <c r="K727" s="27"/>
      <c r="L727" s="27"/>
      <c r="M727" s="27"/>
      <c r="N727" s="27"/>
      <c r="O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58"/>
    </row>
    <row r="728" ht="17.25" customHeight="1">
      <c r="A728" s="1"/>
      <c r="B728" s="1"/>
      <c r="C728" s="1"/>
      <c r="D728" s="1"/>
      <c r="E728" s="1"/>
      <c r="F728" s="1"/>
      <c r="K728" s="27"/>
      <c r="L728" s="27"/>
      <c r="M728" s="27"/>
      <c r="N728" s="27"/>
      <c r="O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58"/>
    </row>
    <row r="729" ht="17.25" customHeight="1">
      <c r="A729" s="1"/>
      <c r="B729" s="1"/>
      <c r="C729" s="1"/>
      <c r="D729" s="1"/>
      <c r="E729" s="1"/>
      <c r="F729" s="1"/>
      <c r="K729" s="27"/>
      <c r="L729" s="27"/>
      <c r="M729" s="27"/>
      <c r="N729" s="27"/>
      <c r="O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58"/>
    </row>
    <row r="730" ht="17.25" customHeight="1">
      <c r="A730" s="1"/>
      <c r="B730" s="1"/>
      <c r="C730" s="1"/>
      <c r="D730" s="1"/>
      <c r="E730" s="1"/>
      <c r="F730" s="1"/>
      <c r="K730" s="27"/>
      <c r="L730" s="27"/>
      <c r="M730" s="27"/>
      <c r="N730" s="27"/>
      <c r="O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58"/>
    </row>
    <row r="731" ht="17.25" customHeight="1">
      <c r="A731" s="1"/>
      <c r="B731" s="1"/>
      <c r="C731" s="1"/>
      <c r="D731" s="1"/>
      <c r="E731" s="1"/>
      <c r="F731" s="1"/>
      <c r="K731" s="27"/>
      <c r="L731" s="27"/>
      <c r="M731" s="27"/>
      <c r="N731" s="27"/>
      <c r="O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58"/>
    </row>
    <row r="732" ht="17.25" customHeight="1">
      <c r="A732" s="1"/>
      <c r="B732" s="1"/>
      <c r="C732" s="1"/>
      <c r="D732" s="1"/>
      <c r="E732" s="1"/>
      <c r="F732" s="1"/>
      <c r="K732" s="27"/>
      <c r="L732" s="27"/>
      <c r="M732" s="27"/>
      <c r="N732" s="27"/>
      <c r="O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58"/>
    </row>
    <row r="733" ht="17.25" customHeight="1">
      <c r="A733" s="1"/>
      <c r="B733" s="1"/>
      <c r="C733" s="1"/>
      <c r="D733" s="1"/>
      <c r="E733" s="1"/>
      <c r="F733" s="1"/>
      <c r="K733" s="27"/>
      <c r="L733" s="27"/>
      <c r="M733" s="27"/>
      <c r="N733" s="27"/>
      <c r="O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58"/>
    </row>
    <row r="734" ht="17.25" customHeight="1">
      <c r="A734" s="1"/>
      <c r="B734" s="1"/>
      <c r="C734" s="1"/>
      <c r="D734" s="1"/>
      <c r="E734" s="1"/>
      <c r="F734" s="1"/>
      <c r="K734" s="27"/>
      <c r="L734" s="27"/>
      <c r="M734" s="27"/>
      <c r="N734" s="27"/>
      <c r="O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58"/>
    </row>
    <row r="735" ht="17.25" customHeight="1">
      <c r="A735" s="1"/>
      <c r="B735" s="1"/>
      <c r="C735" s="1"/>
      <c r="D735" s="1"/>
      <c r="E735" s="1"/>
      <c r="F735" s="1"/>
      <c r="K735" s="27"/>
      <c r="L735" s="27"/>
      <c r="M735" s="27"/>
      <c r="N735" s="27"/>
      <c r="O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58"/>
    </row>
    <row r="736" ht="17.25" customHeight="1">
      <c r="A736" s="1"/>
      <c r="B736" s="1"/>
      <c r="C736" s="1"/>
      <c r="D736" s="1"/>
      <c r="E736" s="1"/>
      <c r="F736" s="1"/>
      <c r="K736" s="27"/>
      <c r="L736" s="27"/>
      <c r="M736" s="27"/>
      <c r="N736" s="27"/>
      <c r="O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58"/>
    </row>
    <row r="737" ht="17.25" customHeight="1">
      <c r="A737" s="1"/>
      <c r="B737" s="1"/>
      <c r="C737" s="1"/>
      <c r="D737" s="1"/>
      <c r="E737" s="1"/>
      <c r="F737" s="1"/>
      <c r="K737" s="27"/>
      <c r="L737" s="27"/>
      <c r="M737" s="27"/>
      <c r="N737" s="27"/>
      <c r="O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58"/>
    </row>
    <row r="738" ht="17.25" customHeight="1">
      <c r="A738" s="1"/>
      <c r="B738" s="1"/>
      <c r="C738" s="1"/>
      <c r="D738" s="1"/>
      <c r="E738" s="1"/>
      <c r="F738" s="1"/>
      <c r="K738" s="27"/>
      <c r="L738" s="27"/>
      <c r="M738" s="27"/>
      <c r="N738" s="27"/>
      <c r="O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58"/>
    </row>
    <row r="739" ht="17.25" customHeight="1">
      <c r="A739" s="1"/>
      <c r="B739" s="1"/>
      <c r="C739" s="1"/>
      <c r="D739" s="1"/>
      <c r="E739" s="1"/>
      <c r="F739" s="1"/>
      <c r="K739" s="27"/>
      <c r="L739" s="27"/>
      <c r="M739" s="27"/>
      <c r="N739" s="27"/>
      <c r="O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58"/>
    </row>
    <row r="740" ht="17.25" customHeight="1">
      <c r="A740" s="1"/>
      <c r="B740" s="1"/>
      <c r="C740" s="1"/>
      <c r="D740" s="1"/>
      <c r="E740" s="1"/>
      <c r="F740" s="1"/>
      <c r="K740" s="27"/>
      <c r="L740" s="27"/>
      <c r="M740" s="27"/>
      <c r="N740" s="27"/>
      <c r="O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58"/>
    </row>
    <row r="741" ht="17.25" customHeight="1">
      <c r="A741" s="1"/>
      <c r="B741" s="1"/>
      <c r="C741" s="1"/>
      <c r="D741" s="1"/>
      <c r="E741" s="1"/>
      <c r="F741" s="1"/>
      <c r="K741" s="27"/>
      <c r="L741" s="27"/>
      <c r="M741" s="27"/>
      <c r="N741" s="27"/>
      <c r="O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58"/>
    </row>
    <row r="742" ht="17.25" customHeight="1">
      <c r="A742" s="1"/>
      <c r="B742" s="1"/>
      <c r="C742" s="1"/>
      <c r="D742" s="1"/>
      <c r="E742" s="1"/>
      <c r="F742" s="1"/>
      <c r="K742" s="27"/>
      <c r="L742" s="27"/>
      <c r="M742" s="27"/>
      <c r="N742" s="27"/>
      <c r="O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58"/>
    </row>
    <row r="743" ht="17.25" customHeight="1">
      <c r="A743" s="1"/>
      <c r="B743" s="1"/>
      <c r="C743" s="1"/>
      <c r="D743" s="1"/>
      <c r="E743" s="1"/>
      <c r="F743" s="1"/>
      <c r="K743" s="27"/>
      <c r="L743" s="27"/>
      <c r="M743" s="27"/>
      <c r="N743" s="27"/>
      <c r="O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58"/>
    </row>
    <row r="744" ht="17.25" customHeight="1">
      <c r="A744" s="1"/>
      <c r="B744" s="1"/>
      <c r="C744" s="1"/>
      <c r="D744" s="1"/>
      <c r="E744" s="1"/>
      <c r="F744" s="1"/>
      <c r="K744" s="27"/>
      <c r="L744" s="27"/>
      <c r="M744" s="27"/>
      <c r="N744" s="27"/>
      <c r="O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58"/>
    </row>
    <row r="745" ht="17.25" customHeight="1">
      <c r="A745" s="1"/>
      <c r="B745" s="1"/>
      <c r="C745" s="1"/>
      <c r="D745" s="1"/>
      <c r="E745" s="1"/>
      <c r="F745" s="1"/>
      <c r="K745" s="27"/>
      <c r="L745" s="27"/>
      <c r="M745" s="27"/>
      <c r="N745" s="27"/>
      <c r="O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58"/>
    </row>
    <row r="746" ht="17.25" customHeight="1">
      <c r="A746" s="1"/>
      <c r="B746" s="1"/>
      <c r="C746" s="1"/>
      <c r="D746" s="1"/>
      <c r="E746" s="1"/>
      <c r="F746" s="1"/>
      <c r="K746" s="27"/>
      <c r="L746" s="27"/>
      <c r="M746" s="27"/>
      <c r="N746" s="27"/>
      <c r="O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58"/>
    </row>
    <row r="747" ht="17.25" customHeight="1">
      <c r="A747" s="1"/>
      <c r="B747" s="1"/>
      <c r="C747" s="1"/>
      <c r="D747" s="1"/>
      <c r="E747" s="1"/>
      <c r="F747" s="1"/>
      <c r="K747" s="27"/>
      <c r="L747" s="27"/>
      <c r="M747" s="27"/>
      <c r="N747" s="27"/>
      <c r="O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58"/>
    </row>
    <row r="748" ht="17.25" customHeight="1">
      <c r="A748" s="1"/>
      <c r="B748" s="1"/>
      <c r="C748" s="1"/>
      <c r="D748" s="1"/>
      <c r="E748" s="1"/>
      <c r="F748" s="1"/>
      <c r="K748" s="27"/>
      <c r="L748" s="27"/>
      <c r="M748" s="27"/>
      <c r="N748" s="27"/>
      <c r="O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58"/>
    </row>
    <row r="749" ht="17.25" customHeight="1">
      <c r="A749" s="1"/>
      <c r="B749" s="1"/>
      <c r="C749" s="1"/>
      <c r="D749" s="1"/>
      <c r="E749" s="1"/>
      <c r="F749" s="1"/>
      <c r="K749" s="27"/>
      <c r="L749" s="27"/>
      <c r="M749" s="27"/>
      <c r="N749" s="27"/>
      <c r="O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58"/>
    </row>
    <row r="750" ht="17.25" customHeight="1">
      <c r="A750" s="1"/>
      <c r="B750" s="1"/>
      <c r="C750" s="1"/>
      <c r="D750" s="1"/>
      <c r="E750" s="1"/>
      <c r="F750" s="1"/>
      <c r="K750" s="27"/>
      <c r="L750" s="27"/>
      <c r="M750" s="27"/>
      <c r="N750" s="27"/>
      <c r="O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58"/>
    </row>
    <row r="751" ht="17.25" customHeight="1">
      <c r="A751" s="1"/>
      <c r="B751" s="1"/>
      <c r="C751" s="1"/>
      <c r="D751" s="1"/>
      <c r="E751" s="1"/>
      <c r="F751" s="1"/>
      <c r="K751" s="27"/>
      <c r="L751" s="27"/>
      <c r="M751" s="27"/>
      <c r="N751" s="27"/>
      <c r="O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58"/>
    </row>
    <row r="752" ht="17.25" customHeight="1">
      <c r="A752" s="1"/>
      <c r="B752" s="1"/>
      <c r="C752" s="1"/>
      <c r="D752" s="1"/>
      <c r="E752" s="1"/>
      <c r="F752" s="1"/>
      <c r="K752" s="27"/>
      <c r="L752" s="27"/>
      <c r="M752" s="27"/>
      <c r="N752" s="27"/>
      <c r="O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58"/>
    </row>
    <row r="753" ht="17.25" customHeight="1">
      <c r="A753" s="1"/>
      <c r="B753" s="1"/>
      <c r="C753" s="1"/>
      <c r="D753" s="1"/>
      <c r="E753" s="1"/>
      <c r="F753" s="1"/>
      <c r="K753" s="27"/>
      <c r="L753" s="27"/>
      <c r="M753" s="27"/>
      <c r="N753" s="27"/>
      <c r="O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58"/>
    </row>
    <row r="754" ht="17.25" customHeight="1">
      <c r="A754" s="1"/>
      <c r="B754" s="1"/>
      <c r="C754" s="1"/>
      <c r="D754" s="1"/>
      <c r="E754" s="1"/>
      <c r="F754" s="1"/>
      <c r="K754" s="27"/>
      <c r="L754" s="27"/>
      <c r="M754" s="27"/>
      <c r="N754" s="27"/>
      <c r="O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58"/>
    </row>
    <row r="755" ht="17.25" customHeight="1">
      <c r="A755" s="1"/>
      <c r="B755" s="1"/>
      <c r="C755" s="1"/>
      <c r="D755" s="1"/>
      <c r="E755" s="1"/>
      <c r="F755" s="1"/>
      <c r="K755" s="27"/>
      <c r="L755" s="27"/>
      <c r="M755" s="27"/>
      <c r="N755" s="27"/>
      <c r="O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58"/>
    </row>
    <row r="756" ht="17.25" customHeight="1">
      <c r="A756" s="1"/>
      <c r="B756" s="1"/>
      <c r="C756" s="1"/>
      <c r="D756" s="1"/>
      <c r="E756" s="1"/>
      <c r="F756" s="1"/>
      <c r="K756" s="27"/>
      <c r="L756" s="27"/>
      <c r="M756" s="27"/>
      <c r="N756" s="27"/>
      <c r="O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58"/>
    </row>
    <row r="757" ht="17.25" customHeight="1">
      <c r="A757" s="1"/>
      <c r="B757" s="1"/>
      <c r="C757" s="1"/>
      <c r="D757" s="1"/>
      <c r="E757" s="1"/>
      <c r="F757" s="1"/>
      <c r="K757" s="27"/>
      <c r="L757" s="27"/>
      <c r="M757" s="27"/>
      <c r="N757" s="27"/>
      <c r="O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58"/>
    </row>
    <row r="758" ht="17.25" customHeight="1">
      <c r="A758" s="1"/>
      <c r="B758" s="1"/>
      <c r="C758" s="1"/>
      <c r="D758" s="1"/>
      <c r="E758" s="1"/>
      <c r="F758" s="1"/>
      <c r="K758" s="27"/>
      <c r="L758" s="27"/>
      <c r="M758" s="27"/>
      <c r="N758" s="27"/>
      <c r="O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58"/>
    </row>
    <row r="759" ht="17.25" customHeight="1">
      <c r="A759" s="1"/>
      <c r="B759" s="1"/>
      <c r="C759" s="1"/>
      <c r="D759" s="1"/>
      <c r="E759" s="1"/>
      <c r="F759" s="1"/>
      <c r="K759" s="27"/>
      <c r="L759" s="27"/>
      <c r="M759" s="27"/>
      <c r="N759" s="27"/>
      <c r="O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58"/>
    </row>
    <row r="760" ht="17.25" customHeight="1">
      <c r="A760" s="1"/>
      <c r="B760" s="1"/>
      <c r="C760" s="1"/>
      <c r="D760" s="1"/>
      <c r="E760" s="1"/>
      <c r="F760" s="1"/>
      <c r="K760" s="27"/>
      <c r="L760" s="27"/>
      <c r="M760" s="27"/>
      <c r="N760" s="27"/>
      <c r="O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58"/>
    </row>
    <row r="761" ht="17.25" customHeight="1">
      <c r="A761" s="1"/>
      <c r="B761" s="1"/>
      <c r="C761" s="1"/>
      <c r="D761" s="1"/>
      <c r="E761" s="1"/>
      <c r="F761" s="1"/>
      <c r="K761" s="27"/>
      <c r="L761" s="27"/>
      <c r="M761" s="27"/>
      <c r="N761" s="27"/>
      <c r="O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58"/>
    </row>
    <row r="762" ht="17.25" customHeight="1">
      <c r="A762" s="1"/>
      <c r="B762" s="1"/>
      <c r="C762" s="1"/>
      <c r="D762" s="1"/>
      <c r="E762" s="1"/>
      <c r="F762" s="1"/>
      <c r="K762" s="27"/>
      <c r="L762" s="27"/>
      <c r="M762" s="27"/>
      <c r="N762" s="27"/>
      <c r="O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58"/>
    </row>
    <row r="763" ht="17.25" customHeight="1">
      <c r="A763" s="1"/>
      <c r="B763" s="1"/>
      <c r="C763" s="1"/>
      <c r="D763" s="1"/>
      <c r="E763" s="1"/>
      <c r="F763" s="1"/>
      <c r="K763" s="27"/>
      <c r="L763" s="27"/>
      <c r="M763" s="27"/>
      <c r="N763" s="27"/>
      <c r="O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58"/>
    </row>
    <row r="764" ht="17.25" customHeight="1">
      <c r="A764" s="1"/>
      <c r="B764" s="1"/>
      <c r="C764" s="1"/>
      <c r="D764" s="1"/>
      <c r="E764" s="1"/>
      <c r="F764" s="1"/>
      <c r="K764" s="27"/>
      <c r="L764" s="27"/>
      <c r="M764" s="27"/>
      <c r="N764" s="27"/>
      <c r="O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58"/>
    </row>
    <row r="765" ht="17.25" customHeight="1">
      <c r="A765" s="1"/>
      <c r="B765" s="1"/>
      <c r="C765" s="1"/>
      <c r="D765" s="1"/>
      <c r="E765" s="1"/>
      <c r="F765" s="1"/>
      <c r="K765" s="27"/>
      <c r="L765" s="27"/>
      <c r="M765" s="27"/>
      <c r="N765" s="27"/>
      <c r="O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58"/>
    </row>
    <row r="766" ht="17.25" customHeight="1">
      <c r="A766" s="1"/>
      <c r="B766" s="1"/>
      <c r="C766" s="1"/>
      <c r="D766" s="1"/>
      <c r="E766" s="1"/>
      <c r="F766" s="1"/>
      <c r="K766" s="27"/>
      <c r="L766" s="27"/>
      <c r="M766" s="27"/>
      <c r="N766" s="27"/>
      <c r="O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58"/>
    </row>
    <row r="767" ht="17.25" customHeight="1">
      <c r="A767" s="1"/>
      <c r="B767" s="1"/>
      <c r="C767" s="1"/>
      <c r="D767" s="1"/>
      <c r="E767" s="1"/>
      <c r="F767" s="1"/>
      <c r="K767" s="27"/>
      <c r="L767" s="27"/>
      <c r="M767" s="27"/>
      <c r="N767" s="27"/>
      <c r="O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58"/>
    </row>
    <row r="768" ht="17.25" customHeight="1">
      <c r="A768" s="1"/>
      <c r="B768" s="1"/>
      <c r="C768" s="1"/>
      <c r="D768" s="1"/>
      <c r="E768" s="1"/>
      <c r="F768" s="1"/>
      <c r="K768" s="27"/>
      <c r="L768" s="27"/>
      <c r="M768" s="27"/>
      <c r="N768" s="27"/>
      <c r="O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58"/>
    </row>
    <row r="769" ht="17.25" customHeight="1">
      <c r="A769" s="1"/>
      <c r="B769" s="1"/>
      <c r="C769" s="1"/>
      <c r="D769" s="1"/>
      <c r="E769" s="1"/>
      <c r="F769" s="1"/>
      <c r="K769" s="27"/>
      <c r="L769" s="27"/>
      <c r="M769" s="27"/>
      <c r="N769" s="27"/>
      <c r="O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58"/>
    </row>
    <row r="770" ht="17.25" customHeight="1">
      <c r="A770" s="1"/>
      <c r="B770" s="1"/>
      <c r="C770" s="1"/>
      <c r="D770" s="1"/>
      <c r="E770" s="1"/>
      <c r="F770" s="1"/>
      <c r="K770" s="27"/>
      <c r="L770" s="27"/>
      <c r="M770" s="27"/>
      <c r="N770" s="27"/>
      <c r="O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58"/>
    </row>
    <row r="771" ht="17.25" customHeight="1">
      <c r="A771" s="1"/>
      <c r="B771" s="1"/>
      <c r="C771" s="1"/>
      <c r="D771" s="1"/>
      <c r="E771" s="1"/>
      <c r="F771" s="1"/>
      <c r="K771" s="27"/>
      <c r="L771" s="27"/>
      <c r="M771" s="27"/>
      <c r="N771" s="27"/>
      <c r="O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58"/>
    </row>
    <row r="772" ht="17.25" customHeight="1">
      <c r="A772" s="1"/>
      <c r="B772" s="1"/>
      <c r="C772" s="1"/>
      <c r="D772" s="1"/>
      <c r="E772" s="1"/>
      <c r="F772" s="1"/>
      <c r="K772" s="27"/>
      <c r="L772" s="27"/>
      <c r="M772" s="27"/>
      <c r="N772" s="27"/>
      <c r="O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58"/>
    </row>
    <row r="773" ht="17.25" customHeight="1">
      <c r="A773" s="1"/>
      <c r="B773" s="1"/>
      <c r="C773" s="1"/>
      <c r="D773" s="1"/>
      <c r="E773" s="1"/>
      <c r="F773" s="1"/>
      <c r="K773" s="27"/>
      <c r="L773" s="27"/>
      <c r="M773" s="27"/>
      <c r="N773" s="27"/>
      <c r="O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58"/>
    </row>
    <row r="774" ht="17.25" customHeight="1">
      <c r="A774" s="1"/>
      <c r="B774" s="1"/>
      <c r="C774" s="1"/>
      <c r="D774" s="1"/>
      <c r="E774" s="1"/>
      <c r="F774" s="1"/>
      <c r="K774" s="27"/>
      <c r="L774" s="27"/>
      <c r="M774" s="27"/>
      <c r="N774" s="27"/>
      <c r="O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58"/>
    </row>
    <row r="775" ht="17.25" customHeight="1">
      <c r="A775" s="1"/>
      <c r="B775" s="1"/>
      <c r="C775" s="1"/>
      <c r="D775" s="1"/>
      <c r="E775" s="1"/>
      <c r="F775" s="1"/>
      <c r="K775" s="27"/>
      <c r="L775" s="27"/>
      <c r="M775" s="27"/>
      <c r="N775" s="27"/>
      <c r="O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58"/>
    </row>
    <row r="776" ht="17.25" customHeight="1">
      <c r="A776" s="1"/>
      <c r="B776" s="1"/>
      <c r="C776" s="1"/>
      <c r="D776" s="1"/>
      <c r="E776" s="1"/>
      <c r="F776" s="1"/>
      <c r="K776" s="27"/>
      <c r="L776" s="27"/>
      <c r="M776" s="27"/>
      <c r="N776" s="27"/>
      <c r="O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58"/>
    </row>
    <row r="777" ht="17.25" customHeight="1">
      <c r="A777" s="1"/>
      <c r="B777" s="1"/>
      <c r="C777" s="1"/>
      <c r="D777" s="1"/>
      <c r="E777" s="1"/>
      <c r="F777" s="1"/>
      <c r="K777" s="27"/>
      <c r="L777" s="27"/>
      <c r="M777" s="27"/>
      <c r="N777" s="27"/>
      <c r="O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58"/>
    </row>
    <row r="778" ht="17.25" customHeight="1">
      <c r="A778" s="1"/>
      <c r="B778" s="1"/>
      <c r="C778" s="1"/>
      <c r="D778" s="1"/>
      <c r="E778" s="1"/>
      <c r="F778" s="1"/>
      <c r="K778" s="27"/>
      <c r="L778" s="27"/>
      <c r="M778" s="27"/>
      <c r="N778" s="27"/>
      <c r="O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58"/>
    </row>
    <row r="779" ht="17.25" customHeight="1">
      <c r="A779" s="1"/>
      <c r="B779" s="1"/>
      <c r="C779" s="1"/>
      <c r="D779" s="1"/>
      <c r="E779" s="1"/>
      <c r="F779" s="1"/>
      <c r="K779" s="27"/>
      <c r="L779" s="27"/>
      <c r="M779" s="27"/>
      <c r="N779" s="27"/>
      <c r="O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58"/>
    </row>
    <row r="780" ht="17.25" customHeight="1">
      <c r="A780" s="1"/>
      <c r="B780" s="1"/>
      <c r="C780" s="1"/>
      <c r="D780" s="1"/>
      <c r="E780" s="1"/>
      <c r="F780" s="1"/>
      <c r="K780" s="27"/>
      <c r="L780" s="27"/>
      <c r="M780" s="27"/>
      <c r="N780" s="27"/>
      <c r="O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58"/>
    </row>
    <row r="781" ht="17.25" customHeight="1">
      <c r="A781" s="1"/>
      <c r="B781" s="1"/>
      <c r="C781" s="1"/>
      <c r="D781" s="1"/>
      <c r="E781" s="1"/>
      <c r="F781" s="1"/>
      <c r="K781" s="27"/>
      <c r="L781" s="27"/>
      <c r="M781" s="27"/>
      <c r="N781" s="27"/>
      <c r="O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58"/>
    </row>
    <row r="782" ht="17.25" customHeight="1">
      <c r="A782" s="1"/>
      <c r="B782" s="1"/>
      <c r="C782" s="1"/>
      <c r="D782" s="1"/>
      <c r="E782" s="1"/>
      <c r="F782" s="1"/>
      <c r="K782" s="27"/>
      <c r="L782" s="27"/>
      <c r="M782" s="27"/>
      <c r="N782" s="27"/>
      <c r="O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58"/>
    </row>
    <row r="783" ht="17.25" customHeight="1">
      <c r="A783" s="1"/>
      <c r="B783" s="1"/>
      <c r="C783" s="1"/>
      <c r="D783" s="1"/>
      <c r="E783" s="1"/>
      <c r="F783" s="1"/>
      <c r="K783" s="27"/>
      <c r="L783" s="27"/>
      <c r="M783" s="27"/>
      <c r="N783" s="27"/>
      <c r="O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58"/>
    </row>
    <row r="784" ht="17.25" customHeight="1">
      <c r="A784" s="1"/>
      <c r="B784" s="1"/>
      <c r="C784" s="1"/>
      <c r="D784" s="1"/>
      <c r="E784" s="1"/>
      <c r="F784" s="1"/>
      <c r="K784" s="27"/>
      <c r="L784" s="27"/>
      <c r="M784" s="27"/>
      <c r="N784" s="27"/>
      <c r="O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58"/>
    </row>
    <row r="785" ht="17.25" customHeight="1">
      <c r="A785" s="1"/>
      <c r="B785" s="1"/>
      <c r="C785" s="1"/>
      <c r="D785" s="1"/>
      <c r="E785" s="1"/>
      <c r="F785" s="1"/>
      <c r="K785" s="27"/>
      <c r="L785" s="27"/>
      <c r="M785" s="27"/>
      <c r="N785" s="27"/>
      <c r="O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58"/>
    </row>
    <row r="786" ht="17.25" customHeight="1">
      <c r="A786" s="1"/>
      <c r="B786" s="1"/>
      <c r="C786" s="1"/>
      <c r="D786" s="1"/>
      <c r="E786" s="1"/>
      <c r="F786" s="1"/>
      <c r="K786" s="27"/>
      <c r="L786" s="27"/>
      <c r="M786" s="27"/>
      <c r="N786" s="27"/>
      <c r="O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58"/>
    </row>
    <row r="787" ht="17.25" customHeight="1">
      <c r="A787" s="1"/>
      <c r="B787" s="1"/>
      <c r="C787" s="1"/>
      <c r="D787" s="1"/>
      <c r="E787" s="1"/>
      <c r="F787" s="1"/>
      <c r="K787" s="27"/>
      <c r="L787" s="27"/>
      <c r="M787" s="27"/>
      <c r="N787" s="27"/>
      <c r="O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58"/>
    </row>
    <row r="788" ht="17.25" customHeight="1">
      <c r="A788" s="1"/>
      <c r="B788" s="1"/>
      <c r="C788" s="1"/>
      <c r="D788" s="1"/>
      <c r="E788" s="1"/>
      <c r="F788" s="1"/>
      <c r="K788" s="27"/>
      <c r="L788" s="27"/>
      <c r="M788" s="27"/>
      <c r="N788" s="27"/>
      <c r="O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58"/>
    </row>
    <row r="789" ht="17.25" customHeight="1">
      <c r="A789" s="1"/>
      <c r="B789" s="1"/>
      <c r="C789" s="1"/>
      <c r="D789" s="1"/>
      <c r="E789" s="1"/>
      <c r="F789" s="1"/>
      <c r="K789" s="27"/>
      <c r="L789" s="27"/>
      <c r="M789" s="27"/>
      <c r="N789" s="27"/>
      <c r="O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58"/>
    </row>
    <row r="790" ht="17.25" customHeight="1">
      <c r="A790" s="1"/>
      <c r="B790" s="1"/>
      <c r="C790" s="1"/>
      <c r="D790" s="1"/>
      <c r="E790" s="1"/>
      <c r="F790" s="1"/>
      <c r="K790" s="27"/>
      <c r="L790" s="27"/>
      <c r="M790" s="27"/>
      <c r="N790" s="27"/>
      <c r="O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58"/>
    </row>
    <row r="791" ht="17.25" customHeight="1">
      <c r="A791" s="1"/>
      <c r="B791" s="1"/>
      <c r="C791" s="1"/>
      <c r="D791" s="1"/>
      <c r="E791" s="1"/>
      <c r="F791" s="1"/>
      <c r="K791" s="27"/>
      <c r="L791" s="27"/>
      <c r="M791" s="27"/>
      <c r="N791" s="27"/>
      <c r="O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58"/>
    </row>
    <row r="792" ht="17.25" customHeight="1">
      <c r="A792" s="1"/>
      <c r="B792" s="1"/>
      <c r="C792" s="1"/>
      <c r="D792" s="1"/>
      <c r="E792" s="1"/>
      <c r="F792" s="1"/>
      <c r="K792" s="27"/>
      <c r="L792" s="27"/>
      <c r="M792" s="27"/>
      <c r="N792" s="27"/>
      <c r="O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58"/>
    </row>
    <row r="793" ht="17.25" customHeight="1">
      <c r="A793" s="1"/>
      <c r="B793" s="1"/>
      <c r="C793" s="1"/>
      <c r="D793" s="1"/>
      <c r="E793" s="1"/>
      <c r="F793" s="1"/>
      <c r="K793" s="27"/>
      <c r="L793" s="27"/>
      <c r="M793" s="27"/>
      <c r="N793" s="27"/>
      <c r="O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58"/>
    </row>
    <row r="794" ht="17.25" customHeight="1">
      <c r="A794" s="1"/>
      <c r="B794" s="1"/>
      <c r="C794" s="1"/>
      <c r="D794" s="1"/>
      <c r="E794" s="1"/>
      <c r="F794" s="1"/>
      <c r="K794" s="27"/>
      <c r="L794" s="27"/>
      <c r="M794" s="27"/>
      <c r="N794" s="27"/>
      <c r="O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58"/>
    </row>
    <row r="795" ht="17.25" customHeight="1">
      <c r="A795" s="1"/>
      <c r="B795" s="1"/>
      <c r="C795" s="1"/>
      <c r="D795" s="1"/>
      <c r="E795" s="1"/>
      <c r="F795" s="1"/>
      <c r="K795" s="27"/>
      <c r="L795" s="27"/>
      <c r="M795" s="27"/>
      <c r="N795" s="27"/>
      <c r="O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58"/>
    </row>
    <row r="796" ht="17.25" customHeight="1">
      <c r="A796" s="1"/>
      <c r="B796" s="1"/>
      <c r="C796" s="1"/>
      <c r="D796" s="1"/>
      <c r="E796" s="1"/>
      <c r="F796" s="1"/>
      <c r="K796" s="27"/>
      <c r="L796" s="27"/>
      <c r="M796" s="27"/>
      <c r="N796" s="27"/>
      <c r="O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58"/>
    </row>
    <row r="797" ht="17.25" customHeight="1">
      <c r="A797" s="1"/>
      <c r="B797" s="1"/>
      <c r="C797" s="1"/>
      <c r="D797" s="1"/>
      <c r="E797" s="1"/>
      <c r="F797" s="1"/>
      <c r="K797" s="27"/>
      <c r="L797" s="27"/>
      <c r="M797" s="27"/>
      <c r="N797" s="27"/>
      <c r="O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58"/>
    </row>
    <row r="798" ht="17.25" customHeight="1">
      <c r="A798" s="1"/>
      <c r="B798" s="1"/>
      <c r="C798" s="1"/>
      <c r="D798" s="1"/>
      <c r="E798" s="1"/>
      <c r="F798" s="1"/>
      <c r="K798" s="27"/>
      <c r="L798" s="27"/>
      <c r="M798" s="27"/>
      <c r="N798" s="27"/>
      <c r="O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58"/>
    </row>
    <row r="799" ht="17.25" customHeight="1">
      <c r="A799" s="1"/>
      <c r="B799" s="1"/>
      <c r="C799" s="1"/>
      <c r="D799" s="1"/>
      <c r="E799" s="1"/>
      <c r="F799" s="1"/>
      <c r="K799" s="27"/>
      <c r="L799" s="27"/>
      <c r="M799" s="27"/>
      <c r="N799" s="27"/>
      <c r="O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58"/>
    </row>
    <row r="800" ht="17.25" customHeight="1">
      <c r="A800" s="1"/>
      <c r="B800" s="1"/>
      <c r="C800" s="1"/>
      <c r="D800" s="1"/>
      <c r="E800" s="1"/>
      <c r="F800" s="1"/>
      <c r="K800" s="27"/>
      <c r="L800" s="27"/>
      <c r="M800" s="27"/>
      <c r="N800" s="27"/>
      <c r="O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58"/>
    </row>
    <row r="801" ht="17.25" customHeight="1">
      <c r="A801" s="1"/>
      <c r="B801" s="1"/>
      <c r="C801" s="1"/>
      <c r="D801" s="1"/>
      <c r="E801" s="1"/>
      <c r="F801" s="1"/>
      <c r="K801" s="27"/>
      <c r="L801" s="27"/>
      <c r="M801" s="27"/>
      <c r="N801" s="27"/>
      <c r="O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58"/>
    </row>
    <row r="802" ht="17.25" customHeight="1">
      <c r="A802" s="1"/>
      <c r="B802" s="1"/>
      <c r="C802" s="1"/>
      <c r="D802" s="1"/>
      <c r="E802" s="1"/>
      <c r="F802" s="1"/>
      <c r="K802" s="27"/>
      <c r="L802" s="27"/>
      <c r="M802" s="27"/>
      <c r="N802" s="27"/>
      <c r="O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58"/>
    </row>
    <row r="803" ht="17.25" customHeight="1">
      <c r="A803" s="1"/>
      <c r="B803" s="1"/>
      <c r="C803" s="1"/>
      <c r="D803" s="1"/>
      <c r="E803" s="1"/>
      <c r="F803" s="1"/>
      <c r="K803" s="27"/>
      <c r="L803" s="27"/>
      <c r="M803" s="27"/>
      <c r="N803" s="27"/>
      <c r="O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58"/>
    </row>
    <row r="804" ht="17.25" customHeight="1">
      <c r="A804" s="1"/>
      <c r="B804" s="1"/>
      <c r="C804" s="1"/>
      <c r="D804" s="1"/>
      <c r="E804" s="1"/>
      <c r="F804" s="1"/>
      <c r="K804" s="27"/>
      <c r="L804" s="27"/>
      <c r="M804" s="27"/>
      <c r="N804" s="27"/>
      <c r="O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58"/>
    </row>
    <row r="805" ht="17.25" customHeight="1">
      <c r="A805" s="1"/>
      <c r="B805" s="1"/>
      <c r="C805" s="1"/>
      <c r="D805" s="1"/>
      <c r="E805" s="1"/>
      <c r="F805" s="1"/>
      <c r="K805" s="27"/>
      <c r="L805" s="27"/>
      <c r="M805" s="27"/>
      <c r="N805" s="27"/>
      <c r="O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58"/>
    </row>
    <row r="806" ht="17.25" customHeight="1">
      <c r="A806" s="1"/>
      <c r="B806" s="1"/>
      <c r="C806" s="1"/>
      <c r="D806" s="1"/>
      <c r="E806" s="1"/>
      <c r="F806" s="1"/>
      <c r="K806" s="27"/>
      <c r="L806" s="27"/>
      <c r="M806" s="27"/>
      <c r="N806" s="27"/>
      <c r="O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58"/>
    </row>
    <row r="807" ht="17.25" customHeight="1">
      <c r="A807" s="1"/>
      <c r="B807" s="1"/>
      <c r="C807" s="1"/>
      <c r="D807" s="1"/>
      <c r="E807" s="1"/>
      <c r="F807" s="1"/>
      <c r="K807" s="27"/>
      <c r="L807" s="27"/>
      <c r="M807" s="27"/>
      <c r="N807" s="27"/>
      <c r="O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58"/>
    </row>
    <row r="808" ht="17.25" customHeight="1">
      <c r="A808" s="1"/>
      <c r="B808" s="1"/>
      <c r="C808" s="1"/>
      <c r="D808" s="1"/>
      <c r="E808" s="1"/>
      <c r="F808" s="1"/>
      <c r="K808" s="27"/>
      <c r="L808" s="27"/>
      <c r="M808" s="27"/>
      <c r="N808" s="27"/>
      <c r="O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58"/>
    </row>
    <row r="809" ht="17.25" customHeight="1">
      <c r="A809" s="1"/>
      <c r="B809" s="1"/>
      <c r="C809" s="1"/>
      <c r="D809" s="1"/>
      <c r="E809" s="1"/>
      <c r="F809" s="1"/>
      <c r="K809" s="27"/>
      <c r="L809" s="27"/>
      <c r="M809" s="27"/>
      <c r="N809" s="27"/>
      <c r="O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58"/>
    </row>
    <row r="810" ht="17.25" customHeight="1">
      <c r="A810" s="1"/>
      <c r="B810" s="1"/>
      <c r="C810" s="1"/>
      <c r="D810" s="1"/>
      <c r="E810" s="1"/>
      <c r="F810" s="1"/>
      <c r="K810" s="27"/>
      <c r="L810" s="27"/>
      <c r="M810" s="27"/>
      <c r="N810" s="27"/>
      <c r="O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58"/>
    </row>
    <row r="811" ht="17.25" customHeight="1">
      <c r="A811" s="1"/>
      <c r="B811" s="1"/>
      <c r="C811" s="1"/>
      <c r="D811" s="1"/>
      <c r="E811" s="1"/>
      <c r="F811" s="1"/>
      <c r="K811" s="27"/>
      <c r="L811" s="27"/>
      <c r="M811" s="27"/>
      <c r="N811" s="27"/>
      <c r="O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58"/>
    </row>
    <row r="812" ht="17.25" customHeight="1">
      <c r="A812" s="1"/>
      <c r="B812" s="1"/>
      <c r="C812" s="1"/>
      <c r="D812" s="1"/>
      <c r="E812" s="1"/>
      <c r="F812" s="1"/>
      <c r="K812" s="27"/>
      <c r="L812" s="27"/>
      <c r="M812" s="27"/>
      <c r="N812" s="27"/>
      <c r="O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58"/>
    </row>
    <row r="813" ht="17.25" customHeight="1">
      <c r="A813" s="1"/>
      <c r="B813" s="1"/>
      <c r="C813" s="1"/>
      <c r="D813" s="1"/>
      <c r="E813" s="1"/>
      <c r="F813" s="1"/>
      <c r="K813" s="27"/>
      <c r="L813" s="27"/>
      <c r="M813" s="27"/>
      <c r="N813" s="27"/>
      <c r="O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58"/>
    </row>
    <row r="814" ht="17.25" customHeight="1">
      <c r="A814" s="1"/>
      <c r="B814" s="1"/>
      <c r="C814" s="1"/>
      <c r="D814" s="1"/>
      <c r="E814" s="1"/>
      <c r="F814" s="1"/>
      <c r="K814" s="27"/>
      <c r="L814" s="27"/>
      <c r="M814" s="27"/>
      <c r="N814" s="27"/>
      <c r="O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58"/>
    </row>
    <row r="815" ht="17.25" customHeight="1">
      <c r="A815" s="1"/>
      <c r="B815" s="1"/>
      <c r="C815" s="1"/>
      <c r="D815" s="1"/>
      <c r="E815" s="1"/>
      <c r="F815" s="1"/>
      <c r="K815" s="27"/>
      <c r="L815" s="27"/>
      <c r="M815" s="27"/>
      <c r="N815" s="27"/>
      <c r="O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58"/>
    </row>
    <row r="816" ht="17.25" customHeight="1">
      <c r="A816" s="1"/>
      <c r="B816" s="1"/>
      <c r="C816" s="1"/>
      <c r="D816" s="1"/>
      <c r="E816" s="1"/>
      <c r="F816" s="1"/>
      <c r="K816" s="27"/>
      <c r="L816" s="27"/>
      <c r="M816" s="27"/>
      <c r="N816" s="27"/>
      <c r="O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58"/>
    </row>
    <row r="817" ht="17.25" customHeight="1">
      <c r="A817" s="1"/>
      <c r="B817" s="1"/>
      <c r="C817" s="1"/>
      <c r="D817" s="1"/>
      <c r="E817" s="1"/>
      <c r="F817" s="1"/>
      <c r="K817" s="27"/>
      <c r="L817" s="27"/>
      <c r="M817" s="27"/>
      <c r="N817" s="27"/>
      <c r="O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58"/>
    </row>
    <row r="818" ht="17.25" customHeight="1">
      <c r="A818" s="1"/>
      <c r="B818" s="1"/>
      <c r="C818" s="1"/>
      <c r="D818" s="1"/>
      <c r="E818" s="1"/>
      <c r="F818" s="1"/>
      <c r="K818" s="27"/>
      <c r="L818" s="27"/>
      <c r="M818" s="27"/>
      <c r="N818" s="27"/>
      <c r="O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58"/>
    </row>
    <row r="819" ht="17.25" customHeight="1">
      <c r="A819" s="1"/>
      <c r="B819" s="1"/>
      <c r="C819" s="1"/>
      <c r="D819" s="1"/>
      <c r="E819" s="1"/>
      <c r="F819" s="1"/>
      <c r="K819" s="27"/>
      <c r="L819" s="27"/>
      <c r="M819" s="27"/>
      <c r="N819" s="27"/>
      <c r="O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58"/>
    </row>
    <row r="820" ht="17.25" customHeight="1">
      <c r="A820" s="1"/>
      <c r="B820" s="1"/>
      <c r="C820" s="1"/>
      <c r="D820" s="1"/>
      <c r="E820" s="1"/>
      <c r="F820" s="1"/>
      <c r="K820" s="27"/>
      <c r="L820" s="27"/>
      <c r="M820" s="27"/>
      <c r="N820" s="27"/>
      <c r="O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58"/>
    </row>
    <row r="821" ht="17.25" customHeight="1">
      <c r="A821" s="1"/>
      <c r="B821" s="1"/>
      <c r="C821" s="1"/>
      <c r="D821" s="1"/>
      <c r="E821" s="1"/>
      <c r="F821" s="1"/>
      <c r="K821" s="27"/>
      <c r="L821" s="27"/>
      <c r="M821" s="27"/>
      <c r="N821" s="27"/>
      <c r="O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58"/>
    </row>
    <row r="822" ht="17.25" customHeight="1">
      <c r="A822" s="1"/>
      <c r="B822" s="1"/>
      <c r="C822" s="1"/>
      <c r="D822" s="1"/>
      <c r="E822" s="1"/>
      <c r="F822" s="1"/>
      <c r="K822" s="27"/>
      <c r="L822" s="27"/>
      <c r="M822" s="27"/>
      <c r="N822" s="27"/>
      <c r="O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58"/>
    </row>
    <row r="823" ht="17.25" customHeight="1">
      <c r="A823" s="1"/>
      <c r="B823" s="1"/>
      <c r="C823" s="1"/>
      <c r="D823" s="1"/>
      <c r="E823" s="1"/>
      <c r="F823" s="1"/>
      <c r="K823" s="27"/>
      <c r="L823" s="27"/>
      <c r="M823" s="27"/>
      <c r="N823" s="27"/>
      <c r="O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58"/>
    </row>
    <row r="824" ht="17.25" customHeight="1">
      <c r="A824" s="1"/>
      <c r="B824" s="1"/>
      <c r="C824" s="1"/>
      <c r="D824" s="1"/>
      <c r="E824" s="1"/>
      <c r="F824" s="1"/>
      <c r="K824" s="27"/>
      <c r="L824" s="27"/>
      <c r="M824" s="27"/>
      <c r="N824" s="27"/>
      <c r="O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58"/>
    </row>
    <row r="825" ht="17.25" customHeight="1">
      <c r="A825" s="1"/>
      <c r="B825" s="1"/>
      <c r="C825" s="1"/>
      <c r="D825" s="1"/>
      <c r="E825" s="1"/>
      <c r="F825" s="1"/>
      <c r="K825" s="27"/>
      <c r="L825" s="27"/>
      <c r="M825" s="27"/>
      <c r="N825" s="27"/>
      <c r="O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58"/>
    </row>
    <row r="826" ht="17.25" customHeight="1">
      <c r="A826" s="1"/>
      <c r="B826" s="1"/>
      <c r="C826" s="1"/>
      <c r="D826" s="1"/>
      <c r="E826" s="1"/>
      <c r="F826" s="1"/>
      <c r="K826" s="27"/>
      <c r="L826" s="27"/>
      <c r="M826" s="27"/>
      <c r="N826" s="27"/>
      <c r="O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58"/>
    </row>
    <row r="827" ht="17.25" customHeight="1">
      <c r="A827" s="1"/>
      <c r="B827" s="1"/>
      <c r="C827" s="1"/>
      <c r="D827" s="1"/>
      <c r="E827" s="1"/>
      <c r="F827" s="1"/>
      <c r="K827" s="27"/>
      <c r="L827" s="27"/>
      <c r="M827" s="27"/>
      <c r="N827" s="27"/>
      <c r="O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58"/>
    </row>
    <row r="828" ht="17.25" customHeight="1">
      <c r="A828" s="1"/>
      <c r="B828" s="1"/>
      <c r="C828" s="1"/>
      <c r="D828" s="1"/>
      <c r="E828" s="1"/>
      <c r="F828" s="1"/>
      <c r="K828" s="27"/>
      <c r="L828" s="27"/>
      <c r="M828" s="27"/>
      <c r="N828" s="27"/>
      <c r="O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58"/>
    </row>
    <row r="829" ht="17.25" customHeight="1">
      <c r="A829" s="1"/>
      <c r="B829" s="1"/>
      <c r="C829" s="1"/>
      <c r="D829" s="1"/>
      <c r="E829" s="1"/>
      <c r="F829" s="1"/>
      <c r="K829" s="27"/>
      <c r="L829" s="27"/>
      <c r="M829" s="27"/>
      <c r="N829" s="27"/>
      <c r="O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58"/>
    </row>
    <row r="830" ht="17.25" customHeight="1">
      <c r="A830" s="1"/>
      <c r="B830" s="1"/>
      <c r="C830" s="1"/>
      <c r="D830" s="1"/>
      <c r="E830" s="1"/>
      <c r="F830" s="1"/>
      <c r="K830" s="27"/>
      <c r="L830" s="27"/>
      <c r="M830" s="27"/>
      <c r="N830" s="27"/>
      <c r="O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58"/>
    </row>
    <row r="831" ht="17.25" customHeight="1">
      <c r="A831" s="1"/>
      <c r="B831" s="1"/>
      <c r="C831" s="1"/>
      <c r="D831" s="1"/>
      <c r="E831" s="1"/>
      <c r="F831" s="1"/>
      <c r="K831" s="27"/>
      <c r="L831" s="27"/>
      <c r="M831" s="27"/>
      <c r="N831" s="27"/>
      <c r="O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58"/>
    </row>
    <row r="832" ht="17.25" customHeight="1">
      <c r="A832" s="1"/>
      <c r="B832" s="1"/>
      <c r="C832" s="1"/>
      <c r="D832" s="1"/>
      <c r="E832" s="1"/>
      <c r="F832" s="1"/>
      <c r="K832" s="27"/>
      <c r="L832" s="27"/>
      <c r="M832" s="27"/>
      <c r="N832" s="27"/>
      <c r="O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58"/>
    </row>
    <row r="833" ht="17.25" customHeight="1">
      <c r="A833" s="1"/>
      <c r="B833" s="1"/>
      <c r="C833" s="1"/>
      <c r="D833" s="1"/>
      <c r="E833" s="1"/>
      <c r="F833" s="1"/>
      <c r="K833" s="27"/>
      <c r="L833" s="27"/>
      <c r="M833" s="27"/>
      <c r="N833" s="27"/>
      <c r="O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58"/>
    </row>
    <row r="834" ht="17.25" customHeight="1">
      <c r="A834" s="1"/>
      <c r="B834" s="1"/>
      <c r="C834" s="1"/>
      <c r="D834" s="1"/>
      <c r="E834" s="1"/>
      <c r="F834" s="1"/>
      <c r="K834" s="27"/>
      <c r="L834" s="27"/>
      <c r="M834" s="27"/>
      <c r="N834" s="27"/>
      <c r="O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58"/>
    </row>
    <row r="835" ht="17.25" customHeight="1">
      <c r="A835" s="1"/>
      <c r="B835" s="1"/>
      <c r="C835" s="1"/>
      <c r="D835" s="1"/>
      <c r="E835" s="1"/>
      <c r="F835" s="1"/>
      <c r="K835" s="27"/>
      <c r="L835" s="27"/>
      <c r="M835" s="27"/>
      <c r="N835" s="27"/>
      <c r="O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58"/>
    </row>
    <row r="836" ht="17.25" customHeight="1">
      <c r="A836" s="1"/>
      <c r="B836" s="1"/>
      <c r="C836" s="1"/>
      <c r="D836" s="1"/>
      <c r="E836" s="1"/>
      <c r="F836" s="1"/>
      <c r="K836" s="27"/>
      <c r="L836" s="27"/>
      <c r="M836" s="27"/>
      <c r="N836" s="27"/>
      <c r="O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58"/>
    </row>
    <row r="837" ht="17.25" customHeight="1">
      <c r="A837" s="1"/>
      <c r="B837" s="1"/>
      <c r="C837" s="1"/>
      <c r="D837" s="1"/>
      <c r="E837" s="1"/>
      <c r="F837" s="1"/>
      <c r="K837" s="27"/>
      <c r="L837" s="27"/>
      <c r="M837" s="27"/>
      <c r="N837" s="27"/>
      <c r="O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58"/>
    </row>
    <row r="838" ht="17.25" customHeight="1">
      <c r="A838" s="1"/>
      <c r="B838" s="1"/>
      <c r="C838" s="1"/>
      <c r="D838" s="1"/>
      <c r="E838" s="1"/>
      <c r="F838" s="1"/>
      <c r="K838" s="27"/>
      <c r="L838" s="27"/>
      <c r="M838" s="27"/>
      <c r="N838" s="27"/>
      <c r="O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58"/>
    </row>
    <row r="839" ht="17.25" customHeight="1">
      <c r="A839" s="1"/>
      <c r="B839" s="1"/>
      <c r="C839" s="1"/>
      <c r="D839" s="1"/>
      <c r="E839" s="1"/>
      <c r="F839" s="1"/>
      <c r="K839" s="27"/>
      <c r="L839" s="27"/>
      <c r="M839" s="27"/>
      <c r="N839" s="27"/>
      <c r="O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58"/>
    </row>
    <row r="840" ht="17.25" customHeight="1">
      <c r="A840" s="1"/>
      <c r="B840" s="1"/>
      <c r="C840" s="1"/>
      <c r="D840" s="1"/>
      <c r="E840" s="1"/>
      <c r="F840" s="1"/>
      <c r="K840" s="27"/>
      <c r="L840" s="27"/>
      <c r="M840" s="27"/>
      <c r="N840" s="27"/>
      <c r="O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58"/>
    </row>
    <row r="841" ht="17.25" customHeight="1">
      <c r="A841" s="1"/>
      <c r="B841" s="1"/>
      <c r="C841" s="1"/>
      <c r="D841" s="1"/>
      <c r="E841" s="1"/>
      <c r="F841" s="1"/>
      <c r="K841" s="27"/>
      <c r="L841" s="27"/>
      <c r="M841" s="27"/>
      <c r="N841" s="27"/>
      <c r="O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58"/>
    </row>
    <row r="842" ht="17.25" customHeight="1">
      <c r="A842" s="1"/>
      <c r="B842" s="1"/>
      <c r="C842" s="1"/>
      <c r="D842" s="1"/>
      <c r="E842" s="1"/>
      <c r="F842" s="1"/>
      <c r="K842" s="27"/>
      <c r="L842" s="27"/>
      <c r="M842" s="27"/>
      <c r="N842" s="27"/>
      <c r="O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58"/>
    </row>
    <row r="843" ht="17.25" customHeight="1">
      <c r="A843" s="1"/>
      <c r="B843" s="1"/>
      <c r="C843" s="1"/>
      <c r="D843" s="1"/>
      <c r="E843" s="1"/>
      <c r="F843" s="1"/>
      <c r="K843" s="27"/>
      <c r="L843" s="27"/>
      <c r="M843" s="27"/>
      <c r="N843" s="27"/>
      <c r="O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58"/>
    </row>
    <row r="844" ht="17.25" customHeight="1">
      <c r="A844" s="1"/>
      <c r="B844" s="1"/>
      <c r="C844" s="1"/>
      <c r="D844" s="1"/>
      <c r="E844" s="1"/>
      <c r="F844" s="1"/>
      <c r="K844" s="27"/>
      <c r="L844" s="27"/>
      <c r="M844" s="27"/>
      <c r="N844" s="27"/>
      <c r="O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58"/>
    </row>
    <row r="845" ht="17.25" customHeight="1">
      <c r="A845" s="1"/>
      <c r="B845" s="1"/>
      <c r="C845" s="1"/>
      <c r="D845" s="1"/>
      <c r="E845" s="1"/>
      <c r="F845" s="1"/>
      <c r="K845" s="27"/>
      <c r="L845" s="27"/>
      <c r="M845" s="27"/>
      <c r="N845" s="27"/>
      <c r="O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58"/>
    </row>
    <row r="846" ht="17.25" customHeight="1">
      <c r="A846" s="1"/>
      <c r="B846" s="1"/>
      <c r="C846" s="1"/>
      <c r="D846" s="1"/>
      <c r="E846" s="1"/>
      <c r="F846" s="1"/>
      <c r="K846" s="27"/>
      <c r="L846" s="27"/>
      <c r="M846" s="27"/>
      <c r="N846" s="27"/>
      <c r="O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58"/>
    </row>
    <row r="847" ht="17.25" customHeight="1">
      <c r="A847" s="1"/>
      <c r="B847" s="1"/>
      <c r="C847" s="1"/>
      <c r="D847" s="1"/>
      <c r="E847" s="1"/>
      <c r="F847" s="1"/>
      <c r="K847" s="27"/>
      <c r="L847" s="27"/>
      <c r="M847" s="27"/>
      <c r="N847" s="27"/>
      <c r="O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58"/>
    </row>
    <row r="848" ht="17.25" customHeight="1">
      <c r="A848" s="1"/>
      <c r="B848" s="1"/>
      <c r="C848" s="1"/>
      <c r="D848" s="1"/>
      <c r="E848" s="1"/>
      <c r="F848" s="1"/>
      <c r="K848" s="27"/>
      <c r="L848" s="27"/>
      <c r="M848" s="27"/>
      <c r="N848" s="27"/>
      <c r="O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58"/>
    </row>
    <row r="849" ht="17.25" customHeight="1">
      <c r="A849" s="1"/>
      <c r="B849" s="1"/>
      <c r="C849" s="1"/>
      <c r="D849" s="1"/>
      <c r="E849" s="1"/>
      <c r="F849" s="1"/>
      <c r="K849" s="27"/>
      <c r="L849" s="27"/>
      <c r="M849" s="27"/>
      <c r="N849" s="27"/>
      <c r="O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58"/>
    </row>
    <row r="850" ht="17.25" customHeight="1">
      <c r="A850" s="1"/>
      <c r="B850" s="1"/>
      <c r="C850" s="1"/>
      <c r="D850" s="1"/>
      <c r="E850" s="1"/>
      <c r="F850" s="1"/>
      <c r="K850" s="27"/>
      <c r="L850" s="27"/>
      <c r="M850" s="27"/>
      <c r="N850" s="27"/>
      <c r="O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58"/>
    </row>
    <row r="851" ht="17.25" customHeight="1">
      <c r="A851" s="1"/>
      <c r="B851" s="1"/>
      <c r="C851" s="1"/>
      <c r="D851" s="1"/>
      <c r="E851" s="1"/>
      <c r="F851" s="1"/>
      <c r="K851" s="27"/>
      <c r="L851" s="27"/>
      <c r="M851" s="27"/>
      <c r="N851" s="27"/>
      <c r="O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58"/>
    </row>
    <row r="852" ht="17.25" customHeight="1">
      <c r="A852" s="1"/>
      <c r="B852" s="1"/>
      <c r="C852" s="1"/>
      <c r="D852" s="1"/>
      <c r="E852" s="1"/>
      <c r="F852" s="1"/>
      <c r="K852" s="27"/>
      <c r="L852" s="27"/>
      <c r="M852" s="27"/>
      <c r="N852" s="27"/>
      <c r="O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58"/>
    </row>
    <row r="853" ht="17.25" customHeight="1">
      <c r="A853" s="1"/>
      <c r="B853" s="1"/>
      <c r="C853" s="1"/>
      <c r="D853" s="1"/>
      <c r="E853" s="1"/>
      <c r="F853" s="1"/>
      <c r="K853" s="27"/>
      <c r="L853" s="27"/>
      <c r="M853" s="27"/>
      <c r="N853" s="27"/>
      <c r="O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58"/>
    </row>
    <row r="854" ht="17.25" customHeight="1">
      <c r="A854" s="1"/>
      <c r="B854" s="1"/>
      <c r="C854" s="1"/>
      <c r="D854" s="1"/>
      <c r="E854" s="1"/>
      <c r="F854" s="1"/>
      <c r="K854" s="27"/>
      <c r="L854" s="27"/>
      <c r="M854" s="27"/>
      <c r="N854" s="27"/>
      <c r="O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58"/>
    </row>
    <row r="855" ht="17.25" customHeight="1">
      <c r="A855" s="1"/>
      <c r="B855" s="1"/>
      <c r="C855" s="1"/>
      <c r="D855" s="1"/>
      <c r="E855" s="1"/>
      <c r="F855" s="1"/>
      <c r="K855" s="27"/>
      <c r="L855" s="27"/>
      <c r="M855" s="27"/>
      <c r="N855" s="27"/>
      <c r="O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58"/>
    </row>
    <row r="856" ht="17.25" customHeight="1">
      <c r="A856" s="1"/>
      <c r="B856" s="1"/>
      <c r="C856" s="1"/>
      <c r="D856" s="1"/>
      <c r="E856" s="1"/>
      <c r="F856" s="1"/>
      <c r="K856" s="27"/>
      <c r="L856" s="27"/>
      <c r="M856" s="27"/>
      <c r="N856" s="27"/>
      <c r="O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58"/>
    </row>
    <row r="857" ht="17.25" customHeight="1">
      <c r="A857" s="1"/>
      <c r="B857" s="1"/>
      <c r="C857" s="1"/>
      <c r="D857" s="1"/>
      <c r="E857" s="1"/>
      <c r="F857" s="1"/>
      <c r="K857" s="27"/>
      <c r="L857" s="27"/>
      <c r="M857" s="27"/>
      <c r="N857" s="27"/>
      <c r="O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58"/>
    </row>
    <row r="858" ht="17.25" customHeight="1">
      <c r="A858" s="1"/>
      <c r="B858" s="1"/>
      <c r="C858" s="1"/>
      <c r="D858" s="1"/>
      <c r="E858" s="1"/>
      <c r="F858" s="1"/>
      <c r="K858" s="27"/>
      <c r="L858" s="27"/>
      <c r="M858" s="27"/>
      <c r="N858" s="27"/>
      <c r="O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58"/>
    </row>
    <row r="859" ht="17.25" customHeight="1">
      <c r="A859" s="1"/>
      <c r="B859" s="1"/>
      <c r="C859" s="1"/>
      <c r="D859" s="1"/>
      <c r="E859" s="1"/>
      <c r="F859" s="1"/>
      <c r="K859" s="27"/>
      <c r="L859" s="27"/>
      <c r="M859" s="27"/>
      <c r="N859" s="27"/>
      <c r="O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58"/>
    </row>
    <row r="860" ht="17.25" customHeight="1">
      <c r="A860" s="1"/>
      <c r="B860" s="1"/>
      <c r="C860" s="1"/>
      <c r="D860" s="1"/>
      <c r="E860" s="1"/>
      <c r="F860" s="1"/>
      <c r="K860" s="27"/>
      <c r="L860" s="27"/>
      <c r="M860" s="27"/>
      <c r="N860" s="27"/>
      <c r="O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58"/>
    </row>
    <row r="861" ht="17.25" customHeight="1">
      <c r="A861" s="1"/>
      <c r="B861" s="1"/>
      <c r="C861" s="1"/>
      <c r="D861" s="1"/>
      <c r="E861" s="1"/>
      <c r="F861" s="1"/>
      <c r="K861" s="27"/>
      <c r="L861" s="27"/>
      <c r="M861" s="27"/>
      <c r="N861" s="27"/>
      <c r="O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58"/>
    </row>
    <row r="862" ht="17.25" customHeight="1">
      <c r="A862" s="1"/>
      <c r="B862" s="1"/>
      <c r="C862" s="1"/>
      <c r="D862" s="1"/>
      <c r="E862" s="1"/>
      <c r="F862" s="1"/>
      <c r="K862" s="27"/>
      <c r="L862" s="27"/>
      <c r="M862" s="27"/>
      <c r="N862" s="27"/>
      <c r="O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58"/>
    </row>
    <row r="863" ht="17.25" customHeight="1">
      <c r="A863" s="1"/>
      <c r="B863" s="1"/>
      <c r="C863" s="1"/>
      <c r="D863" s="1"/>
      <c r="E863" s="1"/>
      <c r="F863" s="1"/>
      <c r="K863" s="27"/>
      <c r="L863" s="27"/>
      <c r="M863" s="27"/>
      <c r="N863" s="27"/>
      <c r="O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58"/>
    </row>
    <row r="864" ht="17.25" customHeight="1">
      <c r="A864" s="1"/>
      <c r="B864" s="1"/>
      <c r="C864" s="1"/>
      <c r="D864" s="1"/>
      <c r="E864" s="1"/>
      <c r="F864" s="1"/>
      <c r="K864" s="27"/>
      <c r="L864" s="27"/>
      <c r="M864" s="27"/>
      <c r="N864" s="27"/>
      <c r="O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58"/>
    </row>
    <row r="865" ht="17.25" customHeight="1">
      <c r="A865" s="1"/>
      <c r="B865" s="1"/>
      <c r="C865" s="1"/>
      <c r="D865" s="1"/>
      <c r="E865" s="1"/>
      <c r="F865" s="1"/>
      <c r="K865" s="27"/>
      <c r="L865" s="27"/>
      <c r="M865" s="27"/>
      <c r="N865" s="27"/>
      <c r="O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58"/>
    </row>
    <row r="866" ht="17.25" customHeight="1">
      <c r="A866" s="1"/>
      <c r="B866" s="1"/>
      <c r="C866" s="1"/>
      <c r="D866" s="1"/>
      <c r="E866" s="1"/>
      <c r="F866" s="1"/>
      <c r="K866" s="27"/>
      <c r="L866" s="27"/>
      <c r="M866" s="27"/>
      <c r="N866" s="27"/>
      <c r="O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58"/>
    </row>
    <row r="867" ht="17.25" customHeight="1">
      <c r="A867" s="1"/>
      <c r="B867" s="1"/>
      <c r="C867" s="1"/>
      <c r="D867" s="1"/>
      <c r="E867" s="1"/>
      <c r="F867" s="1"/>
      <c r="K867" s="27"/>
      <c r="L867" s="27"/>
      <c r="M867" s="27"/>
      <c r="N867" s="27"/>
      <c r="O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58"/>
    </row>
    <row r="868" ht="17.25" customHeight="1">
      <c r="A868" s="1"/>
      <c r="B868" s="1"/>
      <c r="C868" s="1"/>
      <c r="D868" s="1"/>
      <c r="E868" s="1"/>
      <c r="F868" s="1"/>
      <c r="K868" s="27"/>
      <c r="L868" s="27"/>
      <c r="M868" s="27"/>
      <c r="N868" s="27"/>
      <c r="O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58"/>
    </row>
    <row r="869" ht="17.25" customHeight="1">
      <c r="A869" s="1"/>
      <c r="B869" s="1"/>
      <c r="C869" s="1"/>
      <c r="D869" s="1"/>
      <c r="E869" s="1"/>
      <c r="F869" s="1"/>
      <c r="K869" s="27"/>
      <c r="L869" s="27"/>
      <c r="M869" s="27"/>
      <c r="N869" s="27"/>
      <c r="O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58"/>
    </row>
    <row r="870" ht="17.25" customHeight="1">
      <c r="A870" s="1"/>
      <c r="B870" s="1"/>
      <c r="C870" s="1"/>
      <c r="D870" s="1"/>
      <c r="E870" s="1"/>
      <c r="F870" s="1"/>
      <c r="K870" s="27"/>
      <c r="L870" s="27"/>
      <c r="M870" s="27"/>
      <c r="N870" s="27"/>
      <c r="O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58"/>
    </row>
    <row r="871" ht="17.25" customHeight="1">
      <c r="A871" s="1"/>
      <c r="B871" s="1"/>
      <c r="C871" s="1"/>
      <c r="D871" s="1"/>
      <c r="E871" s="1"/>
      <c r="F871" s="1"/>
      <c r="K871" s="27"/>
      <c r="L871" s="27"/>
      <c r="M871" s="27"/>
      <c r="N871" s="27"/>
      <c r="O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58"/>
    </row>
    <row r="872" ht="17.25" customHeight="1">
      <c r="A872" s="1"/>
      <c r="B872" s="1"/>
      <c r="C872" s="1"/>
      <c r="D872" s="1"/>
      <c r="E872" s="1"/>
      <c r="F872" s="1"/>
      <c r="K872" s="27"/>
      <c r="L872" s="27"/>
      <c r="M872" s="27"/>
      <c r="N872" s="27"/>
      <c r="O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58"/>
    </row>
    <row r="873" ht="17.25" customHeight="1">
      <c r="A873" s="1"/>
      <c r="B873" s="1"/>
      <c r="C873" s="1"/>
      <c r="D873" s="1"/>
      <c r="E873" s="1"/>
      <c r="F873" s="1"/>
      <c r="K873" s="27"/>
      <c r="L873" s="27"/>
      <c r="M873" s="27"/>
      <c r="N873" s="27"/>
      <c r="O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58"/>
    </row>
    <row r="874" ht="17.25" customHeight="1">
      <c r="A874" s="1"/>
      <c r="B874" s="1"/>
      <c r="C874" s="1"/>
      <c r="D874" s="1"/>
      <c r="E874" s="1"/>
      <c r="F874" s="1"/>
      <c r="K874" s="27"/>
      <c r="L874" s="27"/>
      <c r="M874" s="27"/>
      <c r="N874" s="27"/>
      <c r="O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58"/>
    </row>
    <row r="875" ht="17.25" customHeight="1">
      <c r="A875" s="1"/>
      <c r="B875" s="1"/>
      <c r="C875" s="1"/>
      <c r="D875" s="1"/>
      <c r="E875" s="1"/>
      <c r="F875" s="1"/>
      <c r="K875" s="27"/>
      <c r="L875" s="27"/>
      <c r="M875" s="27"/>
      <c r="N875" s="27"/>
      <c r="O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58"/>
    </row>
    <row r="876" ht="17.25" customHeight="1">
      <c r="A876" s="1"/>
      <c r="B876" s="1"/>
      <c r="C876" s="1"/>
      <c r="D876" s="1"/>
      <c r="E876" s="1"/>
      <c r="F876" s="1"/>
      <c r="K876" s="27"/>
      <c r="L876" s="27"/>
      <c r="M876" s="27"/>
      <c r="N876" s="27"/>
      <c r="O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58"/>
    </row>
    <row r="877" ht="17.25" customHeight="1">
      <c r="A877" s="1"/>
      <c r="B877" s="1"/>
      <c r="C877" s="1"/>
      <c r="D877" s="1"/>
      <c r="E877" s="1"/>
      <c r="F877" s="1"/>
      <c r="K877" s="27"/>
      <c r="L877" s="27"/>
      <c r="M877" s="27"/>
      <c r="N877" s="27"/>
      <c r="O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58"/>
    </row>
    <row r="878" ht="17.25" customHeight="1">
      <c r="A878" s="1"/>
      <c r="B878" s="1"/>
      <c r="C878" s="1"/>
      <c r="D878" s="1"/>
      <c r="E878" s="1"/>
      <c r="F878" s="1"/>
      <c r="K878" s="27"/>
      <c r="L878" s="27"/>
      <c r="M878" s="27"/>
      <c r="N878" s="27"/>
      <c r="O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58"/>
    </row>
    <row r="879" ht="17.25" customHeight="1">
      <c r="A879" s="1"/>
      <c r="B879" s="1"/>
      <c r="C879" s="1"/>
      <c r="D879" s="1"/>
      <c r="E879" s="1"/>
      <c r="F879" s="1"/>
      <c r="K879" s="27"/>
      <c r="L879" s="27"/>
      <c r="M879" s="27"/>
      <c r="N879" s="27"/>
      <c r="O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58"/>
    </row>
    <row r="880" ht="17.25" customHeight="1">
      <c r="A880" s="1"/>
      <c r="B880" s="1"/>
      <c r="C880" s="1"/>
      <c r="D880" s="1"/>
      <c r="E880" s="1"/>
      <c r="F880" s="1"/>
      <c r="K880" s="27"/>
      <c r="L880" s="27"/>
      <c r="M880" s="27"/>
      <c r="N880" s="27"/>
      <c r="O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58"/>
    </row>
    <row r="881" ht="17.25" customHeight="1">
      <c r="A881" s="1"/>
      <c r="B881" s="1"/>
      <c r="C881" s="1"/>
      <c r="D881" s="1"/>
      <c r="E881" s="1"/>
      <c r="F881" s="1"/>
      <c r="K881" s="27"/>
      <c r="L881" s="27"/>
      <c r="M881" s="27"/>
      <c r="N881" s="27"/>
      <c r="O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58"/>
    </row>
    <row r="882" ht="17.25" customHeight="1">
      <c r="A882" s="1"/>
      <c r="B882" s="1"/>
      <c r="C882" s="1"/>
      <c r="D882" s="1"/>
      <c r="E882" s="1"/>
      <c r="F882" s="1"/>
      <c r="K882" s="27"/>
      <c r="L882" s="27"/>
      <c r="M882" s="27"/>
      <c r="N882" s="27"/>
      <c r="O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58"/>
    </row>
    <row r="883" ht="17.25" customHeight="1">
      <c r="A883" s="1"/>
      <c r="B883" s="1"/>
      <c r="C883" s="1"/>
      <c r="D883" s="1"/>
      <c r="E883" s="1"/>
      <c r="F883" s="1"/>
      <c r="K883" s="27"/>
      <c r="L883" s="27"/>
      <c r="M883" s="27"/>
      <c r="N883" s="27"/>
      <c r="O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58"/>
    </row>
    <row r="884" ht="17.25" customHeight="1">
      <c r="A884" s="1"/>
      <c r="B884" s="1"/>
      <c r="C884" s="1"/>
      <c r="D884" s="1"/>
      <c r="E884" s="1"/>
      <c r="F884" s="1"/>
      <c r="K884" s="27"/>
      <c r="L884" s="27"/>
      <c r="M884" s="27"/>
      <c r="N884" s="27"/>
      <c r="O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58"/>
    </row>
    <row r="885" ht="17.25" customHeight="1">
      <c r="A885" s="1"/>
      <c r="B885" s="1"/>
      <c r="C885" s="1"/>
      <c r="D885" s="1"/>
      <c r="E885" s="1"/>
      <c r="F885" s="1"/>
      <c r="K885" s="27"/>
      <c r="L885" s="27"/>
      <c r="M885" s="27"/>
      <c r="N885" s="27"/>
      <c r="O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58"/>
    </row>
    <row r="886" ht="17.25" customHeight="1">
      <c r="A886" s="1"/>
      <c r="B886" s="1"/>
      <c r="C886" s="1"/>
      <c r="D886" s="1"/>
      <c r="E886" s="1"/>
      <c r="F886" s="1"/>
      <c r="K886" s="27"/>
      <c r="L886" s="27"/>
      <c r="M886" s="27"/>
      <c r="N886" s="27"/>
      <c r="O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58"/>
    </row>
    <row r="887" ht="17.25" customHeight="1">
      <c r="A887" s="1"/>
      <c r="B887" s="1"/>
      <c r="C887" s="1"/>
      <c r="D887" s="1"/>
      <c r="E887" s="1"/>
      <c r="F887" s="1"/>
      <c r="K887" s="27"/>
      <c r="L887" s="27"/>
      <c r="M887" s="27"/>
      <c r="N887" s="27"/>
      <c r="O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58"/>
    </row>
    <row r="888" ht="17.25" customHeight="1">
      <c r="A888" s="1"/>
      <c r="B888" s="1"/>
      <c r="C888" s="1"/>
      <c r="D888" s="1"/>
      <c r="E888" s="1"/>
      <c r="F888" s="1"/>
      <c r="K888" s="27"/>
      <c r="L888" s="27"/>
      <c r="M888" s="27"/>
      <c r="N888" s="27"/>
      <c r="O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58"/>
    </row>
    <row r="889" ht="17.25" customHeight="1">
      <c r="A889" s="1"/>
      <c r="B889" s="1"/>
      <c r="C889" s="1"/>
      <c r="D889" s="1"/>
      <c r="E889" s="1"/>
      <c r="F889" s="1"/>
      <c r="K889" s="27"/>
      <c r="L889" s="27"/>
      <c r="M889" s="27"/>
      <c r="N889" s="27"/>
      <c r="O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58"/>
    </row>
    <row r="890" ht="17.25" customHeight="1">
      <c r="A890" s="1"/>
      <c r="B890" s="1"/>
      <c r="C890" s="1"/>
      <c r="D890" s="1"/>
      <c r="E890" s="1"/>
      <c r="F890" s="1"/>
      <c r="K890" s="27"/>
      <c r="L890" s="27"/>
      <c r="M890" s="27"/>
      <c r="N890" s="27"/>
      <c r="O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58"/>
    </row>
    <row r="891" ht="17.25" customHeight="1">
      <c r="A891" s="1"/>
      <c r="B891" s="1"/>
      <c r="C891" s="1"/>
      <c r="D891" s="1"/>
      <c r="E891" s="1"/>
      <c r="F891" s="1"/>
      <c r="K891" s="27"/>
      <c r="L891" s="27"/>
      <c r="M891" s="27"/>
      <c r="N891" s="27"/>
      <c r="O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58"/>
    </row>
    <row r="892" ht="17.25" customHeight="1">
      <c r="A892" s="1"/>
      <c r="B892" s="1"/>
      <c r="C892" s="1"/>
      <c r="D892" s="1"/>
      <c r="E892" s="1"/>
      <c r="F892" s="1"/>
      <c r="K892" s="27"/>
      <c r="L892" s="27"/>
      <c r="M892" s="27"/>
      <c r="N892" s="27"/>
      <c r="O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58"/>
    </row>
    <row r="893" ht="17.25" customHeight="1">
      <c r="A893" s="1"/>
      <c r="B893" s="1"/>
      <c r="C893" s="1"/>
      <c r="D893" s="1"/>
      <c r="E893" s="1"/>
      <c r="F893" s="1"/>
      <c r="K893" s="27"/>
      <c r="L893" s="27"/>
      <c r="M893" s="27"/>
      <c r="N893" s="27"/>
      <c r="O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58"/>
    </row>
    <row r="894" ht="17.25" customHeight="1">
      <c r="A894" s="1"/>
      <c r="B894" s="1"/>
      <c r="C894" s="1"/>
      <c r="D894" s="1"/>
      <c r="E894" s="1"/>
      <c r="F894" s="1"/>
      <c r="K894" s="27"/>
      <c r="L894" s="27"/>
      <c r="M894" s="27"/>
      <c r="N894" s="27"/>
      <c r="O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58"/>
    </row>
    <row r="895" ht="17.25" customHeight="1">
      <c r="A895" s="1"/>
      <c r="B895" s="1"/>
      <c r="C895" s="1"/>
      <c r="D895" s="1"/>
      <c r="E895" s="1"/>
      <c r="F895" s="1"/>
      <c r="K895" s="27"/>
      <c r="L895" s="27"/>
      <c r="M895" s="27"/>
      <c r="N895" s="27"/>
      <c r="O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58"/>
    </row>
    <row r="896" ht="17.25" customHeight="1">
      <c r="A896" s="1"/>
      <c r="B896" s="1"/>
      <c r="C896" s="1"/>
      <c r="D896" s="1"/>
      <c r="E896" s="1"/>
      <c r="F896" s="1"/>
      <c r="K896" s="27"/>
      <c r="L896" s="27"/>
      <c r="M896" s="27"/>
      <c r="N896" s="27"/>
      <c r="O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58"/>
    </row>
    <row r="897" ht="17.25" customHeight="1">
      <c r="A897" s="1"/>
      <c r="B897" s="1"/>
      <c r="C897" s="1"/>
      <c r="D897" s="1"/>
      <c r="E897" s="1"/>
      <c r="F897" s="1"/>
      <c r="K897" s="27"/>
      <c r="L897" s="27"/>
      <c r="M897" s="27"/>
      <c r="N897" s="27"/>
      <c r="O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58"/>
    </row>
    <row r="898" ht="17.25" customHeight="1">
      <c r="A898" s="1"/>
      <c r="B898" s="1"/>
      <c r="C898" s="1"/>
      <c r="D898" s="1"/>
      <c r="E898" s="1"/>
      <c r="F898" s="1"/>
      <c r="K898" s="27"/>
      <c r="L898" s="27"/>
      <c r="M898" s="27"/>
      <c r="N898" s="27"/>
      <c r="O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58"/>
    </row>
    <row r="899" ht="17.25" customHeight="1">
      <c r="A899" s="1"/>
      <c r="B899" s="1"/>
      <c r="C899" s="1"/>
      <c r="D899" s="1"/>
      <c r="E899" s="1"/>
      <c r="F899" s="1"/>
      <c r="K899" s="27"/>
      <c r="L899" s="27"/>
      <c r="M899" s="27"/>
      <c r="N899" s="27"/>
      <c r="O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58"/>
    </row>
    <row r="900" ht="17.25" customHeight="1">
      <c r="A900" s="1"/>
      <c r="B900" s="1"/>
      <c r="C900" s="1"/>
      <c r="D900" s="1"/>
      <c r="E900" s="1"/>
      <c r="F900" s="1"/>
      <c r="K900" s="27"/>
      <c r="L900" s="27"/>
      <c r="M900" s="27"/>
      <c r="N900" s="27"/>
      <c r="O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58"/>
    </row>
    <row r="901" ht="17.25" customHeight="1">
      <c r="A901" s="1"/>
      <c r="B901" s="1"/>
      <c r="C901" s="1"/>
      <c r="D901" s="1"/>
      <c r="E901" s="1"/>
      <c r="F901" s="1"/>
      <c r="K901" s="27"/>
      <c r="L901" s="27"/>
      <c r="M901" s="27"/>
      <c r="N901" s="27"/>
      <c r="O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58"/>
    </row>
    <row r="902" ht="17.25" customHeight="1">
      <c r="A902" s="1"/>
      <c r="B902" s="1"/>
      <c r="C902" s="1"/>
      <c r="D902" s="1"/>
      <c r="E902" s="1"/>
      <c r="F902" s="1"/>
      <c r="K902" s="27"/>
      <c r="L902" s="27"/>
      <c r="M902" s="27"/>
      <c r="N902" s="27"/>
      <c r="O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58"/>
    </row>
    <row r="903" ht="17.25" customHeight="1">
      <c r="A903" s="1"/>
      <c r="B903" s="1"/>
      <c r="C903" s="1"/>
      <c r="D903" s="1"/>
      <c r="E903" s="1"/>
      <c r="F903" s="1"/>
      <c r="K903" s="27"/>
      <c r="L903" s="27"/>
      <c r="M903" s="27"/>
      <c r="N903" s="27"/>
      <c r="O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58"/>
    </row>
    <row r="904" ht="17.25" customHeight="1">
      <c r="A904" s="1"/>
      <c r="B904" s="1"/>
      <c r="C904" s="1"/>
      <c r="D904" s="1"/>
      <c r="E904" s="1"/>
      <c r="F904" s="1"/>
      <c r="K904" s="27"/>
      <c r="L904" s="27"/>
      <c r="M904" s="27"/>
      <c r="N904" s="27"/>
      <c r="O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58"/>
    </row>
    <row r="905" ht="17.25" customHeight="1">
      <c r="A905" s="1"/>
      <c r="B905" s="1"/>
      <c r="C905" s="1"/>
      <c r="D905" s="1"/>
      <c r="E905" s="1"/>
      <c r="F905" s="1"/>
      <c r="K905" s="27"/>
      <c r="L905" s="27"/>
      <c r="M905" s="27"/>
      <c r="N905" s="27"/>
      <c r="O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58"/>
    </row>
    <row r="906" ht="17.25" customHeight="1">
      <c r="A906" s="1"/>
      <c r="B906" s="1"/>
      <c r="C906" s="1"/>
      <c r="D906" s="1"/>
      <c r="E906" s="1"/>
      <c r="F906" s="1"/>
      <c r="K906" s="27"/>
      <c r="L906" s="27"/>
      <c r="M906" s="27"/>
      <c r="N906" s="27"/>
      <c r="O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58"/>
    </row>
    <row r="907" ht="17.25" customHeight="1">
      <c r="A907" s="1"/>
      <c r="B907" s="1"/>
      <c r="C907" s="1"/>
      <c r="D907" s="1"/>
      <c r="E907" s="1"/>
      <c r="F907" s="1"/>
      <c r="K907" s="27"/>
      <c r="L907" s="27"/>
      <c r="M907" s="27"/>
      <c r="N907" s="27"/>
      <c r="O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58"/>
    </row>
    <row r="908" ht="17.25" customHeight="1">
      <c r="A908" s="1"/>
      <c r="B908" s="1"/>
      <c r="C908" s="1"/>
      <c r="D908" s="1"/>
      <c r="E908" s="1"/>
      <c r="F908" s="1"/>
      <c r="K908" s="27"/>
      <c r="L908" s="27"/>
      <c r="M908" s="27"/>
      <c r="N908" s="27"/>
      <c r="O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58"/>
    </row>
    <row r="909" ht="17.25" customHeight="1">
      <c r="A909" s="1"/>
      <c r="B909" s="1"/>
      <c r="C909" s="1"/>
      <c r="D909" s="1"/>
      <c r="E909" s="1"/>
      <c r="F909" s="1"/>
      <c r="K909" s="27"/>
      <c r="L909" s="27"/>
      <c r="M909" s="27"/>
      <c r="N909" s="27"/>
      <c r="O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58"/>
    </row>
    <row r="910" ht="17.25" customHeight="1">
      <c r="A910" s="1"/>
      <c r="B910" s="1"/>
      <c r="C910" s="1"/>
      <c r="D910" s="1"/>
      <c r="E910" s="1"/>
      <c r="F910" s="1"/>
      <c r="K910" s="27"/>
      <c r="L910" s="27"/>
      <c r="M910" s="27"/>
      <c r="N910" s="27"/>
      <c r="O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58"/>
    </row>
    <row r="911" ht="17.25" customHeight="1">
      <c r="A911" s="1"/>
      <c r="B911" s="1"/>
      <c r="C911" s="1"/>
      <c r="D911" s="1"/>
      <c r="E911" s="1"/>
      <c r="F911" s="1"/>
      <c r="K911" s="27"/>
      <c r="L911" s="27"/>
      <c r="M911" s="27"/>
      <c r="N911" s="27"/>
      <c r="O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58"/>
    </row>
    <row r="912" ht="17.25" customHeight="1">
      <c r="A912" s="1"/>
      <c r="B912" s="1"/>
      <c r="C912" s="1"/>
      <c r="D912" s="1"/>
      <c r="E912" s="1"/>
      <c r="F912" s="1"/>
      <c r="K912" s="27"/>
      <c r="L912" s="27"/>
      <c r="M912" s="27"/>
      <c r="N912" s="27"/>
      <c r="O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58"/>
    </row>
    <row r="913" ht="17.25" customHeight="1">
      <c r="A913" s="1"/>
      <c r="B913" s="1"/>
      <c r="C913" s="1"/>
      <c r="D913" s="1"/>
      <c r="E913" s="1"/>
      <c r="F913" s="1"/>
      <c r="K913" s="27"/>
      <c r="L913" s="27"/>
      <c r="M913" s="27"/>
      <c r="N913" s="27"/>
      <c r="O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58"/>
    </row>
    <row r="914" ht="17.25" customHeight="1">
      <c r="A914" s="1"/>
      <c r="B914" s="1"/>
      <c r="C914" s="1"/>
      <c r="D914" s="1"/>
      <c r="E914" s="1"/>
      <c r="F914" s="1"/>
      <c r="K914" s="27"/>
      <c r="L914" s="27"/>
      <c r="M914" s="27"/>
      <c r="N914" s="27"/>
      <c r="O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58"/>
    </row>
    <row r="915" ht="17.25" customHeight="1">
      <c r="A915" s="1"/>
      <c r="B915" s="1"/>
      <c r="C915" s="1"/>
      <c r="D915" s="1"/>
      <c r="E915" s="1"/>
      <c r="F915" s="1"/>
      <c r="K915" s="27"/>
      <c r="L915" s="27"/>
      <c r="M915" s="27"/>
      <c r="N915" s="27"/>
      <c r="O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58"/>
    </row>
    <row r="916" ht="17.25" customHeight="1">
      <c r="A916" s="1"/>
      <c r="B916" s="1"/>
      <c r="C916" s="1"/>
      <c r="D916" s="1"/>
      <c r="E916" s="1"/>
      <c r="F916" s="1"/>
      <c r="K916" s="27"/>
      <c r="L916" s="27"/>
      <c r="M916" s="27"/>
      <c r="N916" s="27"/>
      <c r="O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58"/>
    </row>
    <row r="917" ht="17.25" customHeight="1">
      <c r="A917" s="1"/>
      <c r="B917" s="1"/>
      <c r="C917" s="1"/>
      <c r="D917" s="1"/>
      <c r="E917" s="1"/>
      <c r="F917" s="1"/>
      <c r="K917" s="27"/>
      <c r="L917" s="27"/>
      <c r="M917" s="27"/>
      <c r="N917" s="27"/>
      <c r="O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58"/>
    </row>
    <row r="918" ht="17.25" customHeight="1">
      <c r="A918" s="1"/>
      <c r="B918" s="1"/>
      <c r="C918" s="1"/>
      <c r="D918" s="1"/>
      <c r="E918" s="1"/>
      <c r="F918" s="1"/>
      <c r="K918" s="27"/>
      <c r="L918" s="27"/>
      <c r="M918" s="27"/>
      <c r="N918" s="27"/>
      <c r="O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58"/>
    </row>
    <row r="919" ht="17.25" customHeight="1">
      <c r="A919" s="1"/>
      <c r="B919" s="1"/>
      <c r="C919" s="1"/>
      <c r="D919" s="1"/>
      <c r="E919" s="1"/>
      <c r="F919" s="1"/>
      <c r="K919" s="27"/>
      <c r="L919" s="27"/>
      <c r="M919" s="27"/>
      <c r="N919" s="27"/>
      <c r="O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58"/>
    </row>
    <row r="920" ht="17.25" customHeight="1">
      <c r="A920" s="1"/>
      <c r="B920" s="1"/>
      <c r="C920" s="1"/>
      <c r="D920" s="1"/>
      <c r="E920" s="1"/>
      <c r="F920" s="1"/>
      <c r="K920" s="27"/>
      <c r="L920" s="27"/>
      <c r="M920" s="27"/>
      <c r="N920" s="27"/>
      <c r="O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58"/>
    </row>
    <row r="921" ht="17.25" customHeight="1">
      <c r="A921" s="1"/>
      <c r="B921" s="1"/>
      <c r="C921" s="1"/>
      <c r="D921" s="1"/>
      <c r="E921" s="1"/>
      <c r="F921" s="1"/>
      <c r="K921" s="27"/>
      <c r="L921" s="27"/>
      <c r="M921" s="27"/>
      <c r="N921" s="27"/>
      <c r="O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58"/>
    </row>
    <row r="922" ht="17.25" customHeight="1">
      <c r="A922" s="1"/>
      <c r="B922" s="1"/>
      <c r="C922" s="1"/>
      <c r="D922" s="1"/>
      <c r="E922" s="1"/>
      <c r="F922" s="1"/>
      <c r="K922" s="27"/>
      <c r="L922" s="27"/>
      <c r="M922" s="27"/>
      <c r="N922" s="27"/>
      <c r="O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58"/>
    </row>
    <row r="923" ht="17.25" customHeight="1">
      <c r="A923" s="1"/>
      <c r="B923" s="1"/>
      <c r="C923" s="1"/>
      <c r="D923" s="1"/>
      <c r="E923" s="1"/>
      <c r="F923" s="1"/>
      <c r="K923" s="27"/>
      <c r="L923" s="27"/>
      <c r="M923" s="27"/>
      <c r="N923" s="27"/>
      <c r="O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58"/>
    </row>
    <row r="924" ht="17.25" customHeight="1">
      <c r="A924" s="1"/>
      <c r="B924" s="1"/>
      <c r="C924" s="1"/>
      <c r="D924" s="1"/>
      <c r="E924" s="1"/>
      <c r="F924" s="1"/>
      <c r="K924" s="27"/>
      <c r="L924" s="27"/>
      <c r="M924" s="27"/>
      <c r="N924" s="27"/>
      <c r="O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58"/>
    </row>
    <row r="925" ht="17.25" customHeight="1">
      <c r="A925" s="1"/>
      <c r="B925" s="1"/>
      <c r="C925" s="1"/>
      <c r="D925" s="1"/>
      <c r="E925" s="1"/>
      <c r="F925" s="1"/>
      <c r="K925" s="27"/>
      <c r="L925" s="27"/>
      <c r="M925" s="27"/>
      <c r="N925" s="27"/>
      <c r="O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58"/>
    </row>
    <row r="926" ht="17.25" customHeight="1">
      <c r="A926" s="1"/>
      <c r="B926" s="1"/>
      <c r="C926" s="1"/>
      <c r="D926" s="1"/>
      <c r="E926" s="1"/>
      <c r="F926" s="1"/>
      <c r="K926" s="27"/>
      <c r="L926" s="27"/>
      <c r="M926" s="27"/>
      <c r="N926" s="27"/>
      <c r="O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58"/>
    </row>
    <row r="927" ht="17.25" customHeight="1">
      <c r="A927" s="1"/>
      <c r="B927" s="1"/>
      <c r="C927" s="1"/>
      <c r="D927" s="1"/>
      <c r="E927" s="1"/>
      <c r="F927" s="1"/>
      <c r="K927" s="27"/>
      <c r="L927" s="27"/>
      <c r="M927" s="27"/>
      <c r="N927" s="27"/>
      <c r="O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58"/>
    </row>
    <row r="928" ht="17.25" customHeight="1">
      <c r="A928" s="1"/>
      <c r="B928" s="1"/>
      <c r="C928" s="1"/>
      <c r="D928" s="1"/>
      <c r="E928" s="1"/>
      <c r="F928" s="1"/>
      <c r="K928" s="27"/>
      <c r="L928" s="27"/>
      <c r="M928" s="27"/>
      <c r="N928" s="27"/>
      <c r="O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58"/>
    </row>
    <row r="929" ht="17.25" customHeight="1">
      <c r="A929" s="1"/>
      <c r="B929" s="1"/>
      <c r="C929" s="1"/>
      <c r="D929" s="1"/>
      <c r="E929" s="1"/>
      <c r="F929" s="1"/>
      <c r="K929" s="27"/>
      <c r="L929" s="27"/>
      <c r="M929" s="27"/>
      <c r="N929" s="27"/>
      <c r="O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58"/>
    </row>
    <row r="930" ht="17.25" customHeight="1">
      <c r="A930" s="1"/>
      <c r="B930" s="1"/>
      <c r="C930" s="1"/>
      <c r="D930" s="1"/>
      <c r="E930" s="1"/>
      <c r="F930" s="1"/>
      <c r="K930" s="27"/>
      <c r="L930" s="27"/>
      <c r="M930" s="27"/>
      <c r="N930" s="27"/>
      <c r="O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58"/>
    </row>
    <row r="931" ht="17.25" customHeight="1">
      <c r="A931" s="1"/>
      <c r="B931" s="1"/>
      <c r="C931" s="1"/>
      <c r="D931" s="1"/>
      <c r="E931" s="1"/>
      <c r="F931" s="1"/>
      <c r="K931" s="27"/>
      <c r="L931" s="27"/>
      <c r="M931" s="27"/>
      <c r="N931" s="27"/>
      <c r="O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58"/>
    </row>
    <row r="932" ht="17.25" customHeight="1">
      <c r="A932" s="1"/>
      <c r="B932" s="1"/>
      <c r="C932" s="1"/>
      <c r="D932" s="1"/>
      <c r="E932" s="1"/>
      <c r="F932" s="1"/>
      <c r="K932" s="27"/>
      <c r="L932" s="27"/>
      <c r="M932" s="27"/>
      <c r="N932" s="27"/>
      <c r="O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58"/>
    </row>
    <row r="933" ht="17.25" customHeight="1">
      <c r="A933" s="1"/>
      <c r="B933" s="1"/>
      <c r="C933" s="1"/>
      <c r="D933" s="1"/>
      <c r="E933" s="1"/>
      <c r="F933" s="1"/>
      <c r="K933" s="27"/>
      <c r="L933" s="27"/>
      <c r="M933" s="27"/>
      <c r="N933" s="27"/>
      <c r="O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58"/>
    </row>
    <row r="934" ht="17.25" customHeight="1">
      <c r="A934" s="1"/>
      <c r="B934" s="1"/>
      <c r="C934" s="1"/>
      <c r="D934" s="1"/>
      <c r="E934" s="1"/>
      <c r="F934" s="1"/>
      <c r="K934" s="27"/>
      <c r="L934" s="27"/>
      <c r="M934" s="27"/>
      <c r="N934" s="27"/>
      <c r="O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58"/>
    </row>
    <row r="935" ht="17.25" customHeight="1">
      <c r="A935" s="1"/>
      <c r="B935" s="1"/>
      <c r="C935" s="1"/>
      <c r="D935" s="1"/>
      <c r="E935" s="1"/>
      <c r="F935" s="1"/>
      <c r="K935" s="27"/>
      <c r="L935" s="27"/>
      <c r="M935" s="27"/>
      <c r="N935" s="27"/>
      <c r="O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58"/>
    </row>
    <row r="936" ht="17.25" customHeight="1">
      <c r="A936" s="1"/>
      <c r="B936" s="1"/>
      <c r="C936" s="1"/>
      <c r="D936" s="1"/>
      <c r="E936" s="1"/>
      <c r="F936" s="1"/>
      <c r="K936" s="27"/>
      <c r="L936" s="27"/>
      <c r="M936" s="27"/>
      <c r="N936" s="27"/>
      <c r="O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58"/>
    </row>
    <row r="937" ht="17.25" customHeight="1">
      <c r="A937" s="1"/>
      <c r="B937" s="1"/>
      <c r="C937" s="1"/>
      <c r="D937" s="1"/>
      <c r="E937" s="1"/>
      <c r="F937" s="1"/>
      <c r="K937" s="27"/>
      <c r="L937" s="27"/>
      <c r="M937" s="27"/>
      <c r="N937" s="27"/>
      <c r="O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58"/>
    </row>
    <row r="938" ht="17.25" customHeight="1">
      <c r="A938" s="1"/>
      <c r="B938" s="1"/>
      <c r="C938" s="1"/>
      <c r="D938" s="1"/>
      <c r="E938" s="1"/>
      <c r="F938" s="1"/>
      <c r="K938" s="27"/>
      <c r="L938" s="27"/>
      <c r="M938" s="27"/>
      <c r="N938" s="27"/>
      <c r="O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58"/>
    </row>
    <row r="939" ht="17.25" customHeight="1">
      <c r="A939" s="1"/>
      <c r="B939" s="1"/>
      <c r="C939" s="1"/>
      <c r="D939" s="1"/>
      <c r="E939" s="1"/>
      <c r="F939" s="1"/>
      <c r="K939" s="27"/>
      <c r="L939" s="27"/>
      <c r="M939" s="27"/>
      <c r="N939" s="27"/>
      <c r="O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58"/>
    </row>
    <row r="940" ht="17.25" customHeight="1">
      <c r="A940" s="1"/>
      <c r="B940" s="1"/>
      <c r="C940" s="1"/>
      <c r="D940" s="1"/>
      <c r="E940" s="1"/>
      <c r="F940" s="1"/>
      <c r="K940" s="27"/>
      <c r="L940" s="27"/>
      <c r="M940" s="27"/>
      <c r="N940" s="27"/>
      <c r="O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58"/>
    </row>
    <row r="941" ht="17.25" customHeight="1">
      <c r="A941" s="1"/>
      <c r="B941" s="1"/>
      <c r="C941" s="1"/>
      <c r="D941" s="1"/>
      <c r="E941" s="1"/>
      <c r="F941" s="1"/>
      <c r="K941" s="27"/>
      <c r="L941" s="27"/>
      <c r="M941" s="27"/>
      <c r="N941" s="27"/>
      <c r="O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58"/>
    </row>
    <row r="942" ht="17.25" customHeight="1">
      <c r="A942" s="1"/>
      <c r="B942" s="1"/>
      <c r="C942" s="1"/>
      <c r="D942" s="1"/>
      <c r="E942" s="1"/>
      <c r="F942" s="1"/>
      <c r="K942" s="27"/>
      <c r="L942" s="27"/>
      <c r="M942" s="27"/>
      <c r="N942" s="27"/>
      <c r="O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58"/>
    </row>
    <row r="943" ht="17.25" customHeight="1">
      <c r="A943" s="1"/>
      <c r="B943" s="1"/>
      <c r="C943" s="1"/>
      <c r="D943" s="1"/>
      <c r="E943" s="1"/>
      <c r="F943" s="1"/>
      <c r="K943" s="27"/>
      <c r="L943" s="27"/>
      <c r="M943" s="27"/>
      <c r="N943" s="27"/>
      <c r="O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58"/>
    </row>
    <row r="944" ht="17.25" customHeight="1">
      <c r="A944" s="1"/>
      <c r="B944" s="1"/>
      <c r="C944" s="1"/>
      <c r="D944" s="1"/>
      <c r="E944" s="1"/>
      <c r="F944" s="1"/>
      <c r="K944" s="27"/>
      <c r="L944" s="27"/>
      <c r="M944" s="27"/>
      <c r="N944" s="27"/>
      <c r="O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58"/>
    </row>
    <row r="945" ht="17.25" customHeight="1">
      <c r="A945" s="1"/>
      <c r="B945" s="1"/>
      <c r="C945" s="1"/>
      <c r="D945" s="1"/>
      <c r="E945" s="1"/>
      <c r="F945" s="1"/>
      <c r="K945" s="27"/>
      <c r="L945" s="27"/>
      <c r="M945" s="27"/>
      <c r="N945" s="27"/>
      <c r="O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58"/>
    </row>
    <row r="946" ht="17.25" customHeight="1">
      <c r="A946" s="1"/>
      <c r="B946" s="1"/>
      <c r="C946" s="1"/>
      <c r="D946" s="1"/>
      <c r="E946" s="1"/>
      <c r="F946" s="1"/>
      <c r="K946" s="27"/>
      <c r="L946" s="27"/>
      <c r="M946" s="27"/>
      <c r="N946" s="27"/>
      <c r="O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58"/>
    </row>
    <row r="947" ht="17.25" customHeight="1">
      <c r="A947" s="1"/>
      <c r="B947" s="1"/>
      <c r="C947" s="1"/>
      <c r="D947" s="1"/>
      <c r="E947" s="1"/>
      <c r="F947" s="1"/>
      <c r="K947" s="27"/>
      <c r="L947" s="27"/>
      <c r="M947" s="27"/>
      <c r="N947" s="27"/>
      <c r="O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58"/>
    </row>
    <row r="948" ht="17.25" customHeight="1">
      <c r="A948" s="1"/>
      <c r="B948" s="1"/>
      <c r="C948" s="1"/>
      <c r="D948" s="1"/>
      <c r="E948" s="1"/>
      <c r="F948" s="1"/>
      <c r="K948" s="27"/>
      <c r="L948" s="27"/>
      <c r="M948" s="27"/>
      <c r="N948" s="27"/>
      <c r="O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58"/>
    </row>
    <row r="949" ht="17.25" customHeight="1">
      <c r="A949" s="1"/>
      <c r="B949" s="1"/>
      <c r="C949" s="1"/>
      <c r="D949" s="1"/>
      <c r="E949" s="1"/>
      <c r="F949" s="1"/>
      <c r="K949" s="27"/>
      <c r="L949" s="27"/>
      <c r="M949" s="27"/>
      <c r="N949" s="27"/>
      <c r="O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58"/>
    </row>
    <row r="950" ht="17.25" customHeight="1">
      <c r="A950" s="1"/>
      <c r="B950" s="1"/>
      <c r="C950" s="1"/>
      <c r="D950" s="1"/>
      <c r="E950" s="1"/>
      <c r="F950" s="1"/>
      <c r="K950" s="27"/>
      <c r="L950" s="27"/>
      <c r="M950" s="27"/>
      <c r="N950" s="27"/>
      <c r="O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58"/>
    </row>
    <row r="951" ht="17.25" customHeight="1">
      <c r="A951" s="1"/>
      <c r="B951" s="1"/>
      <c r="C951" s="1"/>
      <c r="D951" s="1"/>
      <c r="E951" s="1"/>
      <c r="F951" s="1"/>
      <c r="K951" s="27"/>
      <c r="L951" s="27"/>
      <c r="M951" s="27"/>
      <c r="N951" s="27"/>
      <c r="O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58"/>
    </row>
    <row r="952" ht="17.25" customHeight="1">
      <c r="A952" s="1"/>
      <c r="B952" s="1"/>
      <c r="C952" s="1"/>
      <c r="D952" s="1"/>
      <c r="E952" s="1"/>
      <c r="F952" s="1"/>
      <c r="K952" s="27"/>
      <c r="L952" s="27"/>
      <c r="M952" s="27"/>
      <c r="N952" s="27"/>
      <c r="O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58"/>
    </row>
    <row r="953" ht="17.25" customHeight="1">
      <c r="A953" s="1"/>
      <c r="B953" s="1"/>
      <c r="C953" s="1"/>
      <c r="D953" s="1"/>
      <c r="E953" s="1"/>
      <c r="F953" s="1"/>
      <c r="K953" s="27"/>
      <c r="L953" s="27"/>
      <c r="M953" s="27"/>
      <c r="N953" s="27"/>
      <c r="O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58"/>
    </row>
    <row r="954" ht="17.25" customHeight="1">
      <c r="A954" s="1"/>
      <c r="B954" s="1"/>
      <c r="C954" s="1"/>
      <c r="D954" s="1"/>
      <c r="E954" s="1"/>
      <c r="F954" s="1"/>
      <c r="K954" s="27"/>
      <c r="L954" s="27"/>
      <c r="M954" s="27"/>
      <c r="N954" s="27"/>
      <c r="O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58"/>
    </row>
    <row r="955" ht="17.25" customHeight="1">
      <c r="A955" s="1"/>
      <c r="B955" s="1"/>
      <c r="C955" s="1"/>
      <c r="D955" s="1"/>
      <c r="E955" s="1"/>
      <c r="F955" s="1"/>
      <c r="K955" s="27"/>
      <c r="L955" s="27"/>
      <c r="M955" s="27"/>
      <c r="N955" s="27"/>
      <c r="O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58"/>
    </row>
    <row r="956" ht="17.25" customHeight="1">
      <c r="A956" s="1"/>
      <c r="B956" s="1"/>
      <c r="C956" s="1"/>
      <c r="D956" s="1"/>
      <c r="E956" s="1"/>
      <c r="F956" s="1"/>
      <c r="K956" s="27"/>
      <c r="L956" s="27"/>
      <c r="M956" s="27"/>
      <c r="N956" s="27"/>
      <c r="O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58"/>
    </row>
    <row r="957" ht="17.25" customHeight="1">
      <c r="A957" s="1"/>
      <c r="B957" s="1"/>
      <c r="C957" s="1"/>
      <c r="D957" s="1"/>
      <c r="E957" s="1"/>
      <c r="F957" s="1"/>
      <c r="K957" s="27"/>
      <c r="L957" s="27"/>
      <c r="M957" s="27"/>
      <c r="N957" s="27"/>
      <c r="O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58"/>
    </row>
    <row r="958" ht="17.25" customHeight="1">
      <c r="A958" s="1"/>
      <c r="B958" s="1"/>
      <c r="C958" s="1"/>
      <c r="D958" s="1"/>
      <c r="E958" s="1"/>
      <c r="F958" s="1"/>
      <c r="K958" s="27"/>
      <c r="L958" s="27"/>
      <c r="M958" s="27"/>
      <c r="N958" s="27"/>
      <c r="O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58"/>
    </row>
    <row r="959" ht="17.25" customHeight="1">
      <c r="A959" s="1"/>
      <c r="B959" s="1"/>
      <c r="C959" s="1"/>
      <c r="D959" s="1"/>
      <c r="E959" s="1"/>
      <c r="F959" s="1"/>
      <c r="K959" s="27"/>
      <c r="L959" s="27"/>
      <c r="M959" s="27"/>
      <c r="N959" s="27"/>
      <c r="O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58"/>
    </row>
    <row r="960" ht="17.25" customHeight="1">
      <c r="A960" s="1"/>
      <c r="B960" s="1"/>
      <c r="C960" s="1"/>
      <c r="D960" s="1"/>
      <c r="E960" s="1"/>
      <c r="F960" s="1"/>
      <c r="K960" s="27"/>
      <c r="L960" s="27"/>
      <c r="M960" s="27"/>
      <c r="N960" s="27"/>
      <c r="O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58"/>
    </row>
    <row r="961" ht="17.25" customHeight="1">
      <c r="A961" s="1"/>
      <c r="B961" s="1"/>
      <c r="C961" s="1"/>
      <c r="D961" s="1"/>
      <c r="E961" s="1"/>
      <c r="F961" s="1"/>
      <c r="K961" s="27"/>
      <c r="L961" s="27"/>
      <c r="M961" s="27"/>
      <c r="N961" s="27"/>
      <c r="O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58"/>
    </row>
    <row r="962" ht="17.25" customHeight="1">
      <c r="A962" s="1"/>
      <c r="B962" s="1"/>
      <c r="C962" s="1"/>
      <c r="D962" s="1"/>
      <c r="E962" s="1"/>
      <c r="F962" s="1"/>
      <c r="K962" s="27"/>
      <c r="L962" s="27"/>
      <c r="M962" s="27"/>
      <c r="N962" s="27"/>
      <c r="O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58"/>
    </row>
    <row r="963" ht="17.25" customHeight="1">
      <c r="A963" s="1"/>
      <c r="B963" s="1"/>
      <c r="C963" s="1"/>
      <c r="D963" s="1"/>
      <c r="E963" s="1"/>
      <c r="F963" s="1"/>
      <c r="K963" s="27"/>
      <c r="L963" s="27"/>
      <c r="M963" s="27"/>
      <c r="N963" s="27"/>
      <c r="O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58"/>
    </row>
    <row r="964" ht="17.25" customHeight="1">
      <c r="A964" s="1"/>
      <c r="B964" s="1"/>
      <c r="C964" s="1"/>
      <c r="D964" s="1"/>
      <c r="E964" s="1"/>
      <c r="F964" s="1"/>
      <c r="K964" s="27"/>
      <c r="L964" s="27"/>
      <c r="M964" s="27"/>
      <c r="N964" s="27"/>
      <c r="O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58"/>
    </row>
    <row r="965" ht="17.25" customHeight="1">
      <c r="A965" s="1"/>
      <c r="B965" s="1"/>
      <c r="C965" s="1"/>
      <c r="D965" s="1"/>
      <c r="E965" s="1"/>
      <c r="F965" s="1"/>
      <c r="K965" s="27"/>
      <c r="L965" s="27"/>
      <c r="M965" s="27"/>
      <c r="N965" s="27"/>
      <c r="O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58"/>
    </row>
    <row r="966" ht="17.25" customHeight="1">
      <c r="A966" s="1"/>
      <c r="B966" s="1"/>
      <c r="C966" s="1"/>
      <c r="D966" s="1"/>
      <c r="E966" s="1"/>
      <c r="F966" s="1"/>
      <c r="K966" s="27"/>
      <c r="L966" s="27"/>
      <c r="M966" s="27"/>
      <c r="N966" s="27"/>
      <c r="O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58"/>
    </row>
    <row r="967" ht="17.25" customHeight="1">
      <c r="A967" s="1"/>
      <c r="B967" s="1"/>
      <c r="C967" s="1"/>
      <c r="D967" s="1"/>
      <c r="E967" s="1"/>
      <c r="F967" s="1"/>
      <c r="K967" s="27"/>
      <c r="L967" s="27"/>
      <c r="M967" s="27"/>
      <c r="N967" s="27"/>
      <c r="O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58"/>
    </row>
    <row r="968" ht="17.25" customHeight="1">
      <c r="A968" s="1"/>
      <c r="B968" s="1"/>
      <c r="C968" s="1"/>
      <c r="D968" s="1"/>
      <c r="E968" s="1"/>
      <c r="F968" s="1"/>
      <c r="K968" s="27"/>
      <c r="L968" s="27"/>
      <c r="M968" s="27"/>
      <c r="N968" s="27"/>
      <c r="O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58"/>
    </row>
    <row r="969" ht="17.25" customHeight="1">
      <c r="A969" s="1"/>
      <c r="B969" s="1"/>
      <c r="C969" s="1"/>
      <c r="D969" s="1"/>
      <c r="E969" s="1"/>
      <c r="F969" s="1"/>
      <c r="K969" s="27"/>
      <c r="L969" s="27"/>
      <c r="M969" s="27"/>
      <c r="N969" s="27"/>
      <c r="O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58"/>
    </row>
    <row r="970" ht="17.25" customHeight="1">
      <c r="A970" s="1"/>
      <c r="B970" s="1"/>
      <c r="C970" s="1"/>
      <c r="D970" s="1"/>
      <c r="E970" s="1"/>
      <c r="F970" s="1"/>
      <c r="K970" s="27"/>
      <c r="L970" s="27"/>
      <c r="M970" s="27"/>
      <c r="N970" s="27"/>
      <c r="O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58"/>
    </row>
    <row r="971" ht="17.25" customHeight="1">
      <c r="A971" s="1"/>
      <c r="B971" s="1"/>
      <c r="C971" s="1"/>
      <c r="D971" s="1"/>
      <c r="E971" s="1"/>
      <c r="F971" s="1"/>
      <c r="K971" s="27"/>
      <c r="L971" s="27"/>
      <c r="M971" s="27"/>
      <c r="N971" s="27"/>
      <c r="O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58"/>
    </row>
    <row r="972" ht="17.25" customHeight="1">
      <c r="A972" s="1"/>
      <c r="B972" s="1"/>
      <c r="C972" s="1"/>
      <c r="D972" s="1"/>
      <c r="E972" s="1"/>
      <c r="F972" s="1"/>
      <c r="K972" s="27"/>
      <c r="L972" s="27"/>
      <c r="M972" s="27"/>
      <c r="N972" s="27"/>
      <c r="O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58"/>
    </row>
    <row r="973" ht="17.25" customHeight="1">
      <c r="A973" s="1"/>
      <c r="B973" s="1"/>
      <c r="C973" s="1"/>
      <c r="D973" s="1"/>
      <c r="E973" s="1"/>
      <c r="F973" s="1"/>
      <c r="K973" s="27"/>
      <c r="L973" s="27"/>
      <c r="M973" s="27"/>
      <c r="N973" s="27"/>
      <c r="O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58"/>
    </row>
    <row r="974" ht="17.25" customHeight="1">
      <c r="A974" s="1"/>
      <c r="B974" s="1"/>
      <c r="C974" s="1"/>
      <c r="D974" s="1"/>
      <c r="E974" s="1"/>
      <c r="F974" s="1"/>
      <c r="K974" s="27"/>
      <c r="L974" s="27"/>
      <c r="M974" s="27"/>
      <c r="N974" s="27"/>
      <c r="O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58"/>
    </row>
    <row r="975" ht="17.25" customHeight="1">
      <c r="A975" s="1"/>
      <c r="B975" s="1"/>
      <c r="C975" s="1"/>
      <c r="D975" s="1"/>
      <c r="E975" s="1"/>
      <c r="F975" s="1"/>
      <c r="K975" s="27"/>
      <c r="L975" s="27"/>
      <c r="M975" s="27"/>
      <c r="N975" s="27"/>
      <c r="O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58"/>
    </row>
    <row r="976" ht="17.25" customHeight="1">
      <c r="A976" s="1"/>
      <c r="B976" s="1"/>
      <c r="C976" s="1"/>
      <c r="D976" s="1"/>
      <c r="E976" s="1"/>
      <c r="F976" s="1"/>
      <c r="K976" s="27"/>
      <c r="L976" s="27"/>
      <c r="M976" s="27"/>
      <c r="N976" s="27"/>
      <c r="O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58"/>
    </row>
    <row r="977" ht="17.25" customHeight="1">
      <c r="A977" s="1"/>
      <c r="B977" s="1"/>
      <c r="C977" s="1"/>
      <c r="D977" s="1"/>
      <c r="E977" s="1"/>
      <c r="F977" s="1"/>
      <c r="K977" s="27"/>
      <c r="L977" s="27"/>
      <c r="M977" s="27"/>
      <c r="N977" s="27"/>
      <c r="O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58"/>
    </row>
    <row r="978" ht="17.25" customHeight="1">
      <c r="A978" s="1"/>
      <c r="B978" s="1"/>
      <c r="C978" s="1"/>
      <c r="D978" s="1"/>
      <c r="E978" s="1"/>
      <c r="F978" s="1"/>
      <c r="K978" s="27"/>
      <c r="L978" s="27"/>
      <c r="M978" s="27"/>
      <c r="N978" s="27"/>
      <c r="O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58"/>
    </row>
    <row r="979" ht="17.25" customHeight="1">
      <c r="A979" s="1"/>
      <c r="B979" s="1"/>
      <c r="C979" s="1"/>
      <c r="D979" s="1"/>
      <c r="E979" s="1"/>
      <c r="F979" s="1"/>
      <c r="K979" s="27"/>
      <c r="L979" s="27"/>
      <c r="M979" s="27"/>
      <c r="N979" s="27"/>
      <c r="O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58"/>
    </row>
    <row r="980" ht="17.25" customHeight="1">
      <c r="A980" s="1"/>
      <c r="B980" s="1"/>
      <c r="C980" s="1"/>
      <c r="D980" s="1"/>
      <c r="E980" s="1"/>
      <c r="F980" s="1"/>
      <c r="K980" s="27"/>
      <c r="L980" s="27"/>
      <c r="M980" s="27"/>
      <c r="N980" s="27"/>
      <c r="O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58"/>
    </row>
    <row r="981" ht="17.25" customHeight="1">
      <c r="A981" s="1"/>
      <c r="B981" s="1"/>
      <c r="C981" s="1"/>
      <c r="D981" s="1"/>
      <c r="E981" s="1"/>
      <c r="F981" s="1"/>
      <c r="K981" s="27"/>
      <c r="L981" s="27"/>
      <c r="M981" s="27"/>
      <c r="N981" s="27"/>
      <c r="O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58"/>
    </row>
    <row r="982" ht="17.25" customHeight="1">
      <c r="A982" s="1"/>
      <c r="B982" s="1"/>
      <c r="C982" s="1"/>
      <c r="D982" s="1"/>
      <c r="E982" s="1"/>
      <c r="F982" s="1"/>
      <c r="K982" s="27"/>
      <c r="L982" s="27"/>
      <c r="M982" s="27"/>
      <c r="N982" s="27"/>
      <c r="O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58"/>
    </row>
    <row r="983" ht="17.25" customHeight="1">
      <c r="A983" s="1"/>
      <c r="B983" s="1"/>
      <c r="C983" s="1"/>
      <c r="D983" s="1"/>
      <c r="E983" s="1"/>
      <c r="F983" s="1"/>
      <c r="K983" s="27"/>
      <c r="L983" s="27"/>
      <c r="M983" s="27"/>
      <c r="N983" s="27"/>
      <c r="O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58"/>
    </row>
    <row r="984" ht="17.25" customHeight="1">
      <c r="A984" s="1"/>
      <c r="B984" s="1"/>
      <c r="C984" s="1"/>
      <c r="D984" s="1"/>
      <c r="E984" s="1"/>
      <c r="F984" s="1"/>
      <c r="K984" s="27"/>
      <c r="L984" s="27"/>
      <c r="M984" s="27"/>
      <c r="N984" s="27"/>
      <c r="O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58"/>
    </row>
    <row r="985" ht="17.25" customHeight="1">
      <c r="A985" s="1"/>
      <c r="B985" s="1"/>
      <c r="C985" s="1"/>
      <c r="D985" s="1"/>
      <c r="E985" s="1"/>
      <c r="F985" s="1"/>
      <c r="K985" s="27"/>
      <c r="L985" s="27"/>
      <c r="M985" s="27"/>
      <c r="N985" s="27"/>
      <c r="O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58"/>
    </row>
    <row r="986" ht="17.25" customHeight="1">
      <c r="A986" s="1"/>
      <c r="B986" s="1"/>
      <c r="C986" s="1"/>
      <c r="D986" s="1"/>
      <c r="E986" s="1"/>
      <c r="F986" s="1"/>
      <c r="K986" s="27"/>
      <c r="L986" s="27"/>
      <c r="M986" s="27"/>
      <c r="N986" s="27"/>
      <c r="O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58"/>
    </row>
    <row r="987" ht="17.25" customHeight="1">
      <c r="A987" s="1"/>
      <c r="B987" s="1"/>
      <c r="C987" s="1"/>
      <c r="D987" s="1"/>
      <c r="E987" s="1"/>
      <c r="F987" s="1"/>
      <c r="K987" s="27"/>
      <c r="L987" s="27"/>
      <c r="M987" s="27"/>
      <c r="N987" s="27"/>
      <c r="O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58"/>
    </row>
    <row r="988" ht="17.25" customHeight="1">
      <c r="A988" s="1"/>
      <c r="B988" s="1"/>
      <c r="C988" s="1"/>
      <c r="D988" s="1"/>
      <c r="E988" s="1"/>
      <c r="F988" s="1"/>
      <c r="K988" s="27"/>
      <c r="L988" s="27"/>
      <c r="M988" s="27"/>
      <c r="N988" s="27"/>
      <c r="O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58"/>
    </row>
    <row r="989" ht="17.25" customHeight="1">
      <c r="A989" s="1"/>
      <c r="B989" s="1"/>
      <c r="C989" s="1"/>
      <c r="D989" s="1"/>
      <c r="E989" s="1"/>
      <c r="F989" s="1"/>
      <c r="K989" s="27"/>
      <c r="L989" s="27"/>
      <c r="M989" s="27"/>
      <c r="N989" s="27"/>
      <c r="O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58"/>
    </row>
    <row r="990" ht="17.25" customHeight="1">
      <c r="A990" s="1"/>
      <c r="B990" s="1"/>
      <c r="C990" s="1"/>
      <c r="D990" s="1"/>
      <c r="E990" s="1"/>
      <c r="F990" s="1"/>
      <c r="K990" s="27"/>
      <c r="L990" s="27"/>
      <c r="M990" s="27"/>
      <c r="N990" s="27"/>
      <c r="O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58"/>
    </row>
    <row r="991" ht="17.25" customHeight="1">
      <c r="A991" s="1"/>
      <c r="B991" s="1"/>
      <c r="C991" s="1"/>
      <c r="D991" s="1"/>
      <c r="E991" s="1"/>
      <c r="F991" s="1"/>
      <c r="K991" s="27"/>
      <c r="L991" s="27"/>
      <c r="M991" s="27"/>
      <c r="N991" s="27"/>
      <c r="O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58"/>
    </row>
    <row r="992" ht="17.25" customHeight="1">
      <c r="A992" s="1"/>
      <c r="B992" s="1"/>
      <c r="C992" s="1"/>
      <c r="D992" s="1"/>
      <c r="E992" s="1"/>
      <c r="F992" s="1"/>
      <c r="K992" s="27"/>
      <c r="L992" s="27"/>
      <c r="M992" s="27"/>
      <c r="N992" s="27"/>
      <c r="O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58"/>
    </row>
    <row r="993" ht="17.25" customHeight="1">
      <c r="A993" s="1"/>
      <c r="B993" s="1"/>
      <c r="C993" s="1"/>
      <c r="D993" s="1"/>
      <c r="E993" s="1"/>
      <c r="F993" s="1"/>
      <c r="K993" s="27"/>
      <c r="L993" s="27"/>
      <c r="M993" s="27"/>
      <c r="N993" s="27"/>
      <c r="O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58"/>
    </row>
    <row r="994" ht="17.25" customHeight="1">
      <c r="A994" s="1"/>
      <c r="B994" s="1"/>
      <c r="C994" s="1"/>
      <c r="D994" s="1"/>
      <c r="E994" s="1"/>
      <c r="F994" s="1"/>
      <c r="K994" s="27"/>
      <c r="L994" s="27"/>
      <c r="M994" s="27"/>
      <c r="N994" s="27"/>
      <c r="O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58"/>
    </row>
    <row r="995" ht="17.25" customHeight="1">
      <c r="A995" s="1"/>
      <c r="B995" s="1"/>
      <c r="C995" s="1"/>
      <c r="D995" s="1"/>
      <c r="E995" s="1"/>
      <c r="F995" s="1"/>
      <c r="K995" s="27"/>
      <c r="L995" s="27"/>
      <c r="M995" s="27"/>
      <c r="N995" s="27"/>
      <c r="O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58"/>
    </row>
    <row r="996" ht="17.25" customHeight="1">
      <c r="A996" s="1"/>
      <c r="B996" s="1"/>
      <c r="C996" s="1"/>
      <c r="D996" s="1"/>
      <c r="E996" s="1"/>
      <c r="F996" s="1"/>
      <c r="K996" s="27"/>
      <c r="L996" s="27"/>
      <c r="M996" s="27"/>
      <c r="N996" s="27"/>
      <c r="O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58"/>
    </row>
    <row r="997" ht="17.25" customHeight="1">
      <c r="A997" s="1"/>
      <c r="B997" s="1"/>
      <c r="C997" s="1"/>
      <c r="D997" s="1"/>
      <c r="E997" s="1"/>
      <c r="F997" s="1"/>
      <c r="K997" s="27"/>
      <c r="L997" s="27"/>
      <c r="M997" s="27"/>
      <c r="N997" s="27"/>
      <c r="O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58"/>
    </row>
    <row r="998" ht="17.25" customHeight="1">
      <c r="A998" s="1"/>
      <c r="B998" s="1"/>
      <c r="C998" s="1"/>
      <c r="D998" s="1"/>
      <c r="E998" s="1"/>
      <c r="F998" s="1"/>
      <c r="K998" s="27"/>
      <c r="L998" s="27"/>
      <c r="M998" s="27"/>
      <c r="N998" s="27"/>
      <c r="O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58"/>
    </row>
    <row r="999" ht="17.25" customHeight="1">
      <c r="A999" s="1"/>
      <c r="B999" s="1"/>
      <c r="C999" s="1"/>
      <c r="D999" s="1"/>
      <c r="E999" s="1"/>
      <c r="F999" s="1"/>
      <c r="K999" s="27"/>
      <c r="L999" s="27"/>
      <c r="M999" s="27"/>
      <c r="N999" s="27"/>
      <c r="O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58"/>
    </row>
    <row r="1000" ht="17.25" customHeight="1">
      <c r="A1000" s="1"/>
      <c r="B1000" s="1"/>
      <c r="C1000" s="1"/>
      <c r="D1000" s="1"/>
      <c r="E1000" s="1"/>
      <c r="F1000" s="1"/>
      <c r="K1000" s="27"/>
      <c r="L1000" s="27"/>
      <c r="M1000" s="27"/>
      <c r="N1000" s="27"/>
      <c r="O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58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9.43"/>
  </cols>
  <sheetData>
    <row r="1" ht="12.0" customHeight="1">
      <c r="A1" s="1"/>
      <c r="B1" s="1"/>
      <c r="C1" s="1"/>
      <c r="D1" s="1"/>
      <c r="E1" s="1"/>
      <c r="F1" s="1"/>
      <c r="K1" s="27"/>
      <c r="L1" s="27"/>
      <c r="M1" s="27"/>
      <c r="N1" s="27"/>
      <c r="O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58"/>
    </row>
    <row r="2" ht="30.0" customHeight="1">
      <c r="A2" s="4" t="s">
        <v>24</v>
      </c>
      <c r="B2" s="5"/>
      <c r="C2" s="1"/>
      <c r="D2" s="1"/>
      <c r="E2" s="1"/>
      <c r="F2" s="1"/>
      <c r="K2" s="27"/>
      <c r="L2" s="27"/>
      <c r="M2" s="27"/>
      <c r="N2" s="27"/>
      <c r="O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58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12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260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9">
        <v>10272.0</v>
      </c>
      <c r="E4" s="20">
        <f t="shared" ref="E4:O4" si="1">D24</f>
        <v>7148</v>
      </c>
      <c r="F4" s="20">
        <f t="shared" si="1"/>
        <v>9736</v>
      </c>
      <c r="G4" s="20">
        <f t="shared" si="1"/>
        <v>9652</v>
      </c>
      <c r="H4" s="20">
        <f t="shared" si="1"/>
        <v>13204</v>
      </c>
      <c r="I4" s="20">
        <f t="shared" si="1"/>
        <v>10136</v>
      </c>
      <c r="J4" s="20">
        <f t="shared" si="1"/>
        <v>9524</v>
      </c>
      <c r="K4" s="20">
        <f t="shared" si="1"/>
        <v>8748</v>
      </c>
      <c r="L4" s="20">
        <f t="shared" si="1"/>
        <v>7936</v>
      </c>
      <c r="M4" s="20">
        <f t="shared" si="1"/>
        <v>15428</v>
      </c>
      <c r="N4" s="20">
        <f t="shared" si="1"/>
        <v>8500</v>
      </c>
      <c r="O4" s="21">
        <f t="shared" si="1"/>
        <v>8500</v>
      </c>
      <c r="P4" s="22">
        <v>8500.0</v>
      </c>
      <c r="Q4" s="264">
        <f t="shared" ref="Q4:AU4" si="2">+P24</f>
        <v>8500</v>
      </c>
      <c r="R4" s="265">
        <f t="shared" si="2"/>
        <v>8500</v>
      </c>
      <c r="S4" s="265">
        <f t="shared" si="2"/>
        <v>8500</v>
      </c>
      <c r="T4" s="265">
        <f t="shared" si="2"/>
        <v>10508</v>
      </c>
      <c r="U4" s="265">
        <f t="shared" si="2"/>
        <v>12948</v>
      </c>
      <c r="V4" s="265">
        <f t="shared" si="2"/>
        <v>12288</v>
      </c>
      <c r="W4" s="265">
        <f t="shared" si="2"/>
        <v>15548</v>
      </c>
      <c r="X4" s="265">
        <f t="shared" si="2"/>
        <v>14608</v>
      </c>
      <c r="Y4" s="265">
        <f t="shared" si="2"/>
        <v>14608</v>
      </c>
      <c r="Z4" s="265">
        <f t="shared" si="2"/>
        <v>14608</v>
      </c>
      <c r="AA4" s="265">
        <f t="shared" si="2"/>
        <v>14308</v>
      </c>
      <c r="AB4" s="265">
        <f t="shared" si="2"/>
        <v>14308</v>
      </c>
      <c r="AC4" s="265">
        <f t="shared" si="2"/>
        <v>14308</v>
      </c>
      <c r="AD4" s="265">
        <f t="shared" si="2"/>
        <v>14308</v>
      </c>
      <c r="AE4" s="265">
        <f t="shared" si="2"/>
        <v>14308</v>
      </c>
      <c r="AF4" s="265">
        <f t="shared" si="2"/>
        <v>14308</v>
      </c>
      <c r="AG4" s="265">
        <f t="shared" si="2"/>
        <v>14308</v>
      </c>
      <c r="AH4" s="265">
        <f t="shared" si="2"/>
        <v>14308</v>
      </c>
      <c r="AI4" s="265">
        <f t="shared" si="2"/>
        <v>14308</v>
      </c>
      <c r="AJ4" s="265">
        <f t="shared" si="2"/>
        <v>14308</v>
      </c>
      <c r="AK4" s="265">
        <f t="shared" si="2"/>
        <v>14308</v>
      </c>
      <c r="AL4" s="265">
        <f t="shared" si="2"/>
        <v>14308</v>
      </c>
      <c r="AM4" s="265">
        <f t="shared" si="2"/>
        <v>14308</v>
      </c>
      <c r="AN4" s="265">
        <f t="shared" si="2"/>
        <v>14308</v>
      </c>
      <c r="AO4" s="265">
        <f t="shared" si="2"/>
        <v>14308</v>
      </c>
      <c r="AP4" s="265">
        <f t="shared" si="2"/>
        <v>14308</v>
      </c>
      <c r="AQ4" s="265">
        <f t="shared" si="2"/>
        <v>14308</v>
      </c>
      <c r="AR4" s="265">
        <f t="shared" si="2"/>
        <v>14308</v>
      </c>
      <c r="AS4" s="265">
        <f t="shared" si="2"/>
        <v>14308</v>
      </c>
      <c r="AT4" s="265">
        <f t="shared" si="2"/>
        <v>14308</v>
      </c>
      <c r="AU4" s="265">
        <f t="shared" si="2"/>
        <v>14308</v>
      </c>
      <c r="AV4" s="46">
        <f t="shared" ref="AV4:AV8" si="5">P24</f>
        <v>8500</v>
      </c>
    </row>
    <row r="5" ht="18.0" customHeight="1">
      <c r="A5" s="28"/>
      <c r="B5" s="29"/>
      <c r="C5" s="100" t="s">
        <v>9</v>
      </c>
      <c r="D5" s="221">
        <v>0.0</v>
      </c>
      <c r="E5" s="222">
        <f t="shared" ref="E5:O5" si="3">D25</f>
        <v>0</v>
      </c>
      <c r="F5" s="222">
        <f t="shared" si="3"/>
        <v>0</v>
      </c>
      <c r="G5" s="222">
        <f t="shared" si="3"/>
        <v>800</v>
      </c>
      <c r="H5" s="222">
        <f t="shared" si="3"/>
        <v>0</v>
      </c>
      <c r="I5" s="222">
        <f t="shared" si="3"/>
        <v>0</v>
      </c>
      <c r="J5" s="222">
        <f t="shared" si="3"/>
        <v>0</v>
      </c>
      <c r="K5" s="222">
        <f t="shared" si="3"/>
        <v>600</v>
      </c>
      <c r="L5" s="222">
        <f t="shared" si="3"/>
        <v>0</v>
      </c>
      <c r="M5" s="222">
        <f t="shared" si="3"/>
        <v>400</v>
      </c>
      <c r="N5" s="222">
        <f t="shared" si="3"/>
        <v>0</v>
      </c>
      <c r="O5" s="223">
        <f t="shared" si="3"/>
        <v>0</v>
      </c>
      <c r="P5" s="153">
        <v>0.0</v>
      </c>
      <c r="Q5" s="261">
        <f t="shared" ref="Q5:AU5" si="4">+P25</f>
        <v>0</v>
      </c>
      <c r="R5" s="262">
        <f t="shared" si="4"/>
        <v>0</v>
      </c>
      <c r="S5" s="262">
        <f t="shared" si="4"/>
        <v>0</v>
      </c>
      <c r="T5" s="262">
        <f t="shared" si="4"/>
        <v>-4568</v>
      </c>
      <c r="U5" s="262">
        <f t="shared" si="4"/>
        <v>-5896</v>
      </c>
      <c r="V5" s="262">
        <f t="shared" si="4"/>
        <v>-5606</v>
      </c>
      <c r="W5" s="262">
        <f t="shared" si="4"/>
        <v>-4860</v>
      </c>
      <c r="X5" s="262">
        <f t="shared" si="4"/>
        <v>-9416</v>
      </c>
      <c r="Y5" s="262">
        <f t="shared" si="4"/>
        <v>-9416</v>
      </c>
      <c r="Z5" s="262">
        <f t="shared" si="4"/>
        <v>-9416</v>
      </c>
      <c r="AA5" s="262">
        <f t="shared" si="4"/>
        <v>-6128</v>
      </c>
      <c r="AB5" s="262">
        <f t="shared" si="4"/>
        <v>-6128</v>
      </c>
      <c r="AC5" s="262">
        <f t="shared" si="4"/>
        <v>-6128</v>
      </c>
      <c r="AD5" s="262">
        <f t="shared" si="4"/>
        <v>-6128</v>
      </c>
      <c r="AE5" s="262">
        <f t="shared" si="4"/>
        <v>-6128</v>
      </c>
      <c r="AF5" s="262">
        <f t="shared" si="4"/>
        <v>-6128</v>
      </c>
      <c r="AG5" s="262">
        <f t="shared" si="4"/>
        <v>-6128</v>
      </c>
      <c r="AH5" s="262">
        <f t="shared" si="4"/>
        <v>-6128</v>
      </c>
      <c r="AI5" s="262">
        <f t="shared" si="4"/>
        <v>-6128</v>
      </c>
      <c r="AJ5" s="262">
        <f t="shared" si="4"/>
        <v>-6128</v>
      </c>
      <c r="AK5" s="262">
        <f t="shared" si="4"/>
        <v>-6128</v>
      </c>
      <c r="AL5" s="262">
        <f t="shared" si="4"/>
        <v>-6128</v>
      </c>
      <c r="AM5" s="262">
        <f t="shared" si="4"/>
        <v>-6128</v>
      </c>
      <c r="AN5" s="262">
        <f t="shared" si="4"/>
        <v>-6128</v>
      </c>
      <c r="AO5" s="262">
        <f t="shared" si="4"/>
        <v>-6128</v>
      </c>
      <c r="AP5" s="262">
        <f t="shared" si="4"/>
        <v>-6128</v>
      </c>
      <c r="AQ5" s="262">
        <f t="shared" si="4"/>
        <v>-6128</v>
      </c>
      <c r="AR5" s="262">
        <f t="shared" si="4"/>
        <v>-6128</v>
      </c>
      <c r="AS5" s="262">
        <f t="shared" si="4"/>
        <v>-6128</v>
      </c>
      <c r="AT5" s="262">
        <f t="shared" si="4"/>
        <v>-6128</v>
      </c>
      <c r="AU5" s="262">
        <f t="shared" si="4"/>
        <v>-6128</v>
      </c>
      <c r="AV5" s="263">
        <f t="shared" si="5"/>
        <v>0</v>
      </c>
    </row>
    <row r="6" ht="18.0" customHeight="1">
      <c r="A6" s="28"/>
      <c r="B6" s="38" t="s">
        <v>10</v>
      </c>
      <c r="C6" s="106" t="s">
        <v>8</v>
      </c>
      <c r="D6" s="19">
        <v>0.0</v>
      </c>
      <c r="E6" s="20">
        <f t="shared" ref="E6:O6" si="6">D26</f>
        <v>0</v>
      </c>
      <c r="F6" s="20">
        <f t="shared" si="6"/>
        <v>0</v>
      </c>
      <c r="G6" s="20">
        <f t="shared" si="6"/>
        <v>0</v>
      </c>
      <c r="H6" s="20">
        <f t="shared" si="6"/>
        <v>0</v>
      </c>
      <c r="I6" s="20">
        <f t="shared" si="6"/>
        <v>0</v>
      </c>
      <c r="J6" s="20">
        <f t="shared" si="6"/>
        <v>0</v>
      </c>
      <c r="K6" s="20">
        <f t="shared" si="6"/>
        <v>0</v>
      </c>
      <c r="L6" s="20">
        <f t="shared" si="6"/>
        <v>0</v>
      </c>
      <c r="M6" s="20">
        <f t="shared" si="6"/>
        <v>0</v>
      </c>
      <c r="N6" s="20">
        <f t="shared" si="6"/>
        <v>0</v>
      </c>
      <c r="O6" s="21">
        <f t="shared" si="6"/>
        <v>0</v>
      </c>
      <c r="P6" s="22">
        <v>0.0</v>
      </c>
      <c r="Q6" s="147">
        <f t="shared" ref="Q6:AU6" si="7">+P26</f>
        <v>0</v>
      </c>
      <c r="R6" s="148">
        <f t="shared" si="7"/>
        <v>0</v>
      </c>
      <c r="S6" s="148">
        <f t="shared" si="7"/>
        <v>0</v>
      </c>
      <c r="T6" s="148">
        <f t="shared" si="7"/>
        <v>0</v>
      </c>
      <c r="U6" s="148">
        <f t="shared" si="7"/>
        <v>0</v>
      </c>
      <c r="V6" s="148">
        <f t="shared" si="7"/>
        <v>0</v>
      </c>
      <c r="W6" s="148">
        <f t="shared" si="7"/>
        <v>0</v>
      </c>
      <c r="X6" s="148">
        <f t="shared" si="7"/>
        <v>-88</v>
      </c>
      <c r="Y6" s="148">
        <f t="shared" si="7"/>
        <v>-88</v>
      </c>
      <c r="Z6" s="148">
        <f t="shared" si="7"/>
        <v>-88</v>
      </c>
      <c r="AA6" s="148">
        <f t="shared" si="7"/>
        <v>-88</v>
      </c>
      <c r="AB6" s="148">
        <f t="shared" si="7"/>
        <v>-88</v>
      </c>
      <c r="AC6" s="148">
        <f t="shared" si="7"/>
        <v>-88</v>
      </c>
      <c r="AD6" s="148">
        <f t="shared" si="7"/>
        <v>-88</v>
      </c>
      <c r="AE6" s="148">
        <f t="shared" si="7"/>
        <v>-88</v>
      </c>
      <c r="AF6" s="148">
        <f t="shared" si="7"/>
        <v>-88</v>
      </c>
      <c r="AG6" s="148">
        <f t="shared" si="7"/>
        <v>-88</v>
      </c>
      <c r="AH6" s="148">
        <f t="shared" si="7"/>
        <v>-88</v>
      </c>
      <c r="AI6" s="148">
        <f t="shared" si="7"/>
        <v>-88</v>
      </c>
      <c r="AJ6" s="148">
        <f t="shared" si="7"/>
        <v>-88</v>
      </c>
      <c r="AK6" s="148">
        <f t="shared" si="7"/>
        <v>-88</v>
      </c>
      <c r="AL6" s="148">
        <f t="shared" si="7"/>
        <v>-88</v>
      </c>
      <c r="AM6" s="148">
        <f t="shared" si="7"/>
        <v>-88</v>
      </c>
      <c r="AN6" s="148">
        <f t="shared" si="7"/>
        <v>-88</v>
      </c>
      <c r="AO6" s="148">
        <f t="shared" si="7"/>
        <v>-88</v>
      </c>
      <c r="AP6" s="148">
        <f t="shared" si="7"/>
        <v>-88</v>
      </c>
      <c r="AQ6" s="148">
        <f t="shared" si="7"/>
        <v>-88</v>
      </c>
      <c r="AR6" s="148">
        <f t="shared" si="7"/>
        <v>-88</v>
      </c>
      <c r="AS6" s="148">
        <f t="shared" si="7"/>
        <v>-88</v>
      </c>
      <c r="AT6" s="148">
        <f t="shared" si="7"/>
        <v>-88</v>
      </c>
      <c r="AU6" s="148">
        <f t="shared" si="7"/>
        <v>-88</v>
      </c>
      <c r="AV6" s="25">
        <f t="shared" si="5"/>
        <v>0</v>
      </c>
    </row>
    <row r="7" ht="18.0" customHeight="1">
      <c r="A7" s="28"/>
      <c r="B7" s="40"/>
      <c r="C7" s="209" t="s">
        <v>9</v>
      </c>
      <c r="D7" s="266">
        <v>0.0</v>
      </c>
      <c r="E7" s="267">
        <f t="shared" ref="E7:O7" si="8">D27</f>
        <v>0</v>
      </c>
      <c r="F7" s="267">
        <f t="shared" si="8"/>
        <v>0</v>
      </c>
      <c r="G7" s="267">
        <f t="shared" si="8"/>
        <v>0</v>
      </c>
      <c r="H7" s="267">
        <f t="shared" si="8"/>
        <v>0</v>
      </c>
      <c r="I7" s="267">
        <f t="shared" si="8"/>
        <v>0</v>
      </c>
      <c r="J7" s="267">
        <f t="shared" si="8"/>
        <v>0</v>
      </c>
      <c r="K7" s="267">
        <f t="shared" si="8"/>
        <v>0</v>
      </c>
      <c r="L7" s="267">
        <f t="shared" si="8"/>
        <v>0</v>
      </c>
      <c r="M7" s="267">
        <f t="shared" si="8"/>
        <v>0</v>
      </c>
      <c r="N7" s="267">
        <f t="shared" si="8"/>
        <v>0</v>
      </c>
      <c r="O7" s="268">
        <f t="shared" si="8"/>
        <v>0</v>
      </c>
      <c r="P7" s="161">
        <v>0.0</v>
      </c>
      <c r="Q7" s="269">
        <f t="shared" ref="Q7:AU7" si="9">+P27</f>
        <v>0</v>
      </c>
      <c r="R7" s="270">
        <f t="shared" si="9"/>
        <v>0</v>
      </c>
      <c r="S7" s="270">
        <f t="shared" si="9"/>
        <v>0</v>
      </c>
      <c r="T7" s="270">
        <f t="shared" si="9"/>
        <v>0</v>
      </c>
      <c r="U7" s="270">
        <f t="shared" si="9"/>
        <v>0</v>
      </c>
      <c r="V7" s="270">
        <f t="shared" si="9"/>
        <v>0</v>
      </c>
      <c r="W7" s="270">
        <f t="shared" si="9"/>
        <v>0</v>
      </c>
      <c r="X7" s="270">
        <f t="shared" si="9"/>
        <v>0</v>
      </c>
      <c r="Y7" s="270">
        <f t="shared" si="9"/>
        <v>0</v>
      </c>
      <c r="Z7" s="270">
        <f t="shared" si="9"/>
        <v>0</v>
      </c>
      <c r="AA7" s="270">
        <f t="shared" si="9"/>
        <v>0</v>
      </c>
      <c r="AB7" s="270">
        <f t="shared" si="9"/>
        <v>0</v>
      </c>
      <c r="AC7" s="270">
        <f t="shared" si="9"/>
        <v>0</v>
      </c>
      <c r="AD7" s="270">
        <f t="shared" si="9"/>
        <v>0</v>
      </c>
      <c r="AE7" s="270">
        <f t="shared" si="9"/>
        <v>0</v>
      </c>
      <c r="AF7" s="270">
        <f t="shared" si="9"/>
        <v>0</v>
      </c>
      <c r="AG7" s="270">
        <f t="shared" si="9"/>
        <v>0</v>
      </c>
      <c r="AH7" s="270">
        <f t="shared" si="9"/>
        <v>0</v>
      </c>
      <c r="AI7" s="270">
        <f t="shared" si="9"/>
        <v>0</v>
      </c>
      <c r="AJ7" s="270">
        <f t="shared" si="9"/>
        <v>0</v>
      </c>
      <c r="AK7" s="270">
        <f t="shared" si="9"/>
        <v>0</v>
      </c>
      <c r="AL7" s="270">
        <f t="shared" si="9"/>
        <v>0</v>
      </c>
      <c r="AM7" s="270">
        <f t="shared" si="9"/>
        <v>0</v>
      </c>
      <c r="AN7" s="270">
        <f t="shared" si="9"/>
        <v>0</v>
      </c>
      <c r="AO7" s="270">
        <f t="shared" si="9"/>
        <v>0</v>
      </c>
      <c r="AP7" s="270">
        <f t="shared" si="9"/>
        <v>0</v>
      </c>
      <c r="AQ7" s="270">
        <f t="shared" si="9"/>
        <v>0</v>
      </c>
      <c r="AR7" s="270">
        <f t="shared" si="9"/>
        <v>0</v>
      </c>
      <c r="AS7" s="270">
        <f t="shared" si="9"/>
        <v>0</v>
      </c>
      <c r="AT7" s="270">
        <f t="shared" si="9"/>
        <v>0</v>
      </c>
      <c r="AU7" s="270">
        <f t="shared" si="9"/>
        <v>0</v>
      </c>
      <c r="AV7" s="263">
        <f t="shared" si="5"/>
        <v>0</v>
      </c>
    </row>
    <row r="8" ht="18.0" customHeight="1">
      <c r="A8" s="29"/>
      <c r="B8" s="43" t="s">
        <v>11</v>
      </c>
      <c r="C8" s="213" t="s">
        <v>9</v>
      </c>
      <c r="D8" s="229">
        <v>41164.0</v>
      </c>
      <c r="E8" s="230">
        <f t="shared" ref="E8:O8" si="10">D28</f>
        <v>23792</v>
      </c>
      <c r="F8" s="230">
        <f t="shared" si="10"/>
        <v>53292</v>
      </c>
      <c r="G8" s="230">
        <f t="shared" si="10"/>
        <v>43304</v>
      </c>
      <c r="H8" s="230">
        <f t="shared" si="10"/>
        <v>32440</v>
      </c>
      <c r="I8" s="230">
        <f t="shared" si="10"/>
        <v>50276</v>
      </c>
      <c r="J8" s="230">
        <f t="shared" si="10"/>
        <v>54928</v>
      </c>
      <c r="K8" s="230">
        <f t="shared" si="10"/>
        <v>37148</v>
      </c>
      <c r="L8" s="230">
        <f t="shared" si="10"/>
        <v>42484</v>
      </c>
      <c r="M8" s="230">
        <f t="shared" si="10"/>
        <v>25848</v>
      </c>
      <c r="N8" s="230">
        <f t="shared" si="10"/>
        <v>50580</v>
      </c>
      <c r="O8" s="231">
        <f t="shared" si="10"/>
        <v>50580</v>
      </c>
      <c r="P8" s="42">
        <v>50580.0</v>
      </c>
      <c r="Q8" s="84">
        <f t="shared" ref="Q8:AU8" si="11">+P28</f>
        <v>50580</v>
      </c>
      <c r="R8" s="71">
        <f t="shared" si="11"/>
        <v>50580</v>
      </c>
      <c r="S8" s="71">
        <f t="shared" si="11"/>
        <v>50580</v>
      </c>
      <c r="T8" s="71">
        <f t="shared" si="11"/>
        <v>2388</v>
      </c>
      <c r="U8" s="71">
        <f t="shared" si="11"/>
        <v>6340</v>
      </c>
      <c r="V8" s="71">
        <f t="shared" si="11"/>
        <v>12580</v>
      </c>
      <c r="W8" s="71">
        <f t="shared" si="11"/>
        <v>27676</v>
      </c>
      <c r="X8" s="71">
        <f t="shared" si="11"/>
        <v>27676</v>
      </c>
      <c r="Y8" s="71">
        <f t="shared" si="11"/>
        <v>27676</v>
      </c>
      <c r="Z8" s="71">
        <f t="shared" si="11"/>
        <v>27676</v>
      </c>
      <c r="AA8" s="71">
        <f t="shared" si="11"/>
        <v>4152</v>
      </c>
      <c r="AB8" s="71">
        <f t="shared" si="11"/>
        <v>4152</v>
      </c>
      <c r="AC8" s="71">
        <f t="shared" si="11"/>
        <v>4152</v>
      </c>
      <c r="AD8" s="71">
        <f t="shared" si="11"/>
        <v>4152</v>
      </c>
      <c r="AE8" s="71">
        <f t="shared" si="11"/>
        <v>4152</v>
      </c>
      <c r="AF8" s="71">
        <f t="shared" si="11"/>
        <v>4152</v>
      </c>
      <c r="AG8" s="71">
        <f t="shared" si="11"/>
        <v>4152</v>
      </c>
      <c r="AH8" s="71">
        <f t="shared" si="11"/>
        <v>4152</v>
      </c>
      <c r="AI8" s="71">
        <f t="shared" si="11"/>
        <v>4152</v>
      </c>
      <c r="AJ8" s="71">
        <f t="shared" si="11"/>
        <v>4152</v>
      </c>
      <c r="AK8" s="71">
        <f t="shared" si="11"/>
        <v>4152</v>
      </c>
      <c r="AL8" s="71">
        <f t="shared" si="11"/>
        <v>4152</v>
      </c>
      <c r="AM8" s="71">
        <f t="shared" si="11"/>
        <v>4152</v>
      </c>
      <c r="AN8" s="71">
        <f t="shared" si="11"/>
        <v>4152</v>
      </c>
      <c r="AO8" s="71">
        <f t="shared" si="11"/>
        <v>4152</v>
      </c>
      <c r="AP8" s="71">
        <f t="shared" si="11"/>
        <v>4152</v>
      </c>
      <c r="AQ8" s="71">
        <f t="shared" si="11"/>
        <v>4152</v>
      </c>
      <c r="AR8" s="71">
        <f t="shared" si="11"/>
        <v>4152</v>
      </c>
      <c r="AS8" s="71">
        <f t="shared" si="11"/>
        <v>4152</v>
      </c>
      <c r="AT8" s="71">
        <f t="shared" si="11"/>
        <v>4152</v>
      </c>
      <c r="AU8" s="71">
        <f t="shared" si="11"/>
        <v>4152</v>
      </c>
      <c r="AV8" s="46">
        <f t="shared" si="5"/>
        <v>50580</v>
      </c>
    </row>
    <row r="9" ht="18.0" customHeight="1">
      <c r="A9" s="169" t="s">
        <v>12</v>
      </c>
      <c r="B9" s="169" t="s">
        <v>7</v>
      </c>
      <c r="C9" s="170" t="s">
        <v>8</v>
      </c>
      <c r="D9" s="184">
        <v>18051.0</v>
      </c>
      <c r="E9" s="185">
        <v>23368.0</v>
      </c>
      <c r="F9" s="185">
        <v>22388.0</v>
      </c>
      <c r="G9" s="126">
        <v>27236.0</v>
      </c>
      <c r="H9" s="126">
        <v>19996.0</v>
      </c>
      <c r="I9" s="126">
        <v>25564.0</v>
      </c>
      <c r="J9" s="120">
        <v>20001.0</v>
      </c>
      <c r="K9" s="120">
        <v>21329.0</v>
      </c>
      <c r="L9" s="120">
        <v>33280.0</v>
      </c>
      <c r="M9" s="120">
        <v>10848.0</v>
      </c>
      <c r="N9" s="120"/>
      <c r="O9" s="172"/>
      <c r="P9" s="173"/>
      <c r="Q9" s="174">
        <v>0.0</v>
      </c>
      <c r="R9" s="174">
        <v>0.0</v>
      </c>
      <c r="S9" s="174">
        <v>2340.0</v>
      </c>
      <c r="T9" s="174">
        <v>2440.0</v>
      </c>
      <c r="U9" s="174">
        <v>0.0</v>
      </c>
      <c r="V9" s="174">
        <v>3460.0</v>
      </c>
      <c r="W9" s="174">
        <v>0.0</v>
      </c>
      <c r="X9" s="174">
        <v>0.0</v>
      </c>
      <c r="Y9" s="174">
        <v>0.0</v>
      </c>
      <c r="Z9" s="174">
        <v>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8240</v>
      </c>
    </row>
    <row r="10" ht="18.0" customHeight="1">
      <c r="A10" s="28"/>
      <c r="B10" s="29"/>
      <c r="C10" s="175" t="s">
        <v>9</v>
      </c>
      <c r="D10" s="176">
        <v>54416.0</v>
      </c>
      <c r="E10" s="177">
        <v>72860.0</v>
      </c>
      <c r="F10" s="177">
        <v>60660.0</v>
      </c>
      <c r="G10" s="178">
        <v>67604.0</v>
      </c>
      <c r="H10" s="178">
        <v>73512.0</v>
      </c>
      <c r="I10" s="178">
        <v>71556.0</v>
      </c>
      <c r="J10" s="178">
        <v>59192.0</v>
      </c>
      <c r="K10" s="178">
        <v>62020.0</v>
      </c>
      <c r="L10" s="178">
        <v>93694.0</v>
      </c>
      <c r="M10" s="178">
        <v>50280.0</v>
      </c>
      <c r="N10" s="178"/>
      <c r="O10" s="179"/>
      <c r="P10" s="180"/>
      <c r="Q10" s="181">
        <v>0.0</v>
      </c>
      <c r="R10" s="181">
        <v>0.0</v>
      </c>
      <c r="S10" s="181">
        <v>7000.0</v>
      </c>
      <c r="T10" s="181">
        <v>3568.0</v>
      </c>
      <c r="U10" s="181">
        <v>4520.0</v>
      </c>
      <c r="V10" s="181">
        <v>5910.0</v>
      </c>
      <c r="W10" s="181">
        <v>0.0</v>
      </c>
      <c r="X10" s="181">
        <v>0.0</v>
      </c>
      <c r="Y10" s="181">
        <v>0.0</v>
      </c>
      <c r="Z10" s="181">
        <v>10416.0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31414</v>
      </c>
    </row>
    <row r="11" ht="18.0" customHeight="1">
      <c r="A11" s="28"/>
      <c r="B11" s="182" t="s">
        <v>10</v>
      </c>
      <c r="C11" s="183" t="s">
        <v>8</v>
      </c>
      <c r="D11" s="184">
        <v>173.0</v>
      </c>
      <c r="E11" s="185">
        <v>0.0</v>
      </c>
      <c r="F11" s="185">
        <v>646.0</v>
      </c>
      <c r="G11" s="126">
        <v>16.0</v>
      </c>
      <c r="H11" s="126">
        <v>151.0</v>
      </c>
      <c r="I11" s="126">
        <v>0.0</v>
      </c>
      <c r="J11" s="126">
        <v>0.0</v>
      </c>
      <c r="K11" s="126">
        <v>151.0</v>
      </c>
      <c r="L11" s="126">
        <v>0.0</v>
      </c>
      <c r="M11" s="126">
        <v>0.0</v>
      </c>
      <c r="N11" s="126"/>
      <c r="O11" s="279"/>
      <c r="P11" s="187"/>
      <c r="Q11" s="174">
        <v>0.0</v>
      </c>
      <c r="R11" s="174">
        <v>0.0</v>
      </c>
      <c r="S11" s="174">
        <v>0.0</v>
      </c>
      <c r="T11" s="174">
        <v>0.0</v>
      </c>
      <c r="U11" s="174">
        <v>0.0</v>
      </c>
      <c r="V11" s="174">
        <v>0.0</v>
      </c>
      <c r="W11" s="174">
        <v>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0</v>
      </c>
    </row>
    <row r="12" ht="18.0" customHeight="1">
      <c r="A12" s="28"/>
      <c r="B12" s="40"/>
      <c r="C12" s="188" t="s">
        <v>9</v>
      </c>
      <c r="D12" s="189">
        <v>840.0</v>
      </c>
      <c r="E12" s="190">
        <v>224.0</v>
      </c>
      <c r="F12" s="190">
        <v>1500.0</v>
      </c>
      <c r="G12" s="178">
        <v>400.0</v>
      </c>
      <c r="H12" s="191">
        <v>5.0</v>
      </c>
      <c r="I12" s="191">
        <v>740.0</v>
      </c>
      <c r="J12" s="191">
        <v>1400.0</v>
      </c>
      <c r="K12" s="191">
        <v>96.0</v>
      </c>
      <c r="L12" s="191">
        <v>760.0</v>
      </c>
      <c r="M12" s="191">
        <v>1200.0</v>
      </c>
      <c r="N12" s="191"/>
      <c r="O12" s="280"/>
      <c r="P12" s="193"/>
      <c r="Q12" s="181">
        <v>0.0</v>
      </c>
      <c r="R12" s="181">
        <v>0.0</v>
      </c>
      <c r="S12" s="181">
        <v>0.0</v>
      </c>
      <c r="T12" s="181">
        <v>0.0</v>
      </c>
      <c r="U12" s="181">
        <v>0.0</v>
      </c>
      <c r="V12" s="181">
        <v>0.0</v>
      </c>
      <c r="W12" s="181">
        <v>0.0</v>
      </c>
      <c r="X12" s="181">
        <v>0.0</v>
      </c>
      <c r="Y12" s="181">
        <v>0.0</v>
      </c>
      <c r="Z12" s="181">
        <v>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0</v>
      </c>
    </row>
    <row r="13" ht="18.0" customHeight="1">
      <c r="A13" s="29"/>
      <c r="B13" s="195" t="s">
        <v>11</v>
      </c>
      <c r="C13" s="196" t="s">
        <v>9</v>
      </c>
      <c r="D13" s="197">
        <v>57616.0</v>
      </c>
      <c r="E13" s="198">
        <v>88104.0</v>
      </c>
      <c r="F13" s="198">
        <v>55536.0</v>
      </c>
      <c r="G13" s="135">
        <v>81536.0</v>
      </c>
      <c r="H13" s="135">
        <v>81536.0</v>
      </c>
      <c r="I13" s="135">
        <v>80080.0</v>
      </c>
      <c r="J13" s="135">
        <v>61064.0</v>
      </c>
      <c r="K13" s="135">
        <v>75368.0</v>
      </c>
      <c r="L13" s="135">
        <v>69888.0</v>
      </c>
      <c r="M13" s="135">
        <v>82992.0</v>
      </c>
      <c r="N13" s="135"/>
      <c r="O13" s="281"/>
      <c r="P13" s="200"/>
      <c r="Q13" s="174">
        <v>0.0</v>
      </c>
      <c r="R13" s="174">
        <v>0.0</v>
      </c>
      <c r="S13" s="174">
        <v>1456.0</v>
      </c>
      <c r="T13" s="174">
        <v>3952.0</v>
      </c>
      <c r="U13" s="174">
        <v>6240.0</v>
      </c>
      <c r="V13" s="174">
        <v>15096.0</v>
      </c>
      <c r="W13" s="174">
        <v>0.0</v>
      </c>
      <c r="X13" s="174">
        <v>0.0</v>
      </c>
      <c r="Y13" s="174">
        <v>0.0</v>
      </c>
      <c r="Z13" s="174">
        <v>1040.0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27784</v>
      </c>
    </row>
    <row r="14" ht="18.0" customHeight="1">
      <c r="A14" s="169" t="s">
        <v>13</v>
      </c>
      <c r="B14" s="169" t="s">
        <v>7</v>
      </c>
      <c r="C14" s="170" t="s">
        <v>8</v>
      </c>
      <c r="D14" s="184">
        <v>7027.0</v>
      </c>
      <c r="E14" s="185">
        <v>6616.0</v>
      </c>
      <c r="F14" s="185">
        <v>5206.0</v>
      </c>
      <c r="G14" s="126">
        <v>6048.0</v>
      </c>
      <c r="H14" s="126">
        <v>8928.0</v>
      </c>
      <c r="I14" s="126">
        <v>9328.0</v>
      </c>
      <c r="J14" s="126">
        <v>3320.0</v>
      </c>
      <c r="K14" s="126">
        <v>6353.0</v>
      </c>
      <c r="L14" s="126">
        <v>10755.0</v>
      </c>
      <c r="M14" s="126">
        <v>4012.0</v>
      </c>
      <c r="N14" s="126"/>
      <c r="O14" s="279"/>
      <c r="P14" s="173"/>
      <c r="Q14" s="174">
        <v>0.0</v>
      </c>
      <c r="R14" s="174">
        <v>0.0</v>
      </c>
      <c r="S14" s="174">
        <v>332.0</v>
      </c>
      <c r="T14" s="174">
        <v>0.0</v>
      </c>
      <c r="U14" s="174">
        <v>660.0</v>
      </c>
      <c r="V14" s="174">
        <v>200.0</v>
      </c>
      <c r="W14" s="174">
        <v>940.0</v>
      </c>
      <c r="X14" s="174">
        <v>0.0</v>
      </c>
      <c r="Y14" s="174">
        <v>0.0</v>
      </c>
      <c r="Z14" s="174">
        <v>300.0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2432</v>
      </c>
    </row>
    <row r="15" ht="18.0" customHeight="1">
      <c r="A15" s="28"/>
      <c r="B15" s="29"/>
      <c r="C15" s="175" t="s">
        <v>9</v>
      </c>
      <c r="D15" s="176">
        <v>60516.0</v>
      </c>
      <c r="E15" s="177">
        <v>77928.0</v>
      </c>
      <c r="F15" s="177">
        <v>65384.0</v>
      </c>
      <c r="G15" s="178">
        <v>79104.0</v>
      </c>
      <c r="H15" s="178">
        <v>79724.0</v>
      </c>
      <c r="I15" s="178">
        <v>76100.0</v>
      </c>
      <c r="J15" s="178">
        <v>64056.0</v>
      </c>
      <c r="K15" s="178">
        <v>67408.0</v>
      </c>
      <c r="L15" s="178">
        <v>97974.0</v>
      </c>
      <c r="M15" s="178">
        <v>63144.0</v>
      </c>
      <c r="N15" s="178"/>
      <c r="O15" s="282"/>
      <c r="P15" s="180"/>
      <c r="Q15" s="181">
        <v>0.0</v>
      </c>
      <c r="R15" s="181">
        <v>0.0</v>
      </c>
      <c r="S15" s="181">
        <v>11568.0</v>
      </c>
      <c r="T15" s="181">
        <v>4896.0</v>
      </c>
      <c r="U15" s="181">
        <v>4230.0</v>
      </c>
      <c r="V15" s="181">
        <v>5164.0</v>
      </c>
      <c r="W15" s="181">
        <v>4556.0</v>
      </c>
      <c r="X15" s="181">
        <v>0.0</v>
      </c>
      <c r="Y15" s="181">
        <v>0.0</v>
      </c>
      <c r="Z15" s="181">
        <v>7128.0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63">
        <f t="shared" si="12"/>
        <v>37542</v>
      </c>
    </row>
    <row r="16" ht="18.0" customHeight="1">
      <c r="A16" s="28"/>
      <c r="B16" s="182" t="s">
        <v>10</v>
      </c>
      <c r="C16" s="183" t="s">
        <v>8</v>
      </c>
      <c r="D16" s="184">
        <v>300.0</v>
      </c>
      <c r="E16" s="185">
        <v>931.0</v>
      </c>
      <c r="F16" s="185">
        <v>789.0</v>
      </c>
      <c r="G16" s="126">
        <v>64.0</v>
      </c>
      <c r="H16" s="126">
        <v>151.0</v>
      </c>
      <c r="I16" s="126">
        <v>16.0</v>
      </c>
      <c r="J16" s="126">
        <v>-5.0</v>
      </c>
      <c r="K16" s="126">
        <v>793.0</v>
      </c>
      <c r="L16" s="126">
        <v>0.0</v>
      </c>
      <c r="M16" s="126">
        <v>203.0</v>
      </c>
      <c r="N16" s="126"/>
      <c r="O16" s="279"/>
      <c r="P16" s="187"/>
      <c r="Q16" s="174">
        <v>0.0</v>
      </c>
      <c r="R16" s="174">
        <v>0.0</v>
      </c>
      <c r="S16" s="174">
        <v>0.0</v>
      </c>
      <c r="T16" s="174">
        <v>0.0</v>
      </c>
      <c r="U16" s="174">
        <v>0.0</v>
      </c>
      <c r="V16" s="174">
        <v>0.0</v>
      </c>
      <c r="W16" s="174">
        <v>88.0</v>
      </c>
      <c r="X16" s="174">
        <v>0.0</v>
      </c>
      <c r="Y16" s="174">
        <v>0.0</v>
      </c>
      <c r="Z16" s="174">
        <v>0.0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88</v>
      </c>
    </row>
    <row r="17" ht="18.0" customHeight="1">
      <c r="A17" s="28"/>
      <c r="B17" s="40"/>
      <c r="C17" s="188" t="s">
        <v>9</v>
      </c>
      <c r="D17" s="189">
        <v>1108.0</v>
      </c>
      <c r="E17" s="190">
        <v>1124.0</v>
      </c>
      <c r="F17" s="190">
        <v>2880.0</v>
      </c>
      <c r="G17" s="178">
        <v>2120.0</v>
      </c>
      <c r="H17" s="191">
        <v>897.0</v>
      </c>
      <c r="I17" s="191">
        <v>2220.0</v>
      </c>
      <c r="J17" s="191">
        <v>1100.0</v>
      </c>
      <c r="K17" s="191">
        <v>1936.0</v>
      </c>
      <c r="L17" s="191">
        <v>2612.0</v>
      </c>
      <c r="M17" s="191">
        <v>2440.0</v>
      </c>
      <c r="N17" s="191"/>
      <c r="O17" s="280"/>
      <c r="P17" s="193"/>
      <c r="Q17" s="181">
        <v>0.0</v>
      </c>
      <c r="R17" s="181">
        <v>0.0</v>
      </c>
      <c r="S17" s="181">
        <v>0.0</v>
      </c>
      <c r="T17" s="181">
        <v>0.0</v>
      </c>
      <c r="U17" s="181">
        <v>0.0</v>
      </c>
      <c r="V17" s="181">
        <v>0.0</v>
      </c>
      <c r="W17" s="181">
        <v>0.0</v>
      </c>
      <c r="X17" s="181">
        <v>0.0</v>
      </c>
      <c r="Y17" s="181">
        <v>0.0</v>
      </c>
      <c r="Z17" s="181">
        <v>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194">
        <f t="shared" si="12"/>
        <v>0</v>
      </c>
    </row>
    <row r="18" ht="18.0" customHeight="1">
      <c r="A18" s="29"/>
      <c r="B18" s="195" t="s">
        <v>11</v>
      </c>
      <c r="C18" s="196" t="s">
        <v>9</v>
      </c>
      <c r="D18" s="197">
        <v>76812.0</v>
      </c>
      <c r="E18" s="198">
        <v>59004.0</v>
      </c>
      <c r="F18" s="198">
        <v>66148.0</v>
      </c>
      <c r="G18" s="135">
        <v>92400.0</v>
      </c>
      <c r="H18" s="135">
        <v>65780.0</v>
      </c>
      <c r="I18" s="135">
        <v>81252.0</v>
      </c>
      <c r="J18" s="135">
        <v>101100.0</v>
      </c>
      <c r="K18" s="135">
        <v>71128.0</v>
      </c>
      <c r="L18" s="135">
        <v>99796.0</v>
      </c>
      <c r="M18" s="135">
        <v>60548.0</v>
      </c>
      <c r="N18" s="135"/>
      <c r="O18" s="281"/>
      <c r="P18" s="200"/>
      <c r="Q18" s="202">
        <v>0.0</v>
      </c>
      <c r="R18" s="202">
        <v>0.0</v>
      </c>
      <c r="S18" s="202">
        <v>49648.0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24564.0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74212</v>
      </c>
    </row>
    <row r="19" ht="18.0" customHeight="1">
      <c r="A19" s="17" t="s">
        <v>14</v>
      </c>
      <c r="B19" s="17" t="s">
        <v>7</v>
      </c>
      <c r="C19" s="94" t="s">
        <v>8</v>
      </c>
      <c r="D19" s="184">
        <v>14148.0</v>
      </c>
      <c r="E19" s="185">
        <v>14164.0</v>
      </c>
      <c r="F19" s="185">
        <v>17266.0</v>
      </c>
      <c r="G19" s="126">
        <v>17636.0</v>
      </c>
      <c r="H19" s="126">
        <v>14136.0</v>
      </c>
      <c r="I19" s="126">
        <v>16848.0</v>
      </c>
      <c r="J19" s="126">
        <v>17457.0</v>
      </c>
      <c r="K19" s="126">
        <v>15788.0</v>
      </c>
      <c r="L19" s="126">
        <v>15033.0</v>
      </c>
      <c r="M19" s="126">
        <v>13764.0</v>
      </c>
      <c r="N19" s="126"/>
      <c r="O19" s="279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176">
        <v>-6100.0</v>
      </c>
      <c r="E20" s="177">
        <v>-5068.0</v>
      </c>
      <c r="F20" s="177">
        <v>-5524.0</v>
      </c>
      <c r="G20" s="178">
        <v>-10700.0</v>
      </c>
      <c r="H20" s="178">
        <v>-6212.0</v>
      </c>
      <c r="I20" s="178">
        <v>-4544.0</v>
      </c>
      <c r="J20" s="178">
        <v>-5464.0</v>
      </c>
      <c r="K20" s="178">
        <v>-4788.0</v>
      </c>
      <c r="L20" s="178">
        <v>-4680.0</v>
      </c>
      <c r="M20" s="178">
        <v>-12464.0</v>
      </c>
      <c r="N20" s="178"/>
      <c r="O20" s="282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184">
        <v>-127.0</v>
      </c>
      <c r="E21" s="185">
        <v>-931.0</v>
      </c>
      <c r="F21" s="185">
        <v>-143.0</v>
      </c>
      <c r="G21" s="126">
        <v>-48.0</v>
      </c>
      <c r="H21" s="126">
        <v>0.0</v>
      </c>
      <c r="I21" s="126">
        <v>-16.0</v>
      </c>
      <c r="J21" s="126">
        <v>5.0</v>
      </c>
      <c r="K21" s="120">
        <v>-642.0</v>
      </c>
      <c r="L21" s="120">
        <v>0.0</v>
      </c>
      <c r="M21" s="120">
        <v>-203.0</v>
      </c>
      <c r="N21" s="126"/>
      <c r="O21" s="279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283">
        <v>-268.0</v>
      </c>
      <c r="E22" s="284">
        <v>-900.0</v>
      </c>
      <c r="F22" s="284">
        <v>-1380.0</v>
      </c>
      <c r="G22" s="285">
        <v>-1720.0</v>
      </c>
      <c r="H22" s="285">
        <v>-892.0</v>
      </c>
      <c r="I22" s="285">
        <v>-1480.0</v>
      </c>
      <c r="J22" s="285">
        <v>300.0</v>
      </c>
      <c r="K22" s="285">
        <v>-1840.0</v>
      </c>
      <c r="L22" s="285">
        <v>-1852.0</v>
      </c>
      <c r="M22" s="285">
        <v>-1240.0</v>
      </c>
      <c r="N22" s="285"/>
      <c r="O22" s="286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197">
        <v>-1824.0</v>
      </c>
      <c r="E23" s="198">
        <v>-400.0</v>
      </c>
      <c r="F23" s="198">
        <v>-624.0</v>
      </c>
      <c r="G23" s="135">
        <v>0.0</v>
      </c>
      <c r="H23" s="135">
        <v>-2080.0</v>
      </c>
      <c r="I23" s="135">
        <v>-5824.0</v>
      </c>
      <c r="J23" s="135">
        <v>-22256.0</v>
      </c>
      <c r="K23" s="135">
        <v>-1096.0</v>
      </c>
      <c r="L23" s="135">
        <v>-13272.0</v>
      </c>
      <c r="M23" s="135">
        <v>-2288.0</v>
      </c>
      <c r="N23" s="214"/>
      <c r="O23" s="287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7148</v>
      </c>
      <c r="E24" s="20">
        <f t="shared" si="13"/>
        <v>9736</v>
      </c>
      <c r="F24" s="20">
        <f t="shared" si="13"/>
        <v>9652</v>
      </c>
      <c r="G24" s="20">
        <f t="shared" si="13"/>
        <v>13204</v>
      </c>
      <c r="H24" s="20">
        <f t="shared" si="13"/>
        <v>10136</v>
      </c>
      <c r="I24" s="20">
        <f t="shared" si="13"/>
        <v>9524</v>
      </c>
      <c r="J24" s="20">
        <f t="shared" si="13"/>
        <v>8748</v>
      </c>
      <c r="K24" s="20">
        <f t="shared" si="13"/>
        <v>7936</v>
      </c>
      <c r="L24" s="20">
        <f t="shared" si="13"/>
        <v>15428</v>
      </c>
      <c r="M24" s="20">
        <f t="shared" si="13"/>
        <v>8500</v>
      </c>
      <c r="N24" s="20">
        <f t="shared" si="13"/>
        <v>8500</v>
      </c>
      <c r="O24" s="21">
        <f t="shared" si="13"/>
        <v>8500</v>
      </c>
      <c r="P24" s="274">
        <f t="shared" si="13"/>
        <v>8500</v>
      </c>
      <c r="Q24" s="74">
        <f t="shared" si="13"/>
        <v>8500</v>
      </c>
      <c r="R24" s="66">
        <f t="shared" si="13"/>
        <v>8500</v>
      </c>
      <c r="S24" s="66">
        <f t="shared" si="13"/>
        <v>10508</v>
      </c>
      <c r="T24" s="66">
        <f t="shared" si="13"/>
        <v>12948</v>
      </c>
      <c r="U24" s="66">
        <f t="shared" si="13"/>
        <v>12288</v>
      </c>
      <c r="V24" s="66">
        <f t="shared" si="13"/>
        <v>15548</v>
      </c>
      <c r="W24" s="66">
        <f t="shared" si="13"/>
        <v>14608</v>
      </c>
      <c r="X24" s="66">
        <f t="shared" si="13"/>
        <v>14608</v>
      </c>
      <c r="Y24" s="66">
        <f t="shared" si="13"/>
        <v>14608</v>
      </c>
      <c r="Z24" s="66">
        <f t="shared" si="13"/>
        <v>14308</v>
      </c>
      <c r="AA24" s="66">
        <f t="shared" si="13"/>
        <v>14308</v>
      </c>
      <c r="AB24" s="66">
        <f t="shared" si="13"/>
        <v>14308</v>
      </c>
      <c r="AC24" s="66">
        <f t="shared" si="13"/>
        <v>14308</v>
      </c>
      <c r="AD24" s="66">
        <f t="shared" si="13"/>
        <v>14308</v>
      </c>
      <c r="AE24" s="66">
        <f t="shared" si="13"/>
        <v>14308</v>
      </c>
      <c r="AF24" s="66">
        <f t="shared" si="13"/>
        <v>14308</v>
      </c>
      <c r="AG24" s="66">
        <f t="shared" si="13"/>
        <v>14308</v>
      </c>
      <c r="AH24" s="66">
        <f t="shared" si="13"/>
        <v>14308</v>
      </c>
      <c r="AI24" s="66">
        <f t="shared" si="13"/>
        <v>14308</v>
      </c>
      <c r="AJ24" s="66">
        <f t="shared" si="13"/>
        <v>14308</v>
      </c>
      <c r="AK24" s="66">
        <f t="shared" si="13"/>
        <v>14308</v>
      </c>
      <c r="AL24" s="66">
        <f t="shared" si="13"/>
        <v>14308</v>
      </c>
      <c r="AM24" s="66">
        <f t="shared" si="13"/>
        <v>14308</v>
      </c>
      <c r="AN24" s="66">
        <f t="shared" si="13"/>
        <v>14308</v>
      </c>
      <c r="AO24" s="66">
        <f t="shared" si="13"/>
        <v>14308</v>
      </c>
      <c r="AP24" s="66">
        <f t="shared" si="13"/>
        <v>14308</v>
      </c>
      <c r="AQ24" s="66">
        <f t="shared" si="13"/>
        <v>14308</v>
      </c>
      <c r="AR24" s="66">
        <f t="shared" si="13"/>
        <v>14308</v>
      </c>
      <c r="AS24" s="66">
        <f t="shared" si="13"/>
        <v>14308</v>
      </c>
      <c r="AT24" s="66">
        <f t="shared" si="13"/>
        <v>14308</v>
      </c>
      <c r="AU24" s="66">
        <f t="shared" si="13"/>
        <v>14308</v>
      </c>
      <c r="AV24" s="220">
        <f t="shared" si="13"/>
        <v>14308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0</v>
      </c>
      <c r="E25" s="222">
        <f t="shared" si="14"/>
        <v>0</v>
      </c>
      <c r="F25" s="222">
        <f t="shared" si="14"/>
        <v>800</v>
      </c>
      <c r="G25" s="222">
        <f t="shared" si="14"/>
        <v>0</v>
      </c>
      <c r="H25" s="222">
        <f t="shared" si="14"/>
        <v>0</v>
      </c>
      <c r="I25" s="222">
        <f t="shared" si="14"/>
        <v>0</v>
      </c>
      <c r="J25" s="222">
        <f t="shared" si="14"/>
        <v>600</v>
      </c>
      <c r="K25" s="222">
        <f t="shared" si="14"/>
        <v>0</v>
      </c>
      <c r="L25" s="222">
        <f t="shared" si="14"/>
        <v>400</v>
      </c>
      <c r="M25" s="222">
        <f t="shared" si="14"/>
        <v>0</v>
      </c>
      <c r="N25" s="222">
        <f t="shared" si="14"/>
        <v>0</v>
      </c>
      <c r="O25" s="223">
        <f t="shared" si="14"/>
        <v>0</v>
      </c>
      <c r="P25" s="275">
        <f t="shared" si="14"/>
        <v>0</v>
      </c>
      <c r="Q25" s="35">
        <f t="shared" si="14"/>
        <v>0</v>
      </c>
      <c r="R25" s="36">
        <f t="shared" si="14"/>
        <v>0</v>
      </c>
      <c r="S25" s="36">
        <f t="shared" si="14"/>
        <v>-4568</v>
      </c>
      <c r="T25" s="36">
        <f t="shared" si="14"/>
        <v>-5896</v>
      </c>
      <c r="U25" s="36">
        <f t="shared" si="14"/>
        <v>-5606</v>
      </c>
      <c r="V25" s="36">
        <f t="shared" si="14"/>
        <v>-4860</v>
      </c>
      <c r="W25" s="36">
        <f t="shared" si="14"/>
        <v>-9416</v>
      </c>
      <c r="X25" s="36">
        <f t="shared" si="14"/>
        <v>-9416</v>
      </c>
      <c r="Y25" s="36">
        <f t="shared" si="14"/>
        <v>-9416</v>
      </c>
      <c r="Z25" s="36">
        <f t="shared" si="14"/>
        <v>-6128</v>
      </c>
      <c r="AA25" s="36">
        <f t="shared" si="14"/>
        <v>-6128</v>
      </c>
      <c r="AB25" s="36">
        <f t="shared" si="14"/>
        <v>-6128</v>
      </c>
      <c r="AC25" s="36">
        <f t="shared" si="14"/>
        <v>-6128</v>
      </c>
      <c r="AD25" s="36">
        <f t="shared" si="14"/>
        <v>-6128</v>
      </c>
      <c r="AE25" s="36">
        <f t="shared" si="14"/>
        <v>-6128</v>
      </c>
      <c r="AF25" s="36">
        <f t="shared" si="14"/>
        <v>-6128</v>
      </c>
      <c r="AG25" s="36">
        <f t="shared" si="14"/>
        <v>-6128</v>
      </c>
      <c r="AH25" s="36">
        <f t="shared" si="14"/>
        <v>-6128</v>
      </c>
      <c r="AI25" s="36">
        <f t="shared" si="14"/>
        <v>-6128</v>
      </c>
      <c r="AJ25" s="36">
        <f t="shared" si="14"/>
        <v>-6128</v>
      </c>
      <c r="AK25" s="36">
        <f t="shared" si="14"/>
        <v>-6128</v>
      </c>
      <c r="AL25" s="36">
        <f t="shared" si="14"/>
        <v>-6128</v>
      </c>
      <c r="AM25" s="36">
        <f t="shared" si="14"/>
        <v>-6128</v>
      </c>
      <c r="AN25" s="36">
        <f t="shared" si="14"/>
        <v>-6128</v>
      </c>
      <c r="AO25" s="36">
        <f t="shared" si="14"/>
        <v>-6128</v>
      </c>
      <c r="AP25" s="36">
        <f t="shared" si="14"/>
        <v>-6128</v>
      </c>
      <c r="AQ25" s="36">
        <f t="shared" si="14"/>
        <v>-6128</v>
      </c>
      <c r="AR25" s="36">
        <f t="shared" si="14"/>
        <v>-6128</v>
      </c>
      <c r="AS25" s="36">
        <f t="shared" si="14"/>
        <v>-6128</v>
      </c>
      <c r="AT25" s="36">
        <f t="shared" si="14"/>
        <v>-6128</v>
      </c>
      <c r="AU25" s="36">
        <f t="shared" si="14"/>
        <v>-6128</v>
      </c>
      <c r="AV25" s="276">
        <f t="shared" si="14"/>
        <v>-6128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0</v>
      </c>
      <c r="E26" s="32">
        <f t="shared" si="15"/>
        <v>0</v>
      </c>
      <c r="F26" s="32">
        <f t="shared" si="15"/>
        <v>0</v>
      </c>
      <c r="G26" s="32">
        <f t="shared" si="15"/>
        <v>0</v>
      </c>
      <c r="H26" s="32">
        <f t="shared" si="15"/>
        <v>0</v>
      </c>
      <c r="I26" s="32">
        <f t="shared" si="15"/>
        <v>0</v>
      </c>
      <c r="J26" s="32">
        <f t="shared" si="15"/>
        <v>0</v>
      </c>
      <c r="K26" s="32">
        <f t="shared" si="15"/>
        <v>0</v>
      </c>
      <c r="L26" s="32">
        <f t="shared" si="15"/>
        <v>0</v>
      </c>
      <c r="M26" s="32">
        <f t="shared" si="15"/>
        <v>0</v>
      </c>
      <c r="N26" s="32">
        <f t="shared" si="15"/>
        <v>0</v>
      </c>
      <c r="O26" s="33">
        <f t="shared" si="15"/>
        <v>0</v>
      </c>
      <c r="P26" s="274">
        <f t="shared" si="15"/>
        <v>0</v>
      </c>
      <c r="Q26" s="74">
        <f t="shared" si="15"/>
        <v>0</v>
      </c>
      <c r="R26" s="66">
        <f t="shared" si="15"/>
        <v>0</v>
      </c>
      <c r="S26" s="66">
        <f t="shared" si="15"/>
        <v>0</v>
      </c>
      <c r="T26" s="66">
        <f t="shared" si="15"/>
        <v>0</v>
      </c>
      <c r="U26" s="66">
        <f t="shared" si="15"/>
        <v>0</v>
      </c>
      <c r="V26" s="66">
        <f t="shared" si="15"/>
        <v>0</v>
      </c>
      <c r="W26" s="66">
        <f t="shared" si="15"/>
        <v>-88</v>
      </c>
      <c r="X26" s="66">
        <f t="shared" si="15"/>
        <v>-88</v>
      </c>
      <c r="Y26" s="66">
        <f t="shared" si="15"/>
        <v>-88</v>
      </c>
      <c r="Z26" s="66">
        <f t="shared" si="15"/>
        <v>-88</v>
      </c>
      <c r="AA26" s="66">
        <f t="shared" si="15"/>
        <v>-88</v>
      </c>
      <c r="AB26" s="66">
        <f t="shared" si="15"/>
        <v>-88</v>
      </c>
      <c r="AC26" s="66">
        <f t="shared" si="15"/>
        <v>-88</v>
      </c>
      <c r="AD26" s="66">
        <f t="shared" si="15"/>
        <v>-88</v>
      </c>
      <c r="AE26" s="66">
        <f t="shared" si="15"/>
        <v>-88</v>
      </c>
      <c r="AF26" s="66">
        <f t="shared" si="15"/>
        <v>-88</v>
      </c>
      <c r="AG26" s="66">
        <f t="shared" si="15"/>
        <v>-88</v>
      </c>
      <c r="AH26" s="66">
        <f t="shared" si="15"/>
        <v>-88</v>
      </c>
      <c r="AI26" s="66">
        <f t="shared" si="15"/>
        <v>-88</v>
      </c>
      <c r="AJ26" s="66">
        <f t="shared" si="15"/>
        <v>-88</v>
      </c>
      <c r="AK26" s="66">
        <f t="shared" si="15"/>
        <v>-88</v>
      </c>
      <c r="AL26" s="66">
        <f t="shared" si="15"/>
        <v>-88</v>
      </c>
      <c r="AM26" s="66">
        <f t="shared" si="15"/>
        <v>-88</v>
      </c>
      <c r="AN26" s="66">
        <f t="shared" si="15"/>
        <v>-88</v>
      </c>
      <c r="AO26" s="66">
        <f t="shared" si="15"/>
        <v>-88</v>
      </c>
      <c r="AP26" s="66">
        <f t="shared" si="15"/>
        <v>-88</v>
      </c>
      <c r="AQ26" s="66">
        <f t="shared" si="15"/>
        <v>-88</v>
      </c>
      <c r="AR26" s="66">
        <f t="shared" si="15"/>
        <v>-88</v>
      </c>
      <c r="AS26" s="66">
        <f t="shared" si="15"/>
        <v>-88</v>
      </c>
      <c r="AT26" s="66">
        <f t="shared" si="15"/>
        <v>-88</v>
      </c>
      <c r="AU26" s="66">
        <f t="shared" si="15"/>
        <v>-88</v>
      </c>
      <c r="AV26" s="67">
        <f t="shared" si="15"/>
        <v>-88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0</v>
      </c>
      <c r="E27" s="222">
        <f t="shared" si="16"/>
        <v>0</v>
      </c>
      <c r="F27" s="222">
        <f t="shared" si="16"/>
        <v>0</v>
      </c>
      <c r="G27" s="222">
        <f t="shared" si="16"/>
        <v>0</v>
      </c>
      <c r="H27" s="222">
        <f t="shared" si="16"/>
        <v>0</v>
      </c>
      <c r="I27" s="222">
        <f t="shared" si="16"/>
        <v>0</v>
      </c>
      <c r="J27" s="222">
        <f t="shared" si="16"/>
        <v>0</v>
      </c>
      <c r="K27" s="222">
        <f t="shared" si="16"/>
        <v>0</v>
      </c>
      <c r="L27" s="222">
        <f t="shared" si="16"/>
        <v>0</v>
      </c>
      <c r="M27" s="222">
        <f t="shared" si="16"/>
        <v>0</v>
      </c>
      <c r="N27" s="222">
        <f t="shared" si="16"/>
        <v>0</v>
      </c>
      <c r="O27" s="223">
        <f t="shared" si="16"/>
        <v>0</v>
      </c>
      <c r="P27" s="275">
        <f t="shared" si="16"/>
        <v>0</v>
      </c>
      <c r="Q27" s="35">
        <f t="shared" si="16"/>
        <v>0</v>
      </c>
      <c r="R27" s="36">
        <f t="shared" si="16"/>
        <v>0</v>
      </c>
      <c r="S27" s="36">
        <f t="shared" si="16"/>
        <v>0</v>
      </c>
      <c r="T27" s="36">
        <f t="shared" si="16"/>
        <v>0</v>
      </c>
      <c r="U27" s="36">
        <f t="shared" si="16"/>
        <v>0</v>
      </c>
      <c r="V27" s="36">
        <f t="shared" si="16"/>
        <v>0</v>
      </c>
      <c r="W27" s="36">
        <f t="shared" si="16"/>
        <v>0</v>
      </c>
      <c r="X27" s="36">
        <f t="shared" si="16"/>
        <v>0</v>
      </c>
      <c r="Y27" s="36">
        <f t="shared" si="16"/>
        <v>0</v>
      </c>
      <c r="Z27" s="36">
        <f t="shared" si="16"/>
        <v>0</v>
      </c>
      <c r="AA27" s="36">
        <f t="shared" si="16"/>
        <v>0</v>
      </c>
      <c r="AB27" s="36">
        <f t="shared" si="16"/>
        <v>0</v>
      </c>
      <c r="AC27" s="36">
        <f t="shared" si="16"/>
        <v>0</v>
      </c>
      <c r="AD27" s="36">
        <f t="shared" si="16"/>
        <v>0</v>
      </c>
      <c r="AE27" s="36">
        <f t="shared" si="16"/>
        <v>0</v>
      </c>
      <c r="AF27" s="36">
        <f t="shared" si="16"/>
        <v>0</v>
      </c>
      <c r="AG27" s="36">
        <f t="shared" si="16"/>
        <v>0</v>
      </c>
      <c r="AH27" s="36">
        <f t="shared" si="16"/>
        <v>0</v>
      </c>
      <c r="AI27" s="36">
        <f t="shared" si="16"/>
        <v>0</v>
      </c>
      <c r="AJ27" s="36">
        <f t="shared" si="16"/>
        <v>0</v>
      </c>
      <c r="AK27" s="36">
        <f t="shared" si="16"/>
        <v>0</v>
      </c>
      <c r="AL27" s="36">
        <f t="shared" si="16"/>
        <v>0</v>
      </c>
      <c r="AM27" s="36">
        <f t="shared" si="16"/>
        <v>0</v>
      </c>
      <c r="AN27" s="36">
        <f t="shared" si="16"/>
        <v>0</v>
      </c>
      <c r="AO27" s="36">
        <f t="shared" si="16"/>
        <v>0</v>
      </c>
      <c r="AP27" s="36">
        <f t="shared" si="16"/>
        <v>0</v>
      </c>
      <c r="AQ27" s="36">
        <f t="shared" si="16"/>
        <v>0</v>
      </c>
      <c r="AR27" s="36">
        <f t="shared" si="16"/>
        <v>0</v>
      </c>
      <c r="AS27" s="36">
        <f t="shared" si="16"/>
        <v>0</v>
      </c>
      <c r="AT27" s="36">
        <f t="shared" si="16"/>
        <v>0</v>
      </c>
      <c r="AU27" s="36">
        <f t="shared" si="16"/>
        <v>0</v>
      </c>
      <c r="AV27" s="63">
        <f t="shared" si="16"/>
        <v>0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23792</v>
      </c>
      <c r="E28" s="230">
        <f t="shared" si="17"/>
        <v>53292</v>
      </c>
      <c r="F28" s="230">
        <f t="shared" si="17"/>
        <v>43304</v>
      </c>
      <c r="G28" s="230">
        <f t="shared" si="17"/>
        <v>32440</v>
      </c>
      <c r="H28" s="230">
        <f t="shared" si="17"/>
        <v>50276</v>
      </c>
      <c r="I28" s="230">
        <f t="shared" si="17"/>
        <v>54928</v>
      </c>
      <c r="J28" s="230">
        <f t="shared" si="17"/>
        <v>37148</v>
      </c>
      <c r="K28" s="230">
        <f t="shared" si="17"/>
        <v>42484</v>
      </c>
      <c r="L28" s="230">
        <f t="shared" si="17"/>
        <v>25848</v>
      </c>
      <c r="M28" s="230">
        <f t="shared" si="17"/>
        <v>50580</v>
      </c>
      <c r="N28" s="230">
        <f t="shared" si="17"/>
        <v>50580</v>
      </c>
      <c r="O28" s="231">
        <f t="shared" si="17"/>
        <v>50580</v>
      </c>
      <c r="P28" s="288">
        <f t="shared" si="17"/>
        <v>50580</v>
      </c>
      <c r="Q28" s="84">
        <f t="shared" si="17"/>
        <v>50580</v>
      </c>
      <c r="R28" s="71">
        <f t="shared" si="17"/>
        <v>50580</v>
      </c>
      <c r="S28" s="71">
        <f t="shared" si="17"/>
        <v>2388</v>
      </c>
      <c r="T28" s="71">
        <f t="shared" si="17"/>
        <v>6340</v>
      </c>
      <c r="U28" s="71">
        <f t="shared" si="17"/>
        <v>12580</v>
      </c>
      <c r="V28" s="71">
        <f t="shared" si="17"/>
        <v>27676</v>
      </c>
      <c r="W28" s="71">
        <f t="shared" si="17"/>
        <v>27676</v>
      </c>
      <c r="X28" s="71">
        <f t="shared" si="17"/>
        <v>27676</v>
      </c>
      <c r="Y28" s="71">
        <f t="shared" si="17"/>
        <v>27676</v>
      </c>
      <c r="Z28" s="71">
        <f t="shared" si="17"/>
        <v>4152</v>
      </c>
      <c r="AA28" s="71">
        <f t="shared" si="17"/>
        <v>4152</v>
      </c>
      <c r="AB28" s="71">
        <f t="shared" si="17"/>
        <v>4152</v>
      </c>
      <c r="AC28" s="71">
        <f t="shared" si="17"/>
        <v>4152</v>
      </c>
      <c r="AD28" s="71">
        <f t="shared" si="17"/>
        <v>4152</v>
      </c>
      <c r="AE28" s="71">
        <f t="shared" si="17"/>
        <v>4152</v>
      </c>
      <c r="AF28" s="71">
        <f t="shared" si="17"/>
        <v>4152</v>
      </c>
      <c r="AG28" s="71">
        <f t="shared" si="17"/>
        <v>4152</v>
      </c>
      <c r="AH28" s="71">
        <f t="shared" si="17"/>
        <v>4152</v>
      </c>
      <c r="AI28" s="71">
        <f t="shared" si="17"/>
        <v>4152</v>
      </c>
      <c r="AJ28" s="71">
        <f t="shared" si="17"/>
        <v>4152</v>
      </c>
      <c r="AK28" s="71">
        <f t="shared" si="17"/>
        <v>4152</v>
      </c>
      <c r="AL28" s="71">
        <f t="shared" si="17"/>
        <v>4152</v>
      </c>
      <c r="AM28" s="71">
        <f t="shared" si="17"/>
        <v>4152</v>
      </c>
      <c r="AN28" s="71">
        <f t="shared" si="17"/>
        <v>4152</v>
      </c>
      <c r="AO28" s="71">
        <f t="shared" si="17"/>
        <v>4152</v>
      </c>
      <c r="AP28" s="71">
        <f t="shared" si="17"/>
        <v>4152</v>
      </c>
      <c r="AQ28" s="71">
        <f t="shared" si="17"/>
        <v>4152</v>
      </c>
      <c r="AR28" s="71">
        <f t="shared" si="17"/>
        <v>4152</v>
      </c>
      <c r="AS28" s="71">
        <f t="shared" si="17"/>
        <v>4152</v>
      </c>
      <c r="AT28" s="71">
        <f t="shared" si="17"/>
        <v>4152</v>
      </c>
      <c r="AU28" s="71">
        <f t="shared" si="17"/>
        <v>4152</v>
      </c>
      <c r="AV28" s="85">
        <f t="shared" si="17"/>
        <v>4152</v>
      </c>
    </row>
    <row r="29" ht="18.0" customHeight="1">
      <c r="A29" s="1"/>
      <c r="B29" s="1"/>
      <c r="C29" s="1"/>
      <c r="D29" s="27">
        <f t="shared" ref="D29:AV29" si="18">SUM(D24:D28)</f>
        <v>30940</v>
      </c>
      <c r="E29" s="27">
        <f t="shared" si="18"/>
        <v>63028</v>
      </c>
      <c r="F29" s="27">
        <f t="shared" si="18"/>
        <v>53756</v>
      </c>
      <c r="G29" s="27">
        <f t="shared" si="18"/>
        <v>45644</v>
      </c>
      <c r="H29" s="27">
        <f t="shared" si="18"/>
        <v>60412</v>
      </c>
      <c r="I29" s="27">
        <f t="shared" si="18"/>
        <v>64452</v>
      </c>
      <c r="J29" s="27">
        <f t="shared" si="18"/>
        <v>46496</v>
      </c>
      <c r="K29" s="27">
        <f t="shared" si="18"/>
        <v>50420</v>
      </c>
      <c r="L29" s="27">
        <f t="shared" si="18"/>
        <v>41676</v>
      </c>
      <c r="M29" s="27">
        <f t="shared" si="18"/>
        <v>59080</v>
      </c>
      <c r="N29" s="27">
        <f t="shared" si="18"/>
        <v>59080</v>
      </c>
      <c r="O29" s="27">
        <f t="shared" si="18"/>
        <v>59080</v>
      </c>
      <c r="P29" s="27">
        <f t="shared" si="18"/>
        <v>59080</v>
      </c>
      <c r="Q29" s="27">
        <f t="shared" si="18"/>
        <v>59080</v>
      </c>
      <c r="R29" s="27">
        <f t="shared" si="18"/>
        <v>59080</v>
      </c>
      <c r="S29" s="27">
        <f t="shared" si="18"/>
        <v>8328</v>
      </c>
      <c r="T29" s="27">
        <f t="shared" si="18"/>
        <v>13392</v>
      </c>
      <c r="U29" s="27">
        <f t="shared" si="18"/>
        <v>19262</v>
      </c>
      <c r="V29" s="27">
        <f t="shared" si="18"/>
        <v>38364</v>
      </c>
      <c r="W29" s="27">
        <f t="shared" si="18"/>
        <v>32780</v>
      </c>
      <c r="X29" s="27">
        <f t="shared" si="18"/>
        <v>32780</v>
      </c>
      <c r="Y29" s="27">
        <f t="shared" si="18"/>
        <v>32780</v>
      </c>
      <c r="Z29" s="27">
        <f t="shared" si="18"/>
        <v>12244</v>
      </c>
      <c r="AA29" s="27">
        <f t="shared" si="18"/>
        <v>12244</v>
      </c>
      <c r="AB29" s="27">
        <f t="shared" si="18"/>
        <v>12244</v>
      </c>
      <c r="AC29" s="27">
        <f t="shared" si="18"/>
        <v>12244</v>
      </c>
      <c r="AD29" s="27">
        <f t="shared" si="18"/>
        <v>12244</v>
      </c>
      <c r="AE29" s="27">
        <f t="shared" si="18"/>
        <v>12244</v>
      </c>
      <c r="AF29" s="27">
        <f t="shared" si="18"/>
        <v>12244</v>
      </c>
      <c r="AG29" s="27">
        <f t="shared" si="18"/>
        <v>12244</v>
      </c>
      <c r="AH29" s="27">
        <f t="shared" si="18"/>
        <v>12244</v>
      </c>
      <c r="AI29" s="27">
        <f t="shared" si="18"/>
        <v>12244</v>
      </c>
      <c r="AJ29" s="27">
        <f t="shared" si="18"/>
        <v>12244</v>
      </c>
      <c r="AK29" s="27">
        <f t="shared" si="18"/>
        <v>12244</v>
      </c>
      <c r="AL29" s="27">
        <f t="shared" si="18"/>
        <v>12244</v>
      </c>
      <c r="AM29" s="27">
        <f t="shared" si="18"/>
        <v>12244</v>
      </c>
      <c r="AN29" s="27">
        <f t="shared" si="18"/>
        <v>12244</v>
      </c>
      <c r="AO29" s="27">
        <f t="shared" si="18"/>
        <v>12244</v>
      </c>
      <c r="AP29" s="27">
        <f t="shared" si="18"/>
        <v>12244</v>
      </c>
      <c r="AQ29" s="27">
        <f t="shared" si="18"/>
        <v>12244</v>
      </c>
      <c r="AR29" s="27">
        <f t="shared" si="18"/>
        <v>12244</v>
      </c>
      <c r="AS29" s="27">
        <f t="shared" si="18"/>
        <v>12244</v>
      </c>
      <c r="AT29" s="27">
        <f t="shared" si="18"/>
        <v>12244</v>
      </c>
      <c r="AU29" s="27">
        <f t="shared" si="18"/>
        <v>12244</v>
      </c>
      <c r="AV29" s="27">
        <f t="shared" si="18"/>
        <v>12244</v>
      </c>
    </row>
    <row r="30" ht="18.0" customHeight="1">
      <c r="A30" s="1"/>
      <c r="B30" s="1"/>
      <c r="C30" s="1"/>
      <c r="D30" s="1"/>
      <c r="E30" s="1"/>
      <c r="F30" s="1"/>
      <c r="K30" s="27"/>
      <c r="L30" s="27"/>
      <c r="M30" s="27"/>
      <c r="N30" s="27"/>
      <c r="O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58"/>
    </row>
    <row r="31" ht="18.0" customHeight="1">
      <c r="A31" s="93" t="s">
        <v>16</v>
      </c>
      <c r="B31" s="17" t="s">
        <v>7</v>
      </c>
      <c r="C31" s="94" t="s">
        <v>8</v>
      </c>
      <c r="D31" s="201">
        <v>49.0</v>
      </c>
      <c r="E31" s="171">
        <f t="shared" ref="E31:O31" si="19">ROUND(E24/208,0)</f>
        <v>47</v>
      </c>
      <c r="F31" s="171">
        <f t="shared" si="19"/>
        <v>46</v>
      </c>
      <c r="G31" s="171">
        <f t="shared" si="19"/>
        <v>63</v>
      </c>
      <c r="H31" s="171">
        <f t="shared" si="19"/>
        <v>49</v>
      </c>
      <c r="I31" s="171">
        <f t="shared" si="19"/>
        <v>46</v>
      </c>
      <c r="J31" s="171">
        <f t="shared" si="19"/>
        <v>42</v>
      </c>
      <c r="K31" s="171">
        <f t="shared" si="19"/>
        <v>38</v>
      </c>
      <c r="L31" s="171">
        <f t="shared" si="19"/>
        <v>74</v>
      </c>
      <c r="M31" s="171">
        <f t="shared" si="19"/>
        <v>41</v>
      </c>
      <c r="N31" s="171">
        <f t="shared" si="19"/>
        <v>41</v>
      </c>
      <c r="O31" s="171">
        <f t="shared" si="19"/>
        <v>41</v>
      </c>
      <c r="P31" s="201">
        <f t="shared" ref="P31:AV31" si="20">P24/200</f>
        <v>42.5</v>
      </c>
      <c r="Q31" s="201">
        <f t="shared" si="20"/>
        <v>42.5</v>
      </c>
      <c r="R31" s="171">
        <f t="shared" si="20"/>
        <v>42.5</v>
      </c>
      <c r="S31" s="171">
        <f t="shared" si="20"/>
        <v>52.54</v>
      </c>
      <c r="T31" s="171">
        <f t="shared" si="20"/>
        <v>64.74</v>
      </c>
      <c r="U31" s="171">
        <f t="shared" si="20"/>
        <v>61.44</v>
      </c>
      <c r="V31" s="171">
        <f t="shared" si="20"/>
        <v>77.74</v>
      </c>
      <c r="W31" s="171">
        <f t="shared" si="20"/>
        <v>73.04</v>
      </c>
      <c r="X31" s="171">
        <f t="shared" si="20"/>
        <v>73.04</v>
      </c>
      <c r="Y31" s="171">
        <f t="shared" si="20"/>
        <v>73.04</v>
      </c>
      <c r="Z31" s="171">
        <f t="shared" si="20"/>
        <v>71.54</v>
      </c>
      <c r="AA31" s="171">
        <f t="shared" si="20"/>
        <v>71.54</v>
      </c>
      <c r="AB31" s="171">
        <f t="shared" si="20"/>
        <v>71.54</v>
      </c>
      <c r="AC31" s="171">
        <f t="shared" si="20"/>
        <v>71.54</v>
      </c>
      <c r="AD31" s="171">
        <f t="shared" si="20"/>
        <v>71.54</v>
      </c>
      <c r="AE31" s="171">
        <f t="shared" si="20"/>
        <v>71.54</v>
      </c>
      <c r="AF31" s="171">
        <f t="shared" si="20"/>
        <v>71.54</v>
      </c>
      <c r="AG31" s="171">
        <f t="shared" si="20"/>
        <v>71.54</v>
      </c>
      <c r="AH31" s="171">
        <f t="shared" si="20"/>
        <v>71.54</v>
      </c>
      <c r="AI31" s="171">
        <f t="shared" si="20"/>
        <v>71.54</v>
      </c>
      <c r="AJ31" s="171">
        <f t="shared" si="20"/>
        <v>71.54</v>
      </c>
      <c r="AK31" s="171">
        <f t="shared" si="20"/>
        <v>71.54</v>
      </c>
      <c r="AL31" s="171">
        <f t="shared" si="20"/>
        <v>71.54</v>
      </c>
      <c r="AM31" s="171">
        <f t="shared" si="20"/>
        <v>71.54</v>
      </c>
      <c r="AN31" s="171">
        <f t="shared" si="20"/>
        <v>71.54</v>
      </c>
      <c r="AO31" s="171">
        <f t="shared" si="20"/>
        <v>71.54</v>
      </c>
      <c r="AP31" s="171">
        <f t="shared" si="20"/>
        <v>71.54</v>
      </c>
      <c r="AQ31" s="171">
        <f t="shared" si="20"/>
        <v>71.54</v>
      </c>
      <c r="AR31" s="171">
        <f t="shared" si="20"/>
        <v>71.54</v>
      </c>
      <c r="AS31" s="171">
        <f t="shared" si="20"/>
        <v>71.54</v>
      </c>
      <c r="AT31" s="171">
        <f t="shared" si="20"/>
        <v>71.54</v>
      </c>
      <c r="AU31" s="171">
        <f t="shared" si="20"/>
        <v>71.54</v>
      </c>
      <c r="AV31" s="201">
        <f t="shared" si="20"/>
        <v>71.54</v>
      </c>
    </row>
    <row r="32" ht="18.0" customHeight="1">
      <c r="A32" s="28"/>
      <c r="B32" s="29"/>
      <c r="C32" s="100" t="s">
        <v>9</v>
      </c>
      <c r="D32" s="176">
        <v>0.0</v>
      </c>
      <c r="E32" s="177">
        <f t="shared" ref="E32:AV32" si="21">E25/200</f>
        <v>0</v>
      </c>
      <c r="F32" s="177">
        <f t="shared" si="21"/>
        <v>4</v>
      </c>
      <c r="G32" s="177">
        <f t="shared" si="21"/>
        <v>0</v>
      </c>
      <c r="H32" s="177">
        <f t="shared" si="21"/>
        <v>0</v>
      </c>
      <c r="I32" s="177">
        <f t="shared" si="21"/>
        <v>0</v>
      </c>
      <c r="J32" s="177">
        <f t="shared" si="21"/>
        <v>3</v>
      </c>
      <c r="K32" s="177">
        <f t="shared" si="21"/>
        <v>0</v>
      </c>
      <c r="L32" s="177">
        <f t="shared" si="21"/>
        <v>2</v>
      </c>
      <c r="M32" s="177">
        <f t="shared" si="21"/>
        <v>0</v>
      </c>
      <c r="N32" s="177">
        <f t="shared" si="21"/>
        <v>0</v>
      </c>
      <c r="O32" s="177">
        <f t="shared" si="21"/>
        <v>0</v>
      </c>
      <c r="P32" s="176">
        <f t="shared" si="21"/>
        <v>0</v>
      </c>
      <c r="Q32" s="176">
        <f t="shared" si="21"/>
        <v>0</v>
      </c>
      <c r="R32" s="177">
        <f t="shared" si="21"/>
        <v>0</v>
      </c>
      <c r="S32" s="177">
        <f t="shared" si="21"/>
        <v>-22.84</v>
      </c>
      <c r="T32" s="177">
        <f t="shared" si="21"/>
        <v>-29.48</v>
      </c>
      <c r="U32" s="177">
        <f t="shared" si="21"/>
        <v>-28.03</v>
      </c>
      <c r="V32" s="177">
        <f t="shared" si="21"/>
        <v>-24.3</v>
      </c>
      <c r="W32" s="177">
        <f t="shared" si="21"/>
        <v>-47.08</v>
      </c>
      <c r="X32" s="177">
        <f t="shared" si="21"/>
        <v>-47.08</v>
      </c>
      <c r="Y32" s="177">
        <f t="shared" si="21"/>
        <v>-47.08</v>
      </c>
      <c r="Z32" s="177">
        <f t="shared" si="21"/>
        <v>-30.64</v>
      </c>
      <c r="AA32" s="177">
        <f t="shared" si="21"/>
        <v>-30.64</v>
      </c>
      <c r="AB32" s="177">
        <f t="shared" si="21"/>
        <v>-30.64</v>
      </c>
      <c r="AC32" s="177">
        <f t="shared" si="21"/>
        <v>-30.64</v>
      </c>
      <c r="AD32" s="177">
        <f t="shared" si="21"/>
        <v>-30.64</v>
      </c>
      <c r="AE32" s="177">
        <f t="shared" si="21"/>
        <v>-30.64</v>
      </c>
      <c r="AF32" s="177">
        <f t="shared" si="21"/>
        <v>-30.64</v>
      </c>
      <c r="AG32" s="177">
        <f t="shared" si="21"/>
        <v>-30.64</v>
      </c>
      <c r="AH32" s="177">
        <f t="shared" si="21"/>
        <v>-30.64</v>
      </c>
      <c r="AI32" s="177">
        <f t="shared" si="21"/>
        <v>-30.64</v>
      </c>
      <c r="AJ32" s="177">
        <f t="shared" si="21"/>
        <v>-30.64</v>
      </c>
      <c r="AK32" s="177">
        <f t="shared" si="21"/>
        <v>-30.64</v>
      </c>
      <c r="AL32" s="177">
        <f t="shared" si="21"/>
        <v>-30.64</v>
      </c>
      <c r="AM32" s="177">
        <f t="shared" si="21"/>
        <v>-30.64</v>
      </c>
      <c r="AN32" s="177">
        <f t="shared" si="21"/>
        <v>-30.64</v>
      </c>
      <c r="AO32" s="177">
        <f t="shared" si="21"/>
        <v>-30.64</v>
      </c>
      <c r="AP32" s="177">
        <f t="shared" si="21"/>
        <v>-30.64</v>
      </c>
      <c r="AQ32" s="177">
        <f t="shared" si="21"/>
        <v>-30.64</v>
      </c>
      <c r="AR32" s="177">
        <f t="shared" si="21"/>
        <v>-30.64</v>
      </c>
      <c r="AS32" s="177">
        <f t="shared" si="21"/>
        <v>-30.64</v>
      </c>
      <c r="AT32" s="177">
        <f t="shared" si="21"/>
        <v>-30.64</v>
      </c>
      <c r="AU32" s="177">
        <f t="shared" si="21"/>
        <v>-30.64</v>
      </c>
      <c r="AV32" s="176">
        <f t="shared" si="21"/>
        <v>-30.64</v>
      </c>
    </row>
    <row r="33" ht="18.0" customHeight="1">
      <c r="A33" s="28"/>
      <c r="B33" s="38" t="s">
        <v>10</v>
      </c>
      <c r="C33" s="106" t="s">
        <v>8</v>
      </c>
      <c r="D33" s="184">
        <v>0.0</v>
      </c>
      <c r="E33" s="185">
        <f t="shared" ref="E33:P33" si="22">ROUND(E26/200,0)</f>
        <v>0</v>
      </c>
      <c r="F33" s="185">
        <f t="shared" si="22"/>
        <v>0</v>
      </c>
      <c r="G33" s="185">
        <f t="shared" si="22"/>
        <v>0</v>
      </c>
      <c r="H33" s="185">
        <f t="shared" si="22"/>
        <v>0</v>
      </c>
      <c r="I33" s="185">
        <f t="shared" si="22"/>
        <v>0</v>
      </c>
      <c r="J33" s="185">
        <f t="shared" si="22"/>
        <v>0</v>
      </c>
      <c r="K33" s="185">
        <f t="shared" si="22"/>
        <v>0</v>
      </c>
      <c r="L33" s="185">
        <f t="shared" si="22"/>
        <v>0</v>
      </c>
      <c r="M33" s="185">
        <f t="shared" si="22"/>
        <v>0</v>
      </c>
      <c r="N33" s="185">
        <f t="shared" si="22"/>
        <v>0</v>
      </c>
      <c r="O33" s="185">
        <f t="shared" si="22"/>
        <v>0</v>
      </c>
      <c r="P33" s="184">
        <f t="shared" si="22"/>
        <v>0</v>
      </c>
      <c r="Q33" s="184">
        <f t="shared" ref="Q33:AV33" si="23">Q26/200</f>
        <v>0</v>
      </c>
      <c r="R33" s="185">
        <f t="shared" si="23"/>
        <v>0</v>
      </c>
      <c r="S33" s="185">
        <f t="shared" si="23"/>
        <v>0</v>
      </c>
      <c r="T33" s="185">
        <f t="shared" si="23"/>
        <v>0</v>
      </c>
      <c r="U33" s="185">
        <f t="shared" si="23"/>
        <v>0</v>
      </c>
      <c r="V33" s="185">
        <f t="shared" si="23"/>
        <v>0</v>
      </c>
      <c r="W33" s="185">
        <f t="shared" si="23"/>
        <v>-0.44</v>
      </c>
      <c r="X33" s="185">
        <f t="shared" si="23"/>
        <v>-0.44</v>
      </c>
      <c r="Y33" s="185">
        <f t="shared" si="23"/>
        <v>-0.44</v>
      </c>
      <c r="Z33" s="185">
        <f t="shared" si="23"/>
        <v>-0.44</v>
      </c>
      <c r="AA33" s="185">
        <f t="shared" si="23"/>
        <v>-0.44</v>
      </c>
      <c r="AB33" s="185">
        <f t="shared" si="23"/>
        <v>-0.44</v>
      </c>
      <c r="AC33" s="185">
        <f t="shared" si="23"/>
        <v>-0.44</v>
      </c>
      <c r="AD33" s="185">
        <f t="shared" si="23"/>
        <v>-0.44</v>
      </c>
      <c r="AE33" s="185">
        <f t="shared" si="23"/>
        <v>-0.44</v>
      </c>
      <c r="AF33" s="185">
        <f t="shared" si="23"/>
        <v>-0.44</v>
      </c>
      <c r="AG33" s="185">
        <f t="shared" si="23"/>
        <v>-0.44</v>
      </c>
      <c r="AH33" s="185">
        <f t="shared" si="23"/>
        <v>-0.44</v>
      </c>
      <c r="AI33" s="185">
        <f t="shared" si="23"/>
        <v>-0.44</v>
      </c>
      <c r="AJ33" s="185">
        <f t="shared" si="23"/>
        <v>-0.44</v>
      </c>
      <c r="AK33" s="185">
        <f t="shared" si="23"/>
        <v>-0.44</v>
      </c>
      <c r="AL33" s="185">
        <f t="shared" si="23"/>
        <v>-0.44</v>
      </c>
      <c r="AM33" s="185">
        <f t="shared" si="23"/>
        <v>-0.44</v>
      </c>
      <c r="AN33" s="185">
        <f t="shared" si="23"/>
        <v>-0.44</v>
      </c>
      <c r="AO33" s="185">
        <f t="shared" si="23"/>
        <v>-0.44</v>
      </c>
      <c r="AP33" s="185">
        <f t="shared" si="23"/>
        <v>-0.44</v>
      </c>
      <c r="AQ33" s="185">
        <f t="shared" si="23"/>
        <v>-0.44</v>
      </c>
      <c r="AR33" s="185">
        <f t="shared" si="23"/>
        <v>-0.44</v>
      </c>
      <c r="AS33" s="185">
        <f t="shared" si="23"/>
        <v>-0.44</v>
      </c>
      <c r="AT33" s="185">
        <f t="shared" si="23"/>
        <v>-0.44</v>
      </c>
      <c r="AU33" s="185">
        <f t="shared" si="23"/>
        <v>-0.44</v>
      </c>
      <c r="AV33" s="184">
        <f t="shared" si="23"/>
        <v>-0.44</v>
      </c>
    </row>
    <row r="34" ht="18.0" customHeight="1">
      <c r="A34" s="28"/>
      <c r="B34" s="29"/>
      <c r="C34" s="100" t="s">
        <v>9</v>
      </c>
      <c r="D34" s="176">
        <v>0.0</v>
      </c>
      <c r="E34" s="177">
        <f t="shared" ref="E34:AV34" si="24">E27/200</f>
        <v>0</v>
      </c>
      <c r="F34" s="177">
        <f t="shared" si="24"/>
        <v>0</v>
      </c>
      <c r="G34" s="177">
        <f t="shared" si="24"/>
        <v>0</v>
      </c>
      <c r="H34" s="177">
        <f t="shared" si="24"/>
        <v>0</v>
      </c>
      <c r="I34" s="177">
        <f t="shared" si="24"/>
        <v>0</v>
      </c>
      <c r="J34" s="177">
        <f t="shared" si="24"/>
        <v>0</v>
      </c>
      <c r="K34" s="177">
        <f t="shared" si="24"/>
        <v>0</v>
      </c>
      <c r="L34" s="177">
        <f t="shared" si="24"/>
        <v>0</v>
      </c>
      <c r="M34" s="177">
        <f t="shared" si="24"/>
        <v>0</v>
      </c>
      <c r="N34" s="177">
        <f t="shared" si="24"/>
        <v>0</v>
      </c>
      <c r="O34" s="177">
        <f t="shared" si="24"/>
        <v>0</v>
      </c>
      <c r="P34" s="176">
        <f t="shared" si="24"/>
        <v>0</v>
      </c>
      <c r="Q34" s="176">
        <f t="shared" si="24"/>
        <v>0</v>
      </c>
      <c r="R34" s="177">
        <f t="shared" si="24"/>
        <v>0</v>
      </c>
      <c r="S34" s="177">
        <f t="shared" si="24"/>
        <v>0</v>
      </c>
      <c r="T34" s="177">
        <f t="shared" si="24"/>
        <v>0</v>
      </c>
      <c r="U34" s="177">
        <f t="shared" si="24"/>
        <v>0</v>
      </c>
      <c r="V34" s="177">
        <f t="shared" si="24"/>
        <v>0</v>
      </c>
      <c r="W34" s="177">
        <f t="shared" si="24"/>
        <v>0</v>
      </c>
      <c r="X34" s="177">
        <f t="shared" si="24"/>
        <v>0</v>
      </c>
      <c r="Y34" s="177">
        <f t="shared" si="24"/>
        <v>0</v>
      </c>
      <c r="Z34" s="177">
        <f t="shared" si="24"/>
        <v>0</v>
      </c>
      <c r="AA34" s="177">
        <f t="shared" si="24"/>
        <v>0</v>
      </c>
      <c r="AB34" s="177">
        <f t="shared" si="24"/>
        <v>0</v>
      </c>
      <c r="AC34" s="177">
        <f t="shared" si="24"/>
        <v>0</v>
      </c>
      <c r="AD34" s="177">
        <f t="shared" si="24"/>
        <v>0</v>
      </c>
      <c r="AE34" s="177">
        <f t="shared" si="24"/>
        <v>0</v>
      </c>
      <c r="AF34" s="177">
        <f t="shared" si="24"/>
        <v>0</v>
      </c>
      <c r="AG34" s="177">
        <f t="shared" si="24"/>
        <v>0</v>
      </c>
      <c r="AH34" s="177">
        <f t="shared" si="24"/>
        <v>0</v>
      </c>
      <c r="AI34" s="177">
        <f t="shared" si="24"/>
        <v>0</v>
      </c>
      <c r="AJ34" s="177">
        <f t="shared" si="24"/>
        <v>0</v>
      </c>
      <c r="AK34" s="177">
        <f t="shared" si="24"/>
        <v>0</v>
      </c>
      <c r="AL34" s="177">
        <f t="shared" si="24"/>
        <v>0</v>
      </c>
      <c r="AM34" s="177">
        <f t="shared" si="24"/>
        <v>0</v>
      </c>
      <c r="AN34" s="177">
        <f t="shared" si="24"/>
        <v>0</v>
      </c>
      <c r="AO34" s="177">
        <f t="shared" si="24"/>
        <v>0</v>
      </c>
      <c r="AP34" s="177">
        <f t="shared" si="24"/>
        <v>0</v>
      </c>
      <c r="AQ34" s="177">
        <f t="shared" si="24"/>
        <v>0</v>
      </c>
      <c r="AR34" s="177">
        <f t="shared" si="24"/>
        <v>0</v>
      </c>
      <c r="AS34" s="177">
        <f t="shared" si="24"/>
        <v>0</v>
      </c>
      <c r="AT34" s="177">
        <f t="shared" si="24"/>
        <v>0</v>
      </c>
      <c r="AU34" s="177">
        <f t="shared" si="24"/>
        <v>0</v>
      </c>
      <c r="AV34" s="176">
        <f t="shared" si="24"/>
        <v>0</v>
      </c>
    </row>
    <row r="35" ht="18.0" customHeight="1">
      <c r="A35" s="29"/>
      <c r="B35" s="43" t="s">
        <v>11</v>
      </c>
      <c r="C35" s="43" t="s">
        <v>9</v>
      </c>
      <c r="D35" s="197">
        <v>205.82</v>
      </c>
      <c r="E35" s="198">
        <f t="shared" ref="E35:AV35" si="25">E28/200</f>
        <v>266.46</v>
      </c>
      <c r="F35" s="198">
        <f t="shared" si="25"/>
        <v>216.52</v>
      </c>
      <c r="G35" s="198">
        <f t="shared" si="25"/>
        <v>162.2</v>
      </c>
      <c r="H35" s="198">
        <f t="shared" si="25"/>
        <v>251.38</v>
      </c>
      <c r="I35" s="198">
        <f t="shared" si="25"/>
        <v>274.64</v>
      </c>
      <c r="J35" s="198">
        <f t="shared" si="25"/>
        <v>185.74</v>
      </c>
      <c r="K35" s="198">
        <f t="shared" si="25"/>
        <v>212.42</v>
      </c>
      <c r="L35" s="198">
        <f t="shared" si="25"/>
        <v>129.24</v>
      </c>
      <c r="M35" s="198">
        <f t="shared" si="25"/>
        <v>252.9</v>
      </c>
      <c r="N35" s="198">
        <f t="shared" si="25"/>
        <v>252.9</v>
      </c>
      <c r="O35" s="198">
        <f t="shared" si="25"/>
        <v>252.9</v>
      </c>
      <c r="P35" s="197">
        <f t="shared" si="25"/>
        <v>252.9</v>
      </c>
      <c r="Q35" s="197">
        <f t="shared" si="25"/>
        <v>252.9</v>
      </c>
      <c r="R35" s="198">
        <f t="shared" si="25"/>
        <v>252.9</v>
      </c>
      <c r="S35" s="198">
        <f t="shared" si="25"/>
        <v>11.94</v>
      </c>
      <c r="T35" s="198">
        <f t="shared" si="25"/>
        <v>31.7</v>
      </c>
      <c r="U35" s="198">
        <f t="shared" si="25"/>
        <v>62.9</v>
      </c>
      <c r="V35" s="198">
        <f t="shared" si="25"/>
        <v>138.38</v>
      </c>
      <c r="W35" s="198">
        <f t="shared" si="25"/>
        <v>138.38</v>
      </c>
      <c r="X35" s="198">
        <f t="shared" si="25"/>
        <v>138.38</v>
      </c>
      <c r="Y35" s="198">
        <f t="shared" si="25"/>
        <v>138.38</v>
      </c>
      <c r="Z35" s="198">
        <f t="shared" si="25"/>
        <v>20.76</v>
      </c>
      <c r="AA35" s="198">
        <f t="shared" si="25"/>
        <v>20.76</v>
      </c>
      <c r="AB35" s="198">
        <f t="shared" si="25"/>
        <v>20.76</v>
      </c>
      <c r="AC35" s="198">
        <f t="shared" si="25"/>
        <v>20.76</v>
      </c>
      <c r="AD35" s="198">
        <f t="shared" si="25"/>
        <v>20.76</v>
      </c>
      <c r="AE35" s="198">
        <f t="shared" si="25"/>
        <v>20.76</v>
      </c>
      <c r="AF35" s="198">
        <f t="shared" si="25"/>
        <v>20.76</v>
      </c>
      <c r="AG35" s="198">
        <f t="shared" si="25"/>
        <v>20.76</v>
      </c>
      <c r="AH35" s="198">
        <f t="shared" si="25"/>
        <v>20.76</v>
      </c>
      <c r="AI35" s="198">
        <f t="shared" si="25"/>
        <v>20.76</v>
      </c>
      <c r="AJ35" s="198">
        <f t="shared" si="25"/>
        <v>20.76</v>
      </c>
      <c r="AK35" s="198">
        <f t="shared" si="25"/>
        <v>20.76</v>
      </c>
      <c r="AL35" s="198">
        <f t="shared" si="25"/>
        <v>20.76</v>
      </c>
      <c r="AM35" s="198">
        <f t="shared" si="25"/>
        <v>20.76</v>
      </c>
      <c r="AN35" s="198">
        <f t="shared" si="25"/>
        <v>20.76</v>
      </c>
      <c r="AO35" s="198">
        <f t="shared" si="25"/>
        <v>20.76</v>
      </c>
      <c r="AP35" s="198">
        <f t="shared" si="25"/>
        <v>20.76</v>
      </c>
      <c r="AQ35" s="198">
        <f t="shared" si="25"/>
        <v>20.76</v>
      </c>
      <c r="AR35" s="198">
        <f t="shared" si="25"/>
        <v>20.76</v>
      </c>
      <c r="AS35" s="198">
        <f t="shared" si="25"/>
        <v>20.76</v>
      </c>
      <c r="AT35" s="198">
        <f t="shared" si="25"/>
        <v>20.76</v>
      </c>
      <c r="AU35" s="198">
        <f t="shared" si="25"/>
        <v>20.76</v>
      </c>
      <c r="AV35" s="197">
        <f t="shared" si="25"/>
        <v>20.76</v>
      </c>
    </row>
    <row r="36" ht="17.25" customHeight="1">
      <c r="A36" s="1"/>
      <c r="B36" s="1"/>
      <c r="C36" s="1"/>
      <c r="D36" s="1"/>
      <c r="E36" s="1"/>
      <c r="F36" s="1"/>
      <c r="K36" s="27"/>
      <c r="L36" s="27"/>
      <c r="M36" s="27"/>
      <c r="N36" s="27"/>
      <c r="O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58"/>
    </row>
    <row r="37" ht="17.25" customHeight="1">
      <c r="A37" s="1"/>
      <c r="B37" s="1"/>
      <c r="C37" s="1"/>
      <c r="D37" s="1"/>
      <c r="E37" s="1"/>
      <c r="F37" s="1"/>
      <c r="K37" s="27"/>
      <c r="L37" s="27"/>
      <c r="M37" s="27"/>
      <c r="N37" s="27"/>
      <c r="O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58"/>
    </row>
    <row r="38" ht="17.25" customHeight="1">
      <c r="A38" s="1"/>
      <c r="B38" s="1"/>
      <c r="C38" s="1"/>
      <c r="D38" s="1"/>
      <c r="E38" s="1"/>
      <c r="F38" s="1"/>
      <c r="K38" s="27"/>
      <c r="L38" s="27"/>
      <c r="M38" s="27"/>
      <c r="N38" s="27"/>
      <c r="O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58"/>
    </row>
    <row r="39" ht="17.25" customHeight="1">
      <c r="A39" s="1"/>
      <c r="B39" s="1"/>
      <c r="C39" s="1"/>
      <c r="D39" s="1"/>
      <c r="E39" s="1"/>
      <c r="F39" s="1"/>
      <c r="K39" s="27"/>
      <c r="L39" s="27"/>
      <c r="M39" s="27"/>
      <c r="N39" s="27"/>
      <c r="O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K40" s="27"/>
      <c r="L40" s="27"/>
      <c r="M40" s="27"/>
      <c r="N40" s="27"/>
      <c r="O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</row>
    <row r="41" ht="17.25" customHeight="1">
      <c r="A41" s="1"/>
      <c r="B41" s="1"/>
      <c r="C41" s="1"/>
      <c r="D41" s="1"/>
      <c r="E41" s="1"/>
      <c r="F41" s="1"/>
      <c r="K41" s="27"/>
      <c r="L41" s="27"/>
      <c r="M41" s="27"/>
      <c r="N41" s="27"/>
      <c r="O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</row>
    <row r="42" ht="17.25" customHeight="1">
      <c r="A42" s="1"/>
      <c r="B42" s="1"/>
      <c r="C42" s="1"/>
      <c r="D42" s="1"/>
      <c r="E42" s="1"/>
      <c r="F42" s="1"/>
      <c r="K42" s="27"/>
      <c r="L42" s="27"/>
      <c r="M42" s="27"/>
      <c r="N42" s="27"/>
      <c r="O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</row>
    <row r="43" ht="17.25" customHeight="1">
      <c r="A43" s="1"/>
      <c r="B43" s="1"/>
      <c r="C43" s="1"/>
      <c r="D43" s="1"/>
      <c r="E43" s="1"/>
      <c r="F43" s="1"/>
      <c r="K43" s="27"/>
      <c r="L43" s="27"/>
      <c r="M43" s="27"/>
      <c r="N43" s="27"/>
      <c r="O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</row>
    <row r="44" ht="17.25" customHeight="1">
      <c r="A44" s="1"/>
      <c r="B44" s="1"/>
      <c r="C44" s="1"/>
      <c r="D44" s="1"/>
      <c r="E44" s="1"/>
      <c r="F44" s="1"/>
      <c r="K44" s="27"/>
      <c r="L44" s="27"/>
      <c r="M44" s="27"/>
      <c r="N44" s="27"/>
      <c r="O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58"/>
    </row>
    <row r="45" ht="17.25" customHeight="1">
      <c r="A45" s="1"/>
      <c r="B45" s="1"/>
      <c r="C45" s="1"/>
      <c r="D45" s="1"/>
      <c r="E45" s="1"/>
      <c r="F45" s="1"/>
      <c r="K45" s="27"/>
      <c r="L45" s="27"/>
      <c r="M45" s="27"/>
      <c r="N45" s="27"/>
      <c r="O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58"/>
    </row>
    <row r="46" ht="17.25" customHeight="1">
      <c r="A46" s="1"/>
      <c r="B46" s="1"/>
      <c r="C46" s="1"/>
      <c r="D46" s="1"/>
      <c r="E46" s="1"/>
      <c r="F46" s="1"/>
      <c r="K46" s="27"/>
      <c r="L46" s="27"/>
      <c r="M46" s="27"/>
      <c r="N46" s="27"/>
      <c r="O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58"/>
    </row>
    <row r="47" ht="17.25" customHeight="1">
      <c r="A47" s="1"/>
      <c r="B47" s="1"/>
      <c r="C47" s="1"/>
      <c r="D47" s="1"/>
      <c r="E47" s="1"/>
      <c r="F47" s="1"/>
      <c r="K47" s="27"/>
      <c r="L47" s="27"/>
      <c r="M47" s="27"/>
      <c r="N47" s="27"/>
      <c r="O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58"/>
    </row>
    <row r="48" ht="17.25" customHeight="1">
      <c r="A48" s="1"/>
      <c r="B48" s="1"/>
      <c r="C48" s="1"/>
      <c r="D48" s="1"/>
      <c r="E48" s="1"/>
      <c r="F48" s="1"/>
      <c r="K48" s="27"/>
      <c r="L48" s="27"/>
      <c r="M48" s="27"/>
      <c r="N48" s="27"/>
      <c r="O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58"/>
    </row>
    <row r="49" ht="17.25" customHeight="1">
      <c r="A49" s="1"/>
      <c r="B49" s="1"/>
      <c r="C49" s="1"/>
      <c r="D49" s="1"/>
      <c r="E49" s="1"/>
      <c r="F49" s="1"/>
      <c r="K49" s="27"/>
      <c r="L49" s="27"/>
      <c r="M49" s="27"/>
      <c r="N49" s="27"/>
      <c r="O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58"/>
    </row>
    <row r="50" ht="17.25" customHeight="1">
      <c r="A50" s="1"/>
      <c r="B50" s="1"/>
      <c r="C50" s="1"/>
      <c r="D50" s="1"/>
      <c r="E50" s="1"/>
      <c r="F50" s="1"/>
      <c r="K50" s="27"/>
      <c r="L50" s="27"/>
      <c r="M50" s="27"/>
      <c r="N50" s="27"/>
      <c r="O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</row>
    <row r="51" ht="17.25" customHeight="1">
      <c r="A51" s="1"/>
      <c r="B51" s="1"/>
      <c r="C51" s="1"/>
      <c r="D51" s="1"/>
      <c r="E51" s="1"/>
      <c r="F51" s="1"/>
      <c r="K51" s="27"/>
      <c r="L51" s="27"/>
      <c r="M51" s="27"/>
      <c r="N51" s="27"/>
      <c r="O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58"/>
    </row>
    <row r="52" ht="17.25" customHeight="1">
      <c r="A52" s="1"/>
      <c r="B52" s="1"/>
      <c r="C52" s="1"/>
      <c r="D52" s="1"/>
      <c r="E52" s="1"/>
      <c r="F52" s="1"/>
      <c r="K52" s="27"/>
      <c r="L52" s="27"/>
      <c r="M52" s="27"/>
      <c r="N52" s="27"/>
      <c r="O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58"/>
    </row>
    <row r="53" ht="17.25" customHeight="1">
      <c r="A53" s="1"/>
      <c r="B53" s="1"/>
      <c r="C53" s="1"/>
      <c r="D53" s="1"/>
      <c r="E53" s="1"/>
      <c r="F53" s="1"/>
      <c r="K53" s="27"/>
      <c r="L53" s="27"/>
      <c r="M53" s="27"/>
      <c r="N53" s="27"/>
      <c r="O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58"/>
    </row>
    <row r="54" ht="17.25" customHeight="1">
      <c r="A54" s="1"/>
      <c r="B54" s="1"/>
      <c r="C54" s="1"/>
      <c r="D54" s="1"/>
      <c r="E54" s="1"/>
      <c r="F54" s="1"/>
      <c r="K54" s="27"/>
      <c r="L54" s="27"/>
      <c r="M54" s="27"/>
      <c r="N54" s="27"/>
      <c r="O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58"/>
    </row>
    <row r="55" ht="17.25" customHeight="1">
      <c r="A55" s="1"/>
      <c r="B55" s="1"/>
      <c r="C55" s="1"/>
      <c r="D55" s="1"/>
      <c r="E55" s="1"/>
      <c r="F55" s="1"/>
      <c r="K55" s="27"/>
      <c r="L55" s="27"/>
      <c r="M55" s="27"/>
      <c r="N55" s="27"/>
      <c r="O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58"/>
    </row>
    <row r="56" ht="17.25" customHeight="1">
      <c r="A56" s="1"/>
      <c r="B56" s="1"/>
      <c r="C56" s="1"/>
      <c r="D56" s="1"/>
      <c r="E56" s="1"/>
      <c r="F56" s="1"/>
      <c r="K56" s="27"/>
      <c r="L56" s="27"/>
      <c r="M56" s="27"/>
      <c r="N56" s="27"/>
      <c r="O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58"/>
    </row>
    <row r="57" ht="17.25" customHeight="1">
      <c r="A57" s="1"/>
      <c r="B57" s="1"/>
      <c r="C57" s="1"/>
      <c r="D57" s="1"/>
      <c r="E57" s="1"/>
      <c r="F57" s="1"/>
      <c r="K57" s="27"/>
      <c r="L57" s="27"/>
      <c r="M57" s="27"/>
      <c r="N57" s="27"/>
      <c r="O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58"/>
    </row>
    <row r="58" ht="17.25" customHeight="1">
      <c r="A58" s="1"/>
      <c r="B58" s="1"/>
      <c r="C58" s="1"/>
      <c r="D58" s="1"/>
      <c r="E58" s="1"/>
      <c r="F58" s="1"/>
      <c r="K58" s="27"/>
      <c r="L58" s="27"/>
      <c r="M58" s="27"/>
      <c r="N58" s="27"/>
      <c r="O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58"/>
    </row>
    <row r="59" ht="17.25" customHeight="1">
      <c r="A59" s="1"/>
      <c r="B59" s="1"/>
      <c r="C59" s="1"/>
      <c r="D59" s="1"/>
      <c r="E59" s="1"/>
      <c r="F59" s="1"/>
      <c r="K59" s="27"/>
      <c r="L59" s="27"/>
      <c r="M59" s="27"/>
      <c r="N59" s="27"/>
      <c r="O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58"/>
    </row>
    <row r="60" ht="17.25" customHeight="1">
      <c r="A60" s="1"/>
      <c r="B60" s="1"/>
      <c r="C60" s="1"/>
      <c r="D60" s="1"/>
      <c r="E60" s="1"/>
      <c r="F60" s="1"/>
      <c r="K60" s="27"/>
      <c r="L60" s="27"/>
      <c r="M60" s="27"/>
      <c r="N60" s="27"/>
      <c r="O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58"/>
    </row>
    <row r="61" ht="17.25" customHeight="1">
      <c r="A61" s="1"/>
      <c r="B61" s="1"/>
      <c r="C61" s="1"/>
      <c r="D61" s="1"/>
      <c r="E61" s="1"/>
      <c r="F61" s="1"/>
      <c r="K61" s="27"/>
      <c r="L61" s="27"/>
      <c r="M61" s="27"/>
      <c r="N61" s="27"/>
      <c r="O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58"/>
    </row>
    <row r="62" ht="17.25" customHeight="1">
      <c r="A62" s="1"/>
      <c r="B62" s="1"/>
      <c r="C62" s="1"/>
      <c r="D62" s="1"/>
      <c r="E62" s="1"/>
      <c r="F62" s="1"/>
      <c r="K62" s="27"/>
      <c r="L62" s="27"/>
      <c r="M62" s="27"/>
      <c r="N62" s="27"/>
      <c r="O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58"/>
    </row>
    <row r="63" ht="17.25" customHeight="1">
      <c r="A63" s="1"/>
      <c r="B63" s="1"/>
      <c r="C63" s="1"/>
      <c r="D63" s="1"/>
      <c r="E63" s="1"/>
      <c r="F63" s="1"/>
      <c r="K63" s="27"/>
      <c r="L63" s="27"/>
      <c r="M63" s="27"/>
      <c r="N63" s="27"/>
      <c r="O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58"/>
    </row>
    <row r="64" ht="17.25" customHeight="1">
      <c r="A64" s="1"/>
      <c r="B64" s="1"/>
      <c r="C64" s="1"/>
      <c r="D64" s="1"/>
      <c r="E64" s="1"/>
      <c r="F64" s="1"/>
      <c r="K64" s="27"/>
      <c r="L64" s="27"/>
      <c r="M64" s="27"/>
      <c r="N64" s="27"/>
      <c r="O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58"/>
    </row>
    <row r="65" ht="17.25" customHeight="1">
      <c r="A65" s="1"/>
      <c r="B65" s="1"/>
      <c r="C65" s="1"/>
      <c r="D65" s="1"/>
      <c r="E65" s="1"/>
      <c r="F65" s="1"/>
      <c r="K65" s="27"/>
      <c r="L65" s="27"/>
      <c r="M65" s="27"/>
      <c r="N65" s="27"/>
      <c r="O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58"/>
    </row>
    <row r="66" ht="17.25" customHeight="1">
      <c r="A66" s="1"/>
      <c r="B66" s="1"/>
      <c r="C66" s="1"/>
      <c r="D66" s="1"/>
      <c r="E66" s="1"/>
      <c r="F66" s="1"/>
      <c r="K66" s="27"/>
      <c r="L66" s="27"/>
      <c r="M66" s="27"/>
      <c r="N66" s="27"/>
      <c r="O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58"/>
    </row>
    <row r="67" ht="17.25" customHeight="1">
      <c r="A67" s="1"/>
      <c r="B67" s="1"/>
      <c r="C67" s="1"/>
      <c r="D67" s="1"/>
      <c r="E67" s="1"/>
      <c r="F67" s="1"/>
      <c r="K67" s="27"/>
      <c r="L67" s="27"/>
      <c r="M67" s="27"/>
      <c r="N67" s="27"/>
      <c r="O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58"/>
    </row>
    <row r="68" ht="17.25" customHeight="1">
      <c r="A68" s="1"/>
      <c r="B68" s="1"/>
      <c r="C68" s="1"/>
      <c r="D68" s="1"/>
      <c r="E68" s="1"/>
      <c r="F68" s="1"/>
      <c r="K68" s="27"/>
      <c r="L68" s="27"/>
      <c r="M68" s="27"/>
      <c r="N68" s="27"/>
      <c r="O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58"/>
    </row>
    <row r="69" ht="17.25" customHeight="1">
      <c r="A69" s="1"/>
      <c r="B69" s="1"/>
      <c r="C69" s="1"/>
      <c r="D69" s="1"/>
      <c r="E69" s="1"/>
      <c r="F69" s="1"/>
      <c r="K69" s="27"/>
      <c r="L69" s="27"/>
      <c r="M69" s="27"/>
      <c r="N69" s="27"/>
      <c r="O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58"/>
    </row>
    <row r="70" ht="17.25" customHeight="1">
      <c r="A70" s="1"/>
      <c r="B70" s="1"/>
      <c r="C70" s="1"/>
      <c r="D70" s="1"/>
      <c r="E70" s="1"/>
      <c r="F70" s="1"/>
      <c r="K70" s="27"/>
      <c r="L70" s="27"/>
      <c r="M70" s="27"/>
      <c r="N70" s="27"/>
      <c r="O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58"/>
    </row>
    <row r="71" ht="17.25" customHeight="1">
      <c r="A71" s="1"/>
      <c r="B71" s="1"/>
      <c r="C71" s="1"/>
      <c r="D71" s="1"/>
      <c r="E71" s="1"/>
      <c r="F71" s="1"/>
      <c r="K71" s="27"/>
      <c r="L71" s="27"/>
      <c r="M71" s="27"/>
      <c r="N71" s="27"/>
      <c r="O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58"/>
    </row>
    <row r="72" ht="17.25" customHeight="1">
      <c r="A72" s="1"/>
      <c r="B72" s="1"/>
      <c r="C72" s="1"/>
      <c r="D72" s="1"/>
      <c r="E72" s="1"/>
      <c r="F72" s="1"/>
      <c r="K72" s="27"/>
      <c r="L72" s="27"/>
      <c r="M72" s="27"/>
      <c r="N72" s="27"/>
      <c r="O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58"/>
    </row>
    <row r="73" ht="17.25" customHeight="1">
      <c r="A73" s="1"/>
      <c r="B73" s="1"/>
      <c r="C73" s="1"/>
      <c r="D73" s="1"/>
      <c r="E73" s="1"/>
      <c r="F73" s="1"/>
      <c r="K73" s="27"/>
      <c r="L73" s="27"/>
      <c r="M73" s="27"/>
      <c r="N73" s="27"/>
      <c r="O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58"/>
    </row>
    <row r="74" ht="17.25" customHeight="1">
      <c r="A74" s="1"/>
      <c r="B74" s="1"/>
      <c r="C74" s="1"/>
      <c r="D74" s="1"/>
      <c r="E74" s="1"/>
      <c r="F74" s="1"/>
      <c r="K74" s="27"/>
      <c r="L74" s="27"/>
      <c r="M74" s="27"/>
      <c r="N74" s="27"/>
      <c r="O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58"/>
    </row>
    <row r="75" ht="17.25" customHeight="1">
      <c r="A75" s="1"/>
      <c r="B75" s="1"/>
      <c r="C75" s="1"/>
      <c r="D75" s="1"/>
      <c r="E75" s="1"/>
      <c r="F75" s="1"/>
      <c r="K75" s="27"/>
      <c r="L75" s="27"/>
      <c r="M75" s="27"/>
      <c r="N75" s="27"/>
      <c r="O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58"/>
    </row>
    <row r="76" ht="17.25" customHeight="1">
      <c r="A76" s="1"/>
      <c r="B76" s="1"/>
      <c r="C76" s="1"/>
      <c r="D76" s="1"/>
      <c r="E76" s="1"/>
      <c r="F76" s="1"/>
      <c r="K76" s="27"/>
      <c r="L76" s="27"/>
      <c r="M76" s="27"/>
      <c r="N76" s="27"/>
      <c r="O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58"/>
    </row>
    <row r="77" ht="17.25" customHeight="1">
      <c r="A77" s="1"/>
      <c r="B77" s="1"/>
      <c r="C77" s="1"/>
      <c r="D77" s="1"/>
      <c r="E77" s="1"/>
      <c r="F77" s="1"/>
      <c r="K77" s="27"/>
      <c r="L77" s="27"/>
      <c r="M77" s="27"/>
      <c r="N77" s="27"/>
      <c r="O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58"/>
    </row>
    <row r="78" ht="17.25" customHeight="1">
      <c r="A78" s="1"/>
      <c r="B78" s="1"/>
      <c r="C78" s="1"/>
      <c r="D78" s="1"/>
      <c r="E78" s="1"/>
      <c r="F78" s="1"/>
      <c r="K78" s="27"/>
      <c r="L78" s="27"/>
      <c r="M78" s="27"/>
      <c r="N78" s="27"/>
      <c r="O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58"/>
    </row>
    <row r="79" ht="17.25" customHeight="1">
      <c r="A79" s="1"/>
      <c r="B79" s="1"/>
      <c r="C79" s="1"/>
      <c r="D79" s="1"/>
      <c r="E79" s="1"/>
      <c r="F79" s="1"/>
      <c r="K79" s="27"/>
      <c r="L79" s="27"/>
      <c r="M79" s="27"/>
      <c r="N79" s="27"/>
      <c r="O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58"/>
    </row>
    <row r="80" ht="17.25" customHeight="1">
      <c r="A80" s="1"/>
      <c r="B80" s="1"/>
      <c r="C80" s="1"/>
      <c r="D80" s="1"/>
      <c r="E80" s="1"/>
      <c r="F80" s="1"/>
      <c r="K80" s="27"/>
      <c r="L80" s="27"/>
      <c r="M80" s="27"/>
      <c r="N80" s="27"/>
      <c r="O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58"/>
    </row>
    <row r="81" ht="17.25" customHeight="1">
      <c r="A81" s="1"/>
      <c r="B81" s="1"/>
      <c r="C81" s="1"/>
      <c r="D81" s="1"/>
      <c r="E81" s="1"/>
      <c r="F81" s="1"/>
      <c r="K81" s="27"/>
      <c r="L81" s="27"/>
      <c r="M81" s="27"/>
      <c r="N81" s="27"/>
      <c r="O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58"/>
    </row>
    <row r="82" ht="17.25" customHeight="1">
      <c r="A82" s="1"/>
      <c r="B82" s="1"/>
      <c r="C82" s="1"/>
      <c r="D82" s="1"/>
      <c r="E82" s="1"/>
      <c r="F82" s="1"/>
      <c r="K82" s="27"/>
      <c r="L82" s="27"/>
      <c r="M82" s="27"/>
      <c r="N82" s="27"/>
      <c r="O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58"/>
    </row>
    <row r="83" ht="17.25" customHeight="1">
      <c r="A83" s="1"/>
      <c r="B83" s="1"/>
      <c r="C83" s="1"/>
      <c r="D83" s="1"/>
      <c r="E83" s="1"/>
      <c r="F83" s="1"/>
      <c r="K83" s="27"/>
      <c r="L83" s="27"/>
      <c r="M83" s="27"/>
      <c r="N83" s="27"/>
      <c r="O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58"/>
    </row>
    <row r="84" ht="17.25" customHeight="1">
      <c r="A84" s="1"/>
      <c r="B84" s="1"/>
      <c r="C84" s="1"/>
      <c r="D84" s="1"/>
      <c r="E84" s="1"/>
      <c r="F84" s="1"/>
      <c r="K84" s="27"/>
      <c r="L84" s="27"/>
      <c r="M84" s="27"/>
      <c r="N84" s="27"/>
      <c r="O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58"/>
    </row>
    <row r="85" ht="17.25" customHeight="1">
      <c r="A85" s="1"/>
      <c r="B85" s="1"/>
      <c r="C85" s="1"/>
      <c r="D85" s="1"/>
      <c r="E85" s="1"/>
      <c r="F85" s="1"/>
      <c r="K85" s="27"/>
      <c r="L85" s="27"/>
      <c r="M85" s="27"/>
      <c r="N85" s="27"/>
      <c r="O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58"/>
    </row>
    <row r="86" ht="17.25" customHeight="1">
      <c r="A86" s="1"/>
      <c r="B86" s="1"/>
      <c r="C86" s="1"/>
      <c r="D86" s="1"/>
      <c r="E86" s="1"/>
      <c r="F86" s="1"/>
      <c r="K86" s="27"/>
      <c r="L86" s="27"/>
      <c r="M86" s="27"/>
      <c r="N86" s="27"/>
      <c r="O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58"/>
    </row>
    <row r="87" ht="17.25" customHeight="1">
      <c r="A87" s="1"/>
      <c r="B87" s="1"/>
      <c r="C87" s="1"/>
      <c r="D87" s="1"/>
      <c r="E87" s="1"/>
      <c r="F87" s="1"/>
      <c r="K87" s="27"/>
      <c r="L87" s="27"/>
      <c r="M87" s="27"/>
      <c r="N87" s="27"/>
      <c r="O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58"/>
    </row>
    <row r="88" ht="17.25" customHeight="1">
      <c r="A88" s="1"/>
      <c r="B88" s="1"/>
      <c r="C88" s="1"/>
      <c r="D88" s="1"/>
      <c r="E88" s="1"/>
      <c r="F88" s="1"/>
      <c r="K88" s="27"/>
      <c r="L88" s="27"/>
      <c r="M88" s="27"/>
      <c r="N88" s="27"/>
      <c r="O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58"/>
    </row>
    <row r="89" ht="17.25" customHeight="1">
      <c r="A89" s="1"/>
      <c r="B89" s="1"/>
      <c r="C89" s="1"/>
      <c r="D89" s="1"/>
      <c r="E89" s="1"/>
      <c r="F89" s="1"/>
      <c r="K89" s="27"/>
      <c r="L89" s="27"/>
      <c r="M89" s="27"/>
      <c r="N89" s="27"/>
      <c r="O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58"/>
    </row>
    <row r="90" ht="17.25" customHeight="1">
      <c r="A90" s="1"/>
      <c r="B90" s="1"/>
      <c r="C90" s="1"/>
      <c r="D90" s="1"/>
      <c r="E90" s="1"/>
      <c r="F90" s="1"/>
      <c r="K90" s="27"/>
      <c r="L90" s="27"/>
      <c r="M90" s="27"/>
      <c r="N90" s="27"/>
      <c r="O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58"/>
    </row>
    <row r="91" ht="17.25" customHeight="1">
      <c r="A91" s="1"/>
      <c r="B91" s="1"/>
      <c r="C91" s="1"/>
      <c r="D91" s="1"/>
      <c r="E91" s="1"/>
      <c r="F91" s="1"/>
      <c r="K91" s="27"/>
      <c r="L91" s="27"/>
      <c r="M91" s="27"/>
      <c r="N91" s="27"/>
      <c r="O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58"/>
    </row>
    <row r="92" ht="17.25" customHeight="1">
      <c r="A92" s="1"/>
      <c r="B92" s="1"/>
      <c r="C92" s="1"/>
      <c r="D92" s="1"/>
      <c r="E92" s="1"/>
      <c r="F92" s="1"/>
      <c r="K92" s="27"/>
      <c r="L92" s="27"/>
      <c r="M92" s="27"/>
      <c r="N92" s="27"/>
      <c r="O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58"/>
    </row>
    <row r="93" ht="17.25" customHeight="1">
      <c r="A93" s="1"/>
      <c r="B93" s="1"/>
      <c r="C93" s="1"/>
      <c r="D93" s="1"/>
      <c r="E93" s="1"/>
      <c r="F93" s="1"/>
      <c r="K93" s="27"/>
      <c r="L93" s="27"/>
      <c r="M93" s="27"/>
      <c r="N93" s="27"/>
      <c r="O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58"/>
    </row>
    <row r="94" ht="17.25" customHeight="1">
      <c r="A94" s="1"/>
      <c r="B94" s="1"/>
      <c r="C94" s="1"/>
      <c r="D94" s="1"/>
      <c r="E94" s="1"/>
      <c r="F94" s="1"/>
      <c r="K94" s="27"/>
      <c r="L94" s="27"/>
      <c r="M94" s="27"/>
      <c r="N94" s="27"/>
      <c r="O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58"/>
    </row>
    <row r="95" ht="17.25" customHeight="1">
      <c r="A95" s="1"/>
      <c r="B95" s="1"/>
      <c r="C95" s="1"/>
      <c r="D95" s="1"/>
      <c r="E95" s="1"/>
      <c r="F95" s="1"/>
      <c r="K95" s="27"/>
      <c r="L95" s="27"/>
      <c r="M95" s="27"/>
      <c r="N95" s="27"/>
      <c r="O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58"/>
    </row>
    <row r="96" ht="17.25" customHeight="1">
      <c r="A96" s="1"/>
      <c r="B96" s="1"/>
      <c r="C96" s="1"/>
      <c r="D96" s="1"/>
      <c r="E96" s="1"/>
      <c r="F96" s="1"/>
      <c r="K96" s="27"/>
      <c r="L96" s="27"/>
      <c r="M96" s="27"/>
      <c r="N96" s="27"/>
      <c r="O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58"/>
    </row>
    <row r="97" ht="17.25" customHeight="1">
      <c r="A97" s="1"/>
      <c r="B97" s="1"/>
      <c r="C97" s="1"/>
      <c r="D97" s="1"/>
      <c r="E97" s="1"/>
      <c r="F97" s="1"/>
      <c r="K97" s="27"/>
      <c r="L97" s="27"/>
      <c r="M97" s="27"/>
      <c r="N97" s="27"/>
      <c r="O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58"/>
    </row>
    <row r="98" ht="17.25" customHeight="1">
      <c r="A98" s="1"/>
      <c r="B98" s="1"/>
      <c r="C98" s="1"/>
      <c r="D98" s="1"/>
      <c r="E98" s="1"/>
      <c r="F98" s="1"/>
      <c r="K98" s="27"/>
      <c r="L98" s="27"/>
      <c r="M98" s="27"/>
      <c r="N98" s="27"/>
      <c r="O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58"/>
    </row>
    <row r="99" ht="17.25" customHeight="1">
      <c r="A99" s="1"/>
      <c r="B99" s="1"/>
      <c r="C99" s="1"/>
      <c r="D99" s="1"/>
      <c r="E99" s="1"/>
      <c r="F99" s="1"/>
      <c r="K99" s="27"/>
      <c r="L99" s="27"/>
      <c r="M99" s="27"/>
      <c r="N99" s="27"/>
      <c r="O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58"/>
    </row>
    <row r="100" ht="17.25" customHeight="1">
      <c r="A100" s="1"/>
      <c r="B100" s="1"/>
      <c r="C100" s="1"/>
      <c r="D100" s="1"/>
      <c r="E100" s="1"/>
      <c r="F100" s="1"/>
      <c r="K100" s="27"/>
      <c r="L100" s="27"/>
      <c r="M100" s="27"/>
      <c r="N100" s="27"/>
      <c r="O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58"/>
    </row>
    <row r="101" ht="17.25" customHeight="1">
      <c r="A101" s="1"/>
      <c r="B101" s="1"/>
      <c r="C101" s="1"/>
      <c r="D101" s="1"/>
      <c r="E101" s="1"/>
      <c r="F101" s="1"/>
      <c r="K101" s="27"/>
      <c r="L101" s="27"/>
      <c r="M101" s="27"/>
      <c r="N101" s="27"/>
      <c r="O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58"/>
    </row>
    <row r="102" ht="17.25" customHeight="1">
      <c r="A102" s="1"/>
      <c r="B102" s="1"/>
      <c r="C102" s="1"/>
      <c r="D102" s="1"/>
      <c r="E102" s="1"/>
      <c r="F102" s="1"/>
      <c r="K102" s="27"/>
      <c r="L102" s="27"/>
      <c r="M102" s="27"/>
      <c r="N102" s="27"/>
      <c r="O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58"/>
    </row>
    <row r="103" ht="17.25" customHeight="1">
      <c r="A103" s="1"/>
      <c r="B103" s="1"/>
      <c r="C103" s="1"/>
      <c r="D103" s="1"/>
      <c r="E103" s="1"/>
      <c r="F103" s="1"/>
      <c r="K103" s="27"/>
      <c r="L103" s="27"/>
      <c r="M103" s="27"/>
      <c r="N103" s="27"/>
      <c r="O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58"/>
    </row>
    <row r="104" ht="17.25" customHeight="1">
      <c r="A104" s="1"/>
      <c r="B104" s="1"/>
      <c r="C104" s="1"/>
      <c r="D104" s="1"/>
      <c r="E104" s="1"/>
      <c r="F104" s="1"/>
      <c r="K104" s="27"/>
      <c r="L104" s="27"/>
      <c r="M104" s="27"/>
      <c r="N104" s="27"/>
      <c r="O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58"/>
    </row>
    <row r="105" ht="17.25" customHeight="1">
      <c r="A105" s="1"/>
      <c r="B105" s="1"/>
      <c r="C105" s="1"/>
      <c r="D105" s="1"/>
      <c r="E105" s="1"/>
      <c r="F105" s="1"/>
      <c r="K105" s="27"/>
      <c r="L105" s="27"/>
      <c r="M105" s="27"/>
      <c r="N105" s="27"/>
      <c r="O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58"/>
    </row>
    <row r="106" ht="17.25" customHeight="1">
      <c r="A106" s="1"/>
      <c r="B106" s="1"/>
      <c r="C106" s="1"/>
      <c r="D106" s="1"/>
      <c r="E106" s="1"/>
      <c r="F106" s="1"/>
      <c r="K106" s="27"/>
      <c r="L106" s="27"/>
      <c r="M106" s="27"/>
      <c r="N106" s="27"/>
      <c r="O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58"/>
    </row>
    <row r="107" ht="17.25" customHeight="1">
      <c r="A107" s="1"/>
      <c r="B107" s="1"/>
      <c r="C107" s="1"/>
      <c r="D107" s="1"/>
      <c r="E107" s="1"/>
      <c r="F107" s="1"/>
      <c r="K107" s="27"/>
      <c r="L107" s="27"/>
      <c r="M107" s="27"/>
      <c r="N107" s="27"/>
      <c r="O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58"/>
    </row>
    <row r="108" ht="17.25" customHeight="1">
      <c r="A108" s="1"/>
      <c r="B108" s="1"/>
      <c r="C108" s="1"/>
      <c r="D108" s="1"/>
      <c r="E108" s="1"/>
      <c r="F108" s="1"/>
      <c r="K108" s="27"/>
      <c r="L108" s="27"/>
      <c r="M108" s="27"/>
      <c r="N108" s="27"/>
      <c r="O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58"/>
    </row>
    <row r="109" ht="17.25" customHeight="1">
      <c r="A109" s="1"/>
      <c r="B109" s="1"/>
      <c r="C109" s="1"/>
      <c r="D109" s="1"/>
      <c r="E109" s="1"/>
      <c r="F109" s="1"/>
      <c r="K109" s="27"/>
      <c r="L109" s="27"/>
      <c r="M109" s="27"/>
      <c r="N109" s="27"/>
      <c r="O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58"/>
    </row>
    <row r="110" ht="17.25" customHeight="1">
      <c r="A110" s="1"/>
      <c r="B110" s="1"/>
      <c r="C110" s="1"/>
      <c r="D110" s="1"/>
      <c r="E110" s="1"/>
      <c r="F110" s="1"/>
      <c r="K110" s="27"/>
      <c r="L110" s="27"/>
      <c r="M110" s="27"/>
      <c r="N110" s="27"/>
      <c r="O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58"/>
    </row>
    <row r="111" ht="17.25" customHeight="1">
      <c r="A111" s="1"/>
      <c r="B111" s="1"/>
      <c r="C111" s="1"/>
      <c r="D111" s="1"/>
      <c r="E111" s="1"/>
      <c r="F111" s="1"/>
      <c r="K111" s="27"/>
      <c r="L111" s="27"/>
      <c r="M111" s="27"/>
      <c r="N111" s="27"/>
      <c r="O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58"/>
    </row>
    <row r="112" ht="17.25" customHeight="1">
      <c r="A112" s="1"/>
      <c r="B112" s="1"/>
      <c r="C112" s="1"/>
      <c r="D112" s="1"/>
      <c r="E112" s="1"/>
      <c r="F112" s="1"/>
      <c r="K112" s="27"/>
      <c r="L112" s="27"/>
      <c r="M112" s="27"/>
      <c r="N112" s="27"/>
      <c r="O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58"/>
    </row>
    <row r="113" ht="17.25" customHeight="1">
      <c r="A113" s="1"/>
      <c r="B113" s="1"/>
      <c r="C113" s="1"/>
      <c r="D113" s="1"/>
      <c r="E113" s="1"/>
      <c r="F113" s="1"/>
      <c r="K113" s="27"/>
      <c r="L113" s="27"/>
      <c r="M113" s="27"/>
      <c r="N113" s="27"/>
      <c r="O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58"/>
    </row>
    <row r="114" ht="17.25" customHeight="1">
      <c r="A114" s="1"/>
      <c r="B114" s="1"/>
      <c r="C114" s="1"/>
      <c r="D114" s="1"/>
      <c r="E114" s="1"/>
      <c r="F114" s="1"/>
      <c r="K114" s="27"/>
      <c r="L114" s="27"/>
      <c r="M114" s="27"/>
      <c r="N114" s="27"/>
      <c r="O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58"/>
    </row>
    <row r="115" ht="17.25" customHeight="1">
      <c r="A115" s="1"/>
      <c r="B115" s="1"/>
      <c r="C115" s="1"/>
      <c r="D115" s="1"/>
      <c r="E115" s="1"/>
      <c r="F115" s="1"/>
      <c r="K115" s="27"/>
      <c r="L115" s="27"/>
      <c r="M115" s="27"/>
      <c r="N115" s="27"/>
      <c r="O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58"/>
    </row>
    <row r="116" ht="17.25" customHeight="1">
      <c r="A116" s="1"/>
      <c r="B116" s="1"/>
      <c r="C116" s="1"/>
      <c r="D116" s="1"/>
      <c r="E116" s="1"/>
      <c r="F116" s="1"/>
      <c r="K116" s="27"/>
      <c r="L116" s="27"/>
      <c r="M116" s="27"/>
      <c r="N116" s="27"/>
      <c r="O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58"/>
    </row>
    <row r="117" ht="17.25" customHeight="1">
      <c r="A117" s="1"/>
      <c r="B117" s="1"/>
      <c r="C117" s="1"/>
      <c r="D117" s="1"/>
      <c r="E117" s="1"/>
      <c r="F117" s="1"/>
      <c r="K117" s="27"/>
      <c r="L117" s="27"/>
      <c r="M117" s="27"/>
      <c r="N117" s="27"/>
      <c r="O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58"/>
    </row>
    <row r="118" ht="17.25" customHeight="1">
      <c r="A118" s="1"/>
      <c r="B118" s="1"/>
      <c r="C118" s="1"/>
      <c r="D118" s="1"/>
      <c r="E118" s="1"/>
      <c r="F118" s="1"/>
      <c r="K118" s="27"/>
      <c r="L118" s="27"/>
      <c r="M118" s="27"/>
      <c r="N118" s="27"/>
      <c r="O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58"/>
    </row>
    <row r="119" ht="17.25" customHeight="1">
      <c r="A119" s="1"/>
      <c r="B119" s="1"/>
      <c r="C119" s="1"/>
      <c r="D119" s="1"/>
      <c r="E119" s="1"/>
      <c r="F119" s="1"/>
      <c r="K119" s="27"/>
      <c r="L119" s="27"/>
      <c r="M119" s="27"/>
      <c r="N119" s="27"/>
      <c r="O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58"/>
    </row>
    <row r="120" ht="17.25" customHeight="1">
      <c r="A120" s="1"/>
      <c r="B120" s="1"/>
      <c r="C120" s="1"/>
      <c r="D120" s="1"/>
      <c r="E120" s="1"/>
      <c r="F120" s="1"/>
      <c r="K120" s="27"/>
      <c r="L120" s="27"/>
      <c r="M120" s="27"/>
      <c r="N120" s="27"/>
      <c r="O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58"/>
    </row>
    <row r="121" ht="17.25" customHeight="1">
      <c r="A121" s="1"/>
      <c r="B121" s="1"/>
      <c r="C121" s="1"/>
      <c r="D121" s="1"/>
      <c r="E121" s="1"/>
      <c r="F121" s="1"/>
      <c r="K121" s="27"/>
      <c r="L121" s="27"/>
      <c r="M121" s="27"/>
      <c r="N121" s="27"/>
      <c r="O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58"/>
    </row>
    <row r="122" ht="17.25" customHeight="1">
      <c r="A122" s="1"/>
      <c r="B122" s="1"/>
      <c r="C122" s="1"/>
      <c r="D122" s="1"/>
      <c r="E122" s="1"/>
      <c r="F122" s="1"/>
      <c r="K122" s="27"/>
      <c r="L122" s="27"/>
      <c r="M122" s="27"/>
      <c r="N122" s="27"/>
      <c r="O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58"/>
    </row>
    <row r="123" ht="17.25" customHeight="1">
      <c r="A123" s="1"/>
      <c r="B123" s="1"/>
      <c r="C123" s="1"/>
      <c r="D123" s="1"/>
      <c r="E123" s="1"/>
      <c r="F123" s="1"/>
      <c r="K123" s="27"/>
      <c r="L123" s="27"/>
      <c r="M123" s="27"/>
      <c r="N123" s="27"/>
      <c r="O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58"/>
    </row>
    <row r="124" ht="17.25" customHeight="1">
      <c r="A124" s="1"/>
      <c r="B124" s="1"/>
      <c r="C124" s="1"/>
      <c r="D124" s="1"/>
      <c r="E124" s="1"/>
      <c r="F124" s="1"/>
      <c r="K124" s="27"/>
      <c r="L124" s="27"/>
      <c r="M124" s="27"/>
      <c r="N124" s="27"/>
      <c r="O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58"/>
    </row>
    <row r="125" ht="17.25" customHeight="1">
      <c r="A125" s="1"/>
      <c r="B125" s="1"/>
      <c r="C125" s="1"/>
      <c r="D125" s="1"/>
      <c r="E125" s="1"/>
      <c r="F125" s="1"/>
      <c r="K125" s="27"/>
      <c r="L125" s="27"/>
      <c r="M125" s="27"/>
      <c r="N125" s="27"/>
      <c r="O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58"/>
    </row>
    <row r="126" ht="17.25" customHeight="1">
      <c r="A126" s="1"/>
      <c r="B126" s="1"/>
      <c r="C126" s="1"/>
      <c r="D126" s="1"/>
      <c r="E126" s="1"/>
      <c r="F126" s="1"/>
      <c r="K126" s="27"/>
      <c r="L126" s="27"/>
      <c r="M126" s="27"/>
      <c r="N126" s="27"/>
      <c r="O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58"/>
    </row>
    <row r="127" ht="17.25" customHeight="1">
      <c r="A127" s="1"/>
      <c r="B127" s="1"/>
      <c r="C127" s="1"/>
      <c r="D127" s="1"/>
      <c r="E127" s="1"/>
      <c r="F127" s="1"/>
      <c r="K127" s="27"/>
      <c r="L127" s="27"/>
      <c r="M127" s="27"/>
      <c r="N127" s="27"/>
      <c r="O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58"/>
    </row>
    <row r="128" ht="17.25" customHeight="1">
      <c r="A128" s="1"/>
      <c r="B128" s="1"/>
      <c r="C128" s="1"/>
      <c r="D128" s="1"/>
      <c r="E128" s="1"/>
      <c r="F128" s="1"/>
      <c r="K128" s="27"/>
      <c r="L128" s="27"/>
      <c r="M128" s="27"/>
      <c r="N128" s="27"/>
      <c r="O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58"/>
    </row>
    <row r="129" ht="17.25" customHeight="1">
      <c r="A129" s="1"/>
      <c r="B129" s="1"/>
      <c r="C129" s="1"/>
      <c r="D129" s="1"/>
      <c r="E129" s="1"/>
      <c r="F129" s="1"/>
      <c r="K129" s="27"/>
      <c r="L129" s="27"/>
      <c r="M129" s="27"/>
      <c r="N129" s="27"/>
      <c r="O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58"/>
    </row>
    <row r="130" ht="17.25" customHeight="1">
      <c r="A130" s="1"/>
      <c r="B130" s="1"/>
      <c r="C130" s="1"/>
      <c r="D130" s="1"/>
      <c r="E130" s="1"/>
      <c r="F130" s="1"/>
      <c r="K130" s="27"/>
      <c r="L130" s="27"/>
      <c r="M130" s="27"/>
      <c r="N130" s="27"/>
      <c r="O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58"/>
    </row>
    <row r="131" ht="17.25" customHeight="1">
      <c r="A131" s="1"/>
      <c r="B131" s="1"/>
      <c r="C131" s="1"/>
      <c r="D131" s="1"/>
      <c r="E131" s="1"/>
      <c r="F131" s="1"/>
      <c r="K131" s="27"/>
      <c r="L131" s="27"/>
      <c r="M131" s="27"/>
      <c r="N131" s="27"/>
      <c r="O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58"/>
    </row>
    <row r="132" ht="17.25" customHeight="1">
      <c r="A132" s="1"/>
      <c r="B132" s="1"/>
      <c r="C132" s="1"/>
      <c r="D132" s="1"/>
      <c r="E132" s="1"/>
      <c r="F132" s="1"/>
      <c r="K132" s="27"/>
      <c r="L132" s="27"/>
      <c r="M132" s="27"/>
      <c r="N132" s="27"/>
      <c r="O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58"/>
    </row>
    <row r="133" ht="17.25" customHeight="1">
      <c r="A133" s="1"/>
      <c r="B133" s="1"/>
      <c r="C133" s="1"/>
      <c r="D133" s="1"/>
      <c r="E133" s="1"/>
      <c r="F133" s="1"/>
      <c r="K133" s="27"/>
      <c r="L133" s="27"/>
      <c r="M133" s="27"/>
      <c r="N133" s="27"/>
      <c r="O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58"/>
    </row>
    <row r="134" ht="17.25" customHeight="1">
      <c r="A134" s="1"/>
      <c r="B134" s="1"/>
      <c r="C134" s="1"/>
      <c r="D134" s="1"/>
      <c r="E134" s="1"/>
      <c r="F134" s="1"/>
      <c r="K134" s="27"/>
      <c r="L134" s="27"/>
      <c r="M134" s="27"/>
      <c r="N134" s="27"/>
      <c r="O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58"/>
    </row>
    <row r="135" ht="17.25" customHeight="1">
      <c r="A135" s="1"/>
      <c r="B135" s="1"/>
      <c r="C135" s="1"/>
      <c r="D135" s="1"/>
      <c r="E135" s="1"/>
      <c r="F135" s="1"/>
      <c r="K135" s="27"/>
      <c r="L135" s="27"/>
      <c r="M135" s="27"/>
      <c r="N135" s="27"/>
      <c r="O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58"/>
    </row>
    <row r="136" ht="17.25" customHeight="1">
      <c r="A136" s="1"/>
      <c r="B136" s="1"/>
      <c r="C136" s="1"/>
      <c r="D136" s="1"/>
      <c r="E136" s="1"/>
      <c r="F136" s="1"/>
      <c r="K136" s="27"/>
      <c r="L136" s="27"/>
      <c r="M136" s="27"/>
      <c r="N136" s="27"/>
      <c r="O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58"/>
    </row>
    <row r="137" ht="17.25" customHeight="1">
      <c r="A137" s="1"/>
      <c r="B137" s="1"/>
      <c r="C137" s="1"/>
      <c r="D137" s="1"/>
      <c r="E137" s="1"/>
      <c r="F137" s="1"/>
      <c r="K137" s="27"/>
      <c r="L137" s="27"/>
      <c r="M137" s="27"/>
      <c r="N137" s="27"/>
      <c r="O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58"/>
    </row>
    <row r="138" ht="17.25" customHeight="1">
      <c r="A138" s="1"/>
      <c r="B138" s="1"/>
      <c r="C138" s="1"/>
      <c r="D138" s="1"/>
      <c r="E138" s="1"/>
      <c r="F138" s="1"/>
      <c r="K138" s="27"/>
      <c r="L138" s="27"/>
      <c r="M138" s="27"/>
      <c r="N138" s="27"/>
      <c r="O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58"/>
    </row>
    <row r="139" ht="17.25" customHeight="1">
      <c r="A139" s="1"/>
      <c r="B139" s="1"/>
      <c r="C139" s="1"/>
      <c r="D139" s="1"/>
      <c r="E139" s="1"/>
      <c r="F139" s="1"/>
      <c r="K139" s="27"/>
      <c r="L139" s="27"/>
      <c r="M139" s="27"/>
      <c r="N139" s="27"/>
      <c r="O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58"/>
    </row>
    <row r="140" ht="17.25" customHeight="1">
      <c r="A140" s="1"/>
      <c r="B140" s="1"/>
      <c r="C140" s="1"/>
      <c r="D140" s="1"/>
      <c r="E140" s="1"/>
      <c r="F140" s="1"/>
      <c r="K140" s="27"/>
      <c r="L140" s="27"/>
      <c r="M140" s="27"/>
      <c r="N140" s="27"/>
      <c r="O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58"/>
    </row>
    <row r="141" ht="17.25" customHeight="1">
      <c r="A141" s="1"/>
      <c r="B141" s="1"/>
      <c r="C141" s="1"/>
      <c r="D141" s="1"/>
      <c r="E141" s="1"/>
      <c r="F141" s="1"/>
      <c r="K141" s="27"/>
      <c r="L141" s="27"/>
      <c r="M141" s="27"/>
      <c r="N141" s="27"/>
      <c r="O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58"/>
    </row>
    <row r="142" ht="17.25" customHeight="1">
      <c r="A142" s="1"/>
      <c r="B142" s="1"/>
      <c r="C142" s="1"/>
      <c r="D142" s="1"/>
      <c r="E142" s="1"/>
      <c r="F142" s="1"/>
      <c r="K142" s="27"/>
      <c r="L142" s="27"/>
      <c r="M142" s="27"/>
      <c r="N142" s="27"/>
      <c r="O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58"/>
    </row>
    <row r="143" ht="17.25" customHeight="1">
      <c r="A143" s="1"/>
      <c r="B143" s="1"/>
      <c r="C143" s="1"/>
      <c r="D143" s="1"/>
      <c r="E143" s="1"/>
      <c r="F143" s="1"/>
      <c r="K143" s="27"/>
      <c r="L143" s="27"/>
      <c r="M143" s="27"/>
      <c r="N143" s="27"/>
      <c r="O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58"/>
    </row>
    <row r="144" ht="17.25" customHeight="1">
      <c r="A144" s="1"/>
      <c r="B144" s="1"/>
      <c r="C144" s="1"/>
      <c r="D144" s="1"/>
      <c r="E144" s="1"/>
      <c r="F144" s="1"/>
      <c r="K144" s="27"/>
      <c r="L144" s="27"/>
      <c r="M144" s="27"/>
      <c r="N144" s="27"/>
      <c r="O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58"/>
    </row>
    <row r="145" ht="17.25" customHeight="1">
      <c r="A145" s="1"/>
      <c r="B145" s="1"/>
      <c r="C145" s="1"/>
      <c r="D145" s="1"/>
      <c r="E145" s="1"/>
      <c r="F145" s="1"/>
      <c r="K145" s="27"/>
      <c r="L145" s="27"/>
      <c r="M145" s="27"/>
      <c r="N145" s="27"/>
      <c r="O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58"/>
    </row>
    <row r="146" ht="17.25" customHeight="1">
      <c r="A146" s="1"/>
      <c r="B146" s="1"/>
      <c r="C146" s="1"/>
      <c r="D146" s="1"/>
      <c r="E146" s="1"/>
      <c r="F146" s="1"/>
      <c r="K146" s="27"/>
      <c r="L146" s="27"/>
      <c r="M146" s="27"/>
      <c r="N146" s="27"/>
      <c r="O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58"/>
    </row>
    <row r="147" ht="17.25" customHeight="1">
      <c r="A147" s="1"/>
      <c r="B147" s="1"/>
      <c r="C147" s="1"/>
      <c r="D147" s="1"/>
      <c r="E147" s="1"/>
      <c r="F147" s="1"/>
      <c r="K147" s="27"/>
      <c r="L147" s="27"/>
      <c r="M147" s="27"/>
      <c r="N147" s="27"/>
      <c r="O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58"/>
    </row>
    <row r="148" ht="17.25" customHeight="1">
      <c r="A148" s="1"/>
      <c r="B148" s="1"/>
      <c r="C148" s="1"/>
      <c r="D148" s="1"/>
      <c r="E148" s="1"/>
      <c r="F148" s="1"/>
      <c r="K148" s="27"/>
      <c r="L148" s="27"/>
      <c r="M148" s="27"/>
      <c r="N148" s="27"/>
      <c r="O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58"/>
    </row>
    <row r="149" ht="17.25" customHeight="1">
      <c r="A149" s="1"/>
      <c r="B149" s="1"/>
      <c r="C149" s="1"/>
      <c r="D149" s="1"/>
      <c r="E149" s="1"/>
      <c r="F149" s="1"/>
      <c r="K149" s="27"/>
      <c r="L149" s="27"/>
      <c r="M149" s="27"/>
      <c r="N149" s="27"/>
      <c r="O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58"/>
    </row>
    <row r="150" ht="17.25" customHeight="1">
      <c r="A150" s="1"/>
      <c r="B150" s="1"/>
      <c r="C150" s="1"/>
      <c r="D150" s="1"/>
      <c r="E150" s="1"/>
      <c r="F150" s="1"/>
      <c r="K150" s="27"/>
      <c r="L150" s="27"/>
      <c r="M150" s="27"/>
      <c r="N150" s="27"/>
      <c r="O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58"/>
    </row>
    <row r="151" ht="17.25" customHeight="1">
      <c r="A151" s="1"/>
      <c r="B151" s="1"/>
      <c r="C151" s="1"/>
      <c r="D151" s="1"/>
      <c r="E151" s="1"/>
      <c r="F151" s="1"/>
      <c r="K151" s="27"/>
      <c r="L151" s="27"/>
      <c r="M151" s="27"/>
      <c r="N151" s="27"/>
      <c r="O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58"/>
    </row>
    <row r="152" ht="17.25" customHeight="1">
      <c r="A152" s="1"/>
      <c r="B152" s="1"/>
      <c r="C152" s="1"/>
      <c r="D152" s="1"/>
      <c r="E152" s="1"/>
      <c r="F152" s="1"/>
      <c r="K152" s="27"/>
      <c r="L152" s="27"/>
      <c r="M152" s="27"/>
      <c r="N152" s="27"/>
      <c r="O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58"/>
    </row>
    <row r="153" ht="17.25" customHeight="1">
      <c r="A153" s="1"/>
      <c r="B153" s="1"/>
      <c r="C153" s="1"/>
      <c r="D153" s="1"/>
      <c r="E153" s="1"/>
      <c r="F153" s="1"/>
      <c r="K153" s="27"/>
      <c r="L153" s="27"/>
      <c r="M153" s="27"/>
      <c r="N153" s="27"/>
      <c r="O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58"/>
    </row>
    <row r="154" ht="17.25" customHeight="1">
      <c r="A154" s="1"/>
      <c r="B154" s="1"/>
      <c r="C154" s="1"/>
      <c r="D154" s="1"/>
      <c r="E154" s="1"/>
      <c r="F154" s="1"/>
      <c r="K154" s="27"/>
      <c r="L154" s="27"/>
      <c r="M154" s="27"/>
      <c r="N154" s="27"/>
      <c r="O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58"/>
    </row>
    <row r="155" ht="17.25" customHeight="1">
      <c r="A155" s="1"/>
      <c r="B155" s="1"/>
      <c r="C155" s="1"/>
      <c r="D155" s="1"/>
      <c r="E155" s="1"/>
      <c r="F155" s="1"/>
      <c r="K155" s="27"/>
      <c r="L155" s="27"/>
      <c r="M155" s="27"/>
      <c r="N155" s="27"/>
      <c r="O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58"/>
    </row>
    <row r="156" ht="17.25" customHeight="1">
      <c r="A156" s="1"/>
      <c r="B156" s="1"/>
      <c r="C156" s="1"/>
      <c r="D156" s="1"/>
      <c r="E156" s="1"/>
      <c r="F156" s="1"/>
      <c r="K156" s="27"/>
      <c r="L156" s="27"/>
      <c r="M156" s="27"/>
      <c r="N156" s="27"/>
      <c r="O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58"/>
    </row>
    <row r="157" ht="17.25" customHeight="1">
      <c r="A157" s="1"/>
      <c r="B157" s="1"/>
      <c r="C157" s="1"/>
      <c r="D157" s="1"/>
      <c r="E157" s="1"/>
      <c r="F157" s="1"/>
      <c r="K157" s="27"/>
      <c r="L157" s="27"/>
      <c r="M157" s="27"/>
      <c r="N157" s="27"/>
      <c r="O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58"/>
    </row>
    <row r="158" ht="17.25" customHeight="1">
      <c r="A158" s="1"/>
      <c r="B158" s="1"/>
      <c r="C158" s="1"/>
      <c r="D158" s="1"/>
      <c r="E158" s="1"/>
      <c r="F158" s="1"/>
      <c r="K158" s="27"/>
      <c r="L158" s="27"/>
      <c r="M158" s="27"/>
      <c r="N158" s="27"/>
      <c r="O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58"/>
    </row>
    <row r="159" ht="17.25" customHeight="1">
      <c r="A159" s="1"/>
      <c r="B159" s="1"/>
      <c r="C159" s="1"/>
      <c r="D159" s="1"/>
      <c r="E159" s="1"/>
      <c r="F159" s="1"/>
      <c r="K159" s="27"/>
      <c r="L159" s="27"/>
      <c r="M159" s="27"/>
      <c r="N159" s="27"/>
      <c r="O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58"/>
    </row>
    <row r="160" ht="17.25" customHeight="1">
      <c r="A160" s="1"/>
      <c r="B160" s="1"/>
      <c r="C160" s="1"/>
      <c r="D160" s="1"/>
      <c r="E160" s="1"/>
      <c r="F160" s="1"/>
      <c r="K160" s="27"/>
      <c r="L160" s="27"/>
      <c r="M160" s="27"/>
      <c r="N160" s="27"/>
      <c r="O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58"/>
    </row>
    <row r="161" ht="17.25" customHeight="1">
      <c r="A161" s="1"/>
      <c r="B161" s="1"/>
      <c r="C161" s="1"/>
      <c r="D161" s="1"/>
      <c r="E161" s="1"/>
      <c r="F161" s="1"/>
      <c r="K161" s="27"/>
      <c r="L161" s="27"/>
      <c r="M161" s="27"/>
      <c r="N161" s="27"/>
      <c r="O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58"/>
    </row>
    <row r="162" ht="17.25" customHeight="1">
      <c r="A162" s="1"/>
      <c r="B162" s="1"/>
      <c r="C162" s="1"/>
      <c r="D162" s="1"/>
      <c r="E162" s="1"/>
      <c r="F162" s="1"/>
      <c r="K162" s="27"/>
      <c r="L162" s="27"/>
      <c r="M162" s="27"/>
      <c r="N162" s="27"/>
      <c r="O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58"/>
    </row>
    <row r="163" ht="17.25" customHeight="1">
      <c r="A163" s="1"/>
      <c r="B163" s="1"/>
      <c r="C163" s="1"/>
      <c r="D163" s="1"/>
      <c r="E163" s="1"/>
      <c r="F163" s="1"/>
      <c r="K163" s="27"/>
      <c r="L163" s="27"/>
      <c r="M163" s="27"/>
      <c r="N163" s="27"/>
      <c r="O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58"/>
    </row>
    <row r="164" ht="17.25" customHeight="1">
      <c r="A164" s="1"/>
      <c r="B164" s="1"/>
      <c r="C164" s="1"/>
      <c r="D164" s="1"/>
      <c r="E164" s="1"/>
      <c r="F164" s="1"/>
      <c r="K164" s="27"/>
      <c r="L164" s="27"/>
      <c r="M164" s="27"/>
      <c r="N164" s="27"/>
      <c r="O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58"/>
    </row>
    <row r="165" ht="17.25" customHeight="1">
      <c r="A165" s="1"/>
      <c r="B165" s="1"/>
      <c r="C165" s="1"/>
      <c r="D165" s="1"/>
      <c r="E165" s="1"/>
      <c r="F165" s="1"/>
      <c r="K165" s="27"/>
      <c r="L165" s="27"/>
      <c r="M165" s="27"/>
      <c r="N165" s="27"/>
      <c r="O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58"/>
    </row>
    <row r="166" ht="17.25" customHeight="1">
      <c r="A166" s="1"/>
      <c r="B166" s="1"/>
      <c r="C166" s="1"/>
      <c r="D166" s="1"/>
      <c r="E166" s="1"/>
      <c r="F166" s="1"/>
      <c r="K166" s="27"/>
      <c r="L166" s="27"/>
      <c r="M166" s="27"/>
      <c r="N166" s="27"/>
      <c r="O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58"/>
    </row>
    <row r="167" ht="17.25" customHeight="1">
      <c r="A167" s="1"/>
      <c r="B167" s="1"/>
      <c r="C167" s="1"/>
      <c r="D167" s="1"/>
      <c r="E167" s="1"/>
      <c r="F167" s="1"/>
      <c r="K167" s="27"/>
      <c r="L167" s="27"/>
      <c r="M167" s="27"/>
      <c r="N167" s="27"/>
      <c r="O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58"/>
    </row>
    <row r="168" ht="17.25" customHeight="1">
      <c r="A168" s="1"/>
      <c r="B168" s="1"/>
      <c r="C168" s="1"/>
      <c r="D168" s="1"/>
      <c r="E168" s="1"/>
      <c r="F168" s="1"/>
      <c r="K168" s="27"/>
      <c r="L168" s="27"/>
      <c r="M168" s="27"/>
      <c r="N168" s="27"/>
      <c r="O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58"/>
    </row>
    <row r="169" ht="17.25" customHeight="1">
      <c r="A169" s="1"/>
      <c r="B169" s="1"/>
      <c r="C169" s="1"/>
      <c r="D169" s="1"/>
      <c r="E169" s="1"/>
      <c r="F169" s="1"/>
      <c r="K169" s="27"/>
      <c r="L169" s="27"/>
      <c r="M169" s="27"/>
      <c r="N169" s="27"/>
      <c r="O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58"/>
    </row>
    <row r="170" ht="17.25" customHeight="1">
      <c r="A170" s="1"/>
      <c r="B170" s="1"/>
      <c r="C170" s="1"/>
      <c r="D170" s="1"/>
      <c r="E170" s="1"/>
      <c r="F170" s="1"/>
      <c r="K170" s="27"/>
      <c r="L170" s="27"/>
      <c r="M170" s="27"/>
      <c r="N170" s="27"/>
      <c r="O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58"/>
    </row>
    <row r="171" ht="17.25" customHeight="1">
      <c r="A171" s="1"/>
      <c r="B171" s="1"/>
      <c r="C171" s="1"/>
      <c r="D171" s="1"/>
      <c r="E171" s="1"/>
      <c r="F171" s="1"/>
      <c r="K171" s="27"/>
      <c r="L171" s="27"/>
      <c r="M171" s="27"/>
      <c r="N171" s="27"/>
      <c r="O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58"/>
    </row>
    <row r="172" ht="17.25" customHeight="1">
      <c r="A172" s="1"/>
      <c r="B172" s="1"/>
      <c r="C172" s="1"/>
      <c r="D172" s="1"/>
      <c r="E172" s="1"/>
      <c r="F172" s="1"/>
      <c r="K172" s="27"/>
      <c r="L172" s="27"/>
      <c r="M172" s="27"/>
      <c r="N172" s="27"/>
      <c r="O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58"/>
    </row>
    <row r="173" ht="17.25" customHeight="1">
      <c r="A173" s="1"/>
      <c r="B173" s="1"/>
      <c r="C173" s="1"/>
      <c r="D173" s="1"/>
      <c r="E173" s="1"/>
      <c r="F173" s="1"/>
      <c r="K173" s="27"/>
      <c r="L173" s="27"/>
      <c r="M173" s="27"/>
      <c r="N173" s="27"/>
      <c r="O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58"/>
    </row>
    <row r="174" ht="17.25" customHeight="1">
      <c r="A174" s="1"/>
      <c r="B174" s="1"/>
      <c r="C174" s="1"/>
      <c r="D174" s="1"/>
      <c r="E174" s="1"/>
      <c r="F174" s="1"/>
      <c r="K174" s="27"/>
      <c r="L174" s="27"/>
      <c r="M174" s="27"/>
      <c r="N174" s="27"/>
      <c r="O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58"/>
    </row>
    <row r="175" ht="17.25" customHeight="1">
      <c r="A175" s="1"/>
      <c r="B175" s="1"/>
      <c r="C175" s="1"/>
      <c r="D175" s="1"/>
      <c r="E175" s="1"/>
      <c r="F175" s="1"/>
      <c r="K175" s="27"/>
      <c r="L175" s="27"/>
      <c r="M175" s="27"/>
      <c r="N175" s="27"/>
      <c r="O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58"/>
    </row>
    <row r="176" ht="17.25" customHeight="1">
      <c r="A176" s="1"/>
      <c r="B176" s="1"/>
      <c r="C176" s="1"/>
      <c r="D176" s="1"/>
      <c r="E176" s="1"/>
      <c r="F176" s="1"/>
      <c r="K176" s="27"/>
      <c r="L176" s="27"/>
      <c r="M176" s="27"/>
      <c r="N176" s="27"/>
      <c r="O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58"/>
    </row>
    <row r="177" ht="17.25" customHeight="1">
      <c r="A177" s="1"/>
      <c r="B177" s="1"/>
      <c r="C177" s="1"/>
      <c r="D177" s="1"/>
      <c r="E177" s="1"/>
      <c r="F177" s="1"/>
      <c r="K177" s="27"/>
      <c r="L177" s="27"/>
      <c r="M177" s="27"/>
      <c r="N177" s="27"/>
      <c r="O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58"/>
    </row>
    <row r="178" ht="17.25" customHeight="1">
      <c r="A178" s="1"/>
      <c r="B178" s="1"/>
      <c r="C178" s="1"/>
      <c r="D178" s="1"/>
      <c r="E178" s="1"/>
      <c r="F178" s="1"/>
      <c r="K178" s="27"/>
      <c r="L178" s="27"/>
      <c r="M178" s="27"/>
      <c r="N178" s="27"/>
      <c r="O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58"/>
    </row>
    <row r="179" ht="17.25" customHeight="1">
      <c r="A179" s="1"/>
      <c r="B179" s="1"/>
      <c r="C179" s="1"/>
      <c r="D179" s="1"/>
      <c r="E179" s="1"/>
      <c r="F179" s="1"/>
      <c r="K179" s="27"/>
      <c r="L179" s="27"/>
      <c r="M179" s="27"/>
      <c r="N179" s="27"/>
      <c r="O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58"/>
    </row>
    <row r="180" ht="17.25" customHeight="1">
      <c r="A180" s="1"/>
      <c r="B180" s="1"/>
      <c r="C180" s="1"/>
      <c r="D180" s="1"/>
      <c r="E180" s="1"/>
      <c r="F180" s="1"/>
      <c r="K180" s="27"/>
      <c r="L180" s="27"/>
      <c r="M180" s="27"/>
      <c r="N180" s="27"/>
      <c r="O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58"/>
    </row>
    <row r="181" ht="17.25" customHeight="1">
      <c r="A181" s="1"/>
      <c r="B181" s="1"/>
      <c r="C181" s="1"/>
      <c r="D181" s="1"/>
      <c r="E181" s="1"/>
      <c r="F181" s="1"/>
      <c r="K181" s="27"/>
      <c r="L181" s="27"/>
      <c r="M181" s="27"/>
      <c r="N181" s="27"/>
      <c r="O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58"/>
    </row>
    <row r="182" ht="17.25" customHeight="1">
      <c r="A182" s="1"/>
      <c r="B182" s="1"/>
      <c r="C182" s="1"/>
      <c r="D182" s="1"/>
      <c r="E182" s="1"/>
      <c r="F182" s="1"/>
      <c r="K182" s="27"/>
      <c r="L182" s="27"/>
      <c r="M182" s="27"/>
      <c r="N182" s="27"/>
      <c r="O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58"/>
    </row>
    <row r="183" ht="17.25" customHeight="1">
      <c r="A183" s="1"/>
      <c r="B183" s="1"/>
      <c r="C183" s="1"/>
      <c r="D183" s="1"/>
      <c r="E183" s="1"/>
      <c r="F183" s="1"/>
      <c r="K183" s="27"/>
      <c r="L183" s="27"/>
      <c r="M183" s="27"/>
      <c r="N183" s="27"/>
      <c r="O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58"/>
    </row>
    <row r="184" ht="17.25" customHeight="1">
      <c r="A184" s="1"/>
      <c r="B184" s="1"/>
      <c r="C184" s="1"/>
      <c r="D184" s="1"/>
      <c r="E184" s="1"/>
      <c r="F184" s="1"/>
      <c r="K184" s="27"/>
      <c r="L184" s="27"/>
      <c r="M184" s="27"/>
      <c r="N184" s="27"/>
      <c r="O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58"/>
    </row>
    <row r="185" ht="17.25" customHeight="1">
      <c r="A185" s="1"/>
      <c r="B185" s="1"/>
      <c r="C185" s="1"/>
      <c r="D185" s="1"/>
      <c r="E185" s="1"/>
      <c r="F185" s="1"/>
      <c r="K185" s="27"/>
      <c r="L185" s="27"/>
      <c r="M185" s="27"/>
      <c r="N185" s="27"/>
      <c r="O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58"/>
    </row>
    <row r="186" ht="17.25" customHeight="1">
      <c r="A186" s="1"/>
      <c r="B186" s="1"/>
      <c r="C186" s="1"/>
      <c r="D186" s="1"/>
      <c r="E186" s="1"/>
      <c r="F186" s="1"/>
      <c r="K186" s="27"/>
      <c r="L186" s="27"/>
      <c r="M186" s="27"/>
      <c r="N186" s="27"/>
      <c r="O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58"/>
    </row>
    <row r="187" ht="17.25" customHeight="1">
      <c r="A187" s="1"/>
      <c r="B187" s="1"/>
      <c r="C187" s="1"/>
      <c r="D187" s="1"/>
      <c r="E187" s="1"/>
      <c r="F187" s="1"/>
      <c r="K187" s="27"/>
      <c r="L187" s="27"/>
      <c r="M187" s="27"/>
      <c r="N187" s="27"/>
      <c r="O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58"/>
    </row>
    <row r="188" ht="17.25" customHeight="1">
      <c r="A188" s="1"/>
      <c r="B188" s="1"/>
      <c r="C188" s="1"/>
      <c r="D188" s="1"/>
      <c r="E188" s="1"/>
      <c r="F188" s="1"/>
      <c r="K188" s="27"/>
      <c r="L188" s="27"/>
      <c r="M188" s="27"/>
      <c r="N188" s="27"/>
      <c r="O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58"/>
    </row>
    <row r="189" ht="17.25" customHeight="1">
      <c r="A189" s="1"/>
      <c r="B189" s="1"/>
      <c r="C189" s="1"/>
      <c r="D189" s="1"/>
      <c r="E189" s="1"/>
      <c r="F189" s="1"/>
      <c r="K189" s="27"/>
      <c r="L189" s="27"/>
      <c r="M189" s="27"/>
      <c r="N189" s="27"/>
      <c r="O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58"/>
    </row>
    <row r="190" ht="17.25" customHeight="1">
      <c r="A190" s="1"/>
      <c r="B190" s="1"/>
      <c r="C190" s="1"/>
      <c r="D190" s="1"/>
      <c r="E190" s="1"/>
      <c r="F190" s="1"/>
      <c r="K190" s="27"/>
      <c r="L190" s="27"/>
      <c r="M190" s="27"/>
      <c r="N190" s="27"/>
      <c r="O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58"/>
    </row>
    <row r="191" ht="17.25" customHeight="1">
      <c r="A191" s="1"/>
      <c r="B191" s="1"/>
      <c r="C191" s="1"/>
      <c r="D191" s="1"/>
      <c r="E191" s="1"/>
      <c r="F191" s="1"/>
      <c r="K191" s="27"/>
      <c r="L191" s="27"/>
      <c r="M191" s="27"/>
      <c r="N191" s="27"/>
      <c r="O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58"/>
    </row>
    <row r="192" ht="17.25" customHeight="1">
      <c r="A192" s="1"/>
      <c r="B192" s="1"/>
      <c r="C192" s="1"/>
      <c r="D192" s="1"/>
      <c r="E192" s="1"/>
      <c r="F192" s="1"/>
      <c r="K192" s="27"/>
      <c r="L192" s="27"/>
      <c r="M192" s="27"/>
      <c r="N192" s="27"/>
      <c r="O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58"/>
    </row>
    <row r="193" ht="17.25" customHeight="1">
      <c r="A193" s="1"/>
      <c r="B193" s="1"/>
      <c r="C193" s="1"/>
      <c r="D193" s="1"/>
      <c r="E193" s="1"/>
      <c r="F193" s="1"/>
      <c r="K193" s="27"/>
      <c r="L193" s="27"/>
      <c r="M193" s="27"/>
      <c r="N193" s="27"/>
      <c r="O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58"/>
    </row>
    <row r="194" ht="17.25" customHeight="1">
      <c r="A194" s="1"/>
      <c r="B194" s="1"/>
      <c r="C194" s="1"/>
      <c r="D194" s="1"/>
      <c r="E194" s="1"/>
      <c r="F194" s="1"/>
      <c r="K194" s="27"/>
      <c r="L194" s="27"/>
      <c r="M194" s="27"/>
      <c r="N194" s="27"/>
      <c r="O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58"/>
    </row>
    <row r="195" ht="17.25" customHeight="1">
      <c r="A195" s="1"/>
      <c r="B195" s="1"/>
      <c r="C195" s="1"/>
      <c r="D195" s="1"/>
      <c r="E195" s="1"/>
      <c r="F195" s="1"/>
      <c r="K195" s="27"/>
      <c r="L195" s="27"/>
      <c r="M195" s="27"/>
      <c r="N195" s="27"/>
      <c r="O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58"/>
    </row>
    <row r="196" ht="17.25" customHeight="1">
      <c r="A196" s="1"/>
      <c r="B196" s="1"/>
      <c r="C196" s="1"/>
      <c r="D196" s="1"/>
      <c r="E196" s="1"/>
      <c r="F196" s="1"/>
      <c r="K196" s="27"/>
      <c r="L196" s="27"/>
      <c r="M196" s="27"/>
      <c r="N196" s="27"/>
      <c r="O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58"/>
    </row>
    <row r="197" ht="17.25" customHeight="1">
      <c r="A197" s="1"/>
      <c r="B197" s="1"/>
      <c r="C197" s="1"/>
      <c r="D197" s="1"/>
      <c r="E197" s="1"/>
      <c r="F197" s="1"/>
      <c r="K197" s="27"/>
      <c r="L197" s="27"/>
      <c r="M197" s="27"/>
      <c r="N197" s="27"/>
      <c r="O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58"/>
    </row>
    <row r="198" ht="17.25" customHeight="1">
      <c r="A198" s="1"/>
      <c r="B198" s="1"/>
      <c r="C198" s="1"/>
      <c r="D198" s="1"/>
      <c r="E198" s="1"/>
      <c r="F198" s="1"/>
      <c r="K198" s="27"/>
      <c r="L198" s="27"/>
      <c r="M198" s="27"/>
      <c r="N198" s="27"/>
      <c r="O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58"/>
    </row>
    <row r="199" ht="17.25" customHeight="1">
      <c r="A199" s="1"/>
      <c r="B199" s="1"/>
      <c r="C199" s="1"/>
      <c r="D199" s="1"/>
      <c r="E199" s="1"/>
      <c r="F199" s="1"/>
      <c r="K199" s="27"/>
      <c r="L199" s="27"/>
      <c r="M199" s="27"/>
      <c r="N199" s="27"/>
      <c r="O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58"/>
    </row>
    <row r="200" ht="17.25" customHeight="1">
      <c r="A200" s="1"/>
      <c r="B200" s="1"/>
      <c r="C200" s="1"/>
      <c r="D200" s="1"/>
      <c r="E200" s="1"/>
      <c r="F200" s="1"/>
      <c r="K200" s="27"/>
      <c r="L200" s="27"/>
      <c r="M200" s="27"/>
      <c r="N200" s="27"/>
      <c r="O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58"/>
    </row>
    <row r="201" ht="17.25" customHeight="1">
      <c r="A201" s="1"/>
      <c r="B201" s="1"/>
      <c r="C201" s="1"/>
      <c r="D201" s="1"/>
      <c r="E201" s="1"/>
      <c r="F201" s="1"/>
      <c r="K201" s="27"/>
      <c r="L201" s="27"/>
      <c r="M201" s="27"/>
      <c r="N201" s="27"/>
      <c r="O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58"/>
    </row>
    <row r="202" ht="17.25" customHeight="1">
      <c r="A202" s="1"/>
      <c r="B202" s="1"/>
      <c r="C202" s="1"/>
      <c r="D202" s="1"/>
      <c r="E202" s="1"/>
      <c r="F202" s="1"/>
      <c r="K202" s="27"/>
      <c r="L202" s="27"/>
      <c r="M202" s="27"/>
      <c r="N202" s="27"/>
      <c r="O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58"/>
    </row>
    <row r="203" ht="17.25" customHeight="1">
      <c r="A203" s="1"/>
      <c r="B203" s="1"/>
      <c r="C203" s="1"/>
      <c r="D203" s="1"/>
      <c r="E203" s="1"/>
      <c r="F203" s="1"/>
      <c r="K203" s="27"/>
      <c r="L203" s="27"/>
      <c r="M203" s="27"/>
      <c r="N203" s="27"/>
      <c r="O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58"/>
    </row>
    <row r="204" ht="17.25" customHeight="1">
      <c r="A204" s="1"/>
      <c r="B204" s="1"/>
      <c r="C204" s="1"/>
      <c r="D204" s="1"/>
      <c r="E204" s="1"/>
      <c r="F204" s="1"/>
      <c r="K204" s="27"/>
      <c r="L204" s="27"/>
      <c r="M204" s="27"/>
      <c r="N204" s="27"/>
      <c r="O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58"/>
    </row>
    <row r="205" ht="17.25" customHeight="1">
      <c r="A205" s="1"/>
      <c r="B205" s="1"/>
      <c r="C205" s="1"/>
      <c r="D205" s="1"/>
      <c r="E205" s="1"/>
      <c r="F205" s="1"/>
      <c r="K205" s="27"/>
      <c r="L205" s="27"/>
      <c r="M205" s="27"/>
      <c r="N205" s="27"/>
      <c r="O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58"/>
    </row>
    <row r="206" ht="17.25" customHeight="1">
      <c r="A206" s="1"/>
      <c r="B206" s="1"/>
      <c r="C206" s="1"/>
      <c r="D206" s="1"/>
      <c r="E206" s="1"/>
      <c r="F206" s="1"/>
      <c r="K206" s="27"/>
      <c r="L206" s="27"/>
      <c r="M206" s="27"/>
      <c r="N206" s="27"/>
      <c r="O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58"/>
    </row>
    <row r="207" ht="17.25" customHeight="1">
      <c r="A207" s="1"/>
      <c r="B207" s="1"/>
      <c r="C207" s="1"/>
      <c r="D207" s="1"/>
      <c r="E207" s="1"/>
      <c r="F207" s="1"/>
      <c r="K207" s="27"/>
      <c r="L207" s="27"/>
      <c r="M207" s="27"/>
      <c r="N207" s="27"/>
      <c r="O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58"/>
    </row>
    <row r="208" ht="17.25" customHeight="1">
      <c r="A208" s="1"/>
      <c r="B208" s="1"/>
      <c r="C208" s="1"/>
      <c r="D208" s="1"/>
      <c r="E208" s="1"/>
      <c r="F208" s="1"/>
      <c r="K208" s="27"/>
      <c r="L208" s="27"/>
      <c r="M208" s="27"/>
      <c r="N208" s="27"/>
      <c r="O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58"/>
    </row>
    <row r="209" ht="17.25" customHeight="1">
      <c r="A209" s="1"/>
      <c r="B209" s="1"/>
      <c r="C209" s="1"/>
      <c r="D209" s="1"/>
      <c r="E209" s="1"/>
      <c r="F209" s="1"/>
      <c r="K209" s="27"/>
      <c r="L209" s="27"/>
      <c r="M209" s="27"/>
      <c r="N209" s="27"/>
      <c r="O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58"/>
    </row>
    <row r="210" ht="17.25" customHeight="1">
      <c r="A210" s="1"/>
      <c r="B210" s="1"/>
      <c r="C210" s="1"/>
      <c r="D210" s="1"/>
      <c r="E210" s="1"/>
      <c r="F210" s="1"/>
      <c r="K210" s="27"/>
      <c r="L210" s="27"/>
      <c r="M210" s="27"/>
      <c r="N210" s="27"/>
      <c r="O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58"/>
    </row>
    <row r="211" ht="17.25" customHeight="1">
      <c r="A211" s="1"/>
      <c r="B211" s="1"/>
      <c r="C211" s="1"/>
      <c r="D211" s="1"/>
      <c r="E211" s="1"/>
      <c r="F211" s="1"/>
      <c r="K211" s="27"/>
      <c r="L211" s="27"/>
      <c r="M211" s="27"/>
      <c r="N211" s="27"/>
      <c r="O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58"/>
    </row>
    <row r="212" ht="17.25" customHeight="1">
      <c r="A212" s="1"/>
      <c r="B212" s="1"/>
      <c r="C212" s="1"/>
      <c r="D212" s="1"/>
      <c r="E212" s="1"/>
      <c r="F212" s="1"/>
      <c r="K212" s="27"/>
      <c r="L212" s="27"/>
      <c r="M212" s="27"/>
      <c r="N212" s="27"/>
      <c r="O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58"/>
    </row>
    <row r="213" ht="17.25" customHeight="1">
      <c r="A213" s="1"/>
      <c r="B213" s="1"/>
      <c r="C213" s="1"/>
      <c r="D213" s="1"/>
      <c r="E213" s="1"/>
      <c r="F213" s="1"/>
      <c r="K213" s="27"/>
      <c r="L213" s="27"/>
      <c r="M213" s="27"/>
      <c r="N213" s="27"/>
      <c r="O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58"/>
    </row>
    <row r="214" ht="17.25" customHeight="1">
      <c r="A214" s="1"/>
      <c r="B214" s="1"/>
      <c r="C214" s="1"/>
      <c r="D214" s="1"/>
      <c r="E214" s="1"/>
      <c r="F214" s="1"/>
      <c r="K214" s="27"/>
      <c r="L214" s="27"/>
      <c r="M214" s="27"/>
      <c r="N214" s="27"/>
      <c r="O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58"/>
    </row>
    <row r="215" ht="17.25" customHeight="1">
      <c r="A215" s="1"/>
      <c r="B215" s="1"/>
      <c r="C215" s="1"/>
      <c r="D215" s="1"/>
      <c r="E215" s="1"/>
      <c r="F215" s="1"/>
      <c r="K215" s="27"/>
      <c r="L215" s="27"/>
      <c r="M215" s="27"/>
      <c r="N215" s="27"/>
      <c r="O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58"/>
    </row>
    <row r="216" ht="17.25" customHeight="1">
      <c r="A216" s="1"/>
      <c r="B216" s="1"/>
      <c r="C216" s="1"/>
      <c r="D216" s="1"/>
      <c r="E216" s="1"/>
      <c r="F216" s="1"/>
      <c r="K216" s="27"/>
      <c r="L216" s="27"/>
      <c r="M216" s="27"/>
      <c r="N216" s="27"/>
      <c r="O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58"/>
    </row>
    <row r="217" ht="17.25" customHeight="1">
      <c r="A217" s="1"/>
      <c r="B217" s="1"/>
      <c r="C217" s="1"/>
      <c r="D217" s="1"/>
      <c r="E217" s="1"/>
      <c r="F217" s="1"/>
      <c r="K217" s="27"/>
      <c r="L217" s="27"/>
      <c r="M217" s="27"/>
      <c r="N217" s="27"/>
      <c r="O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58"/>
    </row>
    <row r="218" ht="17.25" customHeight="1">
      <c r="A218" s="1"/>
      <c r="B218" s="1"/>
      <c r="C218" s="1"/>
      <c r="D218" s="1"/>
      <c r="E218" s="1"/>
      <c r="F218" s="1"/>
      <c r="K218" s="27"/>
      <c r="L218" s="27"/>
      <c r="M218" s="27"/>
      <c r="N218" s="27"/>
      <c r="O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58"/>
    </row>
    <row r="219" ht="17.25" customHeight="1">
      <c r="A219" s="1"/>
      <c r="B219" s="1"/>
      <c r="C219" s="1"/>
      <c r="D219" s="1"/>
      <c r="E219" s="1"/>
      <c r="F219" s="1"/>
      <c r="K219" s="27"/>
      <c r="L219" s="27"/>
      <c r="M219" s="27"/>
      <c r="N219" s="27"/>
      <c r="O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58"/>
    </row>
    <row r="220" ht="17.25" customHeight="1">
      <c r="A220" s="1"/>
      <c r="B220" s="1"/>
      <c r="C220" s="1"/>
      <c r="D220" s="1"/>
      <c r="E220" s="1"/>
      <c r="F220" s="1"/>
      <c r="K220" s="27"/>
      <c r="L220" s="27"/>
      <c r="M220" s="27"/>
      <c r="N220" s="27"/>
      <c r="O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58"/>
    </row>
    <row r="221" ht="17.25" customHeight="1">
      <c r="A221" s="1"/>
      <c r="B221" s="1"/>
      <c r="C221" s="1"/>
      <c r="D221" s="1"/>
      <c r="E221" s="1"/>
      <c r="F221" s="1"/>
      <c r="K221" s="27"/>
      <c r="L221" s="27"/>
      <c r="M221" s="27"/>
      <c r="N221" s="27"/>
      <c r="O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58"/>
    </row>
    <row r="222" ht="17.25" customHeight="1">
      <c r="A222" s="1"/>
      <c r="B222" s="1"/>
      <c r="C222" s="1"/>
      <c r="D222" s="1"/>
      <c r="E222" s="1"/>
      <c r="F222" s="1"/>
      <c r="K222" s="27"/>
      <c r="L222" s="27"/>
      <c r="M222" s="27"/>
      <c r="N222" s="27"/>
      <c r="O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58"/>
    </row>
    <row r="223" ht="17.25" customHeight="1">
      <c r="A223" s="1"/>
      <c r="B223" s="1"/>
      <c r="C223" s="1"/>
      <c r="D223" s="1"/>
      <c r="E223" s="1"/>
      <c r="F223" s="1"/>
      <c r="K223" s="27"/>
      <c r="L223" s="27"/>
      <c r="M223" s="27"/>
      <c r="N223" s="27"/>
      <c r="O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58"/>
    </row>
    <row r="224" ht="17.25" customHeight="1">
      <c r="A224" s="1"/>
      <c r="B224" s="1"/>
      <c r="C224" s="1"/>
      <c r="D224" s="1"/>
      <c r="E224" s="1"/>
      <c r="F224" s="1"/>
      <c r="K224" s="27"/>
      <c r="L224" s="27"/>
      <c r="M224" s="27"/>
      <c r="N224" s="27"/>
      <c r="O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58"/>
    </row>
    <row r="225" ht="17.25" customHeight="1">
      <c r="A225" s="1"/>
      <c r="B225" s="1"/>
      <c r="C225" s="1"/>
      <c r="D225" s="1"/>
      <c r="E225" s="1"/>
      <c r="F225" s="1"/>
      <c r="K225" s="27"/>
      <c r="L225" s="27"/>
      <c r="M225" s="27"/>
      <c r="N225" s="27"/>
      <c r="O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58"/>
    </row>
    <row r="226" ht="17.25" customHeight="1">
      <c r="A226" s="1"/>
      <c r="B226" s="1"/>
      <c r="C226" s="1"/>
      <c r="D226" s="1"/>
      <c r="E226" s="1"/>
      <c r="F226" s="1"/>
      <c r="K226" s="27"/>
      <c r="L226" s="27"/>
      <c r="M226" s="27"/>
      <c r="N226" s="27"/>
      <c r="O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58"/>
    </row>
    <row r="227" ht="17.25" customHeight="1">
      <c r="A227" s="1"/>
      <c r="B227" s="1"/>
      <c r="C227" s="1"/>
      <c r="D227" s="1"/>
      <c r="E227" s="1"/>
      <c r="F227" s="1"/>
      <c r="K227" s="27"/>
      <c r="L227" s="27"/>
      <c r="M227" s="27"/>
      <c r="N227" s="27"/>
      <c r="O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58"/>
    </row>
    <row r="228" ht="17.25" customHeight="1">
      <c r="A228" s="1"/>
      <c r="B228" s="1"/>
      <c r="C228" s="1"/>
      <c r="D228" s="1"/>
      <c r="E228" s="1"/>
      <c r="F228" s="1"/>
      <c r="K228" s="27"/>
      <c r="L228" s="27"/>
      <c r="M228" s="27"/>
      <c r="N228" s="27"/>
      <c r="O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58"/>
    </row>
    <row r="229" ht="17.25" customHeight="1">
      <c r="A229" s="1"/>
      <c r="B229" s="1"/>
      <c r="C229" s="1"/>
      <c r="D229" s="1"/>
      <c r="E229" s="1"/>
      <c r="F229" s="1"/>
      <c r="K229" s="27"/>
      <c r="L229" s="27"/>
      <c r="M229" s="27"/>
      <c r="N229" s="27"/>
      <c r="O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58"/>
    </row>
    <row r="230" ht="17.25" customHeight="1">
      <c r="A230" s="1"/>
      <c r="B230" s="1"/>
      <c r="C230" s="1"/>
      <c r="D230" s="1"/>
      <c r="E230" s="1"/>
      <c r="F230" s="1"/>
      <c r="K230" s="27"/>
      <c r="L230" s="27"/>
      <c r="M230" s="27"/>
      <c r="N230" s="27"/>
      <c r="O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58"/>
    </row>
    <row r="231" ht="17.25" customHeight="1">
      <c r="A231" s="1"/>
      <c r="B231" s="1"/>
      <c r="C231" s="1"/>
      <c r="D231" s="1"/>
      <c r="E231" s="1"/>
      <c r="F231" s="1"/>
      <c r="K231" s="27"/>
      <c r="L231" s="27"/>
      <c r="M231" s="27"/>
      <c r="N231" s="27"/>
      <c r="O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58"/>
    </row>
    <row r="232" ht="17.25" customHeight="1">
      <c r="A232" s="1"/>
      <c r="B232" s="1"/>
      <c r="C232" s="1"/>
      <c r="D232" s="1"/>
      <c r="E232" s="1"/>
      <c r="F232" s="1"/>
      <c r="K232" s="27"/>
      <c r="L232" s="27"/>
      <c r="M232" s="27"/>
      <c r="N232" s="27"/>
      <c r="O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58"/>
    </row>
    <row r="233" ht="17.25" customHeight="1">
      <c r="A233" s="1"/>
      <c r="B233" s="1"/>
      <c r="C233" s="1"/>
      <c r="D233" s="1"/>
      <c r="E233" s="1"/>
      <c r="F233" s="1"/>
      <c r="K233" s="27"/>
      <c r="L233" s="27"/>
      <c r="M233" s="27"/>
      <c r="N233" s="27"/>
      <c r="O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58"/>
    </row>
    <row r="234" ht="17.25" customHeight="1">
      <c r="A234" s="1"/>
      <c r="B234" s="1"/>
      <c r="C234" s="1"/>
      <c r="D234" s="1"/>
      <c r="E234" s="1"/>
      <c r="F234" s="1"/>
      <c r="K234" s="27"/>
      <c r="L234" s="27"/>
      <c r="M234" s="27"/>
      <c r="N234" s="27"/>
      <c r="O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58"/>
    </row>
    <row r="235" ht="17.25" customHeight="1">
      <c r="A235" s="1"/>
      <c r="B235" s="1"/>
      <c r="C235" s="1"/>
      <c r="D235" s="1"/>
      <c r="E235" s="1"/>
      <c r="F235" s="1"/>
      <c r="K235" s="27"/>
      <c r="L235" s="27"/>
      <c r="M235" s="27"/>
      <c r="N235" s="27"/>
      <c r="O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58"/>
    </row>
    <row r="236" ht="17.25" customHeight="1">
      <c r="A236" s="1"/>
      <c r="B236" s="1"/>
      <c r="C236" s="1"/>
      <c r="D236" s="1"/>
      <c r="E236" s="1"/>
      <c r="F236" s="1"/>
      <c r="K236" s="27"/>
      <c r="L236" s="27"/>
      <c r="M236" s="27"/>
      <c r="N236" s="27"/>
      <c r="O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58"/>
    </row>
    <row r="237" ht="17.25" customHeight="1">
      <c r="A237" s="1"/>
      <c r="B237" s="1"/>
      <c r="C237" s="1"/>
      <c r="D237" s="1"/>
      <c r="E237" s="1"/>
      <c r="F237" s="1"/>
      <c r="K237" s="27"/>
      <c r="L237" s="27"/>
      <c r="M237" s="27"/>
      <c r="N237" s="27"/>
      <c r="O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58"/>
    </row>
    <row r="238" ht="17.25" customHeight="1">
      <c r="A238" s="1"/>
      <c r="B238" s="1"/>
      <c r="C238" s="1"/>
      <c r="D238" s="1"/>
      <c r="E238" s="1"/>
      <c r="F238" s="1"/>
      <c r="K238" s="27"/>
      <c r="L238" s="27"/>
      <c r="M238" s="27"/>
      <c r="N238" s="27"/>
      <c r="O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58"/>
    </row>
    <row r="239" ht="17.25" customHeight="1">
      <c r="A239" s="1"/>
      <c r="B239" s="1"/>
      <c r="C239" s="1"/>
      <c r="D239" s="1"/>
      <c r="E239" s="1"/>
      <c r="F239" s="1"/>
      <c r="K239" s="27"/>
      <c r="L239" s="27"/>
      <c r="M239" s="27"/>
      <c r="N239" s="27"/>
      <c r="O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58"/>
    </row>
    <row r="240" ht="17.25" customHeight="1">
      <c r="A240" s="1"/>
      <c r="B240" s="1"/>
      <c r="C240" s="1"/>
      <c r="D240" s="1"/>
      <c r="E240" s="1"/>
      <c r="F240" s="1"/>
      <c r="K240" s="27"/>
      <c r="L240" s="27"/>
      <c r="M240" s="27"/>
      <c r="N240" s="27"/>
      <c r="O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58"/>
    </row>
    <row r="241" ht="17.25" customHeight="1">
      <c r="A241" s="1"/>
      <c r="B241" s="1"/>
      <c r="C241" s="1"/>
      <c r="D241" s="1"/>
      <c r="E241" s="1"/>
      <c r="F241" s="1"/>
      <c r="K241" s="27"/>
      <c r="L241" s="27"/>
      <c r="M241" s="27"/>
      <c r="N241" s="27"/>
      <c r="O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58"/>
    </row>
    <row r="242" ht="17.25" customHeight="1">
      <c r="A242" s="1"/>
      <c r="B242" s="1"/>
      <c r="C242" s="1"/>
      <c r="D242" s="1"/>
      <c r="E242" s="1"/>
      <c r="F242" s="1"/>
      <c r="K242" s="27"/>
      <c r="L242" s="27"/>
      <c r="M242" s="27"/>
      <c r="N242" s="27"/>
      <c r="O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58"/>
    </row>
    <row r="243" ht="17.25" customHeight="1">
      <c r="A243" s="1"/>
      <c r="B243" s="1"/>
      <c r="C243" s="1"/>
      <c r="D243" s="1"/>
      <c r="E243" s="1"/>
      <c r="F243" s="1"/>
      <c r="K243" s="27"/>
      <c r="L243" s="27"/>
      <c r="M243" s="27"/>
      <c r="N243" s="27"/>
      <c r="O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58"/>
    </row>
    <row r="244" ht="17.25" customHeight="1">
      <c r="A244" s="1"/>
      <c r="B244" s="1"/>
      <c r="C244" s="1"/>
      <c r="D244" s="1"/>
      <c r="E244" s="1"/>
      <c r="F244" s="1"/>
      <c r="K244" s="27"/>
      <c r="L244" s="27"/>
      <c r="M244" s="27"/>
      <c r="N244" s="27"/>
      <c r="O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58"/>
    </row>
    <row r="245" ht="17.25" customHeight="1">
      <c r="A245" s="1"/>
      <c r="B245" s="1"/>
      <c r="C245" s="1"/>
      <c r="D245" s="1"/>
      <c r="E245" s="1"/>
      <c r="F245" s="1"/>
      <c r="K245" s="27"/>
      <c r="L245" s="27"/>
      <c r="M245" s="27"/>
      <c r="N245" s="27"/>
      <c r="O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58"/>
    </row>
    <row r="246" ht="17.25" customHeight="1">
      <c r="A246" s="1"/>
      <c r="B246" s="1"/>
      <c r="C246" s="1"/>
      <c r="D246" s="1"/>
      <c r="E246" s="1"/>
      <c r="F246" s="1"/>
      <c r="K246" s="27"/>
      <c r="L246" s="27"/>
      <c r="M246" s="27"/>
      <c r="N246" s="27"/>
      <c r="O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58"/>
    </row>
    <row r="247" ht="17.25" customHeight="1">
      <c r="A247" s="1"/>
      <c r="B247" s="1"/>
      <c r="C247" s="1"/>
      <c r="D247" s="1"/>
      <c r="E247" s="1"/>
      <c r="F247" s="1"/>
      <c r="K247" s="27"/>
      <c r="L247" s="27"/>
      <c r="M247" s="27"/>
      <c r="N247" s="27"/>
      <c r="O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58"/>
    </row>
    <row r="248" ht="17.25" customHeight="1">
      <c r="A248" s="1"/>
      <c r="B248" s="1"/>
      <c r="C248" s="1"/>
      <c r="D248" s="1"/>
      <c r="E248" s="1"/>
      <c r="F248" s="1"/>
      <c r="K248" s="27"/>
      <c r="L248" s="27"/>
      <c r="M248" s="27"/>
      <c r="N248" s="27"/>
      <c r="O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58"/>
    </row>
    <row r="249" ht="17.25" customHeight="1">
      <c r="A249" s="1"/>
      <c r="B249" s="1"/>
      <c r="C249" s="1"/>
      <c r="D249" s="1"/>
      <c r="E249" s="1"/>
      <c r="F249" s="1"/>
      <c r="K249" s="27"/>
      <c r="L249" s="27"/>
      <c r="M249" s="27"/>
      <c r="N249" s="27"/>
      <c r="O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58"/>
    </row>
    <row r="250" ht="17.25" customHeight="1">
      <c r="A250" s="1"/>
      <c r="B250" s="1"/>
      <c r="C250" s="1"/>
      <c r="D250" s="1"/>
      <c r="E250" s="1"/>
      <c r="F250" s="1"/>
      <c r="K250" s="27"/>
      <c r="L250" s="27"/>
      <c r="M250" s="27"/>
      <c r="N250" s="27"/>
      <c r="O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58"/>
    </row>
    <row r="251" ht="17.25" customHeight="1">
      <c r="A251" s="1"/>
      <c r="B251" s="1"/>
      <c r="C251" s="1"/>
      <c r="D251" s="1"/>
      <c r="E251" s="1"/>
      <c r="F251" s="1"/>
      <c r="K251" s="27"/>
      <c r="L251" s="27"/>
      <c r="M251" s="27"/>
      <c r="N251" s="27"/>
      <c r="O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58"/>
    </row>
    <row r="252" ht="17.25" customHeight="1">
      <c r="A252" s="1"/>
      <c r="B252" s="1"/>
      <c r="C252" s="1"/>
      <c r="D252" s="1"/>
      <c r="E252" s="1"/>
      <c r="F252" s="1"/>
      <c r="K252" s="27"/>
      <c r="L252" s="27"/>
      <c r="M252" s="27"/>
      <c r="N252" s="27"/>
      <c r="O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58"/>
    </row>
    <row r="253" ht="17.25" customHeight="1">
      <c r="A253" s="1"/>
      <c r="B253" s="1"/>
      <c r="C253" s="1"/>
      <c r="D253" s="1"/>
      <c r="E253" s="1"/>
      <c r="F253" s="1"/>
      <c r="K253" s="27"/>
      <c r="L253" s="27"/>
      <c r="M253" s="27"/>
      <c r="N253" s="27"/>
      <c r="O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58"/>
    </row>
    <row r="254" ht="17.25" customHeight="1">
      <c r="A254" s="1"/>
      <c r="B254" s="1"/>
      <c r="C254" s="1"/>
      <c r="D254" s="1"/>
      <c r="E254" s="1"/>
      <c r="F254" s="1"/>
      <c r="K254" s="27"/>
      <c r="L254" s="27"/>
      <c r="M254" s="27"/>
      <c r="N254" s="27"/>
      <c r="O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58"/>
    </row>
    <row r="255" ht="17.25" customHeight="1">
      <c r="A255" s="1"/>
      <c r="B255" s="1"/>
      <c r="C255" s="1"/>
      <c r="D255" s="1"/>
      <c r="E255" s="1"/>
      <c r="F255" s="1"/>
      <c r="K255" s="27"/>
      <c r="L255" s="27"/>
      <c r="M255" s="27"/>
      <c r="N255" s="27"/>
      <c r="O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58"/>
    </row>
    <row r="256" ht="17.25" customHeight="1">
      <c r="A256" s="1"/>
      <c r="B256" s="1"/>
      <c r="C256" s="1"/>
      <c r="D256" s="1"/>
      <c r="E256" s="1"/>
      <c r="F256" s="1"/>
      <c r="K256" s="27"/>
      <c r="L256" s="27"/>
      <c r="M256" s="27"/>
      <c r="N256" s="27"/>
      <c r="O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58"/>
    </row>
    <row r="257" ht="17.25" customHeight="1">
      <c r="A257" s="1"/>
      <c r="B257" s="1"/>
      <c r="C257" s="1"/>
      <c r="D257" s="1"/>
      <c r="E257" s="1"/>
      <c r="F257" s="1"/>
      <c r="K257" s="27"/>
      <c r="L257" s="27"/>
      <c r="M257" s="27"/>
      <c r="N257" s="27"/>
      <c r="O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58"/>
    </row>
    <row r="258" ht="17.25" customHeight="1">
      <c r="A258" s="1"/>
      <c r="B258" s="1"/>
      <c r="C258" s="1"/>
      <c r="D258" s="1"/>
      <c r="E258" s="1"/>
      <c r="F258" s="1"/>
      <c r="K258" s="27"/>
      <c r="L258" s="27"/>
      <c r="M258" s="27"/>
      <c r="N258" s="27"/>
      <c r="O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58"/>
    </row>
    <row r="259" ht="17.25" customHeight="1">
      <c r="A259" s="1"/>
      <c r="B259" s="1"/>
      <c r="C259" s="1"/>
      <c r="D259" s="1"/>
      <c r="E259" s="1"/>
      <c r="F259" s="1"/>
      <c r="K259" s="27"/>
      <c r="L259" s="27"/>
      <c r="M259" s="27"/>
      <c r="N259" s="27"/>
      <c r="O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58"/>
    </row>
    <row r="260" ht="17.25" customHeight="1">
      <c r="A260" s="1"/>
      <c r="B260" s="1"/>
      <c r="C260" s="1"/>
      <c r="D260" s="1"/>
      <c r="E260" s="1"/>
      <c r="F260" s="1"/>
      <c r="K260" s="27"/>
      <c r="L260" s="27"/>
      <c r="M260" s="27"/>
      <c r="N260" s="27"/>
      <c r="O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58"/>
    </row>
    <row r="261" ht="17.25" customHeight="1">
      <c r="A261" s="1"/>
      <c r="B261" s="1"/>
      <c r="C261" s="1"/>
      <c r="D261" s="1"/>
      <c r="E261" s="1"/>
      <c r="F261" s="1"/>
      <c r="K261" s="27"/>
      <c r="L261" s="27"/>
      <c r="M261" s="27"/>
      <c r="N261" s="27"/>
      <c r="O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58"/>
    </row>
    <row r="262" ht="17.25" customHeight="1">
      <c r="A262" s="1"/>
      <c r="B262" s="1"/>
      <c r="C262" s="1"/>
      <c r="D262" s="1"/>
      <c r="E262" s="1"/>
      <c r="F262" s="1"/>
      <c r="K262" s="27"/>
      <c r="L262" s="27"/>
      <c r="M262" s="27"/>
      <c r="N262" s="27"/>
      <c r="O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58"/>
    </row>
    <row r="263" ht="17.25" customHeight="1">
      <c r="A263" s="1"/>
      <c r="B263" s="1"/>
      <c r="C263" s="1"/>
      <c r="D263" s="1"/>
      <c r="E263" s="1"/>
      <c r="F263" s="1"/>
      <c r="K263" s="27"/>
      <c r="L263" s="27"/>
      <c r="M263" s="27"/>
      <c r="N263" s="27"/>
      <c r="O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58"/>
    </row>
    <row r="264" ht="17.25" customHeight="1">
      <c r="A264" s="1"/>
      <c r="B264" s="1"/>
      <c r="C264" s="1"/>
      <c r="D264" s="1"/>
      <c r="E264" s="1"/>
      <c r="F264" s="1"/>
      <c r="K264" s="27"/>
      <c r="L264" s="27"/>
      <c r="M264" s="27"/>
      <c r="N264" s="27"/>
      <c r="O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58"/>
    </row>
    <row r="265" ht="17.25" customHeight="1">
      <c r="A265" s="1"/>
      <c r="B265" s="1"/>
      <c r="C265" s="1"/>
      <c r="D265" s="1"/>
      <c r="E265" s="1"/>
      <c r="F265" s="1"/>
      <c r="K265" s="27"/>
      <c r="L265" s="27"/>
      <c r="M265" s="27"/>
      <c r="N265" s="27"/>
      <c r="O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58"/>
    </row>
    <row r="266" ht="17.25" customHeight="1">
      <c r="A266" s="1"/>
      <c r="B266" s="1"/>
      <c r="C266" s="1"/>
      <c r="D266" s="1"/>
      <c r="E266" s="1"/>
      <c r="F266" s="1"/>
      <c r="K266" s="27"/>
      <c r="L266" s="27"/>
      <c r="M266" s="27"/>
      <c r="N266" s="27"/>
      <c r="O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58"/>
    </row>
    <row r="267" ht="17.25" customHeight="1">
      <c r="A267" s="1"/>
      <c r="B267" s="1"/>
      <c r="C267" s="1"/>
      <c r="D267" s="1"/>
      <c r="E267" s="1"/>
      <c r="F267" s="1"/>
      <c r="K267" s="27"/>
      <c r="L267" s="27"/>
      <c r="M267" s="27"/>
      <c r="N267" s="27"/>
      <c r="O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58"/>
    </row>
    <row r="268" ht="17.25" customHeight="1">
      <c r="A268" s="1"/>
      <c r="B268" s="1"/>
      <c r="C268" s="1"/>
      <c r="D268" s="1"/>
      <c r="E268" s="1"/>
      <c r="F268" s="1"/>
      <c r="K268" s="27"/>
      <c r="L268" s="27"/>
      <c r="M268" s="27"/>
      <c r="N268" s="27"/>
      <c r="O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58"/>
    </row>
    <row r="269" ht="17.25" customHeight="1">
      <c r="A269" s="1"/>
      <c r="B269" s="1"/>
      <c r="C269" s="1"/>
      <c r="D269" s="1"/>
      <c r="E269" s="1"/>
      <c r="F269" s="1"/>
      <c r="K269" s="27"/>
      <c r="L269" s="27"/>
      <c r="M269" s="27"/>
      <c r="N269" s="27"/>
      <c r="O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58"/>
    </row>
    <row r="270" ht="17.25" customHeight="1">
      <c r="A270" s="1"/>
      <c r="B270" s="1"/>
      <c r="C270" s="1"/>
      <c r="D270" s="1"/>
      <c r="E270" s="1"/>
      <c r="F270" s="1"/>
      <c r="K270" s="27"/>
      <c r="L270" s="27"/>
      <c r="M270" s="27"/>
      <c r="N270" s="27"/>
      <c r="O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58"/>
    </row>
    <row r="271" ht="17.25" customHeight="1">
      <c r="A271" s="1"/>
      <c r="B271" s="1"/>
      <c r="C271" s="1"/>
      <c r="D271" s="1"/>
      <c r="E271" s="1"/>
      <c r="F271" s="1"/>
      <c r="K271" s="27"/>
      <c r="L271" s="27"/>
      <c r="M271" s="27"/>
      <c r="N271" s="27"/>
      <c r="O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58"/>
    </row>
    <row r="272" ht="17.25" customHeight="1">
      <c r="A272" s="1"/>
      <c r="B272" s="1"/>
      <c r="C272" s="1"/>
      <c r="D272" s="1"/>
      <c r="E272" s="1"/>
      <c r="F272" s="1"/>
      <c r="K272" s="27"/>
      <c r="L272" s="27"/>
      <c r="M272" s="27"/>
      <c r="N272" s="27"/>
      <c r="O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58"/>
    </row>
    <row r="273" ht="17.25" customHeight="1">
      <c r="A273" s="1"/>
      <c r="B273" s="1"/>
      <c r="C273" s="1"/>
      <c r="D273" s="1"/>
      <c r="E273" s="1"/>
      <c r="F273" s="1"/>
      <c r="K273" s="27"/>
      <c r="L273" s="27"/>
      <c r="M273" s="27"/>
      <c r="N273" s="27"/>
      <c r="O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58"/>
    </row>
    <row r="274" ht="17.25" customHeight="1">
      <c r="A274" s="1"/>
      <c r="B274" s="1"/>
      <c r="C274" s="1"/>
      <c r="D274" s="1"/>
      <c r="E274" s="1"/>
      <c r="F274" s="1"/>
      <c r="K274" s="27"/>
      <c r="L274" s="27"/>
      <c r="M274" s="27"/>
      <c r="N274" s="27"/>
      <c r="O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58"/>
    </row>
    <row r="275" ht="17.25" customHeight="1">
      <c r="A275" s="1"/>
      <c r="B275" s="1"/>
      <c r="C275" s="1"/>
      <c r="D275" s="1"/>
      <c r="E275" s="1"/>
      <c r="F275" s="1"/>
      <c r="K275" s="27"/>
      <c r="L275" s="27"/>
      <c r="M275" s="27"/>
      <c r="N275" s="27"/>
      <c r="O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58"/>
    </row>
    <row r="276" ht="17.25" customHeight="1">
      <c r="A276" s="1"/>
      <c r="B276" s="1"/>
      <c r="C276" s="1"/>
      <c r="D276" s="1"/>
      <c r="E276" s="1"/>
      <c r="F276" s="1"/>
      <c r="K276" s="27"/>
      <c r="L276" s="27"/>
      <c r="M276" s="27"/>
      <c r="N276" s="27"/>
      <c r="O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58"/>
    </row>
    <row r="277" ht="17.25" customHeight="1">
      <c r="A277" s="1"/>
      <c r="B277" s="1"/>
      <c r="C277" s="1"/>
      <c r="D277" s="1"/>
      <c r="E277" s="1"/>
      <c r="F277" s="1"/>
      <c r="K277" s="27"/>
      <c r="L277" s="27"/>
      <c r="M277" s="27"/>
      <c r="N277" s="27"/>
      <c r="O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58"/>
    </row>
    <row r="278" ht="17.25" customHeight="1">
      <c r="A278" s="1"/>
      <c r="B278" s="1"/>
      <c r="C278" s="1"/>
      <c r="D278" s="1"/>
      <c r="E278" s="1"/>
      <c r="F278" s="1"/>
      <c r="K278" s="27"/>
      <c r="L278" s="27"/>
      <c r="M278" s="27"/>
      <c r="N278" s="27"/>
      <c r="O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58"/>
    </row>
    <row r="279" ht="17.25" customHeight="1">
      <c r="A279" s="1"/>
      <c r="B279" s="1"/>
      <c r="C279" s="1"/>
      <c r="D279" s="1"/>
      <c r="E279" s="1"/>
      <c r="F279" s="1"/>
      <c r="K279" s="27"/>
      <c r="L279" s="27"/>
      <c r="M279" s="27"/>
      <c r="N279" s="27"/>
      <c r="O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58"/>
    </row>
    <row r="280" ht="17.25" customHeight="1">
      <c r="A280" s="1"/>
      <c r="B280" s="1"/>
      <c r="C280" s="1"/>
      <c r="D280" s="1"/>
      <c r="E280" s="1"/>
      <c r="F280" s="1"/>
      <c r="K280" s="27"/>
      <c r="L280" s="27"/>
      <c r="M280" s="27"/>
      <c r="N280" s="27"/>
      <c r="O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58"/>
    </row>
    <row r="281" ht="17.25" customHeight="1">
      <c r="A281" s="1"/>
      <c r="B281" s="1"/>
      <c r="C281" s="1"/>
      <c r="D281" s="1"/>
      <c r="E281" s="1"/>
      <c r="F281" s="1"/>
      <c r="K281" s="27"/>
      <c r="L281" s="27"/>
      <c r="M281" s="27"/>
      <c r="N281" s="27"/>
      <c r="O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58"/>
    </row>
    <row r="282" ht="17.25" customHeight="1">
      <c r="A282" s="1"/>
      <c r="B282" s="1"/>
      <c r="C282" s="1"/>
      <c r="D282" s="1"/>
      <c r="E282" s="1"/>
      <c r="F282" s="1"/>
      <c r="K282" s="27"/>
      <c r="L282" s="27"/>
      <c r="M282" s="27"/>
      <c r="N282" s="27"/>
      <c r="O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58"/>
    </row>
    <row r="283" ht="17.25" customHeight="1">
      <c r="A283" s="1"/>
      <c r="B283" s="1"/>
      <c r="C283" s="1"/>
      <c r="D283" s="1"/>
      <c r="E283" s="1"/>
      <c r="F283" s="1"/>
      <c r="K283" s="27"/>
      <c r="L283" s="27"/>
      <c r="M283" s="27"/>
      <c r="N283" s="27"/>
      <c r="O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58"/>
    </row>
    <row r="284" ht="17.25" customHeight="1">
      <c r="A284" s="1"/>
      <c r="B284" s="1"/>
      <c r="C284" s="1"/>
      <c r="D284" s="1"/>
      <c r="E284" s="1"/>
      <c r="F284" s="1"/>
      <c r="K284" s="27"/>
      <c r="L284" s="27"/>
      <c r="M284" s="27"/>
      <c r="N284" s="27"/>
      <c r="O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58"/>
    </row>
    <row r="285" ht="17.25" customHeight="1">
      <c r="A285" s="1"/>
      <c r="B285" s="1"/>
      <c r="C285" s="1"/>
      <c r="D285" s="1"/>
      <c r="E285" s="1"/>
      <c r="F285" s="1"/>
      <c r="K285" s="27"/>
      <c r="L285" s="27"/>
      <c r="M285" s="27"/>
      <c r="N285" s="27"/>
      <c r="O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58"/>
    </row>
    <row r="286" ht="17.25" customHeight="1">
      <c r="A286" s="1"/>
      <c r="B286" s="1"/>
      <c r="C286" s="1"/>
      <c r="D286" s="1"/>
      <c r="E286" s="1"/>
      <c r="F286" s="1"/>
      <c r="K286" s="27"/>
      <c r="L286" s="27"/>
      <c r="M286" s="27"/>
      <c r="N286" s="27"/>
      <c r="O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58"/>
    </row>
    <row r="287" ht="17.25" customHeight="1">
      <c r="A287" s="1"/>
      <c r="B287" s="1"/>
      <c r="C287" s="1"/>
      <c r="D287" s="1"/>
      <c r="E287" s="1"/>
      <c r="F287" s="1"/>
      <c r="K287" s="27"/>
      <c r="L287" s="27"/>
      <c r="M287" s="27"/>
      <c r="N287" s="27"/>
      <c r="O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58"/>
    </row>
    <row r="288" ht="17.25" customHeight="1">
      <c r="A288" s="1"/>
      <c r="B288" s="1"/>
      <c r="C288" s="1"/>
      <c r="D288" s="1"/>
      <c r="E288" s="1"/>
      <c r="F288" s="1"/>
      <c r="K288" s="27"/>
      <c r="L288" s="27"/>
      <c r="M288" s="27"/>
      <c r="N288" s="27"/>
      <c r="O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58"/>
    </row>
    <row r="289" ht="17.25" customHeight="1">
      <c r="A289" s="1"/>
      <c r="B289" s="1"/>
      <c r="C289" s="1"/>
      <c r="D289" s="1"/>
      <c r="E289" s="1"/>
      <c r="F289" s="1"/>
      <c r="K289" s="27"/>
      <c r="L289" s="27"/>
      <c r="M289" s="27"/>
      <c r="N289" s="27"/>
      <c r="O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58"/>
    </row>
    <row r="290" ht="17.25" customHeight="1">
      <c r="A290" s="1"/>
      <c r="B290" s="1"/>
      <c r="C290" s="1"/>
      <c r="D290" s="1"/>
      <c r="E290" s="1"/>
      <c r="F290" s="1"/>
      <c r="K290" s="27"/>
      <c r="L290" s="27"/>
      <c r="M290" s="27"/>
      <c r="N290" s="27"/>
      <c r="O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58"/>
    </row>
    <row r="291" ht="17.25" customHeight="1">
      <c r="A291" s="1"/>
      <c r="B291" s="1"/>
      <c r="C291" s="1"/>
      <c r="D291" s="1"/>
      <c r="E291" s="1"/>
      <c r="F291" s="1"/>
      <c r="K291" s="27"/>
      <c r="L291" s="27"/>
      <c r="M291" s="27"/>
      <c r="N291" s="27"/>
      <c r="O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58"/>
    </row>
    <row r="292" ht="17.25" customHeight="1">
      <c r="A292" s="1"/>
      <c r="B292" s="1"/>
      <c r="C292" s="1"/>
      <c r="D292" s="1"/>
      <c r="E292" s="1"/>
      <c r="F292" s="1"/>
      <c r="K292" s="27"/>
      <c r="L292" s="27"/>
      <c r="M292" s="27"/>
      <c r="N292" s="27"/>
      <c r="O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58"/>
    </row>
    <row r="293" ht="17.25" customHeight="1">
      <c r="A293" s="1"/>
      <c r="B293" s="1"/>
      <c r="C293" s="1"/>
      <c r="D293" s="1"/>
      <c r="E293" s="1"/>
      <c r="F293" s="1"/>
      <c r="K293" s="27"/>
      <c r="L293" s="27"/>
      <c r="M293" s="27"/>
      <c r="N293" s="27"/>
      <c r="O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58"/>
    </row>
    <row r="294" ht="17.25" customHeight="1">
      <c r="A294" s="1"/>
      <c r="B294" s="1"/>
      <c r="C294" s="1"/>
      <c r="D294" s="1"/>
      <c r="E294" s="1"/>
      <c r="F294" s="1"/>
      <c r="K294" s="27"/>
      <c r="L294" s="27"/>
      <c r="M294" s="27"/>
      <c r="N294" s="27"/>
      <c r="O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58"/>
    </row>
    <row r="295" ht="17.25" customHeight="1">
      <c r="A295" s="1"/>
      <c r="B295" s="1"/>
      <c r="C295" s="1"/>
      <c r="D295" s="1"/>
      <c r="E295" s="1"/>
      <c r="F295" s="1"/>
      <c r="K295" s="27"/>
      <c r="L295" s="27"/>
      <c r="M295" s="27"/>
      <c r="N295" s="27"/>
      <c r="O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58"/>
    </row>
    <row r="296" ht="17.25" customHeight="1">
      <c r="A296" s="1"/>
      <c r="B296" s="1"/>
      <c r="C296" s="1"/>
      <c r="D296" s="1"/>
      <c r="E296" s="1"/>
      <c r="F296" s="1"/>
      <c r="K296" s="27"/>
      <c r="L296" s="27"/>
      <c r="M296" s="27"/>
      <c r="N296" s="27"/>
      <c r="O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58"/>
    </row>
    <row r="297" ht="17.25" customHeight="1">
      <c r="A297" s="1"/>
      <c r="B297" s="1"/>
      <c r="C297" s="1"/>
      <c r="D297" s="1"/>
      <c r="E297" s="1"/>
      <c r="F297" s="1"/>
      <c r="K297" s="27"/>
      <c r="L297" s="27"/>
      <c r="M297" s="27"/>
      <c r="N297" s="27"/>
      <c r="O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58"/>
    </row>
    <row r="298" ht="17.25" customHeight="1">
      <c r="A298" s="1"/>
      <c r="B298" s="1"/>
      <c r="C298" s="1"/>
      <c r="D298" s="1"/>
      <c r="E298" s="1"/>
      <c r="F298" s="1"/>
      <c r="K298" s="27"/>
      <c r="L298" s="27"/>
      <c r="M298" s="27"/>
      <c r="N298" s="27"/>
      <c r="O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58"/>
    </row>
    <row r="299" ht="17.25" customHeight="1">
      <c r="A299" s="1"/>
      <c r="B299" s="1"/>
      <c r="C299" s="1"/>
      <c r="D299" s="1"/>
      <c r="E299" s="1"/>
      <c r="F299" s="1"/>
      <c r="K299" s="27"/>
      <c r="L299" s="27"/>
      <c r="M299" s="27"/>
      <c r="N299" s="27"/>
      <c r="O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58"/>
    </row>
    <row r="300" ht="17.25" customHeight="1">
      <c r="A300" s="1"/>
      <c r="B300" s="1"/>
      <c r="C300" s="1"/>
      <c r="D300" s="1"/>
      <c r="E300" s="1"/>
      <c r="F300" s="1"/>
      <c r="K300" s="27"/>
      <c r="L300" s="27"/>
      <c r="M300" s="27"/>
      <c r="N300" s="27"/>
      <c r="O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58"/>
    </row>
    <row r="301" ht="17.25" customHeight="1">
      <c r="A301" s="1"/>
      <c r="B301" s="1"/>
      <c r="C301" s="1"/>
      <c r="D301" s="1"/>
      <c r="E301" s="1"/>
      <c r="F301" s="1"/>
      <c r="K301" s="27"/>
      <c r="L301" s="27"/>
      <c r="M301" s="27"/>
      <c r="N301" s="27"/>
      <c r="O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58"/>
    </row>
    <row r="302" ht="17.25" customHeight="1">
      <c r="A302" s="1"/>
      <c r="B302" s="1"/>
      <c r="C302" s="1"/>
      <c r="D302" s="1"/>
      <c r="E302" s="1"/>
      <c r="F302" s="1"/>
      <c r="K302" s="27"/>
      <c r="L302" s="27"/>
      <c r="M302" s="27"/>
      <c r="N302" s="27"/>
      <c r="O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58"/>
    </row>
    <row r="303" ht="17.25" customHeight="1">
      <c r="A303" s="1"/>
      <c r="B303" s="1"/>
      <c r="C303" s="1"/>
      <c r="D303" s="1"/>
      <c r="E303" s="1"/>
      <c r="F303" s="1"/>
      <c r="K303" s="27"/>
      <c r="L303" s="27"/>
      <c r="M303" s="27"/>
      <c r="N303" s="27"/>
      <c r="O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58"/>
    </row>
    <row r="304" ht="17.25" customHeight="1">
      <c r="A304" s="1"/>
      <c r="B304" s="1"/>
      <c r="C304" s="1"/>
      <c r="D304" s="1"/>
      <c r="E304" s="1"/>
      <c r="F304" s="1"/>
      <c r="K304" s="27"/>
      <c r="L304" s="27"/>
      <c r="M304" s="27"/>
      <c r="N304" s="27"/>
      <c r="O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58"/>
    </row>
    <row r="305" ht="17.25" customHeight="1">
      <c r="A305" s="1"/>
      <c r="B305" s="1"/>
      <c r="C305" s="1"/>
      <c r="D305" s="1"/>
      <c r="E305" s="1"/>
      <c r="F305" s="1"/>
      <c r="K305" s="27"/>
      <c r="L305" s="27"/>
      <c r="M305" s="27"/>
      <c r="N305" s="27"/>
      <c r="O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58"/>
    </row>
    <row r="306" ht="17.25" customHeight="1">
      <c r="A306" s="1"/>
      <c r="B306" s="1"/>
      <c r="C306" s="1"/>
      <c r="D306" s="1"/>
      <c r="E306" s="1"/>
      <c r="F306" s="1"/>
      <c r="K306" s="27"/>
      <c r="L306" s="27"/>
      <c r="M306" s="27"/>
      <c r="N306" s="27"/>
      <c r="O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58"/>
    </row>
    <row r="307" ht="17.25" customHeight="1">
      <c r="A307" s="1"/>
      <c r="B307" s="1"/>
      <c r="C307" s="1"/>
      <c r="D307" s="1"/>
      <c r="E307" s="1"/>
      <c r="F307" s="1"/>
      <c r="K307" s="27"/>
      <c r="L307" s="27"/>
      <c r="M307" s="27"/>
      <c r="N307" s="27"/>
      <c r="O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58"/>
    </row>
    <row r="308" ht="17.25" customHeight="1">
      <c r="A308" s="1"/>
      <c r="B308" s="1"/>
      <c r="C308" s="1"/>
      <c r="D308" s="1"/>
      <c r="E308" s="1"/>
      <c r="F308" s="1"/>
      <c r="K308" s="27"/>
      <c r="L308" s="27"/>
      <c r="M308" s="27"/>
      <c r="N308" s="27"/>
      <c r="O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58"/>
    </row>
    <row r="309" ht="17.25" customHeight="1">
      <c r="A309" s="1"/>
      <c r="B309" s="1"/>
      <c r="C309" s="1"/>
      <c r="D309" s="1"/>
      <c r="E309" s="1"/>
      <c r="F309" s="1"/>
      <c r="K309" s="27"/>
      <c r="L309" s="27"/>
      <c r="M309" s="27"/>
      <c r="N309" s="27"/>
      <c r="O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58"/>
    </row>
    <row r="310" ht="17.25" customHeight="1">
      <c r="A310" s="1"/>
      <c r="B310" s="1"/>
      <c r="C310" s="1"/>
      <c r="D310" s="1"/>
      <c r="E310" s="1"/>
      <c r="F310" s="1"/>
      <c r="K310" s="27"/>
      <c r="L310" s="27"/>
      <c r="M310" s="27"/>
      <c r="N310" s="27"/>
      <c r="O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58"/>
    </row>
    <row r="311" ht="17.25" customHeight="1">
      <c r="A311" s="1"/>
      <c r="B311" s="1"/>
      <c r="C311" s="1"/>
      <c r="D311" s="1"/>
      <c r="E311" s="1"/>
      <c r="F311" s="1"/>
      <c r="K311" s="27"/>
      <c r="L311" s="27"/>
      <c r="M311" s="27"/>
      <c r="N311" s="27"/>
      <c r="O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58"/>
    </row>
    <row r="312" ht="17.25" customHeight="1">
      <c r="A312" s="1"/>
      <c r="B312" s="1"/>
      <c r="C312" s="1"/>
      <c r="D312" s="1"/>
      <c r="E312" s="1"/>
      <c r="F312" s="1"/>
      <c r="K312" s="27"/>
      <c r="L312" s="27"/>
      <c r="M312" s="27"/>
      <c r="N312" s="27"/>
      <c r="O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58"/>
    </row>
    <row r="313" ht="17.25" customHeight="1">
      <c r="A313" s="1"/>
      <c r="B313" s="1"/>
      <c r="C313" s="1"/>
      <c r="D313" s="1"/>
      <c r="E313" s="1"/>
      <c r="F313" s="1"/>
      <c r="K313" s="27"/>
      <c r="L313" s="27"/>
      <c r="M313" s="27"/>
      <c r="N313" s="27"/>
      <c r="O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58"/>
    </row>
    <row r="314" ht="17.25" customHeight="1">
      <c r="A314" s="1"/>
      <c r="B314" s="1"/>
      <c r="C314" s="1"/>
      <c r="D314" s="1"/>
      <c r="E314" s="1"/>
      <c r="F314" s="1"/>
      <c r="K314" s="27"/>
      <c r="L314" s="27"/>
      <c r="M314" s="27"/>
      <c r="N314" s="27"/>
      <c r="O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58"/>
    </row>
    <row r="315" ht="17.25" customHeight="1">
      <c r="A315" s="1"/>
      <c r="B315" s="1"/>
      <c r="C315" s="1"/>
      <c r="D315" s="1"/>
      <c r="E315" s="1"/>
      <c r="F315" s="1"/>
      <c r="K315" s="27"/>
      <c r="L315" s="27"/>
      <c r="M315" s="27"/>
      <c r="N315" s="27"/>
      <c r="O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58"/>
    </row>
    <row r="316" ht="17.25" customHeight="1">
      <c r="A316" s="1"/>
      <c r="B316" s="1"/>
      <c r="C316" s="1"/>
      <c r="D316" s="1"/>
      <c r="E316" s="1"/>
      <c r="F316" s="1"/>
      <c r="K316" s="27"/>
      <c r="L316" s="27"/>
      <c r="M316" s="27"/>
      <c r="N316" s="27"/>
      <c r="O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58"/>
    </row>
    <row r="317" ht="17.25" customHeight="1">
      <c r="A317" s="1"/>
      <c r="B317" s="1"/>
      <c r="C317" s="1"/>
      <c r="D317" s="1"/>
      <c r="E317" s="1"/>
      <c r="F317" s="1"/>
      <c r="K317" s="27"/>
      <c r="L317" s="27"/>
      <c r="M317" s="27"/>
      <c r="N317" s="27"/>
      <c r="O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58"/>
    </row>
    <row r="318" ht="17.25" customHeight="1">
      <c r="A318" s="1"/>
      <c r="B318" s="1"/>
      <c r="C318" s="1"/>
      <c r="D318" s="1"/>
      <c r="E318" s="1"/>
      <c r="F318" s="1"/>
      <c r="K318" s="27"/>
      <c r="L318" s="27"/>
      <c r="M318" s="27"/>
      <c r="N318" s="27"/>
      <c r="O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58"/>
    </row>
    <row r="319" ht="17.25" customHeight="1">
      <c r="A319" s="1"/>
      <c r="B319" s="1"/>
      <c r="C319" s="1"/>
      <c r="D319" s="1"/>
      <c r="E319" s="1"/>
      <c r="F319" s="1"/>
      <c r="K319" s="27"/>
      <c r="L319" s="27"/>
      <c r="M319" s="27"/>
      <c r="N319" s="27"/>
      <c r="O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58"/>
    </row>
    <row r="320" ht="17.25" customHeight="1">
      <c r="A320" s="1"/>
      <c r="B320" s="1"/>
      <c r="C320" s="1"/>
      <c r="D320" s="1"/>
      <c r="E320" s="1"/>
      <c r="F320" s="1"/>
      <c r="K320" s="27"/>
      <c r="L320" s="27"/>
      <c r="M320" s="27"/>
      <c r="N320" s="27"/>
      <c r="O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58"/>
    </row>
    <row r="321" ht="17.25" customHeight="1">
      <c r="A321" s="1"/>
      <c r="B321" s="1"/>
      <c r="C321" s="1"/>
      <c r="D321" s="1"/>
      <c r="E321" s="1"/>
      <c r="F321" s="1"/>
      <c r="K321" s="27"/>
      <c r="L321" s="27"/>
      <c r="M321" s="27"/>
      <c r="N321" s="27"/>
      <c r="O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58"/>
    </row>
    <row r="322" ht="17.25" customHeight="1">
      <c r="A322" s="1"/>
      <c r="B322" s="1"/>
      <c r="C322" s="1"/>
      <c r="D322" s="1"/>
      <c r="E322" s="1"/>
      <c r="F322" s="1"/>
      <c r="K322" s="27"/>
      <c r="L322" s="27"/>
      <c r="M322" s="27"/>
      <c r="N322" s="27"/>
      <c r="O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58"/>
    </row>
    <row r="323" ht="17.25" customHeight="1">
      <c r="A323" s="1"/>
      <c r="B323" s="1"/>
      <c r="C323" s="1"/>
      <c r="D323" s="1"/>
      <c r="E323" s="1"/>
      <c r="F323" s="1"/>
      <c r="K323" s="27"/>
      <c r="L323" s="27"/>
      <c r="M323" s="27"/>
      <c r="N323" s="27"/>
      <c r="O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58"/>
    </row>
    <row r="324" ht="17.25" customHeight="1">
      <c r="A324" s="1"/>
      <c r="B324" s="1"/>
      <c r="C324" s="1"/>
      <c r="D324" s="1"/>
      <c r="E324" s="1"/>
      <c r="F324" s="1"/>
      <c r="K324" s="27"/>
      <c r="L324" s="27"/>
      <c r="M324" s="27"/>
      <c r="N324" s="27"/>
      <c r="O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58"/>
    </row>
    <row r="325" ht="17.25" customHeight="1">
      <c r="A325" s="1"/>
      <c r="B325" s="1"/>
      <c r="C325" s="1"/>
      <c r="D325" s="1"/>
      <c r="E325" s="1"/>
      <c r="F325" s="1"/>
      <c r="K325" s="27"/>
      <c r="L325" s="27"/>
      <c r="M325" s="27"/>
      <c r="N325" s="27"/>
      <c r="O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58"/>
    </row>
    <row r="326" ht="17.25" customHeight="1">
      <c r="A326" s="1"/>
      <c r="B326" s="1"/>
      <c r="C326" s="1"/>
      <c r="D326" s="1"/>
      <c r="E326" s="1"/>
      <c r="F326" s="1"/>
      <c r="K326" s="27"/>
      <c r="L326" s="27"/>
      <c r="M326" s="27"/>
      <c r="N326" s="27"/>
      <c r="O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58"/>
    </row>
    <row r="327" ht="17.25" customHeight="1">
      <c r="A327" s="1"/>
      <c r="B327" s="1"/>
      <c r="C327" s="1"/>
      <c r="D327" s="1"/>
      <c r="E327" s="1"/>
      <c r="F327" s="1"/>
      <c r="K327" s="27"/>
      <c r="L327" s="27"/>
      <c r="M327" s="27"/>
      <c r="N327" s="27"/>
      <c r="O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58"/>
    </row>
    <row r="328" ht="17.25" customHeight="1">
      <c r="A328" s="1"/>
      <c r="B328" s="1"/>
      <c r="C328" s="1"/>
      <c r="D328" s="1"/>
      <c r="E328" s="1"/>
      <c r="F328" s="1"/>
      <c r="K328" s="27"/>
      <c r="L328" s="27"/>
      <c r="M328" s="27"/>
      <c r="N328" s="27"/>
      <c r="O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58"/>
    </row>
    <row r="329" ht="17.25" customHeight="1">
      <c r="A329" s="1"/>
      <c r="B329" s="1"/>
      <c r="C329" s="1"/>
      <c r="D329" s="1"/>
      <c r="E329" s="1"/>
      <c r="F329" s="1"/>
      <c r="K329" s="27"/>
      <c r="L329" s="27"/>
      <c r="M329" s="27"/>
      <c r="N329" s="27"/>
      <c r="O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58"/>
    </row>
    <row r="330" ht="17.25" customHeight="1">
      <c r="A330" s="1"/>
      <c r="B330" s="1"/>
      <c r="C330" s="1"/>
      <c r="D330" s="1"/>
      <c r="E330" s="1"/>
      <c r="F330" s="1"/>
      <c r="K330" s="27"/>
      <c r="L330" s="27"/>
      <c r="M330" s="27"/>
      <c r="N330" s="27"/>
      <c r="O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58"/>
    </row>
    <row r="331" ht="17.25" customHeight="1">
      <c r="A331" s="1"/>
      <c r="B331" s="1"/>
      <c r="C331" s="1"/>
      <c r="D331" s="1"/>
      <c r="E331" s="1"/>
      <c r="F331" s="1"/>
      <c r="K331" s="27"/>
      <c r="L331" s="27"/>
      <c r="M331" s="27"/>
      <c r="N331" s="27"/>
      <c r="O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58"/>
    </row>
    <row r="332" ht="17.25" customHeight="1">
      <c r="A332" s="1"/>
      <c r="B332" s="1"/>
      <c r="C332" s="1"/>
      <c r="D332" s="1"/>
      <c r="E332" s="1"/>
      <c r="F332" s="1"/>
      <c r="K332" s="27"/>
      <c r="L332" s="27"/>
      <c r="M332" s="27"/>
      <c r="N332" s="27"/>
      <c r="O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58"/>
    </row>
    <row r="333" ht="17.25" customHeight="1">
      <c r="A333" s="1"/>
      <c r="B333" s="1"/>
      <c r="C333" s="1"/>
      <c r="D333" s="1"/>
      <c r="E333" s="1"/>
      <c r="F333" s="1"/>
      <c r="K333" s="27"/>
      <c r="L333" s="27"/>
      <c r="M333" s="27"/>
      <c r="N333" s="27"/>
      <c r="O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58"/>
    </row>
    <row r="334" ht="17.25" customHeight="1">
      <c r="A334" s="1"/>
      <c r="B334" s="1"/>
      <c r="C334" s="1"/>
      <c r="D334" s="1"/>
      <c r="E334" s="1"/>
      <c r="F334" s="1"/>
      <c r="K334" s="27"/>
      <c r="L334" s="27"/>
      <c r="M334" s="27"/>
      <c r="N334" s="27"/>
      <c r="O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58"/>
    </row>
    <row r="335" ht="17.25" customHeight="1">
      <c r="A335" s="1"/>
      <c r="B335" s="1"/>
      <c r="C335" s="1"/>
      <c r="D335" s="1"/>
      <c r="E335" s="1"/>
      <c r="F335" s="1"/>
      <c r="K335" s="27"/>
      <c r="L335" s="27"/>
      <c r="M335" s="27"/>
      <c r="N335" s="27"/>
      <c r="O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58"/>
    </row>
    <row r="336" ht="17.25" customHeight="1">
      <c r="A336" s="1"/>
      <c r="B336" s="1"/>
      <c r="C336" s="1"/>
      <c r="D336" s="1"/>
      <c r="E336" s="1"/>
      <c r="F336" s="1"/>
      <c r="K336" s="27"/>
      <c r="L336" s="27"/>
      <c r="M336" s="27"/>
      <c r="N336" s="27"/>
      <c r="O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58"/>
    </row>
    <row r="337" ht="17.25" customHeight="1">
      <c r="A337" s="1"/>
      <c r="B337" s="1"/>
      <c r="C337" s="1"/>
      <c r="D337" s="1"/>
      <c r="E337" s="1"/>
      <c r="F337" s="1"/>
      <c r="K337" s="27"/>
      <c r="L337" s="27"/>
      <c r="M337" s="27"/>
      <c r="N337" s="27"/>
      <c r="O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58"/>
    </row>
    <row r="338" ht="17.25" customHeight="1">
      <c r="A338" s="1"/>
      <c r="B338" s="1"/>
      <c r="C338" s="1"/>
      <c r="D338" s="1"/>
      <c r="E338" s="1"/>
      <c r="F338" s="1"/>
      <c r="K338" s="27"/>
      <c r="L338" s="27"/>
      <c r="M338" s="27"/>
      <c r="N338" s="27"/>
      <c r="O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58"/>
    </row>
    <row r="339" ht="17.25" customHeight="1">
      <c r="A339" s="1"/>
      <c r="B339" s="1"/>
      <c r="C339" s="1"/>
      <c r="D339" s="1"/>
      <c r="E339" s="1"/>
      <c r="F339" s="1"/>
      <c r="K339" s="27"/>
      <c r="L339" s="27"/>
      <c r="M339" s="27"/>
      <c r="N339" s="27"/>
      <c r="O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58"/>
    </row>
    <row r="340" ht="17.25" customHeight="1">
      <c r="A340" s="1"/>
      <c r="B340" s="1"/>
      <c r="C340" s="1"/>
      <c r="D340" s="1"/>
      <c r="E340" s="1"/>
      <c r="F340" s="1"/>
      <c r="K340" s="27"/>
      <c r="L340" s="27"/>
      <c r="M340" s="27"/>
      <c r="N340" s="27"/>
      <c r="O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58"/>
    </row>
    <row r="341" ht="17.25" customHeight="1">
      <c r="A341" s="1"/>
      <c r="B341" s="1"/>
      <c r="C341" s="1"/>
      <c r="D341" s="1"/>
      <c r="E341" s="1"/>
      <c r="F341" s="1"/>
      <c r="K341" s="27"/>
      <c r="L341" s="27"/>
      <c r="M341" s="27"/>
      <c r="N341" s="27"/>
      <c r="O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58"/>
    </row>
    <row r="342" ht="17.25" customHeight="1">
      <c r="A342" s="1"/>
      <c r="B342" s="1"/>
      <c r="C342" s="1"/>
      <c r="D342" s="1"/>
      <c r="E342" s="1"/>
      <c r="F342" s="1"/>
      <c r="K342" s="27"/>
      <c r="L342" s="27"/>
      <c r="M342" s="27"/>
      <c r="N342" s="27"/>
      <c r="O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58"/>
    </row>
    <row r="343" ht="17.25" customHeight="1">
      <c r="A343" s="1"/>
      <c r="B343" s="1"/>
      <c r="C343" s="1"/>
      <c r="D343" s="1"/>
      <c r="E343" s="1"/>
      <c r="F343" s="1"/>
      <c r="K343" s="27"/>
      <c r="L343" s="27"/>
      <c r="M343" s="27"/>
      <c r="N343" s="27"/>
      <c r="O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58"/>
    </row>
    <row r="344" ht="17.25" customHeight="1">
      <c r="A344" s="1"/>
      <c r="B344" s="1"/>
      <c r="C344" s="1"/>
      <c r="D344" s="1"/>
      <c r="E344" s="1"/>
      <c r="F344" s="1"/>
      <c r="K344" s="27"/>
      <c r="L344" s="27"/>
      <c r="M344" s="27"/>
      <c r="N344" s="27"/>
      <c r="O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58"/>
    </row>
    <row r="345" ht="17.25" customHeight="1">
      <c r="A345" s="1"/>
      <c r="B345" s="1"/>
      <c r="C345" s="1"/>
      <c r="D345" s="1"/>
      <c r="E345" s="1"/>
      <c r="F345" s="1"/>
      <c r="K345" s="27"/>
      <c r="L345" s="27"/>
      <c r="M345" s="27"/>
      <c r="N345" s="27"/>
      <c r="O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58"/>
    </row>
    <row r="346" ht="17.25" customHeight="1">
      <c r="A346" s="1"/>
      <c r="B346" s="1"/>
      <c r="C346" s="1"/>
      <c r="D346" s="1"/>
      <c r="E346" s="1"/>
      <c r="F346" s="1"/>
      <c r="K346" s="27"/>
      <c r="L346" s="27"/>
      <c r="M346" s="27"/>
      <c r="N346" s="27"/>
      <c r="O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58"/>
    </row>
    <row r="347" ht="17.25" customHeight="1">
      <c r="A347" s="1"/>
      <c r="B347" s="1"/>
      <c r="C347" s="1"/>
      <c r="D347" s="1"/>
      <c r="E347" s="1"/>
      <c r="F347" s="1"/>
      <c r="K347" s="27"/>
      <c r="L347" s="27"/>
      <c r="M347" s="27"/>
      <c r="N347" s="27"/>
      <c r="O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58"/>
    </row>
    <row r="348" ht="17.25" customHeight="1">
      <c r="A348" s="1"/>
      <c r="B348" s="1"/>
      <c r="C348" s="1"/>
      <c r="D348" s="1"/>
      <c r="E348" s="1"/>
      <c r="F348" s="1"/>
      <c r="K348" s="27"/>
      <c r="L348" s="27"/>
      <c r="M348" s="27"/>
      <c r="N348" s="27"/>
      <c r="O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58"/>
    </row>
    <row r="349" ht="17.25" customHeight="1">
      <c r="A349" s="1"/>
      <c r="B349" s="1"/>
      <c r="C349" s="1"/>
      <c r="D349" s="1"/>
      <c r="E349" s="1"/>
      <c r="F349" s="1"/>
      <c r="K349" s="27"/>
      <c r="L349" s="27"/>
      <c r="M349" s="27"/>
      <c r="N349" s="27"/>
      <c r="O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58"/>
    </row>
    <row r="350" ht="17.25" customHeight="1">
      <c r="A350" s="1"/>
      <c r="B350" s="1"/>
      <c r="C350" s="1"/>
      <c r="D350" s="1"/>
      <c r="E350" s="1"/>
      <c r="F350" s="1"/>
      <c r="K350" s="27"/>
      <c r="L350" s="27"/>
      <c r="M350" s="27"/>
      <c r="N350" s="27"/>
      <c r="O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58"/>
    </row>
    <row r="351" ht="17.25" customHeight="1">
      <c r="A351" s="1"/>
      <c r="B351" s="1"/>
      <c r="C351" s="1"/>
      <c r="D351" s="1"/>
      <c r="E351" s="1"/>
      <c r="F351" s="1"/>
      <c r="K351" s="27"/>
      <c r="L351" s="27"/>
      <c r="M351" s="27"/>
      <c r="N351" s="27"/>
      <c r="O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58"/>
    </row>
    <row r="352" ht="17.25" customHeight="1">
      <c r="A352" s="1"/>
      <c r="B352" s="1"/>
      <c r="C352" s="1"/>
      <c r="D352" s="1"/>
      <c r="E352" s="1"/>
      <c r="F352" s="1"/>
      <c r="K352" s="27"/>
      <c r="L352" s="27"/>
      <c r="M352" s="27"/>
      <c r="N352" s="27"/>
      <c r="O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58"/>
    </row>
    <row r="353" ht="17.25" customHeight="1">
      <c r="A353" s="1"/>
      <c r="B353" s="1"/>
      <c r="C353" s="1"/>
      <c r="D353" s="1"/>
      <c r="E353" s="1"/>
      <c r="F353" s="1"/>
      <c r="K353" s="27"/>
      <c r="L353" s="27"/>
      <c r="M353" s="27"/>
      <c r="N353" s="27"/>
      <c r="O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58"/>
    </row>
    <row r="354" ht="17.25" customHeight="1">
      <c r="A354" s="1"/>
      <c r="B354" s="1"/>
      <c r="C354" s="1"/>
      <c r="D354" s="1"/>
      <c r="E354" s="1"/>
      <c r="F354" s="1"/>
      <c r="K354" s="27"/>
      <c r="L354" s="27"/>
      <c r="M354" s="27"/>
      <c r="N354" s="27"/>
      <c r="O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58"/>
    </row>
    <row r="355" ht="17.25" customHeight="1">
      <c r="A355" s="1"/>
      <c r="B355" s="1"/>
      <c r="C355" s="1"/>
      <c r="D355" s="1"/>
      <c r="E355" s="1"/>
      <c r="F355" s="1"/>
      <c r="K355" s="27"/>
      <c r="L355" s="27"/>
      <c r="M355" s="27"/>
      <c r="N355" s="27"/>
      <c r="O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58"/>
    </row>
    <row r="356" ht="17.25" customHeight="1">
      <c r="A356" s="1"/>
      <c r="B356" s="1"/>
      <c r="C356" s="1"/>
      <c r="D356" s="1"/>
      <c r="E356" s="1"/>
      <c r="F356" s="1"/>
      <c r="K356" s="27"/>
      <c r="L356" s="27"/>
      <c r="M356" s="27"/>
      <c r="N356" s="27"/>
      <c r="O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58"/>
    </row>
    <row r="357" ht="17.25" customHeight="1">
      <c r="A357" s="1"/>
      <c r="B357" s="1"/>
      <c r="C357" s="1"/>
      <c r="D357" s="1"/>
      <c r="E357" s="1"/>
      <c r="F357" s="1"/>
      <c r="K357" s="27"/>
      <c r="L357" s="27"/>
      <c r="M357" s="27"/>
      <c r="N357" s="27"/>
      <c r="O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58"/>
    </row>
    <row r="358" ht="17.25" customHeight="1">
      <c r="A358" s="1"/>
      <c r="B358" s="1"/>
      <c r="C358" s="1"/>
      <c r="D358" s="1"/>
      <c r="E358" s="1"/>
      <c r="F358" s="1"/>
      <c r="K358" s="27"/>
      <c r="L358" s="27"/>
      <c r="M358" s="27"/>
      <c r="N358" s="27"/>
      <c r="O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58"/>
    </row>
    <row r="359" ht="17.25" customHeight="1">
      <c r="A359" s="1"/>
      <c r="B359" s="1"/>
      <c r="C359" s="1"/>
      <c r="D359" s="1"/>
      <c r="E359" s="1"/>
      <c r="F359" s="1"/>
      <c r="K359" s="27"/>
      <c r="L359" s="27"/>
      <c r="M359" s="27"/>
      <c r="N359" s="27"/>
      <c r="O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58"/>
    </row>
    <row r="360" ht="17.25" customHeight="1">
      <c r="A360" s="1"/>
      <c r="B360" s="1"/>
      <c r="C360" s="1"/>
      <c r="D360" s="1"/>
      <c r="E360" s="1"/>
      <c r="F360" s="1"/>
      <c r="K360" s="27"/>
      <c r="L360" s="27"/>
      <c r="M360" s="27"/>
      <c r="N360" s="27"/>
      <c r="O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58"/>
    </row>
    <row r="361" ht="17.25" customHeight="1">
      <c r="A361" s="1"/>
      <c r="B361" s="1"/>
      <c r="C361" s="1"/>
      <c r="D361" s="1"/>
      <c r="E361" s="1"/>
      <c r="F361" s="1"/>
      <c r="K361" s="27"/>
      <c r="L361" s="27"/>
      <c r="M361" s="27"/>
      <c r="N361" s="27"/>
      <c r="O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58"/>
    </row>
    <row r="362" ht="17.25" customHeight="1">
      <c r="A362" s="1"/>
      <c r="B362" s="1"/>
      <c r="C362" s="1"/>
      <c r="D362" s="1"/>
      <c r="E362" s="1"/>
      <c r="F362" s="1"/>
      <c r="K362" s="27"/>
      <c r="L362" s="27"/>
      <c r="M362" s="27"/>
      <c r="N362" s="27"/>
      <c r="O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58"/>
    </row>
    <row r="363" ht="17.25" customHeight="1">
      <c r="A363" s="1"/>
      <c r="B363" s="1"/>
      <c r="C363" s="1"/>
      <c r="D363" s="1"/>
      <c r="E363" s="1"/>
      <c r="F363" s="1"/>
      <c r="K363" s="27"/>
      <c r="L363" s="27"/>
      <c r="M363" s="27"/>
      <c r="N363" s="27"/>
      <c r="O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58"/>
    </row>
    <row r="364" ht="17.25" customHeight="1">
      <c r="A364" s="1"/>
      <c r="B364" s="1"/>
      <c r="C364" s="1"/>
      <c r="D364" s="1"/>
      <c r="E364" s="1"/>
      <c r="F364" s="1"/>
      <c r="K364" s="27"/>
      <c r="L364" s="27"/>
      <c r="M364" s="27"/>
      <c r="N364" s="27"/>
      <c r="O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58"/>
    </row>
    <row r="365" ht="17.25" customHeight="1">
      <c r="A365" s="1"/>
      <c r="B365" s="1"/>
      <c r="C365" s="1"/>
      <c r="D365" s="1"/>
      <c r="E365" s="1"/>
      <c r="F365" s="1"/>
      <c r="K365" s="27"/>
      <c r="L365" s="27"/>
      <c r="M365" s="27"/>
      <c r="N365" s="27"/>
      <c r="O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58"/>
    </row>
    <row r="366" ht="17.25" customHeight="1">
      <c r="A366" s="1"/>
      <c r="B366" s="1"/>
      <c r="C366" s="1"/>
      <c r="D366" s="1"/>
      <c r="E366" s="1"/>
      <c r="F366" s="1"/>
      <c r="K366" s="27"/>
      <c r="L366" s="27"/>
      <c r="M366" s="27"/>
      <c r="N366" s="27"/>
      <c r="O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58"/>
    </row>
    <row r="367" ht="17.25" customHeight="1">
      <c r="A367" s="1"/>
      <c r="B367" s="1"/>
      <c r="C367" s="1"/>
      <c r="D367" s="1"/>
      <c r="E367" s="1"/>
      <c r="F367" s="1"/>
      <c r="K367" s="27"/>
      <c r="L367" s="27"/>
      <c r="M367" s="27"/>
      <c r="N367" s="27"/>
      <c r="O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58"/>
    </row>
    <row r="368" ht="17.25" customHeight="1">
      <c r="A368" s="1"/>
      <c r="B368" s="1"/>
      <c r="C368" s="1"/>
      <c r="D368" s="1"/>
      <c r="E368" s="1"/>
      <c r="F368" s="1"/>
      <c r="K368" s="27"/>
      <c r="L368" s="27"/>
      <c r="M368" s="27"/>
      <c r="N368" s="27"/>
      <c r="O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58"/>
    </row>
    <row r="369" ht="17.25" customHeight="1">
      <c r="A369" s="1"/>
      <c r="B369" s="1"/>
      <c r="C369" s="1"/>
      <c r="D369" s="1"/>
      <c r="E369" s="1"/>
      <c r="F369" s="1"/>
      <c r="K369" s="27"/>
      <c r="L369" s="27"/>
      <c r="M369" s="27"/>
      <c r="N369" s="27"/>
      <c r="O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58"/>
    </row>
    <row r="370" ht="17.25" customHeight="1">
      <c r="A370" s="1"/>
      <c r="B370" s="1"/>
      <c r="C370" s="1"/>
      <c r="D370" s="1"/>
      <c r="E370" s="1"/>
      <c r="F370" s="1"/>
      <c r="K370" s="27"/>
      <c r="L370" s="27"/>
      <c r="M370" s="27"/>
      <c r="N370" s="27"/>
      <c r="O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58"/>
    </row>
    <row r="371" ht="17.25" customHeight="1">
      <c r="A371" s="1"/>
      <c r="B371" s="1"/>
      <c r="C371" s="1"/>
      <c r="D371" s="1"/>
      <c r="E371" s="1"/>
      <c r="F371" s="1"/>
      <c r="K371" s="27"/>
      <c r="L371" s="27"/>
      <c r="M371" s="27"/>
      <c r="N371" s="27"/>
      <c r="O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58"/>
    </row>
    <row r="372" ht="17.25" customHeight="1">
      <c r="A372" s="1"/>
      <c r="B372" s="1"/>
      <c r="C372" s="1"/>
      <c r="D372" s="1"/>
      <c r="E372" s="1"/>
      <c r="F372" s="1"/>
      <c r="K372" s="27"/>
      <c r="L372" s="27"/>
      <c r="M372" s="27"/>
      <c r="N372" s="27"/>
      <c r="O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58"/>
    </row>
    <row r="373" ht="17.25" customHeight="1">
      <c r="A373" s="1"/>
      <c r="B373" s="1"/>
      <c r="C373" s="1"/>
      <c r="D373" s="1"/>
      <c r="E373" s="1"/>
      <c r="F373" s="1"/>
      <c r="K373" s="27"/>
      <c r="L373" s="27"/>
      <c r="M373" s="27"/>
      <c r="N373" s="27"/>
      <c r="O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58"/>
    </row>
    <row r="374" ht="17.25" customHeight="1">
      <c r="A374" s="1"/>
      <c r="B374" s="1"/>
      <c r="C374" s="1"/>
      <c r="D374" s="1"/>
      <c r="E374" s="1"/>
      <c r="F374" s="1"/>
      <c r="K374" s="27"/>
      <c r="L374" s="27"/>
      <c r="M374" s="27"/>
      <c r="N374" s="27"/>
      <c r="O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58"/>
    </row>
    <row r="375" ht="17.25" customHeight="1">
      <c r="A375" s="1"/>
      <c r="B375" s="1"/>
      <c r="C375" s="1"/>
      <c r="D375" s="1"/>
      <c r="E375" s="1"/>
      <c r="F375" s="1"/>
      <c r="K375" s="27"/>
      <c r="L375" s="27"/>
      <c r="M375" s="27"/>
      <c r="N375" s="27"/>
      <c r="O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58"/>
    </row>
    <row r="376" ht="17.25" customHeight="1">
      <c r="A376" s="1"/>
      <c r="B376" s="1"/>
      <c r="C376" s="1"/>
      <c r="D376" s="1"/>
      <c r="E376" s="1"/>
      <c r="F376" s="1"/>
      <c r="K376" s="27"/>
      <c r="L376" s="27"/>
      <c r="M376" s="27"/>
      <c r="N376" s="27"/>
      <c r="O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58"/>
    </row>
    <row r="377" ht="17.25" customHeight="1">
      <c r="A377" s="1"/>
      <c r="B377" s="1"/>
      <c r="C377" s="1"/>
      <c r="D377" s="1"/>
      <c r="E377" s="1"/>
      <c r="F377" s="1"/>
      <c r="K377" s="27"/>
      <c r="L377" s="27"/>
      <c r="M377" s="27"/>
      <c r="N377" s="27"/>
      <c r="O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58"/>
    </row>
    <row r="378" ht="17.25" customHeight="1">
      <c r="A378" s="1"/>
      <c r="B378" s="1"/>
      <c r="C378" s="1"/>
      <c r="D378" s="1"/>
      <c r="E378" s="1"/>
      <c r="F378" s="1"/>
      <c r="K378" s="27"/>
      <c r="L378" s="27"/>
      <c r="M378" s="27"/>
      <c r="N378" s="27"/>
      <c r="O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58"/>
    </row>
    <row r="379" ht="17.25" customHeight="1">
      <c r="A379" s="1"/>
      <c r="B379" s="1"/>
      <c r="C379" s="1"/>
      <c r="D379" s="1"/>
      <c r="E379" s="1"/>
      <c r="F379" s="1"/>
      <c r="K379" s="27"/>
      <c r="L379" s="27"/>
      <c r="M379" s="27"/>
      <c r="N379" s="27"/>
      <c r="O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58"/>
    </row>
    <row r="380" ht="17.25" customHeight="1">
      <c r="A380" s="1"/>
      <c r="B380" s="1"/>
      <c r="C380" s="1"/>
      <c r="D380" s="1"/>
      <c r="E380" s="1"/>
      <c r="F380" s="1"/>
      <c r="K380" s="27"/>
      <c r="L380" s="27"/>
      <c r="M380" s="27"/>
      <c r="N380" s="27"/>
      <c r="O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58"/>
    </row>
    <row r="381" ht="17.25" customHeight="1">
      <c r="A381" s="1"/>
      <c r="B381" s="1"/>
      <c r="C381" s="1"/>
      <c r="D381" s="1"/>
      <c r="E381" s="1"/>
      <c r="F381" s="1"/>
      <c r="K381" s="27"/>
      <c r="L381" s="27"/>
      <c r="M381" s="27"/>
      <c r="N381" s="27"/>
      <c r="O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58"/>
    </row>
    <row r="382" ht="17.25" customHeight="1">
      <c r="A382" s="1"/>
      <c r="B382" s="1"/>
      <c r="C382" s="1"/>
      <c r="D382" s="1"/>
      <c r="E382" s="1"/>
      <c r="F382" s="1"/>
      <c r="K382" s="27"/>
      <c r="L382" s="27"/>
      <c r="M382" s="27"/>
      <c r="N382" s="27"/>
      <c r="O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58"/>
    </row>
    <row r="383" ht="17.25" customHeight="1">
      <c r="A383" s="1"/>
      <c r="B383" s="1"/>
      <c r="C383" s="1"/>
      <c r="D383" s="1"/>
      <c r="E383" s="1"/>
      <c r="F383" s="1"/>
      <c r="K383" s="27"/>
      <c r="L383" s="27"/>
      <c r="M383" s="27"/>
      <c r="N383" s="27"/>
      <c r="O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58"/>
    </row>
    <row r="384" ht="17.25" customHeight="1">
      <c r="A384" s="1"/>
      <c r="B384" s="1"/>
      <c r="C384" s="1"/>
      <c r="D384" s="1"/>
      <c r="E384" s="1"/>
      <c r="F384" s="1"/>
      <c r="K384" s="27"/>
      <c r="L384" s="27"/>
      <c r="M384" s="27"/>
      <c r="N384" s="27"/>
      <c r="O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58"/>
    </row>
    <row r="385" ht="17.25" customHeight="1">
      <c r="A385" s="1"/>
      <c r="B385" s="1"/>
      <c r="C385" s="1"/>
      <c r="D385" s="1"/>
      <c r="E385" s="1"/>
      <c r="F385" s="1"/>
      <c r="K385" s="27"/>
      <c r="L385" s="27"/>
      <c r="M385" s="27"/>
      <c r="N385" s="27"/>
      <c r="O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58"/>
    </row>
    <row r="386" ht="17.25" customHeight="1">
      <c r="A386" s="1"/>
      <c r="B386" s="1"/>
      <c r="C386" s="1"/>
      <c r="D386" s="1"/>
      <c r="E386" s="1"/>
      <c r="F386" s="1"/>
      <c r="K386" s="27"/>
      <c r="L386" s="27"/>
      <c r="M386" s="27"/>
      <c r="N386" s="27"/>
      <c r="O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58"/>
    </row>
    <row r="387" ht="17.25" customHeight="1">
      <c r="A387" s="1"/>
      <c r="B387" s="1"/>
      <c r="C387" s="1"/>
      <c r="D387" s="1"/>
      <c r="E387" s="1"/>
      <c r="F387" s="1"/>
      <c r="K387" s="27"/>
      <c r="L387" s="27"/>
      <c r="M387" s="27"/>
      <c r="N387" s="27"/>
      <c r="O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58"/>
    </row>
    <row r="388" ht="17.25" customHeight="1">
      <c r="A388" s="1"/>
      <c r="B388" s="1"/>
      <c r="C388" s="1"/>
      <c r="D388" s="1"/>
      <c r="E388" s="1"/>
      <c r="F388" s="1"/>
      <c r="K388" s="27"/>
      <c r="L388" s="27"/>
      <c r="M388" s="27"/>
      <c r="N388" s="27"/>
      <c r="O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58"/>
    </row>
    <row r="389" ht="17.25" customHeight="1">
      <c r="A389" s="1"/>
      <c r="B389" s="1"/>
      <c r="C389" s="1"/>
      <c r="D389" s="1"/>
      <c r="E389" s="1"/>
      <c r="F389" s="1"/>
      <c r="K389" s="27"/>
      <c r="L389" s="27"/>
      <c r="M389" s="27"/>
      <c r="N389" s="27"/>
      <c r="O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58"/>
    </row>
    <row r="390" ht="17.25" customHeight="1">
      <c r="A390" s="1"/>
      <c r="B390" s="1"/>
      <c r="C390" s="1"/>
      <c r="D390" s="1"/>
      <c r="E390" s="1"/>
      <c r="F390" s="1"/>
      <c r="K390" s="27"/>
      <c r="L390" s="27"/>
      <c r="M390" s="27"/>
      <c r="N390" s="27"/>
      <c r="O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58"/>
    </row>
    <row r="391" ht="17.25" customHeight="1">
      <c r="A391" s="1"/>
      <c r="B391" s="1"/>
      <c r="C391" s="1"/>
      <c r="D391" s="1"/>
      <c r="E391" s="1"/>
      <c r="F391" s="1"/>
      <c r="K391" s="27"/>
      <c r="L391" s="27"/>
      <c r="M391" s="27"/>
      <c r="N391" s="27"/>
      <c r="O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58"/>
    </row>
    <row r="392" ht="17.25" customHeight="1">
      <c r="A392" s="1"/>
      <c r="B392" s="1"/>
      <c r="C392" s="1"/>
      <c r="D392" s="1"/>
      <c r="E392" s="1"/>
      <c r="F392" s="1"/>
      <c r="K392" s="27"/>
      <c r="L392" s="27"/>
      <c r="M392" s="27"/>
      <c r="N392" s="27"/>
      <c r="O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58"/>
    </row>
    <row r="393" ht="17.25" customHeight="1">
      <c r="A393" s="1"/>
      <c r="B393" s="1"/>
      <c r="C393" s="1"/>
      <c r="D393" s="1"/>
      <c r="E393" s="1"/>
      <c r="F393" s="1"/>
      <c r="K393" s="27"/>
      <c r="L393" s="27"/>
      <c r="M393" s="27"/>
      <c r="N393" s="27"/>
      <c r="O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58"/>
    </row>
    <row r="394" ht="17.25" customHeight="1">
      <c r="A394" s="1"/>
      <c r="B394" s="1"/>
      <c r="C394" s="1"/>
      <c r="D394" s="1"/>
      <c r="E394" s="1"/>
      <c r="F394" s="1"/>
      <c r="K394" s="27"/>
      <c r="L394" s="27"/>
      <c r="M394" s="27"/>
      <c r="N394" s="27"/>
      <c r="O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58"/>
    </row>
    <row r="395" ht="17.25" customHeight="1">
      <c r="A395" s="1"/>
      <c r="B395" s="1"/>
      <c r="C395" s="1"/>
      <c r="D395" s="1"/>
      <c r="E395" s="1"/>
      <c r="F395" s="1"/>
      <c r="K395" s="27"/>
      <c r="L395" s="27"/>
      <c r="M395" s="27"/>
      <c r="N395" s="27"/>
      <c r="O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58"/>
    </row>
    <row r="396" ht="17.25" customHeight="1">
      <c r="A396" s="1"/>
      <c r="B396" s="1"/>
      <c r="C396" s="1"/>
      <c r="D396" s="1"/>
      <c r="E396" s="1"/>
      <c r="F396" s="1"/>
      <c r="K396" s="27"/>
      <c r="L396" s="27"/>
      <c r="M396" s="27"/>
      <c r="N396" s="27"/>
      <c r="O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58"/>
    </row>
    <row r="397" ht="17.25" customHeight="1">
      <c r="A397" s="1"/>
      <c r="B397" s="1"/>
      <c r="C397" s="1"/>
      <c r="D397" s="1"/>
      <c r="E397" s="1"/>
      <c r="F397" s="1"/>
      <c r="K397" s="27"/>
      <c r="L397" s="27"/>
      <c r="M397" s="27"/>
      <c r="N397" s="27"/>
      <c r="O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58"/>
    </row>
    <row r="398" ht="17.25" customHeight="1">
      <c r="A398" s="1"/>
      <c r="B398" s="1"/>
      <c r="C398" s="1"/>
      <c r="D398" s="1"/>
      <c r="E398" s="1"/>
      <c r="F398" s="1"/>
      <c r="K398" s="27"/>
      <c r="L398" s="27"/>
      <c r="M398" s="27"/>
      <c r="N398" s="27"/>
      <c r="O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58"/>
    </row>
    <row r="399" ht="17.25" customHeight="1">
      <c r="A399" s="1"/>
      <c r="B399" s="1"/>
      <c r="C399" s="1"/>
      <c r="D399" s="1"/>
      <c r="E399" s="1"/>
      <c r="F399" s="1"/>
      <c r="K399" s="27"/>
      <c r="L399" s="27"/>
      <c r="M399" s="27"/>
      <c r="N399" s="27"/>
      <c r="O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58"/>
    </row>
    <row r="400" ht="17.25" customHeight="1">
      <c r="A400" s="1"/>
      <c r="B400" s="1"/>
      <c r="C400" s="1"/>
      <c r="D400" s="1"/>
      <c r="E400" s="1"/>
      <c r="F400" s="1"/>
      <c r="K400" s="27"/>
      <c r="L400" s="27"/>
      <c r="M400" s="27"/>
      <c r="N400" s="27"/>
      <c r="O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58"/>
    </row>
    <row r="401" ht="17.25" customHeight="1">
      <c r="A401" s="1"/>
      <c r="B401" s="1"/>
      <c r="C401" s="1"/>
      <c r="D401" s="1"/>
      <c r="E401" s="1"/>
      <c r="F401" s="1"/>
      <c r="K401" s="27"/>
      <c r="L401" s="27"/>
      <c r="M401" s="27"/>
      <c r="N401" s="27"/>
      <c r="O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58"/>
    </row>
    <row r="402" ht="17.25" customHeight="1">
      <c r="A402" s="1"/>
      <c r="B402" s="1"/>
      <c r="C402" s="1"/>
      <c r="D402" s="1"/>
      <c r="E402" s="1"/>
      <c r="F402" s="1"/>
      <c r="K402" s="27"/>
      <c r="L402" s="27"/>
      <c r="M402" s="27"/>
      <c r="N402" s="27"/>
      <c r="O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58"/>
    </row>
    <row r="403" ht="17.25" customHeight="1">
      <c r="A403" s="1"/>
      <c r="B403" s="1"/>
      <c r="C403" s="1"/>
      <c r="D403" s="1"/>
      <c r="E403" s="1"/>
      <c r="F403" s="1"/>
      <c r="K403" s="27"/>
      <c r="L403" s="27"/>
      <c r="M403" s="27"/>
      <c r="N403" s="27"/>
      <c r="O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58"/>
    </row>
    <row r="404" ht="17.25" customHeight="1">
      <c r="A404" s="1"/>
      <c r="B404" s="1"/>
      <c r="C404" s="1"/>
      <c r="D404" s="1"/>
      <c r="E404" s="1"/>
      <c r="F404" s="1"/>
      <c r="K404" s="27"/>
      <c r="L404" s="27"/>
      <c r="M404" s="27"/>
      <c r="N404" s="27"/>
      <c r="O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58"/>
    </row>
    <row r="405" ht="17.25" customHeight="1">
      <c r="A405" s="1"/>
      <c r="B405" s="1"/>
      <c r="C405" s="1"/>
      <c r="D405" s="1"/>
      <c r="E405" s="1"/>
      <c r="F405" s="1"/>
      <c r="K405" s="27"/>
      <c r="L405" s="27"/>
      <c r="M405" s="27"/>
      <c r="N405" s="27"/>
      <c r="O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58"/>
    </row>
    <row r="406" ht="17.25" customHeight="1">
      <c r="A406" s="1"/>
      <c r="B406" s="1"/>
      <c r="C406" s="1"/>
      <c r="D406" s="1"/>
      <c r="E406" s="1"/>
      <c r="F406" s="1"/>
      <c r="K406" s="27"/>
      <c r="L406" s="27"/>
      <c r="M406" s="27"/>
      <c r="N406" s="27"/>
      <c r="O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58"/>
    </row>
    <row r="407" ht="17.25" customHeight="1">
      <c r="A407" s="1"/>
      <c r="B407" s="1"/>
      <c r="C407" s="1"/>
      <c r="D407" s="1"/>
      <c r="E407" s="1"/>
      <c r="F407" s="1"/>
      <c r="K407" s="27"/>
      <c r="L407" s="27"/>
      <c r="M407" s="27"/>
      <c r="N407" s="27"/>
      <c r="O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58"/>
    </row>
    <row r="408" ht="17.25" customHeight="1">
      <c r="A408" s="1"/>
      <c r="B408" s="1"/>
      <c r="C408" s="1"/>
      <c r="D408" s="1"/>
      <c r="E408" s="1"/>
      <c r="F408" s="1"/>
      <c r="K408" s="27"/>
      <c r="L408" s="27"/>
      <c r="M408" s="27"/>
      <c r="N408" s="27"/>
      <c r="O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58"/>
    </row>
    <row r="409" ht="17.25" customHeight="1">
      <c r="A409" s="1"/>
      <c r="B409" s="1"/>
      <c r="C409" s="1"/>
      <c r="D409" s="1"/>
      <c r="E409" s="1"/>
      <c r="F409" s="1"/>
      <c r="K409" s="27"/>
      <c r="L409" s="27"/>
      <c r="M409" s="27"/>
      <c r="N409" s="27"/>
      <c r="O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58"/>
    </row>
    <row r="410" ht="17.25" customHeight="1">
      <c r="A410" s="1"/>
      <c r="B410" s="1"/>
      <c r="C410" s="1"/>
      <c r="D410" s="1"/>
      <c r="E410" s="1"/>
      <c r="F410" s="1"/>
      <c r="K410" s="27"/>
      <c r="L410" s="27"/>
      <c r="M410" s="27"/>
      <c r="N410" s="27"/>
      <c r="O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58"/>
    </row>
    <row r="411" ht="17.25" customHeight="1">
      <c r="A411" s="1"/>
      <c r="B411" s="1"/>
      <c r="C411" s="1"/>
      <c r="D411" s="1"/>
      <c r="E411" s="1"/>
      <c r="F411" s="1"/>
      <c r="K411" s="27"/>
      <c r="L411" s="27"/>
      <c r="M411" s="27"/>
      <c r="N411" s="27"/>
      <c r="O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58"/>
    </row>
    <row r="412" ht="17.25" customHeight="1">
      <c r="A412" s="1"/>
      <c r="B412" s="1"/>
      <c r="C412" s="1"/>
      <c r="D412" s="1"/>
      <c r="E412" s="1"/>
      <c r="F412" s="1"/>
      <c r="K412" s="27"/>
      <c r="L412" s="27"/>
      <c r="M412" s="27"/>
      <c r="N412" s="27"/>
      <c r="O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58"/>
    </row>
    <row r="413" ht="17.25" customHeight="1">
      <c r="A413" s="1"/>
      <c r="B413" s="1"/>
      <c r="C413" s="1"/>
      <c r="D413" s="1"/>
      <c r="E413" s="1"/>
      <c r="F413" s="1"/>
      <c r="K413" s="27"/>
      <c r="L413" s="27"/>
      <c r="M413" s="27"/>
      <c r="N413" s="27"/>
      <c r="O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58"/>
    </row>
    <row r="414" ht="17.25" customHeight="1">
      <c r="A414" s="1"/>
      <c r="B414" s="1"/>
      <c r="C414" s="1"/>
      <c r="D414" s="1"/>
      <c r="E414" s="1"/>
      <c r="F414" s="1"/>
      <c r="K414" s="27"/>
      <c r="L414" s="27"/>
      <c r="M414" s="27"/>
      <c r="N414" s="27"/>
      <c r="O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58"/>
    </row>
    <row r="415" ht="17.25" customHeight="1">
      <c r="A415" s="1"/>
      <c r="B415" s="1"/>
      <c r="C415" s="1"/>
      <c r="D415" s="1"/>
      <c r="E415" s="1"/>
      <c r="F415" s="1"/>
      <c r="K415" s="27"/>
      <c r="L415" s="27"/>
      <c r="M415" s="27"/>
      <c r="N415" s="27"/>
      <c r="O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58"/>
    </row>
    <row r="416" ht="17.25" customHeight="1">
      <c r="A416" s="1"/>
      <c r="B416" s="1"/>
      <c r="C416" s="1"/>
      <c r="D416" s="1"/>
      <c r="E416" s="1"/>
      <c r="F416" s="1"/>
      <c r="K416" s="27"/>
      <c r="L416" s="27"/>
      <c r="M416" s="27"/>
      <c r="N416" s="27"/>
      <c r="O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58"/>
    </row>
    <row r="417" ht="17.25" customHeight="1">
      <c r="A417" s="1"/>
      <c r="B417" s="1"/>
      <c r="C417" s="1"/>
      <c r="D417" s="1"/>
      <c r="E417" s="1"/>
      <c r="F417" s="1"/>
      <c r="K417" s="27"/>
      <c r="L417" s="27"/>
      <c r="M417" s="27"/>
      <c r="N417" s="27"/>
      <c r="O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58"/>
    </row>
    <row r="418" ht="17.25" customHeight="1">
      <c r="A418" s="1"/>
      <c r="B418" s="1"/>
      <c r="C418" s="1"/>
      <c r="D418" s="1"/>
      <c r="E418" s="1"/>
      <c r="F418" s="1"/>
      <c r="K418" s="27"/>
      <c r="L418" s="27"/>
      <c r="M418" s="27"/>
      <c r="N418" s="27"/>
      <c r="O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58"/>
    </row>
    <row r="419" ht="17.25" customHeight="1">
      <c r="A419" s="1"/>
      <c r="B419" s="1"/>
      <c r="C419" s="1"/>
      <c r="D419" s="1"/>
      <c r="E419" s="1"/>
      <c r="F419" s="1"/>
      <c r="K419" s="27"/>
      <c r="L419" s="27"/>
      <c r="M419" s="27"/>
      <c r="N419" s="27"/>
      <c r="O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58"/>
    </row>
    <row r="420" ht="17.25" customHeight="1">
      <c r="A420" s="1"/>
      <c r="B420" s="1"/>
      <c r="C420" s="1"/>
      <c r="D420" s="1"/>
      <c r="E420" s="1"/>
      <c r="F420" s="1"/>
      <c r="K420" s="27"/>
      <c r="L420" s="27"/>
      <c r="M420" s="27"/>
      <c r="N420" s="27"/>
      <c r="O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58"/>
    </row>
    <row r="421" ht="17.25" customHeight="1">
      <c r="A421" s="1"/>
      <c r="B421" s="1"/>
      <c r="C421" s="1"/>
      <c r="D421" s="1"/>
      <c r="E421" s="1"/>
      <c r="F421" s="1"/>
      <c r="K421" s="27"/>
      <c r="L421" s="27"/>
      <c r="M421" s="27"/>
      <c r="N421" s="27"/>
      <c r="O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58"/>
    </row>
    <row r="422" ht="17.25" customHeight="1">
      <c r="A422" s="1"/>
      <c r="B422" s="1"/>
      <c r="C422" s="1"/>
      <c r="D422" s="1"/>
      <c r="E422" s="1"/>
      <c r="F422" s="1"/>
      <c r="K422" s="27"/>
      <c r="L422" s="27"/>
      <c r="M422" s="27"/>
      <c r="N422" s="27"/>
      <c r="O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58"/>
    </row>
    <row r="423" ht="17.25" customHeight="1">
      <c r="A423" s="1"/>
      <c r="B423" s="1"/>
      <c r="C423" s="1"/>
      <c r="D423" s="1"/>
      <c r="E423" s="1"/>
      <c r="F423" s="1"/>
      <c r="K423" s="27"/>
      <c r="L423" s="27"/>
      <c r="M423" s="27"/>
      <c r="N423" s="27"/>
      <c r="O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58"/>
    </row>
    <row r="424" ht="17.25" customHeight="1">
      <c r="A424" s="1"/>
      <c r="B424" s="1"/>
      <c r="C424" s="1"/>
      <c r="D424" s="1"/>
      <c r="E424" s="1"/>
      <c r="F424" s="1"/>
      <c r="K424" s="27"/>
      <c r="L424" s="27"/>
      <c r="M424" s="27"/>
      <c r="N424" s="27"/>
      <c r="O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58"/>
    </row>
    <row r="425" ht="17.25" customHeight="1">
      <c r="A425" s="1"/>
      <c r="B425" s="1"/>
      <c r="C425" s="1"/>
      <c r="D425" s="1"/>
      <c r="E425" s="1"/>
      <c r="F425" s="1"/>
      <c r="K425" s="27"/>
      <c r="L425" s="27"/>
      <c r="M425" s="27"/>
      <c r="N425" s="27"/>
      <c r="O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58"/>
    </row>
    <row r="426" ht="17.25" customHeight="1">
      <c r="A426" s="1"/>
      <c r="B426" s="1"/>
      <c r="C426" s="1"/>
      <c r="D426" s="1"/>
      <c r="E426" s="1"/>
      <c r="F426" s="1"/>
      <c r="K426" s="27"/>
      <c r="L426" s="27"/>
      <c r="M426" s="27"/>
      <c r="N426" s="27"/>
      <c r="O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58"/>
    </row>
    <row r="427" ht="17.25" customHeight="1">
      <c r="A427" s="1"/>
      <c r="B427" s="1"/>
      <c r="C427" s="1"/>
      <c r="D427" s="1"/>
      <c r="E427" s="1"/>
      <c r="F427" s="1"/>
      <c r="K427" s="27"/>
      <c r="L427" s="27"/>
      <c r="M427" s="27"/>
      <c r="N427" s="27"/>
      <c r="O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58"/>
    </row>
    <row r="428" ht="17.25" customHeight="1">
      <c r="A428" s="1"/>
      <c r="B428" s="1"/>
      <c r="C428" s="1"/>
      <c r="D428" s="1"/>
      <c r="E428" s="1"/>
      <c r="F428" s="1"/>
      <c r="K428" s="27"/>
      <c r="L428" s="27"/>
      <c r="M428" s="27"/>
      <c r="N428" s="27"/>
      <c r="O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58"/>
    </row>
    <row r="429" ht="17.25" customHeight="1">
      <c r="A429" s="1"/>
      <c r="B429" s="1"/>
      <c r="C429" s="1"/>
      <c r="D429" s="1"/>
      <c r="E429" s="1"/>
      <c r="F429" s="1"/>
      <c r="K429" s="27"/>
      <c r="L429" s="27"/>
      <c r="M429" s="27"/>
      <c r="N429" s="27"/>
      <c r="O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58"/>
    </row>
    <row r="430" ht="17.25" customHeight="1">
      <c r="A430" s="1"/>
      <c r="B430" s="1"/>
      <c r="C430" s="1"/>
      <c r="D430" s="1"/>
      <c r="E430" s="1"/>
      <c r="F430" s="1"/>
      <c r="K430" s="27"/>
      <c r="L430" s="27"/>
      <c r="M430" s="27"/>
      <c r="N430" s="27"/>
      <c r="O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58"/>
    </row>
    <row r="431" ht="17.25" customHeight="1">
      <c r="A431" s="1"/>
      <c r="B431" s="1"/>
      <c r="C431" s="1"/>
      <c r="D431" s="1"/>
      <c r="E431" s="1"/>
      <c r="F431" s="1"/>
      <c r="K431" s="27"/>
      <c r="L431" s="27"/>
      <c r="M431" s="27"/>
      <c r="N431" s="27"/>
      <c r="O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58"/>
    </row>
    <row r="432" ht="17.25" customHeight="1">
      <c r="A432" s="1"/>
      <c r="B432" s="1"/>
      <c r="C432" s="1"/>
      <c r="D432" s="1"/>
      <c r="E432" s="1"/>
      <c r="F432" s="1"/>
      <c r="K432" s="27"/>
      <c r="L432" s="27"/>
      <c r="M432" s="27"/>
      <c r="N432" s="27"/>
      <c r="O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58"/>
    </row>
    <row r="433" ht="17.25" customHeight="1">
      <c r="A433" s="1"/>
      <c r="B433" s="1"/>
      <c r="C433" s="1"/>
      <c r="D433" s="1"/>
      <c r="E433" s="1"/>
      <c r="F433" s="1"/>
      <c r="K433" s="27"/>
      <c r="L433" s="27"/>
      <c r="M433" s="27"/>
      <c r="N433" s="27"/>
      <c r="O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58"/>
    </row>
    <row r="434" ht="17.25" customHeight="1">
      <c r="A434" s="1"/>
      <c r="B434" s="1"/>
      <c r="C434" s="1"/>
      <c r="D434" s="1"/>
      <c r="E434" s="1"/>
      <c r="F434" s="1"/>
      <c r="K434" s="27"/>
      <c r="L434" s="27"/>
      <c r="M434" s="27"/>
      <c r="N434" s="27"/>
      <c r="O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58"/>
    </row>
    <row r="435" ht="17.25" customHeight="1">
      <c r="A435" s="1"/>
      <c r="B435" s="1"/>
      <c r="C435" s="1"/>
      <c r="D435" s="1"/>
      <c r="E435" s="1"/>
      <c r="F435" s="1"/>
      <c r="K435" s="27"/>
      <c r="L435" s="27"/>
      <c r="M435" s="27"/>
      <c r="N435" s="27"/>
      <c r="O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58"/>
    </row>
    <row r="436" ht="17.25" customHeight="1">
      <c r="A436" s="1"/>
      <c r="B436" s="1"/>
      <c r="C436" s="1"/>
      <c r="D436" s="1"/>
      <c r="E436" s="1"/>
      <c r="F436" s="1"/>
      <c r="K436" s="27"/>
      <c r="L436" s="27"/>
      <c r="M436" s="27"/>
      <c r="N436" s="27"/>
      <c r="O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58"/>
    </row>
    <row r="437" ht="17.25" customHeight="1">
      <c r="A437" s="1"/>
      <c r="B437" s="1"/>
      <c r="C437" s="1"/>
      <c r="D437" s="1"/>
      <c r="E437" s="1"/>
      <c r="F437" s="1"/>
      <c r="K437" s="27"/>
      <c r="L437" s="27"/>
      <c r="M437" s="27"/>
      <c r="N437" s="27"/>
      <c r="O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58"/>
    </row>
    <row r="438" ht="17.25" customHeight="1">
      <c r="A438" s="1"/>
      <c r="B438" s="1"/>
      <c r="C438" s="1"/>
      <c r="D438" s="1"/>
      <c r="E438" s="1"/>
      <c r="F438" s="1"/>
      <c r="K438" s="27"/>
      <c r="L438" s="27"/>
      <c r="M438" s="27"/>
      <c r="N438" s="27"/>
      <c r="O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58"/>
    </row>
    <row r="439" ht="17.25" customHeight="1">
      <c r="A439" s="1"/>
      <c r="B439" s="1"/>
      <c r="C439" s="1"/>
      <c r="D439" s="1"/>
      <c r="E439" s="1"/>
      <c r="F439" s="1"/>
      <c r="K439" s="27"/>
      <c r="L439" s="27"/>
      <c r="M439" s="27"/>
      <c r="N439" s="27"/>
      <c r="O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58"/>
    </row>
    <row r="440" ht="17.25" customHeight="1">
      <c r="A440" s="1"/>
      <c r="B440" s="1"/>
      <c r="C440" s="1"/>
      <c r="D440" s="1"/>
      <c r="E440" s="1"/>
      <c r="F440" s="1"/>
      <c r="K440" s="27"/>
      <c r="L440" s="27"/>
      <c r="M440" s="27"/>
      <c r="N440" s="27"/>
      <c r="O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58"/>
    </row>
    <row r="441" ht="17.25" customHeight="1">
      <c r="A441" s="1"/>
      <c r="B441" s="1"/>
      <c r="C441" s="1"/>
      <c r="D441" s="1"/>
      <c r="E441" s="1"/>
      <c r="F441" s="1"/>
      <c r="K441" s="27"/>
      <c r="L441" s="27"/>
      <c r="M441" s="27"/>
      <c r="N441" s="27"/>
      <c r="O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58"/>
    </row>
    <row r="442" ht="17.25" customHeight="1">
      <c r="A442" s="1"/>
      <c r="B442" s="1"/>
      <c r="C442" s="1"/>
      <c r="D442" s="1"/>
      <c r="E442" s="1"/>
      <c r="F442" s="1"/>
      <c r="K442" s="27"/>
      <c r="L442" s="27"/>
      <c r="M442" s="27"/>
      <c r="N442" s="27"/>
      <c r="O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58"/>
    </row>
    <row r="443" ht="17.25" customHeight="1">
      <c r="A443" s="1"/>
      <c r="B443" s="1"/>
      <c r="C443" s="1"/>
      <c r="D443" s="1"/>
      <c r="E443" s="1"/>
      <c r="F443" s="1"/>
      <c r="K443" s="27"/>
      <c r="L443" s="27"/>
      <c r="M443" s="27"/>
      <c r="N443" s="27"/>
      <c r="O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58"/>
    </row>
    <row r="444" ht="17.25" customHeight="1">
      <c r="A444" s="1"/>
      <c r="B444" s="1"/>
      <c r="C444" s="1"/>
      <c r="D444" s="1"/>
      <c r="E444" s="1"/>
      <c r="F444" s="1"/>
      <c r="K444" s="27"/>
      <c r="L444" s="27"/>
      <c r="M444" s="27"/>
      <c r="N444" s="27"/>
      <c r="O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58"/>
    </row>
    <row r="445" ht="17.25" customHeight="1">
      <c r="A445" s="1"/>
      <c r="B445" s="1"/>
      <c r="C445" s="1"/>
      <c r="D445" s="1"/>
      <c r="E445" s="1"/>
      <c r="F445" s="1"/>
      <c r="K445" s="27"/>
      <c r="L445" s="27"/>
      <c r="M445" s="27"/>
      <c r="N445" s="27"/>
      <c r="O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58"/>
    </row>
    <row r="446" ht="17.25" customHeight="1">
      <c r="A446" s="1"/>
      <c r="B446" s="1"/>
      <c r="C446" s="1"/>
      <c r="D446" s="1"/>
      <c r="E446" s="1"/>
      <c r="F446" s="1"/>
      <c r="K446" s="27"/>
      <c r="L446" s="27"/>
      <c r="M446" s="27"/>
      <c r="N446" s="27"/>
      <c r="O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58"/>
    </row>
    <row r="447" ht="17.25" customHeight="1">
      <c r="A447" s="1"/>
      <c r="B447" s="1"/>
      <c r="C447" s="1"/>
      <c r="D447" s="1"/>
      <c r="E447" s="1"/>
      <c r="F447" s="1"/>
      <c r="K447" s="27"/>
      <c r="L447" s="27"/>
      <c r="M447" s="27"/>
      <c r="N447" s="27"/>
      <c r="O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58"/>
    </row>
    <row r="448" ht="17.25" customHeight="1">
      <c r="A448" s="1"/>
      <c r="B448" s="1"/>
      <c r="C448" s="1"/>
      <c r="D448" s="1"/>
      <c r="E448" s="1"/>
      <c r="F448" s="1"/>
      <c r="K448" s="27"/>
      <c r="L448" s="27"/>
      <c r="M448" s="27"/>
      <c r="N448" s="27"/>
      <c r="O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58"/>
    </row>
    <row r="449" ht="17.25" customHeight="1">
      <c r="A449" s="1"/>
      <c r="B449" s="1"/>
      <c r="C449" s="1"/>
      <c r="D449" s="1"/>
      <c r="E449" s="1"/>
      <c r="F449" s="1"/>
      <c r="K449" s="27"/>
      <c r="L449" s="27"/>
      <c r="M449" s="27"/>
      <c r="N449" s="27"/>
      <c r="O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58"/>
    </row>
    <row r="450" ht="17.25" customHeight="1">
      <c r="A450" s="1"/>
      <c r="B450" s="1"/>
      <c r="C450" s="1"/>
      <c r="D450" s="1"/>
      <c r="E450" s="1"/>
      <c r="F450" s="1"/>
      <c r="K450" s="27"/>
      <c r="L450" s="27"/>
      <c r="M450" s="27"/>
      <c r="N450" s="27"/>
      <c r="O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58"/>
    </row>
    <row r="451" ht="17.25" customHeight="1">
      <c r="A451" s="1"/>
      <c r="B451" s="1"/>
      <c r="C451" s="1"/>
      <c r="D451" s="1"/>
      <c r="E451" s="1"/>
      <c r="F451" s="1"/>
      <c r="K451" s="27"/>
      <c r="L451" s="27"/>
      <c r="M451" s="27"/>
      <c r="N451" s="27"/>
      <c r="O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58"/>
    </row>
    <row r="452" ht="17.25" customHeight="1">
      <c r="A452" s="1"/>
      <c r="B452" s="1"/>
      <c r="C452" s="1"/>
      <c r="D452" s="1"/>
      <c r="E452" s="1"/>
      <c r="F452" s="1"/>
      <c r="K452" s="27"/>
      <c r="L452" s="27"/>
      <c r="M452" s="27"/>
      <c r="N452" s="27"/>
      <c r="O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58"/>
    </row>
    <row r="453" ht="17.25" customHeight="1">
      <c r="A453" s="1"/>
      <c r="B453" s="1"/>
      <c r="C453" s="1"/>
      <c r="D453" s="1"/>
      <c r="E453" s="1"/>
      <c r="F453" s="1"/>
      <c r="K453" s="27"/>
      <c r="L453" s="27"/>
      <c r="M453" s="27"/>
      <c r="N453" s="27"/>
      <c r="O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58"/>
    </row>
    <row r="454" ht="17.25" customHeight="1">
      <c r="A454" s="1"/>
      <c r="B454" s="1"/>
      <c r="C454" s="1"/>
      <c r="D454" s="1"/>
      <c r="E454" s="1"/>
      <c r="F454" s="1"/>
      <c r="K454" s="27"/>
      <c r="L454" s="27"/>
      <c r="M454" s="27"/>
      <c r="N454" s="27"/>
      <c r="O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58"/>
    </row>
    <row r="455" ht="17.25" customHeight="1">
      <c r="A455" s="1"/>
      <c r="B455" s="1"/>
      <c r="C455" s="1"/>
      <c r="D455" s="1"/>
      <c r="E455" s="1"/>
      <c r="F455" s="1"/>
      <c r="K455" s="27"/>
      <c r="L455" s="27"/>
      <c r="M455" s="27"/>
      <c r="N455" s="27"/>
      <c r="O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58"/>
    </row>
    <row r="456" ht="17.25" customHeight="1">
      <c r="A456" s="1"/>
      <c r="B456" s="1"/>
      <c r="C456" s="1"/>
      <c r="D456" s="1"/>
      <c r="E456" s="1"/>
      <c r="F456" s="1"/>
      <c r="K456" s="27"/>
      <c r="L456" s="27"/>
      <c r="M456" s="27"/>
      <c r="N456" s="27"/>
      <c r="O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58"/>
    </row>
    <row r="457" ht="17.25" customHeight="1">
      <c r="A457" s="1"/>
      <c r="B457" s="1"/>
      <c r="C457" s="1"/>
      <c r="D457" s="1"/>
      <c r="E457" s="1"/>
      <c r="F457" s="1"/>
      <c r="K457" s="27"/>
      <c r="L457" s="27"/>
      <c r="M457" s="27"/>
      <c r="N457" s="27"/>
      <c r="O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58"/>
    </row>
    <row r="458" ht="17.25" customHeight="1">
      <c r="A458" s="1"/>
      <c r="B458" s="1"/>
      <c r="C458" s="1"/>
      <c r="D458" s="1"/>
      <c r="E458" s="1"/>
      <c r="F458" s="1"/>
      <c r="K458" s="27"/>
      <c r="L458" s="27"/>
      <c r="M458" s="27"/>
      <c r="N458" s="27"/>
      <c r="O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58"/>
    </row>
    <row r="459" ht="17.25" customHeight="1">
      <c r="A459" s="1"/>
      <c r="B459" s="1"/>
      <c r="C459" s="1"/>
      <c r="D459" s="1"/>
      <c r="E459" s="1"/>
      <c r="F459" s="1"/>
      <c r="K459" s="27"/>
      <c r="L459" s="27"/>
      <c r="M459" s="27"/>
      <c r="N459" s="27"/>
      <c r="O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58"/>
    </row>
    <row r="460" ht="17.25" customHeight="1">
      <c r="A460" s="1"/>
      <c r="B460" s="1"/>
      <c r="C460" s="1"/>
      <c r="D460" s="1"/>
      <c r="E460" s="1"/>
      <c r="F460" s="1"/>
      <c r="K460" s="27"/>
      <c r="L460" s="27"/>
      <c r="M460" s="27"/>
      <c r="N460" s="27"/>
      <c r="O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58"/>
    </row>
    <row r="461" ht="17.25" customHeight="1">
      <c r="A461" s="1"/>
      <c r="B461" s="1"/>
      <c r="C461" s="1"/>
      <c r="D461" s="1"/>
      <c r="E461" s="1"/>
      <c r="F461" s="1"/>
      <c r="K461" s="27"/>
      <c r="L461" s="27"/>
      <c r="M461" s="27"/>
      <c r="N461" s="27"/>
      <c r="O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58"/>
    </row>
    <row r="462" ht="17.25" customHeight="1">
      <c r="A462" s="1"/>
      <c r="B462" s="1"/>
      <c r="C462" s="1"/>
      <c r="D462" s="1"/>
      <c r="E462" s="1"/>
      <c r="F462" s="1"/>
      <c r="K462" s="27"/>
      <c r="L462" s="27"/>
      <c r="M462" s="27"/>
      <c r="N462" s="27"/>
      <c r="O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58"/>
    </row>
    <row r="463" ht="17.25" customHeight="1">
      <c r="A463" s="1"/>
      <c r="B463" s="1"/>
      <c r="C463" s="1"/>
      <c r="D463" s="1"/>
      <c r="E463" s="1"/>
      <c r="F463" s="1"/>
      <c r="K463" s="27"/>
      <c r="L463" s="27"/>
      <c r="M463" s="27"/>
      <c r="N463" s="27"/>
      <c r="O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58"/>
    </row>
    <row r="464" ht="17.25" customHeight="1">
      <c r="A464" s="1"/>
      <c r="B464" s="1"/>
      <c r="C464" s="1"/>
      <c r="D464" s="1"/>
      <c r="E464" s="1"/>
      <c r="F464" s="1"/>
      <c r="K464" s="27"/>
      <c r="L464" s="27"/>
      <c r="M464" s="27"/>
      <c r="N464" s="27"/>
      <c r="O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58"/>
    </row>
    <row r="465" ht="17.25" customHeight="1">
      <c r="A465" s="1"/>
      <c r="B465" s="1"/>
      <c r="C465" s="1"/>
      <c r="D465" s="1"/>
      <c r="E465" s="1"/>
      <c r="F465" s="1"/>
      <c r="K465" s="27"/>
      <c r="L465" s="27"/>
      <c r="M465" s="27"/>
      <c r="N465" s="27"/>
      <c r="O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58"/>
    </row>
    <row r="466" ht="17.25" customHeight="1">
      <c r="A466" s="1"/>
      <c r="B466" s="1"/>
      <c r="C466" s="1"/>
      <c r="D466" s="1"/>
      <c r="E466" s="1"/>
      <c r="F466" s="1"/>
      <c r="K466" s="27"/>
      <c r="L466" s="27"/>
      <c r="M466" s="27"/>
      <c r="N466" s="27"/>
      <c r="O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58"/>
    </row>
    <row r="467" ht="17.25" customHeight="1">
      <c r="A467" s="1"/>
      <c r="B467" s="1"/>
      <c r="C467" s="1"/>
      <c r="D467" s="1"/>
      <c r="E467" s="1"/>
      <c r="F467" s="1"/>
      <c r="K467" s="27"/>
      <c r="L467" s="27"/>
      <c r="M467" s="27"/>
      <c r="N467" s="27"/>
      <c r="O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58"/>
    </row>
    <row r="468" ht="17.25" customHeight="1">
      <c r="A468" s="1"/>
      <c r="B468" s="1"/>
      <c r="C468" s="1"/>
      <c r="D468" s="1"/>
      <c r="E468" s="1"/>
      <c r="F468" s="1"/>
      <c r="K468" s="27"/>
      <c r="L468" s="27"/>
      <c r="M468" s="27"/>
      <c r="N468" s="27"/>
      <c r="O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58"/>
    </row>
    <row r="469" ht="17.25" customHeight="1">
      <c r="A469" s="1"/>
      <c r="B469" s="1"/>
      <c r="C469" s="1"/>
      <c r="D469" s="1"/>
      <c r="E469" s="1"/>
      <c r="F469" s="1"/>
      <c r="K469" s="27"/>
      <c r="L469" s="27"/>
      <c r="M469" s="27"/>
      <c r="N469" s="27"/>
      <c r="O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58"/>
    </row>
    <row r="470" ht="17.25" customHeight="1">
      <c r="A470" s="1"/>
      <c r="B470" s="1"/>
      <c r="C470" s="1"/>
      <c r="D470" s="1"/>
      <c r="E470" s="1"/>
      <c r="F470" s="1"/>
      <c r="K470" s="27"/>
      <c r="L470" s="27"/>
      <c r="M470" s="27"/>
      <c r="N470" s="27"/>
      <c r="O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58"/>
    </row>
    <row r="471" ht="17.25" customHeight="1">
      <c r="A471" s="1"/>
      <c r="B471" s="1"/>
      <c r="C471" s="1"/>
      <c r="D471" s="1"/>
      <c r="E471" s="1"/>
      <c r="F471" s="1"/>
      <c r="K471" s="27"/>
      <c r="L471" s="27"/>
      <c r="M471" s="27"/>
      <c r="N471" s="27"/>
      <c r="O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58"/>
    </row>
    <row r="472" ht="17.25" customHeight="1">
      <c r="A472" s="1"/>
      <c r="B472" s="1"/>
      <c r="C472" s="1"/>
      <c r="D472" s="1"/>
      <c r="E472" s="1"/>
      <c r="F472" s="1"/>
      <c r="K472" s="27"/>
      <c r="L472" s="27"/>
      <c r="M472" s="27"/>
      <c r="N472" s="27"/>
      <c r="O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58"/>
    </row>
    <row r="473" ht="17.25" customHeight="1">
      <c r="A473" s="1"/>
      <c r="B473" s="1"/>
      <c r="C473" s="1"/>
      <c r="D473" s="1"/>
      <c r="E473" s="1"/>
      <c r="F473" s="1"/>
      <c r="K473" s="27"/>
      <c r="L473" s="27"/>
      <c r="M473" s="27"/>
      <c r="N473" s="27"/>
      <c r="O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58"/>
    </row>
    <row r="474" ht="17.25" customHeight="1">
      <c r="A474" s="1"/>
      <c r="B474" s="1"/>
      <c r="C474" s="1"/>
      <c r="D474" s="1"/>
      <c r="E474" s="1"/>
      <c r="F474" s="1"/>
      <c r="K474" s="27"/>
      <c r="L474" s="27"/>
      <c r="M474" s="27"/>
      <c r="N474" s="27"/>
      <c r="O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58"/>
    </row>
    <row r="475" ht="17.25" customHeight="1">
      <c r="A475" s="1"/>
      <c r="B475" s="1"/>
      <c r="C475" s="1"/>
      <c r="D475" s="1"/>
      <c r="E475" s="1"/>
      <c r="F475" s="1"/>
      <c r="K475" s="27"/>
      <c r="L475" s="27"/>
      <c r="M475" s="27"/>
      <c r="N475" s="27"/>
      <c r="O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58"/>
    </row>
    <row r="476" ht="17.25" customHeight="1">
      <c r="A476" s="1"/>
      <c r="B476" s="1"/>
      <c r="C476" s="1"/>
      <c r="D476" s="1"/>
      <c r="E476" s="1"/>
      <c r="F476" s="1"/>
      <c r="K476" s="27"/>
      <c r="L476" s="27"/>
      <c r="M476" s="27"/>
      <c r="N476" s="27"/>
      <c r="O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58"/>
    </row>
    <row r="477" ht="17.25" customHeight="1">
      <c r="A477" s="1"/>
      <c r="B477" s="1"/>
      <c r="C477" s="1"/>
      <c r="D477" s="1"/>
      <c r="E477" s="1"/>
      <c r="F477" s="1"/>
      <c r="K477" s="27"/>
      <c r="L477" s="27"/>
      <c r="M477" s="27"/>
      <c r="N477" s="27"/>
      <c r="O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58"/>
    </row>
    <row r="478" ht="17.25" customHeight="1">
      <c r="A478" s="1"/>
      <c r="B478" s="1"/>
      <c r="C478" s="1"/>
      <c r="D478" s="1"/>
      <c r="E478" s="1"/>
      <c r="F478" s="1"/>
      <c r="K478" s="27"/>
      <c r="L478" s="27"/>
      <c r="M478" s="27"/>
      <c r="N478" s="27"/>
      <c r="O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58"/>
    </row>
    <row r="479" ht="17.25" customHeight="1">
      <c r="A479" s="1"/>
      <c r="B479" s="1"/>
      <c r="C479" s="1"/>
      <c r="D479" s="1"/>
      <c r="E479" s="1"/>
      <c r="F479" s="1"/>
      <c r="K479" s="27"/>
      <c r="L479" s="27"/>
      <c r="M479" s="27"/>
      <c r="N479" s="27"/>
      <c r="O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58"/>
    </row>
    <row r="480" ht="17.25" customHeight="1">
      <c r="A480" s="1"/>
      <c r="B480" s="1"/>
      <c r="C480" s="1"/>
      <c r="D480" s="1"/>
      <c r="E480" s="1"/>
      <c r="F480" s="1"/>
      <c r="K480" s="27"/>
      <c r="L480" s="27"/>
      <c r="M480" s="27"/>
      <c r="N480" s="27"/>
      <c r="O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58"/>
    </row>
    <row r="481" ht="17.25" customHeight="1">
      <c r="A481" s="1"/>
      <c r="B481" s="1"/>
      <c r="C481" s="1"/>
      <c r="D481" s="1"/>
      <c r="E481" s="1"/>
      <c r="F481" s="1"/>
      <c r="K481" s="27"/>
      <c r="L481" s="27"/>
      <c r="M481" s="27"/>
      <c r="N481" s="27"/>
      <c r="O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58"/>
    </row>
    <row r="482" ht="17.25" customHeight="1">
      <c r="A482" s="1"/>
      <c r="B482" s="1"/>
      <c r="C482" s="1"/>
      <c r="D482" s="1"/>
      <c r="E482" s="1"/>
      <c r="F482" s="1"/>
      <c r="K482" s="27"/>
      <c r="L482" s="27"/>
      <c r="M482" s="27"/>
      <c r="N482" s="27"/>
      <c r="O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58"/>
    </row>
    <row r="483" ht="17.25" customHeight="1">
      <c r="A483" s="1"/>
      <c r="B483" s="1"/>
      <c r="C483" s="1"/>
      <c r="D483" s="1"/>
      <c r="E483" s="1"/>
      <c r="F483" s="1"/>
      <c r="K483" s="27"/>
      <c r="L483" s="27"/>
      <c r="M483" s="27"/>
      <c r="N483" s="27"/>
      <c r="O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58"/>
    </row>
    <row r="484" ht="17.25" customHeight="1">
      <c r="A484" s="1"/>
      <c r="B484" s="1"/>
      <c r="C484" s="1"/>
      <c r="D484" s="1"/>
      <c r="E484" s="1"/>
      <c r="F484" s="1"/>
      <c r="K484" s="27"/>
      <c r="L484" s="27"/>
      <c r="M484" s="27"/>
      <c r="N484" s="27"/>
      <c r="O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58"/>
    </row>
    <row r="485" ht="17.25" customHeight="1">
      <c r="A485" s="1"/>
      <c r="B485" s="1"/>
      <c r="C485" s="1"/>
      <c r="D485" s="1"/>
      <c r="E485" s="1"/>
      <c r="F485" s="1"/>
      <c r="K485" s="27"/>
      <c r="L485" s="27"/>
      <c r="M485" s="27"/>
      <c r="N485" s="27"/>
      <c r="O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58"/>
    </row>
    <row r="486" ht="17.25" customHeight="1">
      <c r="A486" s="1"/>
      <c r="B486" s="1"/>
      <c r="C486" s="1"/>
      <c r="D486" s="1"/>
      <c r="E486" s="1"/>
      <c r="F486" s="1"/>
      <c r="K486" s="27"/>
      <c r="L486" s="27"/>
      <c r="M486" s="27"/>
      <c r="N486" s="27"/>
      <c r="O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58"/>
    </row>
    <row r="487" ht="17.25" customHeight="1">
      <c r="A487" s="1"/>
      <c r="B487" s="1"/>
      <c r="C487" s="1"/>
      <c r="D487" s="1"/>
      <c r="E487" s="1"/>
      <c r="F487" s="1"/>
      <c r="K487" s="27"/>
      <c r="L487" s="27"/>
      <c r="M487" s="27"/>
      <c r="N487" s="27"/>
      <c r="O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58"/>
    </row>
    <row r="488" ht="17.25" customHeight="1">
      <c r="A488" s="1"/>
      <c r="B488" s="1"/>
      <c r="C488" s="1"/>
      <c r="D488" s="1"/>
      <c r="E488" s="1"/>
      <c r="F488" s="1"/>
      <c r="K488" s="27"/>
      <c r="L488" s="27"/>
      <c r="M488" s="27"/>
      <c r="N488" s="27"/>
      <c r="O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58"/>
    </row>
    <row r="489" ht="17.25" customHeight="1">
      <c r="A489" s="1"/>
      <c r="B489" s="1"/>
      <c r="C489" s="1"/>
      <c r="D489" s="1"/>
      <c r="E489" s="1"/>
      <c r="F489" s="1"/>
      <c r="K489" s="27"/>
      <c r="L489" s="27"/>
      <c r="M489" s="27"/>
      <c r="N489" s="27"/>
      <c r="O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58"/>
    </row>
    <row r="490" ht="17.25" customHeight="1">
      <c r="A490" s="1"/>
      <c r="B490" s="1"/>
      <c r="C490" s="1"/>
      <c r="D490" s="1"/>
      <c r="E490" s="1"/>
      <c r="F490" s="1"/>
      <c r="K490" s="27"/>
      <c r="L490" s="27"/>
      <c r="M490" s="27"/>
      <c r="N490" s="27"/>
      <c r="O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58"/>
    </row>
    <row r="491" ht="17.25" customHeight="1">
      <c r="A491" s="1"/>
      <c r="B491" s="1"/>
      <c r="C491" s="1"/>
      <c r="D491" s="1"/>
      <c r="E491" s="1"/>
      <c r="F491" s="1"/>
      <c r="K491" s="27"/>
      <c r="L491" s="27"/>
      <c r="M491" s="27"/>
      <c r="N491" s="27"/>
      <c r="O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58"/>
    </row>
    <row r="492" ht="17.25" customHeight="1">
      <c r="A492" s="1"/>
      <c r="B492" s="1"/>
      <c r="C492" s="1"/>
      <c r="D492" s="1"/>
      <c r="E492" s="1"/>
      <c r="F492" s="1"/>
      <c r="K492" s="27"/>
      <c r="L492" s="27"/>
      <c r="M492" s="27"/>
      <c r="N492" s="27"/>
      <c r="O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58"/>
    </row>
    <row r="493" ht="17.25" customHeight="1">
      <c r="A493" s="1"/>
      <c r="B493" s="1"/>
      <c r="C493" s="1"/>
      <c r="D493" s="1"/>
      <c r="E493" s="1"/>
      <c r="F493" s="1"/>
      <c r="K493" s="27"/>
      <c r="L493" s="27"/>
      <c r="M493" s="27"/>
      <c r="N493" s="27"/>
      <c r="O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58"/>
    </row>
    <row r="494" ht="17.25" customHeight="1">
      <c r="A494" s="1"/>
      <c r="B494" s="1"/>
      <c r="C494" s="1"/>
      <c r="D494" s="1"/>
      <c r="E494" s="1"/>
      <c r="F494" s="1"/>
      <c r="K494" s="27"/>
      <c r="L494" s="27"/>
      <c r="M494" s="27"/>
      <c r="N494" s="27"/>
      <c r="O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58"/>
    </row>
    <row r="495" ht="17.25" customHeight="1">
      <c r="A495" s="1"/>
      <c r="B495" s="1"/>
      <c r="C495" s="1"/>
      <c r="D495" s="1"/>
      <c r="E495" s="1"/>
      <c r="F495" s="1"/>
      <c r="K495" s="27"/>
      <c r="L495" s="27"/>
      <c r="M495" s="27"/>
      <c r="N495" s="27"/>
      <c r="O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58"/>
    </row>
    <row r="496" ht="17.25" customHeight="1">
      <c r="A496" s="1"/>
      <c r="B496" s="1"/>
      <c r="C496" s="1"/>
      <c r="D496" s="1"/>
      <c r="E496" s="1"/>
      <c r="F496" s="1"/>
      <c r="K496" s="27"/>
      <c r="L496" s="27"/>
      <c r="M496" s="27"/>
      <c r="N496" s="27"/>
      <c r="O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58"/>
    </row>
    <row r="497" ht="17.25" customHeight="1">
      <c r="A497" s="1"/>
      <c r="B497" s="1"/>
      <c r="C497" s="1"/>
      <c r="D497" s="1"/>
      <c r="E497" s="1"/>
      <c r="F497" s="1"/>
      <c r="K497" s="27"/>
      <c r="L497" s="27"/>
      <c r="M497" s="27"/>
      <c r="N497" s="27"/>
      <c r="O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58"/>
    </row>
    <row r="498" ht="17.25" customHeight="1">
      <c r="A498" s="1"/>
      <c r="B498" s="1"/>
      <c r="C498" s="1"/>
      <c r="D498" s="1"/>
      <c r="E498" s="1"/>
      <c r="F498" s="1"/>
      <c r="K498" s="27"/>
      <c r="L498" s="27"/>
      <c r="M498" s="27"/>
      <c r="N498" s="27"/>
      <c r="O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58"/>
    </row>
    <row r="499" ht="17.25" customHeight="1">
      <c r="A499" s="1"/>
      <c r="B499" s="1"/>
      <c r="C499" s="1"/>
      <c r="D499" s="1"/>
      <c r="E499" s="1"/>
      <c r="F499" s="1"/>
      <c r="K499" s="27"/>
      <c r="L499" s="27"/>
      <c r="M499" s="27"/>
      <c r="N499" s="27"/>
      <c r="O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58"/>
    </row>
    <row r="500" ht="17.25" customHeight="1">
      <c r="A500" s="1"/>
      <c r="B500" s="1"/>
      <c r="C500" s="1"/>
      <c r="D500" s="1"/>
      <c r="E500" s="1"/>
      <c r="F500" s="1"/>
      <c r="K500" s="27"/>
      <c r="L500" s="27"/>
      <c r="M500" s="27"/>
      <c r="N500" s="27"/>
      <c r="O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58"/>
    </row>
    <row r="501" ht="17.25" customHeight="1">
      <c r="A501" s="1"/>
      <c r="B501" s="1"/>
      <c r="C501" s="1"/>
      <c r="D501" s="1"/>
      <c r="E501" s="1"/>
      <c r="F501" s="1"/>
      <c r="K501" s="27"/>
      <c r="L501" s="27"/>
      <c r="M501" s="27"/>
      <c r="N501" s="27"/>
      <c r="O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58"/>
    </row>
    <row r="502" ht="17.25" customHeight="1">
      <c r="A502" s="1"/>
      <c r="B502" s="1"/>
      <c r="C502" s="1"/>
      <c r="D502" s="1"/>
      <c r="E502" s="1"/>
      <c r="F502" s="1"/>
      <c r="K502" s="27"/>
      <c r="L502" s="27"/>
      <c r="M502" s="27"/>
      <c r="N502" s="27"/>
      <c r="O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58"/>
    </row>
    <row r="503" ht="17.25" customHeight="1">
      <c r="A503" s="1"/>
      <c r="B503" s="1"/>
      <c r="C503" s="1"/>
      <c r="D503" s="1"/>
      <c r="E503" s="1"/>
      <c r="F503" s="1"/>
      <c r="K503" s="27"/>
      <c r="L503" s="27"/>
      <c r="M503" s="27"/>
      <c r="N503" s="27"/>
      <c r="O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58"/>
    </row>
    <row r="504" ht="17.25" customHeight="1">
      <c r="A504" s="1"/>
      <c r="B504" s="1"/>
      <c r="C504" s="1"/>
      <c r="D504" s="1"/>
      <c r="E504" s="1"/>
      <c r="F504" s="1"/>
      <c r="K504" s="27"/>
      <c r="L504" s="27"/>
      <c r="M504" s="27"/>
      <c r="N504" s="27"/>
      <c r="O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58"/>
    </row>
    <row r="505" ht="17.25" customHeight="1">
      <c r="A505" s="1"/>
      <c r="B505" s="1"/>
      <c r="C505" s="1"/>
      <c r="D505" s="1"/>
      <c r="E505" s="1"/>
      <c r="F505" s="1"/>
      <c r="K505" s="27"/>
      <c r="L505" s="27"/>
      <c r="M505" s="27"/>
      <c r="N505" s="27"/>
      <c r="O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58"/>
    </row>
    <row r="506" ht="17.25" customHeight="1">
      <c r="A506" s="1"/>
      <c r="B506" s="1"/>
      <c r="C506" s="1"/>
      <c r="D506" s="1"/>
      <c r="E506" s="1"/>
      <c r="F506" s="1"/>
      <c r="K506" s="27"/>
      <c r="L506" s="27"/>
      <c r="M506" s="27"/>
      <c r="N506" s="27"/>
      <c r="O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58"/>
    </row>
    <row r="507" ht="17.25" customHeight="1">
      <c r="A507" s="1"/>
      <c r="B507" s="1"/>
      <c r="C507" s="1"/>
      <c r="D507" s="1"/>
      <c r="E507" s="1"/>
      <c r="F507" s="1"/>
      <c r="K507" s="27"/>
      <c r="L507" s="27"/>
      <c r="M507" s="27"/>
      <c r="N507" s="27"/>
      <c r="O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58"/>
    </row>
    <row r="508" ht="17.25" customHeight="1">
      <c r="A508" s="1"/>
      <c r="B508" s="1"/>
      <c r="C508" s="1"/>
      <c r="D508" s="1"/>
      <c r="E508" s="1"/>
      <c r="F508" s="1"/>
      <c r="K508" s="27"/>
      <c r="L508" s="27"/>
      <c r="M508" s="27"/>
      <c r="N508" s="27"/>
      <c r="O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58"/>
    </row>
    <row r="509" ht="17.25" customHeight="1">
      <c r="A509" s="1"/>
      <c r="B509" s="1"/>
      <c r="C509" s="1"/>
      <c r="D509" s="1"/>
      <c r="E509" s="1"/>
      <c r="F509" s="1"/>
      <c r="K509" s="27"/>
      <c r="L509" s="27"/>
      <c r="M509" s="27"/>
      <c r="N509" s="27"/>
      <c r="O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58"/>
    </row>
    <row r="510" ht="17.25" customHeight="1">
      <c r="A510" s="1"/>
      <c r="B510" s="1"/>
      <c r="C510" s="1"/>
      <c r="D510" s="1"/>
      <c r="E510" s="1"/>
      <c r="F510" s="1"/>
      <c r="K510" s="27"/>
      <c r="L510" s="27"/>
      <c r="M510" s="27"/>
      <c r="N510" s="27"/>
      <c r="O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58"/>
    </row>
    <row r="511" ht="17.25" customHeight="1">
      <c r="A511" s="1"/>
      <c r="B511" s="1"/>
      <c r="C511" s="1"/>
      <c r="D511" s="1"/>
      <c r="E511" s="1"/>
      <c r="F511" s="1"/>
      <c r="K511" s="27"/>
      <c r="L511" s="27"/>
      <c r="M511" s="27"/>
      <c r="N511" s="27"/>
      <c r="O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58"/>
    </row>
    <row r="512" ht="17.25" customHeight="1">
      <c r="A512" s="1"/>
      <c r="B512" s="1"/>
      <c r="C512" s="1"/>
      <c r="D512" s="1"/>
      <c r="E512" s="1"/>
      <c r="F512" s="1"/>
      <c r="K512" s="27"/>
      <c r="L512" s="27"/>
      <c r="M512" s="27"/>
      <c r="N512" s="27"/>
      <c r="O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58"/>
    </row>
    <row r="513" ht="17.25" customHeight="1">
      <c r="A513" s="1"/>
      <c r="B513" s="1"/>
      <c r="C513" s="1"/>
      <c r="D513" s="1"/>
      <c r="E513" s="1"/>
      <c r="F513" s="1"/>
      <c r="K513" s="27"/>
      <c r="L513" s="27"/>
      <c r="M513" s="27"/>
      <c r="N513" s="27"/>
      <c r="O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58"/>
    </row>
    <row r="514" ht="17.25" customHeight="1">
      <c r="A514" s="1"/>
      <c r="B514" s="1"/>
      <c r="C514" s="1"/>
      <c r="D514" s="1"/>
      <c r="E514" s="1"/>
      <c r="F514" s="1"/>
      <c r="K514" s="27"/>
      <c r="L514" s="27"/>
      <c r="M514" s="27"/>
      <c r="N514" s="27"/>
      <c r="O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58"/>
    </row>
    <row r="515" ht="17.25" customHeight="1">
      <c r="A515" s="1"/>
      <c r="B515" s="1"/>
      <c r="C515" s="1"/>
      <c r="D515" s="1"/>
      <c r="E515" s="1"/>
      <c r="F515" s="1"/>
      <c r="K515" s="27"/>
      <c r="L515" s="27"/>
      <c r="M515" s="27"/>
      <c r="N515" s="27"/>
      <c r="O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58"/>
    </row>
    <row r="516" ht="17.25" customHeight="1">
      <c r="A516" s="1"/>
      <c r="B516" s="1"/>
      <c r="C516" s="1"/>
      <c r="D516" s="1"/>
      <c r="E516" s="1"/>
      <c r="F516" s="1"/>
      <c r="K516" s="27"/>
      <c r="L516" s="27"/>
      <c r="M516" s="27"/>
      <c r="N516" s="27"/>
      <c r="O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58"/>
    </row>
    <row r="517" ht="17.25" customHeight="1">
      <c r="A517" s="1"/>
      <c r="B517" s="1"/>
      <c r="C517" s="1"/>
      <c r="D517" s="1"/>
      <c r="E517" s="1"/>
      <c r="F517" s="1"/>
      <c r="K517" s="27"/>
      <c r="L517" s="27"/>
      <c r="M517" s="27"/>
      <c r="N517" s="27"/>
      <c r="O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58"/>
    </row>
    <row r="518" ht="17.25" customHeight="1">
      <c r="A518" s="1"/>
      <c r="B518" s="1"/>
      <c r="C518" s="1"/>
      <c r="D518" s="1"/>
      <c r="E518" s="1"/>
      <c r="F518" s="1"/>
      <c r="K518" s="27"/>
      <c r="L518" s="27"/>
      <c r="M518" s="27"/>
      <c r="N518" s="27"/>
      <c r="O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58"/>
    </row>
    <row r="519" ht="17.25" customHeight="1">
      <c r="A519" s="1"/>
      <c r="B519" s="1"/>
      <c r="C519" s="1"/>
      <c r="D519" s="1"/>
      <c r="E519" s="1"/>
      <c r="F519" s="1"/>
      <c r="K519" s="27"/>
      <c r="L519" s="27"/>
      <c r="M519" s="27"/>
      <c r="N519" s="27"/>
      <c r="O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58"/>
    </row>
    <row r="520" ht="17.25" customHeight="1">
      <c r="A520" s="1"/>
      <c r="B520" s="1"/>
      <c r="C520" s="1"/>
      <c r="D520" s="1"/>
      <c r="E520" s="1"/>
      <c r="F520" s="1"/>
      <c r="K520" s="27"/>
      <c r="L520" s="27"/>
      <c r="M520" s="27"/>
      <c r="N520" s="27"/>
      <c r="O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58"/>
    </row>
    <row r="521" ht="17.25" customHeight="1">
      <c r="A521" s="1"/>
      <c r="B521" s="1"/>
      <c r="C521" s="1"/>
      <c r="D521" s="1"/>
      <c r="E521" s="1"/>
      <c r="F521" s="1"/>
      <c r="K521" s="27"/>
      <c r="L521" s="27"/>
      <c r="M521" s="27"/>
      <c r="N521" s="27"/>
      <c r="O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58"/>
    </row>
    <row r="522" ht="17.25" customHeight="1">
      <c r="A522" s="1"/>
      <c r="B522" s="1"/>
      <c r="C522" s="1"/>
      <c r="D522" s="1"/>
      <c r="E522" s="1"/>
      <c r="F522" s="1"/>
      <c r="K522" s="27"/>
      <c r="L522" s="27"/>
      <c r="M522" s="27"/>
      <c r="N522" s="27"/>
      <c r="O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58"/>
    </row>
    <row r="523" ht="17.25" customHeight="1">
      <c r="A523" s="1"/>
      <c r="B523" s="1"/>
      <c r="C523" s="1"/>
      <c r="D523" s="1"/>
      <c r="E523" s="1"/>
      <c r="F523" s="1"/>
      <c r="K523" s="27"/>
      <c r="L523" s="27"/>
      <c r="M523" s="27"/>
      <c r="N523" s="27"/>
      <c r="O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58"/>
    </row>
    <row r="524" ht="17.25" customHeight="1">
      <c r="A524" s="1"/>
      <c r="B524" s="1"/>
      <c r="C524" s="1"/>
      <c r="D524" s="1"/>
      <c r="E524" s="1"/>
      <c r="F524" s="1"/>
      <c r="K524" s="27"/>
      <c r="L524" s="27"/>
      <c r="M524" s="27"/>
      <c r="N524" s="27"/>
      <c r="O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58"/>
    </row>
    <row r="525" ht="17.25" customHeight="1">
      <c r="A525" s="1"/>
      <c r="B525" s="1"/>
      <c r="C525" s="1"/>
      <c r="D525" s="1"/>
      <c r="E525" s="1"/>
      <c r="F525" s="1"/>
      <c r="K525" s="27"/>
      <c r="L525" s="27"/>
      <c r="M525" s="27"/>
      <c r="N525" s="27"/>
      <c r="O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58"/>
    </row>
    <row r="526" ht="17.25" customHeight="1">
      <c r="A526" s="1"/>
      <c r="B526" s="1"/>
      <c r="C526" s="1"/>
      <c r="D526" s="1"/>
      <c r="E526" s="1"/>
      <c r="F526" s="1"/>
      <c r="K526" s="27"/>
      <c r="L526" s="27"/>
      <c r="M526" s="27"/>
      <c r="N526" s="27"/>
      <c r="O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58"/>
    </row>
    <row r="527" ht="17.25" customHeight="1">
      <c r="A527" s="1"/>
      <c r="B527" s="1"/>
      <c r="C527" s="1"/>
      <c r="D527" s="1"/>
      <c r="E527" s="1"/>
      <c r="F527" s="1"/>
      <c r="K527" s="27"/>
      <c r="L527" s="27"/>
      <c r="M527" s="27"/>
      <c r="N527" s="27"/>
      <c r="O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58"/>
    </row>
    <row r="528" ht="17.25" customHeight="1">
      <c r="A528" s="1"/>
      <c r="B528" s="1"/>
      <c r="C528" s="1"/>
      <c r="D528" s="1"/>
      <c r="E528" s="1"/>
      <c r="F528" s="1"/>
      <c r="K528" s="27"/>
      <c r="L528" s="27"/>
      <c r="M528" s="27"/>
      <c r="N528" s="27"/>
      <c r="O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58"/>
    </row>
    <row r="529" ht="17.25" customHeight="1">
      <c r="A529" s="1"/>
      <c r="B529" s="1"/>
      <c r="C529" s="1"/>
      <c r="D529" s="1"/>
      <c r="E529" s="1"/>
      <c r="F529" s="1"/>
      <c r="K529" s="27"/>
      <c r="L529" s="27"/>
      <c r="M529" s="27"/>
      <c r="N529" s="27"/>
      <c r="O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58"/>
    </row>
    <row r="530" ht="17.25" customHeight="1">
      <c r="A530" s="1"/>
      <c r="B530" s="1"/>
      <c r="C530" s="1"/>
      <c r="D530" s="1"/>
      <c r="E530" s="1"/>
      <c r="F530" s="1"/>
      <c r="K530" s="27"/>
      <c r="L530" s="27"/>
      <c r="M530" s="27"/>
      <c r="N530" s="27"/>
      <c r="O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58"/>
    </row>
    <row r="531" ht="17.25" customHeight="1">
      <c r="A531" s="1"/>
      <c r="B531" s="1"/>
      <c r="C531" s="1"/>
      <c r="D531" s="1"/>
      <c r="E531" s="1"/>
      <c r="F531" s="1"/>
      <c r="K531" s="27"/>
      <c r="L531" s="27"/>
      <c r="M531" s="27"/>
      <c r="N531" s="27"/>
      <c r="O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58"/>
    </row>
    <row r="532" ht="17.25" customHeight="1">
      <c r="A532" s="1"/>
      <c r="B532" s="1"/>
      <c r="C532" s="1"/>
      <c r="D532" s="1"/>
      <c r="E532" s="1"/>
      <c r="F532" s="1"/>
      <c r="K532" s="27"/>
      <c r="L532" s="27"/>
      <c r="M532" s="27"/>
      <c r="N532" s="27"/>
      <c r="O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58"/>
    </row>
    <row r="533" ht="17.25" customHeight="1">
      <c r="A533" s="1"/>
      <c r="B533" s="1"/>
      <c r="C533" s="1"/>
      <c r="D533" s="1"/>
      <c r="E533" s="1"/>
      <c r="F533" s="1"/>
      <c r="K533" s="27"/>
      <c r="L533" s="27"/>
      <c r="M533" s="27"/>
      <c r="N533" s="27"/>
      <c r="O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58"/>
    </row>
    <row r="534" ht="17.25" customHeight="1">
      <c r="A534" s="1"/>
      <c r="B534" s="1"/>
      <c r="C534" s="1"/>
      <c r="D534" s="1"/>
      <c r="E534" s="1"/>
      <c r="F534" s="1"/>
      <c r="K534" s="27"/>
      <c r="L534" s="27"/>
      <c r="M534" s="27"/>
      <c r="N534" s="27"/>
      <c r="O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58"/>
    </row>
    <row r="535" ht="17.25" customHeight="1">
      <c r="A535" s="1"/>
      <c r="B535" s="1"/>
      <c r="C535" s="1"/>
      <c r="D535" s="1"/>
      <c r="E535" s="1"/>
      <c r="F535" s="1"/>
      <c r="K535" s="27"/>
      <c r="L535" s="27"/>
      <c r="M535" s="27"/>
      <c r="N535" s="27"/>
      <c r="O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58"/>
    </row>
    <row r="536" ht="17.25" customHeight="1">
      <c r="A536" s="1"/>
      <c r="B536" s="1"/>
      <c r="C536" s="1"/>
      <c r="D536" s="1"/>
      <c r="E536" s="1"/>
      <c r="F536" s="1"/>
      <c r="K536" s="27"/>
      <c r="L536" s="27"/>
      <c r="M536" s="27"/>
      <c r="N536" s="27"/>
      <c r="O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58"/>
    </row>
    <row r="537" ht="17.25" customHeight="1">
      <c r="A537" s="1"/>
      <c r="B537" s="1"/>
      <c r="C537" s="1"/>
      <c r="D537" s="1"/>
      <c r="E537" s="1"/>
      <c r="F537" s="1"/>
      <c r="K537" s="27"/>
      <c r="L537" s="27"/>
      <c r="M537" s="27"/>
      <c r="N537" s="27"/>
      <c r="O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58"/>
    </row>
    <row r="538" ht="17.25" customHeight="1">
      <c r="A538" s="1"/>
      <c r="B538" s="1"/>
      <c r="C538" s="1"/>
      <c r="D538" s="1"/>
      <c r="E538" s="1"/>
      <c r="F538" s="1"/>
      <c r="K538" s="27"/>
      <c r="L538" s="27"/>
      <c r="M538" s="27"/>
      <c r="N538" s="27"/>
      <c r="O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58"/>
    </row>
    <row r="539" ht="17.25" customHeight="1">
      <c r="A539" s="1"/>
      <c r="B539" s="1"/>
      <c r="C539" s="1"/>
      <c r="D539" s="1"/>
      <c r="E539" s="1"/>
      <c r="F539" s="1"/>
      <c r="K539" s="27"/>
      <c r="L539" s="27"/>
      <c r="M539" s="27"/>
      <c r="N539" s="27"/>
      <c r="O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58"/>
    </row>
    <row r="540" ht="17.25" customHeight="1">
      <c r="A540" s="1"/>
      <c r="B540" s="1"/>
      <c r="C540" s="1"/>
      <c r="D540" s="1"/>
      <c r="E540" s="1"/>
      <c r="F540" s="1"/>
      <c r="K540" s="27"/>
      <c r="L540" s="27"/>
      <c r="M540" s="27"/>
      <c r="N540" s="27"/>
      <c r="O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58"/>
    </row>
    <row r="541" ht="17.25" customHeight="1">
      <c r="A541" s="1"/>
      <c r="B541" s="1"/>
      <c r="C541" s="1"/>
      <c r="D541" s="1"/>
      <c r="E541" s="1"/>
      <c r="F541" s="1"/>
      <c r="K541" s="27"/>
      <c r="L541" s="27"/>
      <c r="M541" s="27"/>
      <c r="N541" s="27"/>
      <c r="O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58"/>
    </row>
    <row r="542" ht="17.25" customHeight="1">
      <c r="A542" s="1"/>
      <c r="B542" s="1"/>
      <c r="C542" s="1"/>
      <c r="D542" s="1"/>
      <c r="E542" s="1"/>
      <c r="F542" s="1"/>
      <c r="K542" s="27"/>
      <c r="L542" s="27"/>
      <c r="M542" s="27"/>
      <c r="N542" s="27"/>
      <c r="O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58"/>
    </row>
    <row r="543" ht="17.25" customHeight="1">
      <c r="A543" s="1"/>
      <c r="B543" s="1"/>
      <c r="C543" s="1"/>
      <c r="D543" s="1"/>
      <c r="E543" s="1"/>
      <c r="F543" s="1"/>
      <c r="K543" s="27"/>
      <c r="L543" s="27"/>
      <c r="M543" s="27"/>
      <c r="N543" s="27"/>
      <c r="O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58"/>
    </row>
    <row r="544" ht="17.25" customHeight="1">
      <c r="A544" s="1"/>
      <c r="B544" s="1"/>
      <c r="C544" s="1"/>
      <c r="D544" s="1"/>
      <c r="E544" s="1"/>
      <c r="F544" s="1"/>
      <c r="K544" s="27"/>
      <c r="L544" s="27"/>
      <c r="M544" s="27"/>
      <c r="N544" s="27"/>
      <c r="O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58"/>
    </row>
    <row r="545" ht="17.25" customHeight="1">
      <c r="A545" s="1"/>
      <c r="B545" s="1"/>
      <c r="C545" s="1"/>
      <c r="D545" s="1"/>
      <c r="E545" s="1"/>
      <c r="F545" s="1"/>
      <c r="K545" s="27"/>
      <c r="L545" s="27"/>
      <c r="M545" s="27"/>
      <c r="N545" s="27"/>
      <c r="O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58"/>
    </row>
    <row r="546" ht="17.25" customHeight="1">
      <c r="A546" s="1"/>
      <c r="B546" s="1"/>
      <c r="C546" s="1"/>
      <c r="D546" s="1"/>
      <c r="E546" s="1"/>
      <c r="F546" s="1"/>
      <c r="K546" s="27"/>
      <c r="L546" s="27"/>
      <c r="M546" s="27"/>
      <c r="N546" s="27"/>
      <c r="O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58"/>
    </row>
    <row r="547" ht="17.25" customHeight="1">
      <c r="A547" s="1"/>
      <c r="B547" s="1"/>
      <c r="C547" s="1"/>
      <c r="D547" s="1"/>
      <c r="E547" s="1"/>
      <c r="F547" s="1"/>
      <c r="K547" s="27"/>
      <c r="L547" s="27"/>
      <c r="M547" s="27"/>
      <c r="N547" s="27"/>
      <c r="O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58"/>
    </row>
    <row r="548" ht="17.25" customHeight="1">
      <c r="A548" s="1"/>
      <c r="B548" s="1"/>
      <c r="C548" s="1"/>
      <c r="D548" s="1"/>
      <c r="E548" s="1"/>
      <c r="F548" s="1"/>
      <c r="K548" s="27"/>
      <c r="L548" s="27"/>
      <c r="M548" s="27"/>
      <c r="N548" s="27"/>
      <c r="O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58"/>
    </row>
    <row r="549" ht="17.25" customHeight="1">
      <c r="A549" s="1"/>
      <c r="B549" s="1"/>
      <c r="C549" s="1"/>
      <c r="D549" s="1"/>
      <c r="E549" s="1"/>
      <c r="F549" s="1"/>
      <c r="K549" s="27"/>
      <c r="L549" s="27"/>
      <c r="M549" s="27"/>
      <c r="N549" s="27"/>
      <c r="O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58"/>
    </row>
    <row r="550" ht="17.25" customHeight="1">
      <c r="A550" s="1"/>
      <c r="B550" s="1"/>
      <c r="C550" s="1"/>
      <c r="D550" s="1"/>
      <c r="E550" s="1"/>
      <c r="F550" s="1"/>
      <c r="K550" s="27"/>
      <c r="L550" s="27"/>
      <c r="M550" s="27"/>
      <c r="N550" s="27"/>
      <c r="O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58"/>
    </row>
    <row r="551" ht="17.25" customHeight="1">
      <c r="A551" s="1"/>
      <c r="B551" s="1"/>
      <c r="C551" s="1"/>
      <c r="D551" s="1"/>
      <c r="E551" s="1"/>
      <c r="F551" s="1"/>
      <c r="K551" s="27"/>
      <c r="L551" s="27"/>
      <c r="M551" s="27"/>
      <c r="N551" s="27"/>
      <c r="O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58"/>
    </row>
    <row r="552" ht="17.25" customHeight="1">
      <c r="A552" s="1"/>
      <c r="B552" s="1"/>
      <c r="C552" s="1"/>
      <c r="D552" s="1"/>
      <c r="E552" s="1"/>
      <c r="F552" s="1"/>
      <c r="K552" s="27"/>
      <c r="L552" s="27"/>
      <c r="M552" s="27"/>
      <c r="N552" s="27"/>
      <c r="O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58"/>
    </row>
    <row r="553" ht="17.25" customHeight="1">
      <c r="A553" s="1"/>
      <c r="B553" s="1"/>
      <c r="C553" s="1"/>
      <c r="D553" s="1"/>
      <c r="E553" s="1"/>
      <c r="F553" s="1"/>
      <c r="K553" s="27"/>
      <c r="L553" s="27"/>
      <c r="M553" s="27"/>
      <c r="N553" s="27"/>
      <c r="O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58"/>
    </row>
    <row r="554" ht="17.25" customHeight="1">
      <c r="A554" s="1"/>
      <c r="B554" s="1"/>
      <c r="C554" s="1"/>
      <c r="D554" s="1"/>
      <c r="E554" s="1"/>
      <c r="F554" s="1"/>
      <c r="K554" s="27"/>
      <c r="L554" s="27"/>
      <c r="M554" s="27"/>
      <c r="N554" s="27"/>
      <c r="O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58"/>
    </row>
    <row r="555" ht="17.25" customHeight="1">
      <c r="A555" s="1"/>
      <c r="B555" s="1"/>
      <c r="C555" s="1"/>
      <c r="D555" s="1"/>
      <c r="E555" s="1"/>
      <c r="F555" s="1"/>
      <c r="K555" s="27"/>
      <c r="L555" s="27"/>
      <c r="M555" s="27"/>
      <c r="N555" s="27"/>
      <c r="O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58"/>
    </row>
    <row r="556" ht="17.25" customHeight="1">
      <c r="A556" s="1"/>
      <c r="B556" s="1"/>
      <c r="C556" s="1"/>
      <c r="D556" s="1"/>
      <c r="E556" s="1"/>
      <c r="F556" s="1"/>
      <c r="K556" s="27"/>
      <c r="L556" s="27"/>
      <c r="M556" s="27"/>
      <c r="N556" s="27"/>
      <c r="O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58"/>
    </row>
    <row r="557" ht="17.25" customHeight="1">
      <c r="A557" s="1"/>
      <c r="B557" s="1"/>
      <c r="C557" s="1"/>
      <c r="D557" s="1"/>
      <c r="E557" s="1"/>
      <c r="F557" s="1"/>
      <c r="K557" s="27"/>
      <c r="L557" s="27"/>
      <c r="M557" s="27"/>
      <c r="N557" s="27"/>
      <c r="O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58"/>
    </row>
    <row r="558" ht="17.25" customHeight="1">
      <c r="A558" s="1"/>
      <c r="B558" s="1"/>
      <c r="C558" s="1"/>
      <c r="D558" s="1"/>
      <c r="E558" s="1"/>
      <c r="F558" s="1"/>
      <c r="K558" s="27"/>
      <c r="L558" s="27"/>
      <c r="M558" s="27"/>
      <c r="N558" s="27"/>
      <c r="O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58"/>
    </row>
    <row r="559" ht="17.25" customHeight="1">
      <c r="A559" s="1"/>
      <c r="B559" s="1"/>
      <c r="C559" s="1"/>
      <c r="D559" s="1"/>
      <c r="E559" s="1"/>
      <c r="F559" s="1"/>
      <c r="K559" s="27"/>
      <c r="L559" s="27"/>
      <c r="M559" s="27"/>
      <c r="N559" s="27"/>
      <c r="O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58"/>
    </row>
    <row r="560" ht="17.25" customHeight="1">
      <c r="A560" s="1"/>
      <c r="B560" s="1"/>
      <c r="C560" s="1"/>
      <c r="D560" s="1"/>
      <c r="E560" s="1"/>
      <c r="F560" s="1"/>
      <c r="K560" s="27"/>
      <c r="L560" s="27"/>
      <c r="M560" s="27"/>
      <c r="N560" s="27"/>
      <c r="O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58"/>
    </row>
    <row r="561" ht="17.25" customHeight="1">
      <c r="A561" s="1"/>
      <c r="B561" s="1"/>
      <c r="C561" s="1"/>
      <c r="D561" s="1"/>
      <c r="E561" s="1"/>
      <c r="F561" s="1"/>
      <c r="K561" s="27"/>
      <c r="L561" s="27"/>
      <c r="M561" s="27"/>
      <c r="N561" s="27"/>
      <c r="O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58"/>
    </row>
    <row r="562" ht="17.25" customHeight="1">
      <c r="A562" s="1"/>
      <c r="B562" s="1"/>
      <c r="C562" s="1"/>
      <c r="D562" s="1"/>
      <c r="E562" s="1"/>
      <c r="F562" s="1"/>
      <c r="K562" s="27"/>
      <c r="L562" s="27"/>
      <c r="M562" s="27"/>
      <c r="N562" s="27"/>
      <c r="O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58"/>
    </row>
    <row r="563" ht="17.25" customHeight="1">
      <c r="A563" s="1"/>
      <c r="B563" s="1"/>
      <c r="C563" s="1"/>
      <c r="D563" s="1"/>
      <c r="E563" s="1"/>
      <c r="F563" s="1"/>
      <c r="K563" s="27"/>
      <c r="L563" s="27"/>
      <c r="M563" s="27"/>
      <c r="N563" s="27"/>
      <c r="O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58"/>
    </row>
    <row r="564" ht="17.25" customHeight="1">
      <c r="A564" s="1"/>
      <c r="B564" s="1"/>
      <c r="C564" s="1"/>
      <c r="D564" s="1"/>
      <c r="E564" s="1"/>
      <c r="F564" s="1"/>
      <c r="K564" s="27"/>
      <c r="L564" s="27"/>
      <c r="M564" s="27"/>
      <c r="N564" s="27"/>
      <c r="O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58"/>
    </row>
    <row r="565" ht="17.25" customHeight="1">
      <c r="A565" s="1"/>
      <c r="B565" s="1"/>
      <c r="C565" s="1"/>
      <c r="D565" s="1"/>
      <c r="E565" s="1"/>
      <c r="F565" s="1"/>
      <c r="K565" s="27"/>
      <c r="L565" s="27"/>
      <c r="M565" s="27"/>
      <c r="N565" s="27"/>
      <c r="O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58"/>
    </row>
    <row r="566" ht="17.25" customHeight="1">
      <c r="A566" s="1"/>
      <c r="B566" s="1"/>
      <c r="C566" s="1"/>
      <c r="D566" s="1"/>
      <c r="E566" s="1"/>
      <c r="F566" s="1"/>
      <c r="K566" s="27"/>
      <c r="L566" s="27"/>
      <c r="M566" s="27"/>
      <c r="N566" s="27"/>
      <c r="O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58"/>
    </row>
    <row r="567" ht="17.25" customHeight="1">
      <c r="A567" s="1"/>
      <c r="B567" s="1"/>
      <c r="C567" s="1"/>
      <c r="D567" s="1"/>
      <c r="E567" s="1"/>
      <c r="F567" s="1"/>
      <c r="K567" s="27"/>
      <c r="L567" s="27"/>
      <c r="M567" s="27"/>
      <c r="N567" s="27"/>
      <c r="O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58"/>
    </row>
    <row r="568" ht="17.25" customHeight="1">
      <c r="A568" s="1"/>
      <c r="B568" s="1"/>
      <c r="C568" s="1"/>
      <c r="D568" s="1"/>
      <c r="E568" s="1"/>
      <c r="F568" s="1"/>
      <c r="K568" s="27"/>
      <c r="L568" s="27"/>
      <c r="M568" s="27"/>
      <c r="N568" s="27"/>
      <c r="O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58"/>
    </row>
    <row r="569" ht="17.25" customHeight="1">
      <c r="A569" s="1"/>
      <c r="B569" s="1"/>
      <c r="C569" s="1"/>
      <c r="D569" s="1"/>
      <c r="E569" s="1"/>
      <c r="F569" s="1"/>
      <c r="K569" s="27"/>
      <c r="L569" s="27"/>
      <c r="M569" s="27"/>
      <c r="N569" s="27"/>
      <c r="O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58"/>
    </row>
    <row r="570" ht="17.25" customHeight="1">
      <c r="A570" s="1"/>
      <c r="B570" s="1"/>
      <c r="C570" s="1"/>
      <c r="D570" s="1"/>
      <c r="E570" s="1"/>
      <c r="F570" s="1"/>
      <c r="K570" s="27"/>
      <c r="L570" s="27"/>
      <c r="M570" s="27"/>
      <c r="N570" s="27"/>
      <c r="O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58"/>
    </row>
    <row r="571" ht="17.25" customHeight="1">
      <c r="A571" s="1"/>
      <c r="B571" s="1"/>
      <c r="C571" s="1"/>
      <c r="D571" s="1"/>
      <c r="E571" s="1"/>
      <c r="F571" s="1"/>
      <c r="K571" s="27"/>
      <c r="L571" s="27"/>
      <c r="M571" s="27"/>
      <c r="N571" s="27"/>
      <c r="O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58"/>
    </row>
    <row r="572" ht="17.25" customHeight="1">
      <c r="A572" s="1"/>
      <c r="B572" s="1"/>
      <c r="C572" s="1"/>
      <c r="D572" s="1"/>
      <c r="E572" s="1"/>
      <c r="F572" s="1"/>
      <c r="K572" s="27"/>
      <c r="L572" s="27"/>
      <c r="M572" s="27"/>
      <c r="N572" s="27"/>
      <c r="O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58"/>
    </row>
    <row r="573" ht="17.25" customHeight="1">
      <c r="A573" s="1"/>
      <c r="B573" s="1"/>
      <c r="C573" s="1"/>
      <c r="D573" s="1"/>
      <c r="E573" s="1"/>
      <c r="F573" s="1"/>
      <c r="K573" s="27"/>
      <c r="L573" s="27"/>
      <c r="M573" s="27"/>
      <c r="N573" s="27"/>
      <c r="O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58"/>
    </row>
    <row r="574" ht="17.25" customHeight="1">
      <c r="A574" s="1"/>
      <c r="B574" s="1"/>
      <c r="C574" s="1"/>
      <c r="D574" s="1"/>
      <c r="E574" s="1"/>
      <c r="F574" s="1"/>
      <c r="K574" s="27"/>
      <c r="L574" s="27"/>
      <c r="M574" s="27"/>
      <c r="N574" s="27"/>
      <c r="O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58"/>
    </row>
    <row r="575" ht="17.25" customHeight="1">
      <c r="A575" s="1"/>
      <c r="B575" s="1"/>
      <c r="C575" s="1"/>
      <c r="D575" s="1"/>
      <c r="E575" s="1"/>
      <c r="F575" s="1"/>
      <c r="K575" s="27"/>
      <c r="L575" s="27"/>
      <c r="M575" s="27"/>
      <c r="N575" s="27"/>
      <c r="O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58"/>
    </row>
    <row r="576" ht="17.25" customHeight="1">
      <c r="A576" s="1"/>
      <c r="B576" s="1"/>
      <c r="C576" s="1"/>
      <c r="D576" s="1"/>
      <c r="E576" s="1"/>
      <c r="F576" s="1"/>
      <c r="K576" s="27"/>
      <c r="L576" s="27"/>
      <c r="M576" s="27"/>
      <c r="N576" s="27"/>
      <c r="O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58"/>
    </row>
    <row r="577" ht="17.25" customHeight="1">
      <c r="A577" s="1"/>
      <c r="B577" s="1"/>
      <c r="C577" s="1"/>
      <c r="D577" s="1"/>
      <c r="E577" s="1"/>
      <c r="F577" s="1"/>
      <c r="K577" s="27"/>
      <c r="L577" s="27"/>
      <c r="M577" s="27"/>
      <c r="N577" s="27"/>
      <c r="O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58"/>
    </row>
    <row r="578" ht="17.25" customHeight="1">
      <c r="A578" s="1"/>
      <c r="B578" s="1"/>
      <c r="C578" s="1"/>
      <c r="D578" s="1"/>
      <c r="E578" s="1"/>
      <c r="F578" s="1"/>
      <c r="K578" s="27"/>
      <c r="L578" s="27"/>
      <c r="M578" s="27"/>
      <c r="N578" s="27"/>
      <c r="O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58"/>
    </row>
    <row r="579" ht="17.25" customHeight="1">
      <c r="A579" s="1"/>
      <c r="B579" s="1"/>
      <c r="C579" s="1"/>
      <c r="D579" s="1"/>
      <c r="E579" s="1"/>
      <c r="F579" s="1"/>
      <c r="K579" s="27"/>
      <c r="L579" s="27"/>
      <c r="M579" s="27"/>
      <c r="N579" s="27"/>
      <c r="O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58"/>
    </row>
    <row r="580" ht="17.25" customHeight="1">
      <c r="A580" s="1"/>
      <c r="B580" s="1"/>
      <c r="C580" s="1"/>
      <c r="D580" s="1"/>
      <c r="E580" s="1"/>
      <c r="F580" s="1"/>
      <c r="K580" s="27"/>
      <c r="L580" s="27"/>
      <c r="M580" s="27"/>
      <c r="N580" s="27"/>
      <c r="O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58"/>
    </row>
    <row r="581" ht="17.25" customHeight="1">
      <c r="A581" s="1"/>
      <c r="B581" s="1"/>
      <c r="C581" s="1"/>
      <c r="D581" s="1"/>
      <c r="E581" s="1"/>
      <c r="F581" s="1"/>
      <c r="K581" s="27"/>
      <c r="L581" s="27"/>
      <c r="M581" s="27"/>
      <c r="N581" s="27"/>
      <c r="O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58"/>
    </row>
    <row r="582" ht="17.25" customHeight="1">
      <c r="A582" s="1"/>
      <c r="B582" s="1"/>
      <c r="C582" s="1"/>
      <c r="D582" s="1"/>
      <c r="E582" s="1"/>
      <c r="F582" s="1"/>
      <c r="K582" s="27"/>
      <c r="L582" s="27"/>
      <c r="M582" s="27"/>
      <c r="N582" s="27"/>
      <c r="O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58"/>
    </row>
    <row r="583" ht="17.25" customHeight="1">
      <c r="A583" s="1"/>
      <c r="B583" s="1"/>
      <c r="C583" s="1"/>
      <c r="D583" s="1"/>
      <c r="E583" s="1"/>
      <c r="F583" s="1"/>
      <c r="K583" s="27"/>
      <c r="L583" s="27"/>
      <c r="M583" s="27"/>
      <c r="N583" s="27"/>
      <c r="O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58"/>
    </row>
    <row r="584" ht="17.25" customHeight="1">
      <c r="A584" s="1"/>
      <c r="B584" s="1"/>
      <c r="C584" s="1"/>
      <c r="D584" s="1"/>
      <c r="E584" s="1"/>
      <c r="F584" s="1"/>
      <c r="K584" s="27"/>
      <c r="L584" s="27"/>
      <c r="M584" s="27"/>
      <c r="N584" s="27"/>
      <c r="O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58"/>
    </row>
    <row r="585" ht="17.25" customHeight="1">
      <c r="A585" s="1"/>
      <c r="B585" s="1"/>
      <c r="C585" s="1"/>
      <c r="D585" s="1"/>
      <c r="E585" s="1"/>
      <c r="F585" s="1"/>
      <c r="K585" s="27"/>
      <c r="L585" s="27"/>
      <c r="M585" s="27"/>
      <c r="N585" s="27"/>
      <c r="O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58"/>
    </row>
    <row r="586" ht="17.25" customHeight="1">
      <c r="A586" s="1"/>
      <c r="B586" s="1"/>
      <c r="C586" s="1"/>
      <c r="D586" s="1"/>
      <c r="E586" s="1"/>
      <c r="F586" s="1"/>
      <c r="K586" s="27"/>
      <c r="L586" s="27"/>
      <c r="M586" s="27"/>
      <c r="N586" s="27"/>
      <c r="O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58"/>
    </row>
    <row r="587" ht="17.25" customHeight="1">
      <c r="A587" s="1"/>
      <c r="B587" s="1"/>
      <c r="C587" s="1"/>
      <c r="D587" s="1"/>
      <c r="E587" s="1"/>
      <c r="F587" s="1"/>
      <c r="K587" s="27"/>
      <c r="L587" s="27"/>
      <c r="M587" s="27"/>
      <c r="N587" s="27"/>
      <c r="O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58"/>
    </row>
    <row r="588" ht="17.25" customHeight="1">
      <c r="A588" s="1"/>
      <c r="B588" s="1"/>
      <c r="C588" s="1"/>
      <c r="D588" s="1"/>
      <c r="E588" s="1"/>
      <c r="F588" s="1"/>
      <c r="K588" s="27"/>
      <c r="L588" s="27"/>
      <c r="M588" s="27"/>
      <c r="N588" s="27"/>
      <c r="O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58"/>
    </row>
    <row r="589" ht="17.25" customHeight="1">
      <c r="A589" s="1"/>
      <c r="B589" s="1"/>
      <c r="C589" s="1"/>
      <c r="D589" s="1"/>
      <c r="E589" s="1"/>
      <c r="F589" s="1"/>
      <c r="K589" s="27"/>
      <c r="L589" s="27"/>
      <c r="M589" s="27"/>
      <c r="N589" s="27"/>
      <c r="O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58"/>
    </row>
    <row r="590" ht="17.25" customHeight="1">
      <c r="A590" s="1"/>
      <c r="B590" s="1"/>
      <c r="C590" s="1"/>
      <c r="D590" s="1"/>
      <c r="E590" s="1"/>
      <c r="F590" s="1"/>
      <c r="K590" s="27"/>
      <c r="L590" s="27"/>
      <c r="M590" s="27"/>
      <c r="N590" s="27"/>
      <c r="O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58"/>
    </row>
    <row r="591" ht="17.25" customHeight="1">
      <c r="A591" s="1"/>
      <c r="B591" s="1"/>
      <c r="C591" s="1"/>
      <c r="D591" s="1"/>
      <c r="E591" s="1"/>
      <c r="F591" s="1"/>
      <c r="K591" s="27"/>
      <c r="L591" s="27"/>
      <c r="M591" s="27"/>
      <c r="N591" s="27"/>
      <c r="O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58"/>
    </row>
    <row r="592" ht="17.25" customHeight="1">
      <c r="A592" s="1"/>
      <c r="B592" s="1"/>
      <c r="C592" s="1"/>
      <c r="D592" s="1"/>
      <c r="E592" s="1"/>
      <c r="F592" s="1"/>
      <c r="K592" s="27"/>
      <c r="L592" s="27"/>
      <c r="M592" s="27"/>
      <c r="N592" s="27"/>
      <c r="O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58"/>
    </row>
    <row r="593" ht="17.25" customHeight="1">
      <c r="A593" s="1"/>
      <c r="B593" s="1"/>
      <c r="C593" s="1"/>
      <c r="D593" s="1"/>
      <c r="E593" s="1"/>
      <c r="F593" s="1"/>
      <c r="K593" s="27"/>
      <c r="L593" s="27"/>
      <c r="M593" s="27"/>
      <c r="N593" s="27"/>
      <c r="O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58"/>
    </row>
    <row r="594" ht="17.25" customHeight="1">
      <c r="A594" s="1"/>
      <c r="B594" s="1"/>
      <c r="C594" s="1"/>
      <c r="D594" s="1"/>
      <c r="E594" s="1"/>
      <c r="F594" s="1"/>
      <c r="K594" s="27"/>
      <c r="L594" s="27"/>
      <c r="M594" s="27"/>
      <c r="N594" s="27"/>
      <c r="O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58"/>
    </row>
    <row r="595" ht="17.25" customHeight="1">
      <c r="A595" s="1"/>
      <c r="B595" s="1"/>
      <c r="C595" s="1"/>
      <c r="D595" s="1"/>
      <c r="E595" s="1"/>
      <c r="F595" s="1"/>
      <c r="K595" s="27"/>
      <c r="L595" s="27"/>
      <c r="M595" s="27"/>
      <c r="N595" s="27"/>
      <c r="O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58"/>
    </row>
    <row r="596" ht="17.25" customHeight="1">
      <c r="A596" s="1"/>
      <c r="B596" s="1"/>
      <c r="C596" s="1"/>
      <c r="D596" s="1"/>
      <c r="E596" s="1"/>
      <c r="F596" s="1"/>
      <c r="K596" s="27"/>
      <c r="L596" s="27"/>
      <c r="M596" s="27"/>
      <c r="N596" s="27"/>
      <c r="O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58"/>
    </row>
    <row r="597" ht="17.25" customHeight="1">
      <c r="A597" s="1"/>
      <c r="B597" s="1"/>
      <c r="C597" s="1"/>
      <c r="D597" s="1"/>
      <c r="E597" s="1"/>
      <c r="F597" s="1"/>
      <c r="K597" s="27"/>
      <c r="L597" s="27"/>
      <c r="M597" s="27"/>
      <c r="N597" s="27"/>
      <c r="O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58"/>
    </row>
    <row r="598" ht="17.25" customHeight="1">
      <c r="A598" s="1"/>
      <c r="B598" s="1"/>
      <c r="C598" s="1"/>
      <c r="D598" s="1"/>
      <c r="E598" s="1"/>
      <c r="F598" s="1"/>
      <c r="K598" s="27"/>
      <c r="L598" s="27"/>
      <c r="M598" s="27"/>
      <c r="N598" s="27"/>
      <c r="O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58"/>
    </row>
    <row r="599" ht="17.25" customHeight="1">
      <c r="A599" s="1"/>
      <c r="B599" s="1"/>
      <c r="C599" s="1"/>
      <c r="D599" s="1"/>
      <c r="E599" s="1"/>
      <c r="F599" s="1"/>
      <c r="K599" s="27"/>
      <c r="L599" s="27"/>
      <c r="M599" s="27"/>
      <c r="N599" s="27"/>
      <c r="O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58"/>
    </row>
    <row r="600" ht="17.25" customHeight="1">
      <c r="A600" s="1"/>
      <c r="B600" s="1"/>
      <c r="C600" s="1"/>
      <c r="D600" s="1"/>
      <c r="E600" s="1"/>
      <c r="F600" s="1"/>
      <c r="K600" s="27"/>
      <c r="L600" s="27"/>
      <c r="M600" s="27"/>
      <c r="N600" s="27"/>
      <c r="O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58"/>
    </row>
    <row r="601" ht="17.25" customHeight="1">
      <c r="A601" s="1"/>
      <c r="B601" s="1"/>
      <c r="C601" s="1"/>
      <c r="D601" s="1"/>
      <c r="E601" s="1"/>
      <c r="F601" s="1"/>
      <c r="K601" s="27"/>
      <c r="L601" s="27"/>
      <c r="M601" s="27"/>
      <c r="N601" s="27"/>
      <c r="O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58"/>
    </row>
    <row r="602" ht="17.25" customHeight="1">
      <c r="A602" s="1"/>
      <c r="B602" s="1"/>
      <c r="C602" s="1"/>
      <c r="D602" s="1"/>
      <c r="E602" s="1"/>
      <c r="F602" s="1"/>
      <c r="K602" s="27"/>
      <c r="L602" s="27"/>
      <c r="M602" s="27"/>
      <c r="N602" s="27"/>
      <c r="O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58"/>
    </row>
    <row r="603" ht="17.25" customHeight="1">
      <c r="A603" s="1"/>
      <c r="B603" s="1"/>
      <c r="C603" s="1"/>
      <c r="D603" s="1"/>
      <c r="E603" s="1"/>
      <c r="F603" s="1"/>
      <c r="K603" s="27"/>
      <c r="L603" s="27"/>
      <c r="M603" s="27"/>
      <c r="N603" s="27"/>
      <c r="O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58"/>
    </row>
    <row r="604" ht="17.25" customHeight="1">
      <c r="A604" s="1"/>
      <c r="B604" s="1"/>
      <c r="C604" s="1"/>
      <c r="D604" s="1"/>
      <c r="E604" s="1"/>
      <c r="F604" s="1"/>
      <c r="K604" s="27"/>
      <c r="L604" s="27"/>
      <c r="M604" s="27"/>
      <c r="N604" s="27"/>
      <c r="O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58"/>
    </row>
    <row r="605" ht="17.25" customHeight="1">
      <c r="A605" s="1"/>
      <c r="B605" s="1"/>
      <c r="C605" s="1"/>
      <c r="D605" s="1"/>
      <c r="E605" s="1"/>
      <c r="F605" s="1"/>
      <c r="K605" s="27"/>
      <c r="L605" s="27"/>
      <c r="M605" s="27"/>
      <c r="N605" s="27"/>
      <c r="O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58"/>
    </row>
    <row r="606" ht="17.25" customHeight="1">
      <c r="A606" s="1"/>
      <c r="B606" s="1"/>
      <c r="C606" s="1"/>
      <c r="D606" s="1"/>
      <c r="E606" s="1"/>
      <c r="F606" s="1"/>
      <c r="K606" s="27"/>
      <c r="L606" s="27"/>
      <c r="M606" s="27"/>
      <c r="N606" s="27"/>
      <c r="O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58"/>
    </row>
    <row r="607" ht="17.25" customHeight="1">
      <c r="A607" s="1"/>
      <c r="B607" s="1"/>
      <c r="C607" s="1"/>
      <c r="D607" s="1"/>
      <c r="E607" s="1"/>
      <c r="F607" s="1"/>
      <c r="K607" s="27"/>
      <c r="L607" s="27"/>
      <c r="M607" s="27"/>
      <c r="N607" s="27"/>
      <c r="O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58"/>
    </row>
    <row r="608" ht="17.25" customHeight="1">
      <c r="A608" s="1"/>
      <c r="B608" s="1"/>
      <c r="C608" s="1"/>
      <c r="D608" s="1"/>
      <c r="E608" s="1"/>
      <c r="F608" s="1"/>
      <c r="K608" s="27"/>
      <c r="L608" s="27"/>
      <c r="M608" s="27"/>
      <c r="N608" s="27"/>
      <c r="O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58"/>
    </row>
    <row r="609" ht="17.25" customHeight="1">
      <c r="A609" s="1"/>
      <c r="B609" s="1"/>
      <c r="C609" s="1"/>
      <c r="D609" s="1"/>
      <c r="E609" s="1"/>
      <c r="F609" s="1"/>
      <c r="K609" s="27"/>
      <c r="L609" s="27"/>
      <c r="M609" s="27"/>
      <c r="N609" s="27"/>
      <c r="O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58"/>
    </row>
    <row r="610" ht="17.25" customHeight="1">
      <c r="A610" s="1"/>
      <c r="B610" s="1"/>
      <c r="C610" s="1"/>
      <c r="D610" s="1"/>
      <c r="E610" s="1"/>
      <c r="F610" s="1"/>
      <c r="K610" s="27"/>
      <c r="L610" s="27"/>
      <c r="M610" s="27"/>
      <c r="N610" s="27"/>
      <c r="O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58"/>
    </row>
    <row r="611" ht="17.25" customHeight="1">
      <c r="A611" s="1"/>
      <c r="B611" s="1"/>
      <c r="C611" s="1"/>
      <c r="D611" s="1"/>
      <c r="E611" s="1"/>
      <c r="F611" s="1"/>
      <c r="K611" s="27"/>
      <c r="L611" s="27"/>
      <c r="M611" s="27"/>
      <c r="N611" s="27"/>
      <c r="O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58"/>
    </row>
    <row r="612" ht="17.25" customHeight="1">
      <c r="A612" s="1"/>
      <c r="B612" s="1"/>
      <c r="C612" s="1"/>
      <c r="D612" s="1"/>
      <c r="E612" s="1"/>
      <c r="F612" s="1"/>
      <c r="K612" s="27"/>
      <c r="L612" s="27"/>
      <c r="M612" s="27"/>
      <c r="N612" s="27"/>
      <c r="O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58"/>
    </row>
    <row r="613" ht="17.25" customHeight="1">
      <c r="A613" s="1"/>
      <c r="B613" s="1"/>
      <c r="C613" s="1"/>
      <c r="D613" s="1"/>
      <c r="E613" s="1"/>
      <c r="F613" s="1"/>
      <c r="K613" s="27"/>
      <c r="L613" s="27"/>
      <c r="M613" s="27"/>
      <c r="N613" s="27"/>
      <c r="O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58"/>
    </row>
    <row r="614" ht="17.25" customHeight="1">
      <c r="A614" s="1"/>
      <c r="B614" s="1"/>
      <c r="C614" s="1"/>
      <c r="D614" s="1"/>
      <c r="E614" s="1"/>
      <c r="F614" s="1"/>
      <c r="K614" s="27"/>
      <c r="L614" s="27"/>
      <c r="M614" s="27"/>
      <c r="N614" s="27"/>
      <c r="O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58"/>
    </row>
    <row r="615" ht="17.25" customHeight="1">
      <c r="A615" s="1"/>
      <c r="B615" s="1"/>
      <c r="C615" s="1"/>
      <c r="D615" s="1"/>
      <c r="E615" s="1"/>
      <c r="F615" s="1"/>
      <c r="K615" s="27"/>
      <c r="L615" s="27"/>
      <c r="M615" s="27"/>
      <c r="N615" s="27"/>
      <c r="O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58"/>
    </row>
    <row r="616" ht="17.25" customHeight="1">
      <c r="A616" s="1"/>
      <c r="B616" s="1"/>
      <c r="C616" s="1"/>
      <c r="D616" s="1"/>
      <c r="E616" s="1"/>
      <c r="F616" s="1"/>
      <c r="K616" s="27"/>
      <c r="L616" s="27"/>
      <c r="M616" s="27"/>
      <c r="N616" s="27"/>
      <c r="O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58"/>
    </row>
    <row r="617" ht="17.25" customHeight="1">
      <c r="A617" s="1"/>
      <c r="B617" s="1"/>
      <c r="C617" s="1"/>
      <c r="D617" s="1"/>
      <c r="E617" s="1"/>
      <c r="F617" s="1"/>
      <c r="K617" s="27"/>
      <c r="L617" s="27"/>
      <c r="M617" s="27"/>
      <c r="N617" s="27"/>
      <c r="O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58"/>
    </row>
    <row r="618" ht="17.25" customHeight="1">
      <c r="A618" s="1"/>
      <c r="B618" s="1"/>
      <c r="C618" s="1"/>
      <c r="D618" s="1"/>
      <c r="E618" s="1"/>
      <c r="F618" s="1"/>
      <c r="K618" s="27"/>
      <c r="L618" s="27"/>
      <c r="M618" s="27"/>
      <c r="N618" s="27"/>
      <c r="O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58"/>
    </row>
    <row r="619" ht="17.25" customHeight="1">
      <c r="A619" s="1"/>
      <c r="B619" s="1"/>
      <c r="C619" s="1"/>
      <c r="D619" s="1"/>
      <c r="E619" s="1"/>
      <c r="F619" s="1"/>
      <c r="K619" s="27"/>
      <c r="L619" s="27"/>
      <c r="M619" s="27"/>
      <c r="N619" s="27"/>
      <c r="O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58"/>
    </row>
    <row r="620" ht="17.25" customHeight="1">
      <c r="A620" s="1"/>
      <c r="B620" s="1"/>
      <c r="C620" s="1"/>
      <c r="D620" s="1"/>
      <c r="E620" s="1"/>
      <c r="F620" s="1"/>
      <c r="K620" s="27"/>
      <c r="L620" s="27"/>
      <c r="M620" s="27"/>
      <c r="N620" s="27"/>
      <c r="O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58"/>
    </row>
    <row r="621" ht="17.25" customHeight="1">
      <c r="A621" s="1"/>
      <c r="B621" s="1"/>
      <c r="C621" s="1"/>
      <c r="D621" s="1"/>
      <c r="E621" s="1"/>
      <c r="F621" s="1"/>
      <c r="K621" s="27"/>
      <c r="L621" s="27"/>
      <c r="M621" s="27"/>
      <c r="N621" s="27"/>
      <c r="O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58"/>
    </row>
    <row r="622" ht="17.25" customHeight="1">
      <c r="A622" s="1"/>
      <c r="B622" s="1"/>
      <c r="C622" s="1"/>
      <c r="D622" s="1"/>
      <c r="E622" s="1"/>
      <c r="F622" s="1"/>
      <c r="K622" s="27"/>
      <c r="L622" s="27"/>
      <c r="M622" s="27"/>
      <c r="N622" s="27"/>
      <c r="O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58"/>
    </row>
    <row r="623" ht="17.25" customHeight="1">
      <c r="A623" s="1"/>
      <c r="B623" s="1"/>
      <c r="C623" s="1"/>
      <c r="D623" s="1"/>
      <c r="E623" s="1"/>
      <c r="F623" s="1"/>
      <c r="K623" s="27"/>
      <c r="L623" s="27"/>
      <c r="M623" s="27"/>
      <c r="N623" s="27"/>
      <c r="O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58"/>
    </row>
    <row r="624" ht="17.25" customHeight="1">
      <c r="A624" s="1"/>
      <c r="B624" s="1"/>
      <c r="C624" s="1"/>
      <c r="D624" s="1"/>
      <c r="E624" s="1"/>
      <c r="F624" s="1"/>
      <c r="K624" s="27"/>
      <c r="L624" s="27"/>
      <c r="M624" s="27"/>
      <c r="N624" s="27"/>
      <c r="O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58"/>
    </row>
    <row r="625" ht="17.25" customHeight="1">
      <c r="A625" s="1"/>
      <c r="B625" s="1"/>
      <c r="C625" s="1"/>
      <c r="D625" s="1"/>
      <c r="E625" s="1"/>
      <c r="F625" s="1"/>
      <c r="K625" s="27"/>
      <c r="L625" s="27"/>
      <c r="M625" s="27"/>
      <c r="N625" s="27"/>
      <c r="O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58"/>
    </row>
    <row r="626" ht="17.25" customHeight="1">
      <c r="A626" s="1"/>
      <c r="B626" s="1"/>
      <c r="C626" s="1"/>
      <c r="D626" s="1"/>
      <c r="E626" s="1"/>
      <c r="F626" s="1"/>
      <c r="K626" s="27"/>
      <c r="L626" s="27"/>
      <c r="M626" s="27"/>
      <c r="N626" s="27"/>
      <c r="O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58"/>
    </row>
    <row r="627" ht="17.25" customHeight="1">
      <c r="A627" s="1"/>
      <c r="B627" s="1"/>
      <c r="C627" s="1"/>
      <c r="D627" s="1"/>
      <c r="E627" s="1"/>
      <c r="F627" s="1"/>
      <c r="K627" s="27"/>
      <c r="L627" s="27"/>
      <c r="M627" s="27"/>
      <c r="N627" s="27"/>
      <c r="O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58"/>
    </row>
    <row r="628" ht="17.25" customHeight="1">
      <c r="A628" s="1"/>
      <c r="B628" s="1"/>
      <c r="C628" s="1"/>
      <c r="D628" s="1"/>
      <c r="E628" s="1"/>
      <c r="F628" s="1"/>
      <c r="K628" s="27"/>
      <c r="L628" s="27"/>
      <c r="M628" s="27"/>
      <c r="N628" s="27"/>
      <c r="O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58"/>
    </row>
    <row r="629" ht="17.25" customHeight="1">
      <c r="A629" s="1"/>
      <c r="B629" s="1"/>
      <c r="C629" s="1"/>
      <c r="D629" s="1"/>
      <c r="E629" s="1"/>
      <c r="F629" s="1"/>
      <c r="K629" s="27"/>
      <c r="L629" s="27"/>
      <c r="M629" s="27"/>
      <c r="N629" s="27"/>
      <c r="O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58"/>
    </row>
    <row r="630" ht="17.25" customHeight="1">
      <c r="A630" s="1"/>
      <c r="B630" s="1"/>
      <c r="C630" s="1"/>
      <c r="D630" s="1"/>
      <c r="E630" s="1"/>
      <c r="F630" s="1"/>
      <c r="K630" s="27"/>
      <c r="L630" s="27"/>
      <c r="M630" s="27"/>
      <c r="N630" s="27"/>
      <c r="O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58"/>
    </row>
    <row r="631" ht="17.25" customHeight="1">
      <c r="A631" s="1"/>
      <c r="B631" s="1"/>
      <c r="C631" s="1"/>
      <c r="D631" s="1"/>
      <c r="E631" s="1"/>
      <c r="F631" s="1"/>
      <c r="K631" s="27"/>
      <c r="L631" s="27"/>
      <c r="M631" s="27"/>
      <c r="N631" s="27"/>
      <c r="O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58"/>
    </row>
    <row r="632" ht="17.25" customHeight="1">
      <c r="A632" s="1"/>
      <c r="B632" s="1"/>
      <c r="C632" s="1"/>
      <c r="D632" s="1"/>
      <c r="E632" s="1"/>
      <c r="F632" s="1"/>
      <c r="K632" s="27"/>
      <c r="L632" s="27"/>
      <c r="M632" s="27"/>
      <c r="N632" s="27"/>
      <c r="O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58"/>
    </row>
    <row r="633" ht="17.25" customHeight="1">
      <c r="A633" s="1"/>
      <c r="B633" s="1"/>
      <c r="C633" s="1"/>
      <c r="D633" s="1"/>
      <c r="E633" s="1"/>
      <c r="F633" s="1"/>
      <c r="K633" s="27"/>
      <c r="L633" s="27"/>
      <c r="M633" s="27"/>
      <c r="N633" s="27"/>
      <c r="O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58"/>
    </row>
    <row r="634" ht="17.25" customHeight="1">
      <c r="A634" s="1"/>
      <c r="B634" s="1"/>
      <c r="C634" s="1"/>
      <c r="D634" s="1"/>
      <c r="E634" s="1"/>
      <c r="F634" s="1"/>
      <c r="K634" s="27"/>
      <c r="L634" s="27"/>
      <c r="M634" s="27"/>
      <c r="N634" s="27"/>
      <c r="O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58"/>
    </row>
    <row r="635" ht="17.25" customHeight="1">
      <c r="A635" s="1"/>
      <c r="B635" s="1"/>
      <c r="C635" s="1"/>
      <c r="D635" s="1"/>
      <c r="E635" s="1"/>
      <c r="F635" s="1"/>
      <c r="K635" s="27"/>
      <c r="L635" s="27"/>
      <c r="M635" s="27"/>
      <c r="N635" s="27"/>
      <c r="O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58"/>
    </row>
    <row r="636" ht="17.25" customHeight="1">
      <c r="A636" s="1"/>
      <c r="B636" s="1"/>
      <c r="C636" s="1"/>
      <c r="D636" s="1"/>
      <c r="E636" s="1"/>
      <c r="F636" s="1"/>
      <c r="K636" s="27"/>
      <c r="L636" s="27"/>
      <c r="M636" s="27"/>
      <c r="N636" s="27"/>
      <c r="O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58"/>
    </row>
    <row r="637" ht="17.25" customHeight="1">
      <c r="A637" s="1"/>
      <c r="B637" s="1"/>
      <c r="C637" s="1"/>
      <c r="D637" s="1"/>
      <c r="E637" s="1"/>
      <c r="F637" s="1"/>
      <c r="K637" s="27"/>
      <c r="L637" s="27"/>
      <c r="M637" s="27"/>
      <c r="N637" s="27"/>
      <c r="O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58"/>
    </row>
    <row r="638" ht="17.25" customHeight="1">
      <c r="A638" s="1"/>
      <c r="B638" s="1"/>
      <c r="C638" s="1"/>
      <c r="D638" s="1"/>
      <c r="E638" s="1"/>
      <c r="F638" s="1"/>
      <c r="K638" s="27"/>
      <c r="L638" s="27"/>
      <c r="M638" s="27"/>
      <c r="N638" s="27"/>
      <c r="O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58"/>
    </row>
    <row r="639" ht="17.25" customHeight="1">
      <c r="A639" s="1"/>
      <c r="B639" s="1"/>
      <c r="C639" s="1"/>
      <c r="D639" s="1"/>
      <c r="E639" s="1"/>
      <c r="F639" s="1"/>
      <c r="K639" s="27"/>
      <c r="L639" s="27"/>
      <c r="M639" s="27"/>
      <c r="N639" s="27"/>
      <c r="O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58"/>
    </row>
    <row r="640" ht="17.25" customHeight="1">
      <c r="A640" s="1"/>
      <c r="B640" s="1"/>
      <c r="C640" s="1"/>
      <c r="D640" s="1"/>
      <c r="E640" s="1"/>
      <c r="F640" s="1"/>
      <c r="K640" s="27"/>
      <c r="L640" s="27"/>
      <c r="M640" s="27"/>
      <c r="N640" s="27"/>
      <c r="O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58"/>
    </row>
    <row r="641" ht="17.25" customHeight="1">
      <c r="A641" s="1"/>
      <c r="B641" s="1"/>
      <c r="C641" s="1"/>
      <c r="D641" s="1"/>
      <c r="E641" s="1"/>
      <c r="F641" s="1"/>
      <c r="K641" s="27"/>
      <c r="L641" s="27"/>
      <c r="M641" s="27"/>
      <c r="N641" s="27"/>
      <c r="O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58"/>
    </row>
    <row r="642" ht="17.25" customHeight="1">
      <c r="A642" s="1"/>
      <c r="B642" s="1"/>
      <c r="C642" s="1"/>
      <c r="D642" s="1"/>
      <c r="E642" s="1"/>
      <c r="F642" s="1"/>
      <c r="K642" s="27"/>
      <c r="L642" s="27"/>
      <c r="M642" s="27"/>
      <c r="N642" s="27"/>
      <c r="O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58"/>
    </row>
    <row r="643" ht="17.25" customHeight="1">
      <c r="A643" s="1"/>
      <c r="B643" s="1"/>
      <c r="C643" s="1"/>
      <c r="D643" s="1"/>
      <c r="E643" s="1"/>
      <c r="F643" s="1"/>
      <c r="K643" s="27"/>
      <c r="L643" s="27"/>
      <c r="M643" s="27"/>
      <c r="N643" s="27"/>
      <c r="O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58"/>
    </row>
    <row r="644" ht="17.25" customHeight="1">
      <c r="A644" s="1"/>
      <c r="B644" s="1"/>
      <c r="C644" s="1"/>
      <c r="D644" s="1"/>
      <c r="E644" s="1"/>
      <c r="F644" s="1"/>
      <c r="K644" s="27"/>
      <c r="L644" s="27"/>
      <c r="M644" s="27"/>
      <c r="N644" s="27"/>
      <c r="O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58"/>
    </row>
    <row r="645" ht="17.25" customHeight="1">
      <c r="A645" s="1"/>
      <c r="B645" s="1"/>
      <c r="C645" s="1"/>
      <c r="D645" s="1"/>
      <c r="E645" s="1"/>
      <c r="F645" s="1"/>
      <c r="K645" s="27"/>
      <c r="L645" s="27"/>
      <c r="M645" s="27"/>
      <c r="N645" s="27"/>
      <c r="O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58"/>
    </row>
    <row r="646" ht="17.25" customHeight="1">
      <c r="A646" s="1"/>
      <c r="B646" s="1"/>
      <c r="C646" s="1"/>
      <c r="D646" s="1"/>
      <c r="E646" s="1"/>
      <c r="F646" s="1"/>
      <c r="K646" s="27"/>
      <c r="L646" s="27"/>
      <c r="M646" s="27"/>
      <c r="N646" s="27"/>
      <c r="O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58"/>
    </row>
    <row r="647" ht="17.25" customHeight="1">
      <c r="A647" s="1"/>
      <c r="B647" s="1"/>
      <c r="C647" s="1"/>
      <c r="D647" s="1"/>
      <c r="E647" s="1"/>
      <c r="F647" s="1"/>
      <c r="K647" s="27"/>
      <c r="L647" s="27"/>
      <c r="M647" s="27"/>
      <c r="N647" s="27"/>
      <c r="O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58"/>
    </row>
    <row r="648" ht="17.25" customHeight="1">
      <c r="A648" s="1"/>
      <c r="B648" s="1"/>
      <c r="C648" s="1"/>
      <c r="D648" s="1"/>
      <c r="E648" s="1"/>
      <c r="F648" s="1"/>
      <c r="K648" s="27"/>
      <c r="L648" s="27"/>
      <c r="M648" s="27"/>
      <c r="N648" s="27"/>
      <c r="O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58"/>
    </row>
    <row r="649" ht="17.25" customHeight="1">
      <c r="A649" s="1"/>
      <c r="B649" s="1"/>
      <c r="C649" s="1"/>
      <c r="D649" s="1"/>
      <c r="E649" s="1"/>
      <c r="F649" s="1"/>
      <c r="K649" s="27"/>
      <c r="L649" s="27"/>
      <c r="M649" s="27"/>
      <c r="N649" s="27"/>
      <c r="O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58"/>
    </row>
    <row r="650" ht="17.25" customHeight="1">
      <c r="A650" s="1"/>
      <c r="B650" s="1"/>
      <c r="C650" s="1"/>
      <c r="D650" s="1"/>
      <c r="E650" s="1"/>
      <c r="F650" s="1"/>
      <c r="K650" s="27"/>
      <c r="L650" s="27"/>
      <c r="M650" s="27"/>
      <c r="N650" s="27"/>
      <c r="O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58"/>
    </row>
    <row r="651" ht="17.25" customHeight="1">
      <c r="A651" s="1"/>
      <c r="B651" s="1"/>
      <c r="C651" s="1"/>
      <c r="D651" s="1"/>
      <c r="E651" s="1"/>
      <c r="F651" s="1"/>
      <c r="K651" s="27"/>
      <c r="L651" s="27"/>
      <c r="M651" s="27"/>
      <c r="N651" s="27"/>
      <c r="O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58"/>
    </row>
    <row r="652" ht="17.25" customHeight="1">
      <c r="A652" s="1"/>
      <c r="B652" s="1"/>
      <c r="C652" s="1"/>
      <c r="D652" s="1"/>
      <c r="E652" s="1"/>
      <c r="F652" s="1"/>
      <c r="K652" s="27"/>
      <c r="L652" s="27"/>
      <c r="M652" s="27"/>
      <c r="N652" s="27"/>
      <c r="O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58"/>
    </row>
    <row r="653" ht="17.25" customHeight="1">
      <c r="A653" s="1"/>
      <c r="B653" s="1"/>
      <c r="C653" s="1"/>
      <c r="D653" s="1"/>
      <c r="E653" s="1"/>
      <c r="F653" s="1"/>
      <c r="K653" s="27"/>
      <c r="L653" s="27"/>
      <c r="M653" s="27"/>
      <c r="N653" s="27"/>
      <c r="O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58"/>
    </row>
    <row r="654" ht="17.25" customHeight="1">
      <c r="A654" s="1"/>
      <c r="B654" s="1"/>
      <c r="C654" s="1"/>
      <c r="D654" s="1"/>
      <c r="E654" s="1"/>
      <c r="F654" s="1"/>
      <c r="K654" s="27"/>
      <c r="L654" s="27"/>
      <c r="M654" s="27"/>
      <c r="N654" s="27"/>
      <c r="O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58"/>
    </row>
    <row r="655" ht="17.25" customHeight="1">
      <c r="A655" s="1"/>
      <c r="B655" s="1"/>
      <c r="C655" s="1"/>
      <c r="D655" s="1"/>
      <c r="E655" s="1"/>
      <c r="F655" s="1"/>
      <c r="K655" s="27"/>
      <c r="L655" s="27"/>
      <c r="M655" s="27"/>
      <c r="N655" s="27"/>
      <c r="O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58"/>
    </row>
    <row r="656" ht="17.25" customHeight="1">
      <c r="A656" s="1"/>
      <c r="B656" s="1"/>
      <c r="C656" s="1"/>
      <c r="D656" s="1"/>
      <c r="E656" s="1"/>
      <c r="F656" s="1"/>
      <c r="K656" s="27"/>
      <c r="L656" s="27"/>
      <c r="M656" s="27"/>
      <c r="N656" s="27"/>
      <c r="O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58"/>
    </row>
    <row r="657" ht="17.25" customHeight="1">
      <c r="A657" s="1"/>
      <c r="B657" s="1"/>
      <c r="C657" s="1"/>
      <c r="D657" s="1"/>
      <c r="E657" s="1"/>
      <c r="F657" s="1"/>
      <c r="K657" s="27"/>
      <c r="L657" s="27"/>
      <c r="M657" s="27"/>
      <c r="N657" s="27"/>
      <c r="O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58"/>
    </row>
    <row r="658" ht="17.25" customHeight="1">
      <c r="A658" s="1"/>
      <c r="B658" s="1"/>
      <c r="C658" s="1"/>
      <c r="D658" s="1"/>
      <c r="E658" s="1"/>
      <c r="F658" s="1"/>
      <c r="K658" s="27"/>
      <c r="L658" s="27"/>
      <c r="M658" s="27"/>
      <c r="N658" s="27"/>
      <c r="O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58"/>
    </row>
    <row r="659" ht="17.25" customHeight="1">
      <c r="A659" s="1"/>
      <c r="B659" s="1"/>
      <c r="C659" s="1"/>
      <c r="D659" s="1"/>
      <c r="E659" s="1"/>
      <c r="F659" s="1"/>
      <c r="K659" s="27"/>
      <c r="L659" s="27"/>
      <c r="M659" s="27"/>
      <c r="N659" s="27"/>
      <c r="O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58"/>
    </row>
    <row r="660" ht="17.25" customHeight="1">
      <c r="A660" s="1"/>
      <c r="B660" s="1"/>
      <c r="C660" s="1"/>
      <c r="D660" s="1"/>
      <c r="E660" s="1"/>
      <c r="F660" s="1"/>
      <c r="K660" s="27"/>
      <c r="L660" s="27"/>
      <c r="M660" s="27"/>
      <c r="N660" s="27"/>
      <c r="O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58"/>
    </row>
    <row r="661" ht="17.25" customHeight="1">
      <c r="A661" s="1"/>
      <c r="B661" s="1"/>
      <c r="C661" s="1"/>
      <c r="D661" s="1"/>
      <c r="E661" s="1"/>
      <c r="F661" s="1"/>
      <c r="K661" s="27"/>
      <c r="L661" s="27"/>
      <c r="M661" s="27"/>
      <c r="N661" s="27"/>
      <c r="O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58"/>
    </row>
    <row r="662" ht="17.25" customHeight="1">
      <c r="A662" s="1"/>
      <c r="B662" s="1"/>
      <c r="C662" s="1"/>
      <c r="D662" s="1"/>
      <c r="E662" s="1"/>
      <c r="F662" s="1"/>
      <c r="K662" s="27"/>
      <c r="L662" s="27"/>
      <c r="M662" s="27"/>
      <c r="N662" s="27"/>
      <c r="O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58"/>
    </row>
    <row r="663" ht="17.25" customHeight="1">
      <c r="A663" s="1"/>
      <c r="B663" s="1"/>
      <c r="C663" s="1"/>
      <c r="D663" s="1"/>
      <c r="E663" s="1"/>
      <c r="F663" s="1"/>
      <c r="K663" s="27"/>
      <c r="L663" s="27"/>
      <c r="M663" s="27"/>
      <c r="N663" s="27"/>
      <c r="O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58"/>
    </row>
    <row r="664" ht="17.25" customHeight="1">
      <c r="A664" s="1"/>
      <c r="B664" s="1"/>
      <c r="C664" s="1"/>
      <c r="D664" s="1"/>
      <c r="E664" s="1"/>
      <c r="F664" s="1"/>
      <c r="K664" s="27"/>
      <c r="L664" s="27"/>
      <c r="M664" s="27"/>
      <c r="N664" s="27"/>
      <c r="O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58"/>
    </row>
    <row r="665" ht="17.25" customHeight="1">
      <c r="A665" s="1"/>
      <c r="B665" s="1"/>
      <c r="C665" s="1"/>
      <c r="D665" s="1"/>
      <c r="E665" s="1"/>
      <c r="F665" s="1"/>
      <c r="K665" s="27"/>
      <c r="L665" s="27"/>
      <c r="M665" s="27"/>
      <c r="N665" s="27"/>
      <c r="O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58"/>
    </row>
    <row r="666" ht="17.25" customHeight="1">
      <c r="A666" s="1"/>
      <c r="B666" s="1"/>
      <c r="C666" s="1"/>
      <c r="D666" s="1"/>
      <c r="E666" s="1"/>
      <c r="F666" s="1"/>
      <c r="K666" s="27"/>
      <c r="L666" s="27"/>
      <c r="M666" s="27"/>
      <c r="N666" s="27"/>
      <c r="O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58"/>
    </row>
    <row r="667" ht="17.25" customHeight="1">
      <c r="A667" s="1"/>
      <c r="B667" s="1"/>
      <c r="C667" s="1"/>
      <c r="D667" s="1"/>
      <c r="E667" s="1"/>
      <c r="F667" s="1"/>
      <c r="K667" s="27"/>
      <c r="L667" s="27"/>
      <c r="M667" s="27"/>
      <c r="N667" s="27"/>
      <c r="O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58"/>
    </row>
    <row r="668" ht="17.25" customHeight="1">
      <c r="A668" s="1"/>
      <c r="B668" s="1"/>
      <c r="C668" s="1"/>
      <c r="D668" s="1"/>
      <c r="E668" s="1"/>
      <c r="F668" s="1"/>
      <c r="K668" s="27"/>
      <c r="L668" s="27"/>
      <c r="M668" s="27"/>
      <c r="N668" s="27"/>
      <c r="O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58"/>
    </row>
    <row r="669" ht="17.25" customHeight="1">
      <c r="A669" s="1"/>
      <c r="B669" s="1"/>
      <c r="C669" s="1"/>
      <c r="D669" s="1"/>
      <c r="E669" s="1"/>
      <c r="F669" s="1"/>
      <c r="K669" s="27"/>
      <c r="L669" s="27"/>
      <c r="M669" s="27"/>
      <c r="N669" s="27"/>
      <c r="O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58"/>
    </row>
    <row r="670" ht="17.25" customHeight="1">
      <c r="A670" s="1"/>
      <c r="B670" s="1"/>
      <c r="C670" s="1"/>
      <c r="D670" s="1"/>
      <c r="E670" s="1"/>
      <c r="F670" s="1"/>
      <c r="K670" s="27"/>
      <c r="L670" s="27"/>
      <c r="M670" s="27"/>
      <c r="N670" s="27"/>
      <c r="O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58"/>
    </row>
    <row r="671" ht="17.25" customHeight="1">
      <c r="A671" s="1"/>
      <c r="B671" s="1"/>
      <c r="C671" s="1"/>
      <c r="D671" s="1"/>
      <c r="E671" s="1"/>
      <c r="F671" s="1"/>
      <c r="K671" s="27"/>
      <c r="L671" s="27"/>
      <c r="M671" s="27"/>
      <c r="N671" s="27"/>
      <c r="O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58"/>
    </row>
    <row r="672" ht="17.25" customHeight="1">
      <c r="A672" s="1"/>
      <c r="B672" s="1"/>
      <c r="C672" s="1"/>
      <c r="D672" s="1"/>
      <c r="E672" s="1"/>
      <c r="F672" s="1"/>
      <c r="K672" s="27"/>
      <c r="L672" s="27"/>
      <c r="M672" s="27"/>
      <c r="N672" s="27"/>
      <c r="O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58"/>
    </row>
    <row r="673" ht="17.25" customHeight="1">
      <c r="A673" s="1"/>
      <c r="B673" s="1"/>
      <c r="C673" s="1"/>
      <c r="D673" s="1"/>
      <c r="E673" s="1"/>
      <c r="F673" s="1"/>
      <c r="K673" s="27"/>
      <c r="L673" s="27"/>
      <c r="M673" s="27"/>
      <c r="N673" s="27"/>
      <c r="O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58"/>
    </row>
    <row r="674" ht="17.25" customHeight="1">
      <c r="A674" s="1"/>
      <c r="B674" s="1"/>
      <c r="C674" s="1"/>
      <c r="D674" s="1"/>
      <c r="E674" s="1"/>
      <c r="F674" s="1"/>
      <c r="K674" s="27"/>
      <c r="L674" s="27"/>
      <c r="M674" s="27"/>
      <c r="N674" s="27"/>
      <c r="O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58"/>
    </row>
    <row r="675" ht="17.25" customHeight="1">
      <c r="A675" s="1"/>
      <c r="B675" s="1"/>
      <c r="C675" s="1"/>
      <c r="D675" s="1"/>
      <c r="E675" s="1"/>
      <c r="F675" s="1"/>
      <c r="K675" s="27"/>
      <c r="L675" s="27"/>
      <c r="M675" s="27"/>
      <c r="N675" s="27"/>
      <c r="O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58"/>
    </row>
    <row r="676" ht="17.25" customHeight="1">
      <c r="A676" s="1"/>
      <c r="B676" s="1"/>
      <c r="C676" s="1"/>
      <c r="D676" s="1"/>
      <c r="E676" s="1"/>
      <c r="F676" s="1"/>
      <c r="K676" s="27"/>
      <c r="L676" s="27"/>
      <c r="M676" s="27"/>
      <c r="N676" s="27"/>
      <c r="O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58"/>
    </row>
    <row r="677" ht="17.25" customHeight="1">
      <c r="A677" s="1"/>
      <c r="B677" s="1"/>
      <c r="C677" s="1"/>
      <c r="D677" s="1"/>
      <c r="E677" s="1"/>
      <c r="F677" s="1"/>
      <c r="K677" s="27"/>
      <c r="L677" s="27"/>
      <c r="M677" s="27"/>
      <c r="N677" s="27"/>
      <c r="O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58"/>
    </row>
    <row r="678" ht="17.25" customHeight="1">
      <c r="A678" s="1"/>
      <c r="B678" s="1"/>
      <c r="C678" s="1"/>
      <c r="D678" s="1"/>
      <c r="E678" s="1"/>
      <c r="F678" s="1"/>
      <c r="K678" s="27"/>
      <c r="L678" s="27"/>
      <c r="M678" s="27"/>
      <c r="N678" s="27"/>
      <c r="O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58"/>
    </row>
    <row r="679" ht="17.25" customHeight="1">
      <c r="A679" s="1"/>
      <c r="B679" s="1"/>
      <c r="C679" s="1"/>
      <c r="D679" s="1"/>
      <c r="E679" s="1"/>
      <c r="F679" s="1"/>
      <c r="K679" s="27"/>
      <c r="L679" s="27"/>
      <c r="M679" s="27"/>
      <c r="N679" s="27"/>
      <c r="O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58"/>
    </row>
    <row r="680" ht="17.25" customHeight="1">
      <c r="A680" s="1"/>
      <c r="B680" s="1"/>
      <c r="C680" s="1"/>
      <c r="D680" s="1"/>
      <c r="E680" s="1"/>
      <c r="F680" s="1"/>
      <c r="K680" s="27"/>
      <c r="L680" s="27"/>
      <c r="M680" s="27"/>
      <c r="N680" s="27"/>
      <c r="O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58"/>
    </row>
    <row r="681" ht="17.25" customHeight="1">
      <c r="A681" s="1"/>
      <c r="B681" s="1"/>
      <c r="C681" s="1"/>
      <c r="D681" s="1"/>
      <c r="E681" s="1"/>
      <c r="F681" s="1"/>
      <c r="K681" s="27"/>
      <c r="L681" s="27"/>
      <c r="M681" s="27"/>
      <c r="N681" s="27"/>
      <c r="O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58"/>
    </row>
    <row r="682" ht="17.25" customHeight="1">
      <c r="A682" s="1"/>
      <c r="B682" s="1"/>
      <c r="C682" s="1"/>
      <c r="D682" s="1"/>
      <c r="E682" s="1"/>
      <c r="F682" s="1"/>
      <c r="K682" s="27"/>
      <c r="L682" s="27"/>
      <c r="M682" s="27"/>
      <c r="N682" s="27"/>
      <c r="O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58"/>
    </row>
    <row r="683" ht="17.25" customHeight="1">
      <c r="A683" s="1"/>
      <c r="B683" s="1"/>
      <c r="C683" s="1"/>
      <c r="D683" s="1"/>
      <c r="E683" s="1"/>
      <c r="F683" s="1"/>
      <c r="K683" s="27"/>
      <c r="L683" s="27"/>
      <c r="M683" s="27"/>
      <c r="N683" s="27"/>
      <c r="O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58"/>
    </row>
    <row r="684" ht="17.25" customHeight="1">
      <c r="A684" s="1"/>
      <c r="B684" s="1"/>
      <c r="C684" s="1"/>
      <c r="D684" s="1"/>
      <c r="E684" s="1"/>
      <c r="F684" s="1"/>
      <c r="K684" s="27"/>
      <c r="L684" s="27"/>
      <c r="M684" s="27"/>
      <c r="N684" s="27"/>
      <c r="O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58"/>
    </row>
    <row r="685" ht="17.25" customHeight="1">
      <c r="A685" s="1"/>
      <c r="B685" s="1"/>
      <c r="C685" s="1"/>
      <c r="D685" s="1"/>
      <c r="E685" s="1"/>
      <c r="F685" s="1"/>
      <c r="K685" s="27"/>
      <c r="L685" s="27"/>
      <c r="M685" s="27"/>
      <c r="N685" s="27"/>
      <c r="O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58"/>
    </row>
    <row r="686" ht="17.25" customHeight="1">
      <c r="A686" s="1"/>
      <c r="B686" s="1"/>
      <c r="C686" s="1"/>
      <c r="D686" s="1"/>
      <c r="E686" s="1"/>
      <c r="F686" s="1"/>
      <c r="K686" s="27"/>
      <c r="L686" s="27"/>
      <c r="M686" s="27"/>
      <c r="N686" s="27"/>
      <c r="O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58"/>
    </row>
    <row r="687" ht="17.25" customHeight="1">
      <c r="A687" s="1"/>
      <c r="B687" s="1"/>
      <c r="C687" s="1"/>
      <c r="D687" s="1"/>
      <c r="E687" s="1"/>
      <c r="F687" s="1"/>
      <c r="K687" s="27"/>
      <c r="L687" s="27"/>
      <c r="M687" s="27"/>
      <c r="N687" s="27"/>
      <c r="O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58"/>
    </row>
    <row r="688" ht="17.25" customHeight="1">
      <c r="A688" s="1"/>
      <c r="B688" s="1"/>
      <c r="C688" s="1"/>
      <c r="D688" s="1"/>
      <c r="E688" s="1"/>
      <c r="F688" s="1"/>
      <c r="K688" s="27"/>
      <c r="L688" s="27"/>
      <c r="M688" s="27"/>
      <c r="N688" s="27"/>
      <c r="O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58"/>
    </row>
    <row r="689" ht="17.25" customHeight="1">
      <c r="A689" s="1"/>
      <c r="B689" s="1"/>
      <c r="C689" s="1"/>
      <c r="D689" s="1"/>
      <c r="E689" s="1"/>
      <c r="F689" s="1"/>
      <c r="K689" s="27"/>
      <c r="L689" s="27"/>
      <c r="M689" s="27"/>
      <c r="N689" s="27"/>
      <c r="O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58"/>
    </row>
    <row r="690" ht="17.25" customHeight="1">
      <c r="A690" s="1"/>
      <c r="B690" s="1"/>
      <c r="C690" s="1"/>
      <c r="D690" s="1"/>
      <c r="E690" s="1"/>
      <c r="F690" s="1"/>
      <c r="K690" s="27"/>
      <c r="L690" s="27"/>
      <c r="M690" s="27"/>
      <c r="N690" s="27"/>
      <c r="O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58"/>
    </row>
    <row r="691" ht="17.25" customHeight="1">
      <c r="A691" s="1"/>
      <c r="B691" s="1"/>
      <c r="C691" s="1"/>
      <c r="D691" s="1"/>
      <c r="E691" s="1"/>
      <c r="F691" s="1"/>
      <c r="K691" s="27"/>
      <c r="L691" s="27"/>
      <c r="M691" s="27"/>
      <c r="N691" s="27"/>
      <c r="O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58"/>
    </row>
    <row r="692" ht="17.25" customHeight="1">
      <c r="A692" s="1"/>
      <c r="B692" s="1"/>
      <c r="C692" s="1"/>
      <c r="D692" s="1"/>
      <c r="E692" s="1"/>
      <c r="F692" s="1"/>
      <c r="K692" s="27"/>
      <c r="L692" s="27"/>
      <c r="M692" s="27"/>
      <c r="N692" s="27"/>
      <c r="O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58"/>
    </row>
    <row r="693" ht="17.25" customHeight="1">
      <c r="A693" s="1"/>
      <c r="B693" s="1"/>
      <c r="C693" s="1"/>
      <c r="D693" s="1"/>
      <c r="E693" s="1"/>
      <c r="F693" s="1"/>
      <c r="K693" s="27"/>
      <c r="L693" s="27"/>
      <c r="M693" s="27"/>
      <c r="N693" s="27"/>
      <c r="O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58"/>
    </row>
    <row r="694" ht="17.25" customHeight="1">
      <c r="A694" s="1"/>
      <c r="B694" s="1"/>
      <c r="C694" s="1"/>
      <c r="D694" s="1"/>
      <c r="E694" s="1"/>
      <c r="F694" s="1"/>
      <c r="K694" s="27"/>
      <c r="L694" s="27"/>
      <c r="M694" s="27"/>
      <c r="N694" s="27"/>
      <c r="O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58"/>
    </row>
    <row r="695" ht="17.25" customHeight="1">
      <c r="A695" s="1"/>
      <c r="B695" s="1"/>
      <c r="C695" s="1"/>
      <c r="D695" s="1"/>
      <c r="E695" s="1"/>
      <c r="F695" s="1"/>
      <c r="K695" s="27"/>
      <c r="L695" s="27"/>
      <c r="M695" s="27"/>
      <c r="N695" s="27"/>
      <c r="O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58"/>
    </row>
    <row r="696" ht="17.25" customHeight="1">
      <c r="A696" s="1"/>
      <c r="B696" s="1"/>
      <c r="C696" s="1"/>
      <c r="D696" s="1"/>
      <c r="E696" s="1"/>
      <c r="F696" s="1"/>
      <c r="K696" s="27"/>
      <c r="L696" s="27"/>
      <c r="M696" s="27"/>
      <c r="N696" s="27"/>
      <c r="O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58"/>
    </row>
    <row r="697" ht="17.25" customHeight="1">
      <c r="A697" s="1"/>
      <c r="B697" s="1"/>
      <c r="C697" s="1"/>
      <c r="D697" s="1"/>
      <c r="E697" s="1"/>
      <c r="F697" s="1"/>
      <c r="K697" s="27"/>
      <c r="L697" s="27"/>
      <c r="M697" s="27"/>
      <c r="N697" s="27"/>
      <c r="O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58"/>
    </row>
    <row r="698" ht="17.25" customHeight="1">
      <c r="A698" s="1"/>
      <c r="B698" s="1"/>
      <c r="C698" s="1"/>
      <c r="D698" s="1"/>
      <c r="E698" s="1"/>
      <c r="F698" s="1"/>
      <c r="K698" s="27"/>
      <c r="L698" s="27"/>
      <c r="M698" s="27"/>
      <c r="N698" s="27"/>
      <c r="O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58"/>
    </row>
    <row r="699" ht="17.25" customHeight="1">
      <c r="A699" s="1"/>
      <c r="B699" s="1"/>
      <c r="C699" s="1"/>
      <c r="D699" s="1"/>
      <c r="E699" s="1"/>
      <c r="F699" s="1"/>
      <c r="K699" s="27"/>
      <c r="L699" s="27"/>
      <c r="M699" s="27"/>
      <c r="N699" s="27"/>
      <c r="O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58"/>
    </row>
    <row r="700" ht="17.25" customHeight="1">
      <c r="A700" s="1"/>
      <c r="B700" s="1"/>
      <c r="C700" s="1"/>
      <c r="D700" s="1"/>
      <c r="E700" s="1"/>
      <c r="F700" s="1"/>
      <c r="K700" s="27"/>
      <c r="L700" s="27"/>
      <c r="M700" s="27"/>
      <c r="N700" s="27"/>
      <c r="O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58"/>
    </row>
    <row r="701" ht="17.25" customHeight="1">
      <c r="A701" s="1"/>
      <c r="B701" s="1"/>
      <c r="C701" s="1"/>
      <c r="D701" s="1"/>
      <c r="E701" s="1"/>
      <c r="F701" s="1"/>
      <c r="K701" s="27"/>
      <c r="L701" s="27"/>
      <c r="M701" s="27"/>
      <c r="N701" s="27"/>
      <c r="O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58"/>
    </row>
    <row r="702" ht="17.25" customHeight="1">
      <c r="A702" s="1"/>
      <c r="B702" s="1"/>
      <c r="C702" s="1"/>
      <c r="D702" s="1"/>
      <c r="E702" s="1"/>
      <c r="F702" s="1"/>
      <c r="K702" s="27"/>
      <c r="L702" s="27"/>
      <c r="M702" s="27"/>
      <c r="N702" s="27"/>
      <c r="O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58"/>
    </row>
    <row r="703" ht="17.25" customHeight="1">
      <c r="A703" s="1"/>
      <c r="B703" s="1"/>
      <c r="C703" s="1"/>
      <c r="D703" s="1"/>
      <c r="E703" s="1"/>
      <c r="F703" s="1"/>
      <c r="K703" s="27"/>
      <c r="L703" s="27"/>
      <c r="M703" s="27"/>
      <c r="N703" s="27"/>
      <c r="O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58"/>
    </row>
    <row r="704" ht="17.25" customHeight="1">
      <c r="A704" s="1"/>
      <c r="B704" s="1"/>
      <c r="C704" s="1"/>
      <c r="D704" s="1"/>
      <c r="E704" s="1"/>
      <c r="F704" s="1"/>
      <c r="K704" s="27"/>
      <c r="L704" s="27"/>
      <c r="M704" s="27"/>
      <c r="N704" s="27"/>
      <c r="O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58"/>
    </row>
    <row r="705" ht="17.25" customHeight="1">
      <c r="A705" s="1"/>
      <c r="B705" s="1"/>
      <c r="C705" s="1"/>
      <c r="D705" s="1"/>
      <c r="E705" s="1"/>
      <c r="F705" s="1"/>
      <c r="K705" s="27"/>
      <c r="L705" s="27"/>
      <c r="M705" s="27"/>
      <c r="N705" s="27"/>
      <c r="O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58"/>
    </row>
    <row r="706" ht="17.25" customHeight="1">
      <c r="A706" s="1"/>
      <c r="B706" s="1"/>
      <c r="C706" s="1"/>
      <c r="D706" s="1"/>
      <c r="E706" s="1"/>
      <c r="F706" s="1"/>
      <c r="K706" s="27"/>
      <c r="L706" s="27"/>
      <c r="M706" s="27"/>
      <c r="N706" s="27"/>
      <c r="O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58"/>
    </row>
    <row r="707" ht="17.25" customHeight="1">
      <c r="A707" s="1"/>
      <c r="B707" s="1"/>
      <c r="C707" s="1"/>
      <c r="D707" s="1"/>
      <c r="E707" s="1"/>
      <c r="F707" s="1"/>
      <c r="K707" s="27"/>
      <c r="L707" s="27"/>
      <c r="M707" s="27"/>
      <c r="N707" s="27"/>
      <c r="O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58"/>
    </row>
    <row r="708" ht="17.25" customHeight="1">
      <c r="A708" s="1"/>
      <c r="B708" s="1"/>
      <c r="C708" s="1"/>
      <c r="D708" s="1"/>
      <c r="E708" s="1"/>
      <c r="F708" s="1"/>
      <c r="K708" s="27"/>
      <c r="L708" s="27"/>
      <c r="M708" s="27"/>
      <c r="N708" s="27"/>
      <c r="O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58"/>
    </row>
    <row r="709" ht="17.25" customHeight="1">
      <c r="A709" s="1"/>
      <c r="B709" s="1"/>
      <c r="C709" s="1"/>
      <c r="D709" s="1"/>
      <c r="E709" s="1"/>
      <c r="F709" s="1"/>
      <c r="K709" s="27"/>
      <c r="L709" s="27"/>
      <c r="M709" s="27"/>
      <c r="N709" s="27"/>
      <c r="O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58"/>
    </row>
    <row r="710" ht="17.25" customHeight="1">
      <c r="A710" s="1"/>
      <c r="B710" s="1"/>
      <c r="C710" s="1"/>
      <c r="D710" s="1"/>
      <c r="E710" s="1"/>
      <c r="F710" s="1"/>
      <c r="K710" s="27"/>
      <c r="L710" s="27"/>
      <c r="M710" s="27"/>
      <c r="N710" s="27"/>
      <c r="O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58"/>
    </row>
    <row r="711" ht="17.25" customHeight="1">
      <c r="A711" s="1"/>
      <c r="B711" s="1"/>
      <c r="C711" s="1"/>
      <c r="D711" s="1"/>
      <c r="E711" s="1"/>
      <c r="F711" s="1"/>
      <c r="K711" s="27"/>
      <c r="L711" s="27"/>
      <c r="M711" s="27"/>
      <c r="N711" s="27"/>
      <c r="O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58"/>
    </row>
    <row r="712" ht="17.25" customHeight="1">
      <c r="A712" s="1"/>
      <c r="B712" s="1"/>
      <c r="C712" s="1"/>
      <c r="D712" s="1"/>
      <c r="E712" s="1"/>
      <c r="F712" s="1"/>
      <c r="K712" s="27"/>
      <c r="L712" s="27"/>
      <c r="M712" s="27"/>
      <c r="N712" s="27"/>
      <c r="O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58"/>
    </row>
    <row r="713" ht="17.25" customHeight="1">
      <c r="A713" s="1"/>
      <c r="B713" s="1"/>
      <c r="C713" s="1"/>
      <c r="D713" s="1"/>
      <c r="E713" s="1"/>
      <c r="F713" s="1"/>
      <c r="K713" s="27"/>
      <c r="L713" s="27"/>
      <c r="M713" s="27"/>
      <c r="N713" s="27"/>
      <c r="O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58"/>
    </row>
    <row r="714" ht="17.25" customHeight="1">
      <c r="A714" s="1"/>
      <c r="B714" s="1"/>
      <c r="C714" s="1"/>
      <c r="D714" s="1"/>
      <c r="E714" s="1"/>
      <c r="F714" s="1"/>
      <c r="K714" s="27"/>
      <c r="L714" s="27"/>
      <c r="M714" s="27"/>
      <c r="N714" s="27"/>
      <c r="O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58"/>
    </row>
    <row r="715" ht="17.25" customHeight="1">
      <c r="A715" s="1"/>
      <c r="B715" s="1"/>
      <c r="C715" s="1"/>
      <c r="D715" s="1"/>
      <c r="E715" s="1"/>
      <c r="F715" s="1"/>
      <c r="K715" s="27"/>
      <c r="L715" s="27"/>
      <c r="M715" s="27"/>
      <c r="N715" s="27"/>
      <c r="O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58"/>
    </row>
    <row r="716" ht="17.25" customHeight="1">
      <c r="A716" s="1"/>
      <c r="B716" s="1"/>
      <c r="C716" s="1"/>
      <c r="D716" s="1"/>
      <c r="E716" s="1"/>
      <c r="F716" s="1"/>
      <c r="K716" s="27"/>
      <c r="L716" s="27"/>
      <c r="M716" s="27"/>
      <c r="N716" s="27"/>
      <c r="O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58"/>
    </row>
    <row r="717" ht="17.25" customHeight="1">
      <c r="A717" s="1"/>
      <c r="B717" s="1"/>
      <c r="C717" s="1"/>
      <c r="D717" s="1"/>
      <c r="E717" s="1"/>
      <c r="F717" s="1"/>
      <c r="K717" s="27"/>
      <c r="L717" s="27"/>
      <c r="M717" s="27"/>
      <c r="N717" s="27"/>
      <c r="O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58"/>
    </row>
    <row r="718" ht="17.25" customHeight="1">
      <c r="A718" s="1"/>
      <c r="B718" s="1"/>
      <c r="C718" s="1"/>
      <c r="D718" s="1"/>
      <c r="E718" s="1"/>
      <c r="F718" s="1"/>
      <c r="K718" s="27"/>
      <c r="L718" s="27"/>
      <c r="M718" s="27"/>
      <c r="N718" s="27"/>
      <c r="O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58"/>
    </row>
    <row r="719" ht="17.25" customHeight="1">
      <c r="A719" s="1"/>
      <c r="B719" s="1"/>
      <c r="C719" s="1"/>
      <c r="D719" s="1"/>
      <c r="E719" s="1"/>
      <c r="F719" s="1"/>
      <c r="K719" s="27"/>
      <c r="L719" s="27"/>
      <c r="M719" s="27"/>
      <c r="N719" s="27"/>
      <c r="O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58"/>
    </row>
    <row r="720" ht="17.25" customHeight="1">
      <c r="A720" s="1"/>
      <c r="B720" s="1"/>
      <c r="C720" s="1"/>
      <c r="D720" s="1"/>
      <c r="E720" s="1"/>
      <c r="F720" s="1"/>
      <c r="K720" s="27"/>
      <c r="L720" s="27"/>
      <c r="M720" s="27"/>
      <c r="N720" s="27"/>
      <c r="O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58"/>
    </row>
    <row r="721" ht="17.25" customHeight="1">
      <c r="A721" s="1"/>
      <c r="B721" s="1"/>
      <c r="C721" s="1"/>
      <c r="D721" s="1"/>
      <c r="E721" s="1"/>
      <c r="F721" s="1"/>
      <c r="K721" s="27"/>
      <c r="L721" s="27"/>
      <c r="M721" s="27"/>
      <c r="N721" s="27"/>
      <c r="O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58"/>
    </row>
    <row r="722" ht="17.25" customHeight="1">
      <c r="A722" s="1"/>
      <c r="B722" s="1"/>
      <c r="C722" s="1"/>
      <c r="D722" s="1"/>
      <c r="E722" s="1"/>
      <c r="F722" s="1"/>
      <c r="K722" s="27"/>
      <c r="L722" s="27"/>
      <c r="M722" s="27"/>
      <c r="N722" s="27"/>
      <c r="O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58"/>
    </row>
    <row r="723" ht="17.25" customHeight="1">
      <c r="A723" s="1"/>
      <c r="B723" s="1"/>
      <c r="C723" s="1"/>
      <c r="D723" s="1"/>
      <c r="E723" s="1"/>
      <c r="F723" s="1"/>
      <c r="K723" s="27"/>
      <c r="L723" s="27"/>
      <c r="M723" s="27"/>
      <c r="N723" s="27"/>
      <c r="O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58"/>
    </row>
    <row r="724" ht="17.25" customHeight="1">
      <c r="A724" s="1"/>
      <c r="B724" s="1"/>
      <c r="C724" s="1"/>
      <c r="D724" s="1"/>
      <c r="E724" s="1"/>
      <c r="F724" s="1"/>
      <c r="K724" s="27"/>
      <c r="L724" s="27"/>
      <c r="M724" s="27"/>
      <c r="N724" s="27"/>
      <c r="O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58"/>
    </row>
    <row r="725" ht="17.25" customHeight="1">
      <c r="A725" s="1"/>
      <c r="B725" s="1"/>
      <c r="C725" s="1"/>
      <c r="D725" s="1"/>
      <c r="E725" s="1"/>
      <c r="F725" s="1"/>
      <c r="K725" s="27"/>
      <c r="L725" s="27"/>
      <c r="M725" s="27"/>
      <c r="N725" s="27"/>
      <c r="O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58"/>
    </row>
    <row r="726" ht="17.25" customHeight="1">
      <c r="A726" s="1"/>
      <c r="B726" s="1"/>
      <c r="C726" s="1"/>
      <c r="D726" s="1"/>
      <c r="E726" s="1"/>
      <c r="F726" s="1"/>
      <c r="K726" s="27"/>
      <c r="L726" s="27"/>
      <c r="M726" s="27"/>
      <c r="N726" s="27"/>
      <c r="O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58"/>
    </row>
    <row r="727" ht="17.25" customHeight="1">
      <c r="A727" s="1"/>
      <c r="B727" s="1"/>
      <c r="C727" s="1"/>
      <c r="D727" s="1"/>
      <c r="E727" s="1"/>
      <c r="F727" s="1"/>
      <c r="K727" s="27"/>
      <c r="L727" s="27"/>
      <c r="M727" s="27"/>
      <c r="N727" s="27"/>
      <c r="O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58"/>
    </row>
    <row r="728" ht="17.25" customHeight="1">
      <c r="A728" s="1"/>
      <c r="B728" s="1"/>
      <c r="C728" s="1"/>
      <c r="D728" s="1"/>
      <c r="E728" s="1"/>
      <c r="F728" s="1"/>
      <c r="K728" s="27"/>
      <c r="L728" s="27"/>
      <c r="M728" s="27"/>
      <c r="N728" s="27"/>
      <c r="O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58"/>
    </row>
    <row r="729" ht="17.25" customHeight="1">
      <c r="A729" s="1"/>
      <c r="B729" s="1"/>
      <c r="C729" s="1"/>
      <c r="D729" s="1"/>
      <c r="E729" s="1"/>
      <c r="F729" s="1"/>
      <c r="K729" s="27"/>
      <c r="L729" s="27"/>
      <c r="M729" s="27"/>
      <c r="N729" s="27"/>
      <c r="O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58"/>
    </row>
    <row r="730" ht="17.25" customHeight="1">
      <c r="A730" s="1"/>
      <c r="B730" s="1"/>
      <c r="C730" s="1"/>
      <c r="D730" s="1"/>
      <c r="E730" s="1"/>
      <c r="F730" s="1"/>
      <c r="K730" s="27"/>
      <c r="L730" s="27"/>
      <c r="M730" s="27"/>
      <c r="N730" s="27"/>
      <c r="O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58"/>
    </row>
    <row r="731" ht="17.25" customHeight="1">
      <c r="A731" s="1"/>
      <c r="B731" s="1"/>
      <c r="C731" s="1"/>
      <c r="D731" s="1"/>
      <c r="E731" s="1"/>
      <c r="F731" s="1"/>
      <c r="K731" s="27"/>
      <c r="L731" s="27"/>
      <c r="M731" s="27"/>
      <c r="N731" s="27"/>
      <c r="O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58"/>
    </row>
    <row r="732" ht="17.25" customHeight="1">
      <c r="A732" s="1"/>
      <c r="B732" s="1"/>
      <c r="C732" s="1"/>
      <c r="D732" s="1"/>
      <c r="E732" s="1"/>
      <c r="F732" s="1"/>
      <c r="K732" s="27"/>
      <c r="L732" s="27"/>
      <c r="M732" s="27"/>
      <c r="N732" s="27"/>
      <c r="O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58"/>
    </row>
    <row r="733" ht="17.25" customHeight="1">
      <c r="A733" s="1"/>
      <c r="B733" s="1"/>
      <c r="C733" s="1"/>
      <c r="D733" s="1"/>
      <c r="E733" s="1"/>
      <c r="F733" s="1"/>
      <c r="K733" s="27"/>
      <c r="L733" s="27"/>
      <c r="M733" s="27"/>
      <c r="N733" s="27"/>
      <c r="O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58"/>
    </row>
    <row r="734" ht="17.25" customHeight="1">
      <c r="A734" s="1"/>
      <c r="B734" s="1"/>
      <c r="C734" s="1"/>
      <c r="D734" s="1"/>
      <c r="E734" s="1"/>
      <c r="F734" s="1"/>
      <c r="K734" s="27"/>
      <c r="L734" s="27"/>
      <c r="M734" s="27"/>
      <c r="N734" s="27"/>
      <c r="O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58"/>
    </row>
    <row r="735" ht="17.25" customHeight="1">
      <c r="A735" s="1"/>
      <c r="B735" s="1"/>
      <c r="C735" s="1"/>
      <c r="D735" s="1"/>
      <c r="E735" s="1"/>
      <c r="F735" s="1"/>
      <c r="K735" s="27"/>
      <c r="L735" s="27"/>
      <c r="M735" s="27"/>
      <c r="N735" s="27"/>
      <c r="O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58"/>
    </row>
    <row r="736" ht="17.25" customHeight="1">
      <c r="A736" s="1"/>
      <c r="B736" s="1"/>
      <c r="C736" s="1"/>
      <c r="D736" s="1"/>
      <c r="E736" s="1"/>
      <c r="F736" s="1"/>
      <c r="K736" s="27"/>
      <c r="L736" s="27"/>
      <c r="M736" s="27"/>
      <c r="N736" s="27"/>
      <c r="O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58"/>
    </row>
    <row r="737" ht="17.25" customHeight="1">
      <c r="A737" s="1"/>
      <c r="B737" s="1"/>
      <c r="C737" s="1"/>
      <c r="D737" s="1"/>
      <c r="E737" s="1"/>
      <c r="F737" s="1"/>
      <c r="K737" s="27"/>
      <c r="L737" s="27"/>
      <c r="M737" s="27"/>
      <c r="N737" s="27"/>
      <c r="O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58"/>
    </row>
    <row r="738" ht="17.25" customHeight="1">
      <c r="A738" s="1"/>
      <c r="B738" s="1"/>
      <c r="C738" s="1"/>
      <c r="D738" s="1"/>
      <c r="E738" s="1"/>
      <c r="F738" s="1"/>
      <c r="K738" s="27"/>
      <c r="L738" s="27"/>
      <c r="M738" s="27"/>
      <c r="N738" s="27"/>
      <c r="O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58"/>
    </row>
    <row r="739" ht="17.25" customHeight="1">
      <c r="A739" s="1"/>
      <c r="B739" s="1"/>
      <c r="C739" s="1"/>
      <c r="D739" s="1"/>
      <c r="E739" s="1"/>
      <c r="F739" s="1"/>
      <c r="K739" s="27"/>
      <c r="L739" s="27"/>
      <c r="M739" s="27"/>
      <c r="N739" s="27"/>
      <c r="O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58"/>
    </row>
    <row r="740" ht="17.25" customHeight="1">
      <c r="A740" s="1"/>
      <c r="B740" s="1"/>
      <c r="C740" s="1"/>
      <c r="D740" s="1"/>
      <c r="E740" s="1"/>
      <c r="F740" s="1"/>
      <c r="K740" s="27"/>
      <c r="L740" s="27"/>
      <c r="M740" s="27"/>
      <c r="N740" s="27"/>
      <c r="O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58"/>
    </row>
    <row r="741" ht="17.25" customHeight="1">
      <c r="A741" s="1"/>
      <c r="B741" s="1"/>
      <c r="C741" s="1"/>
      <c r="D741" s="1"/>
      <c r="E741" s="1"/>
      <c r="F741" s="1"/>
      <c r="K741" s="27"/>
      <c r="L741" s="27"/>
      <c r="M741" s="27"/>
      <c r="N741" s="27"/>
      <c r="O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58"/>
    </row>
    <row r="742" ht="17.25" customHeight="1">
      <c r="A742" s="1"/>
      <c r="B742" s="1"/>
      <c r="C742" s="1"/>
      <c r="D742" s="1"/>
      <c r="E742" s="1"/>
      <c r="F742" s="1"/>
      <c r="K742" s="27"/>
      <c r="L742" s="27"/>
      <c r="M742" s="27"/>
      <c r="N742" s="27"/>
      <c r="O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58"/>
    </row>
    <row r="743" ht="17.25" customHeight="1">
      <c r="A743" s="1"/>
      <c r="B743" s="1"/>
      <c r="C743" s="1"/>
      <c r="D743" s="1"/>
      <c r="E743" s="1"/>
      <c r="F743" s="1"/>
      <c r="K743" s="27"/>
      <c r="L743" s="27"/>
      <c r="M743" s="27"/>
      <c r="N743" s="27"/>
      <c r="O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58"/>
    </row>
    <row r="744" ht="17.25" customHeight="1">
      <c r="A744" s="1"/>
      <c r="B744" s="1"/>
      <c r="C744" s="1"/>
      <c r="D744" s="1"/>
      <c r="E744" s="1"/>
      <c r="F744" s="1"/>
      <c r="K744" s="27"/>
      <c r="L744" s="27"/>
      <c r="M744" s="27"/>
      <c r="N744" s="27"/>
      <c r="O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58"/>
    </row>
    <row r="745" ht="17.25" customHeight="1">
      <c r="A745" s="1"/>
      <c r="B745" s="1"/>
      <c r="C745" s="1"/>
      <c r="D745" s="1"/>
      <c r="E745" s="1"/>
      <c r="F745" s="1"/>
      <c r="K745" s="27"/>
      <c r="L745" s="27"/>
      <c r="M745" s="27"/>
      <c r="N745" s="27"/>
      <c r="O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58"/>
    </row>
    <row r="746" ht="17.25" customHeight="1">
      <c r="A746" s="1"/>
      <c r="B746" s="1"/>
      <c r="C746" s="1"/>
      <c r="D746" s="1"/>
      <c r="E746" s="1"/>
      <c r="F746" s="1"/>
      <c r="K746" s="27"/>
      <c r="L746" s="27"/>
      <c r="M746" s="27"/>
      <c r="N746" s="27"/>
      <c r="O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58"/>
    </row>
    <row r="747" ht="17.25" customHeight="1">
      <c r="A747" s="1"/>
      <c r="B747" s="1"/>
      <c r="C747" s="1"/>
      <c r="D747" s="1"/>
      <c r="E747" s="1"/>
      <c r="F747" s="1"/>
      <c r="K747" s="27"/>
      <c r="L747" s="27"/>
      <c r="M747" s="27"/>
      <c r="N747" s="27"/>
      <c r="O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58"/>
    </row>
    <row r="748" ht="17.25" customHeight="1">
      <c r="A748" s="1"/>
      <c r="B748" s="1"/>
      <c r="C748" s="1"/>
      <c r="D748" s="1"/>
      <c r="E748" s="1"/>
      <c r="F748" s="1"/>
      <c r="K748" s="27"/>
      <c r="L748" s="27"/>
      <c r="M748" s="27"/>
      <c r="N748" s="27"/>
      <c r="O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58"/>
    </row>
    <row r="749" ht="17.25" customHeight="1">
      <c r="A749" s="1"/>
      <c r="B749" s="1"/>
      <c r="C749" s="1"/>
      <c r="D749" s="1"/>
      <c r="E749" s="1"/>
      <c r="F749" s="1"/>
      <c r="K749" s="27"/>
      <c r="L749" s="27"/>
      <c r="M749" s="27"/>
      <c r="N749" s="27"/>
      <c r="O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58"/>
    </row>
    <row r="750" ht="17.25" customHeight="1">
      <c r="A750" s="1"/>
      <c r="B750" s="1"/>
      <c r="C750" s="1"/>
      <c r="D750" s="1"/>
      <c r="E750" s="1"/>
      <c r="F750" s="1"/>
      <c r="K750" s="27"/>
      <c r="L750" s="27"/>
      <c r="M750" s="27"/>
      <c r="N750" s="27"/>
      <c r="O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58"/>
    </row>
    <row r="751" ht="17.25" customHeight="1">
      <c r="A751" s="1"/>
      <c r="B751" s="1"/>
      <c r="C751" s="1"/>
      <c r="D751" s="1"/>
      <c r="E751" s="1"/>
      <c r="F751" s="1"/>
      <c r="K751" s="27"/>
      <c r="L751" s="27"/>
      <c r="M751" s="27"/>
      <c r="N751" s="27"/>
      <c r="O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58"/>
    </row>
    <row r="752" ht="17.25" customHeight="1">
      <c r="A752" s="1"/>
      <c r="B752" s="1"/>
      <c r="C752" s="1"/>
      <c r="D752" s="1"/>
      <c r="E752" s="1"/>
      <c r="F752" s="1"/>
      <c r="K752" s="27"/>
      <c r="L752" s="27"/>
      <c r="M752" s="27"/>
      <c r="N752" s="27"/>
      <c r="O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58"/>
    </row>
    <row r="753" ht="17.25" customHeight="1">
      <c r="A753" s="1"/>
      <c r="B753" s="1"/>
      <c r="C753" s="1"/>
      <c r="D753" s="1"/>
      <c r="E753" s="1"/>
      <c r="F753" s="1"/>
      <c r="K753" s="27"/>
      <c r="L753" s="27"/>
      <c r="M753" s="27"/>
      <c r="N753" s="27"/>
      <c r="O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58"/>
    </row>
    <row r="754" ht="17.25" customHeight="1">
      <c r="A754" s="1"/>
      <c r="B754" s="1"/>
      <c r="C754" s="1"/>
      <c r="D754" s="1"/>
      <c r="E754" s="1"/>
      <c r="F754" s="1"/>
      <c r="K754" s="27"/>
      <c r="L754" s="27"/>
      <c r="M754" s="27"/>
      <c r="N754" s="27"/>
      <c r="O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58"/>
    </row>
    <row r="755" ht="17.25" customHeight="1">
      <c r="A755" s="1"/>
      <c r="B755" s="1"/>
      <c r="C755" s="1"/>
      <c r="D755" s="1"/>
      <c r="E755" s="1"/>
      <c r="F755" s="1"/>
      <c r="K755" s="27"/>
      <c r="L755" s="27"/>
      <c r="M755" s="27"/>
      <c r="N755" s="27"/>
      <c r="O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58"/>
    </row>
    <row r="756" ht="17.25" customHeight="1">
      <c r="A756" s="1"/>
      <c r="B756" s="1"/>
      <c r="C756" s="1"/>
      <c r="D756" s="1"/>
      <c r="E756" s="1"/>
      <c r="F756" s="1"/>
      <c r="K756" s="27"/>
      <c r="L756" s="27"/>
      <c r="M756" s="27"/>
      <c r="N756" s="27"/>
      <c r="O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58"/>
    </row>
    <row r="757" ht="17.25" customHeight="1">
      <c r="A757" s="1"/>
      <c r="B757" s="1"/>
      <c r="C757" s="1"/>
      <c r="D757" s="1"/>
      <c r="E757" s="1"/>
      <c r="F757" s="1"/>
      <c r="K757" s="27"/>
      <c r="L757" s="27"/>
      <c r="M757" s="27"/>
      <c r="N757" s="27"/>
      <c r="O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58"/>
    </row>
    <row r="758" ht="17.25" customHeight="1">
      <c r="A758" s="1"/>
      <c r="B758" s="1"/>
      <c r="C758" s="1"/>
      <c r="D758" s="1"/>
      <c r="E758" s="1"/>
      <c r="F758" s="1"/>
      <c r="K758" s="27"/>
      <c r="L758" s="27"/>
      <c r="M758" s="27"/>
      <c r="N758" s="27"/>
      <c r="O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58"/>
    </row>
    <row r="759" ht="17.25" customHeight="1">
      <c r="A759" s="1"/>
      <c r="B759" s="1"/>
      <c r="C759" s="1"/>
      <c r="D759" s="1"/>
      <c r="E759" s="1"/>
      <c r="F759" s="1"/>
      <c r="K759" s="27"/>
      <c r="L759" s="27"/>
      <c r="M759" s="27"/>
      <c r="N759" s="27"/>
      <c r="O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58"/>
    </row>
    <row r="760" ht="17.25" customHeight="1">
      <c r="A760" s="1"/>
      <c r="B760" s="1"/>
      <c r="C760" s="1"/>
      <c r="D760" s="1"/>
      <c r="E760" s="1"/>
      <c r="F760" s="1"/>
      <c r="K760" s="27"/>
      <c r="L760" s="27"/>
      <c r="M760" s="27"/>
      <c r="N760" s="27"/>
      <c r="O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58"/>
    </row>
    <row r="761" ht="17.25" customHeight="1">
      <c r="A761" s="1"/>
      <c r="B761" s="1"/>
      <c r="C761" s="1"/>
      <c r="D761" s="1"/>
      <c r="E761" s="1"/>
      <c r="F761" s="1"/>
      <c r="K761" s="27"/>
      <c r="L761" s="27"/>
      <c r="M761" s="27"/>
      <c r="N761" s="27"/>
      <c r="O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58"/>
    </row>
    <row r="762" ht="17.25" customHeight="1">
      <c r="A762" s="1"/>
      <c r="B762" s="1"/>
      <c r="C762" s="1"/>
      <c r="D762" s="1"/>
      <c r="E762" s="1"/>
      <c r="F762" s="1"/>
      <c r="K762" s="27"/>
      <c r="L762" s="27"/>
      <c r="M762" s="27"/>
      <c r="N762" s="27"/>
      <c r="O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58"/>
    </row>
    <row r="763" ht="17.25" customHeight="1">
      <c r="A763" s="1"/>
      <c r="B763" s="1"/>
      <c r="C763" s="1"/>
      <c r="D763" s="1"/>
      <c r="E763" s="1"/>
      <c r="F763" s="1"/>
      <c r="K763" s="27"/>
      <c r="L763" s="27"/>
      <c r="M763" s="27"/>
      <c r="N763" s="27"/>
      <c r="O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58"/>
    </row>
    <row r="764" ht="17.25" customHeight="1">
      <c r="A764" s="1"/>
      <c r="B764" s="1"/>
      <c r="C764" s="1"/>
      <c r="D764" s="1"/>
      <c r="E764" s="1"/>
      <c r="F764" s="1"/>
      <c r="K764" s="27"/>
      <c r="L764" s="27"/>
      <c r="M764" s="27"/>
      <c r="N764" s="27"/>
      <c r="O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58"/>
    </row>
    <row r="765" ht="17.25" customHeight="1">
      <c r="A765" s="1"/>
      <c r="B765" s="1"/>
      <c r="C765" s="1"/>
      <c r="D765" s="1"/>
      <c r="E765" s="1"/>
      <c r="F765" s="1"/>
      <c r="K765" s="27"/>
      <c r="L765" s="27"/>
      <c r="M765" s="27"/>
      <c r="N765" s="27"/>
      <c r="O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58"/>
    </row>
    <row r="766" ht="17.25" customHeight="1">
      <c r="A766" s="1"/>
      <c r="B766" s="1"/>
      <c r="C766" s="1"/>
      <c r="D766" s="1"/>
      <c r="E766" s="1"/>
      <c r="F766" s="1"/>
      <c r="K766" s="27"/>
      <c r="L766" s="27"/>
      <c r="M766" s="27"/>
      <c r="N766" s="27"/>
      <c r="O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58"/>
    </row>
    <row r="767" ht="17.25" customHeight="1">
      <c r="A767" s="1"/>
      <c r="B767" s="1"/>
      <c r="C767" s="1"/>
      <c r="D767" s="1"/>
      <c r="E767" s="1"/>
      <c r="F767" s="1"/>
      <c r="K767" s="27"/>
      <c r="L767" s="27"/>
      <c r="M767" s="27"/>
      <c r="N767" s="27"/>
      <c r="O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58"/>
    </row>
    <row r="768" ht="17.25" customHeight="1">
      <c r="A768" s="1"/>
      <c r="B768" s="1"/>
      <c r="C768" s="1"/>
      <c r="D768" s="1"/>
      <c r="E768" s="1"/>
      <c r="F768" s="1"/>
      <c r="K768" s="27"/>
      <c r="L768" s="27"/>
      <c r="M768" s="27"/>
      <c r="N768" s="27"/>
      <c r="O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58"/>
    </row>
    <row r="769" ht="17.25" customHeight="1">
      <c r="A769" s="1"/>
      <c r="B769" s="1"/>
      <c r="C769" s="1"/>
      <c r="D769" s="1"/>
      <c r="E769" s="1"/>
      <c r="F769" s="1"/>
      <c r="K769" s="27"/>
      <c r="L769" s="27"/>
      <c r="M769" s="27"/>
      <c r="N769" s="27"/>
      <c r="O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58"/>
    </row>
    <row r="770" ht="17.25" customHeight="1">
      <c r="A770" s="1"/>
      <c r="B770" s="1"/>
      <c r="C770" s="1"/>
      <c r="D770" s="1"/>
      <c r="E770" s="1"/>
      <c r="F770" s="1"/>
      <c r="K770" s="27"/>
      <c r="L770" s="27"/>
      <c r="M770" s="27"/>
      <c r="N770" s="27"/>
      <c r="O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58"/>
    </row>
    <row r="771" ht="17.25" customHeight="1">
      <c r="A771" s="1"/>
      <c r="B771" s="1"/>
      <c r="C771" s="1"/>
      <c r="D771" s="1"/>
      <c r="E771" s="1"/>
      <c r="F771" s="1"/>
      <c r="K771" s="27"/>
      <c r="L771" s="27"/>
      <c r="M771" s="27"/>
      <c r="N771" s="27"/>
      <c r="O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58"/>
    </row>
    <row r="772" ht="17.25" customHeight="1">
      <c r="A772" s="1"/>
      <c r="B772" s="1"/>
      <c r="C772" s="1"/>
      <c r="D772" s="1"/>
      <c r="E772" s="1"/>
      <c r="F772" s="1"/>
      <c r="K772" s="27"/>
      <c r="L772" s="27"/>
      <c r="M772" s="27"/>
      <c r="N772" s="27"/>
      <c r="O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58"/>
    </row>
    <row r="773" ht="17.25" customHeight="1">
      <c r="A773" s="1"/>
      <c r="B773" s="1"/>
      <c r="C773" s="1"/>
      <c r="D773" s="1"/>
      <c r="E773" s="1"/>
      <c r="F773" s="1"/>
      <c r="K773" s="27"/>
      <c r="L773" s="27"/>
      <c r="M773" s="27"/>
      <c r="N773" s="27"/>
      <c r="O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58"/>
    </row>
    <row r="774" ht="17.25" customHeight="1">
      <c r="A774" s="1"/>
      <c r="B774" s="1"/>
      <c r="C774" s="1"/>
      <c r="D774" s="1"/>
      <c r="E774" s="1"/>
      <c r="F774" s="1"/>
      <c r="K774" s="27"/>
      <c r="L774" s="27"/>
      <c r="M774" s="27"/>
      <c r="N774" s="27"/>
      <c r="O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58"/>
    </row>
    <row r="775" ht="17.25" customHeight="1">
      <c r="A775" s="1"/>
      <c r="B775" s="1"/>
      <c r="C775" s="1"/>
      <c r="D775" s="1"/>
      <c r="E775" s="1"/>
      <c r="F775" s="1"/>
      <c r="K775" s="27"/>
      <c r="L775" s="27"/>
      <c r="M775" s="27"/>
      <c r="N775" s="27"/>
      <c r="O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58"/>
    </row>
    <row r="776" ht="17.25" customHeight="1">
      <c r="A776" s="1"/>
      <c r="B776" s="1"/>
      <c r="C776" s="1"/>
      <c r="D776" s="1"/>
      <c r="E776" s="1"/>
      <c r="F776" s="1"/>
      <c r="K776" s="27"/>
      <c r="L776" s="27"/>
      <c r="M776" s="27"/>
      <c r="N776" s="27"/>
      <c r="O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58"/>
    </row>
    <row r="777" ht="17.25" customHeight="1">
      <c r="A777" s="1"/>
      <c r="B777" s="1"/>
      <c r="C777" s="1"/>
      <c r="D777" s="1"/>
      <c r="E777" s="1"/>
      <c r="F777" s="1"/>
      <c r="K777" s="27"/>
      <c r="L777" s="27"/>
      <c r="M777" s="27"/>
      <c r="N777" s="27"/>
      <c r="O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58"/>
    </row>
    <row r="778" ht="17.25" customHeight="1">
      <c r="A778" s="1"/>
      <c r="B778" s="1"/>
      <c r="C778" s="1"/>
      <c r="D778" s="1"/>
      <c r="E778" s="1"/>
      <c r="F778" s="1"/>
      <c r="K778" s="27"/>
      <c r="L778" s="27"/>
      <c r="M778" s="27"/>
      <c r="N778" s="27"/>
      <c r="O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58"/>
    </row>
    <row r="779" ht="17.25" customHeight="1">
      <c r="A779" s="1"/>
      <c r="B779" s="1"/>
      <c r="C779" s="1"/>
      <c r="D779" s="1"/>
      <c r="E779" s="1"/>
      <c r="F779" s="1"/>
      <c r="K779" s="27"/>
      <c r="L779" s="27"/>
      <c r="M779" s="27"/>
      <c r="N779" s="27"/>
      <c r="O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58"/>
    </row>
    <row r="780" ht="17.25" customHeight="1">
      <c r="A780" s="1"/>
      <c r="B780" s="1"/>
      <c r="C780" s="1"/>
      <c r="D780" s="1"/>
      <c r="E780" s="1"/>
      <c r="F780" s="1"/>
      <c r="K780" s="27"/>
      <c r="L780" s="27"/>
      <c r="M780" s="27"/>
      <c r="N780" s="27"/>
      <c r="O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58"/>
    </row>
    <row r="781" ht="17.25" customHeight="1">
      <c r="A781" s="1"/>
      <c r="B781" s="1"/>
      <c r="C781" s="1"/>
      <c r="D781" s="1"/>
      <c r="E781" s="1"/>
      <c r="F781" s="1"/>
      <c r="K781" s="27"/>
      <c r="L781" s="27"/>
      <c r="M781" s="27"/>
      <c r="N781" s="27"/>
      <c r="O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58"/>
    </row>
    <row r="782" ht="17.25" customHeight="1">
      <c r="A782" s="1"/>
      <c r="B782" s="1"/>
      <c r="C782" s="1"/>
      <c r="D782" s="1"/>
      <c r="E782" s="1"/>
      <c r="F782" s="1"/>
      <c r="K782" s="27"/>
      <c r="L782" s="27"/>
      <c r="M782" s="27"/>
      <c r="N782" s="27"/>
      <c r="O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58"/>
    </row>
    <row r="783" ht="17.25" customHeight="1">
      <c r="A783" s="1"/>
      <c r="B783" s="1"/>
      <c r="C783" s="1"/>
      <c r="D783" s="1"/>
      <c r="E783" s="1"/>
      <c r="F783" s="1"/>
      <c r="K783" s="27"/>
      <c r="L783" s="27"/>
      <c r="M783" s="27"/>
      <c r="N783" s="27"/>
      <c r="O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58"/>
    </row>
    <row r="784" ht="17.25" customHeight="1">
      <c r="A784" s="1"/>
      <c r="B784" s="1"/>
      <c r="C784" s="1"/>
      <c r="D784" s="1"/>
      <c r="E784" s="1"/>
      <c r="F784" s="1"/>
      <c r="K784" s="27"/>
      <c r="L784" s="27"/>
      <c r="M784" s="27"/>
      <c r="N784" s="27"/>
      <c r="O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58"/>
    </row>
    <row r="785" ht="17.25" customHeight="1">
      <c r="A785" s="1"/>
      <c r="B785" s="1"/>
      <c r="C785" s="1"/>
      <c r="D785" s="1"/>
      <c r="E785" s="1"/>
      <c r="F785" s="1"/>
      <c r="K785" s="27"/>
      <c r="L785" s="27"/>
      <c r="M785" s="27"/>
      <c r="N785" s="27"/>
      <c r="O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58"/>
    </row>
    <row r="786" ht="17.25" customHeight="1">
      <c r="A786" s="1"/>
      <c r="B786" s="1"/>
      <c r="C786" s="1"/>
      <c r="D786" s="1"/>
      <c r="E786" s="1"/>
      <c r="F786" s="1"/>
      <c r="K786" s="27"/>
      <c r="L786" s="27"/>
      <c r="M786" s="27"/>
      <c r="N786" s="27"/>
      <c r="O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58"/>
    </row>
    <row r="787" ht="17.25" customHeight="1">
      <c r="A787" s="1"/>
      <c r="B787" s="1"/>
      <c r="C787" s="1"/>
      <c r="D787" s="1"/>
      <c r="E787" s="1"/>
      <c r="F787" s="1"/>
      <c r="K787" s="27"/>
      <c r="L787" s="27"/>
      <c r="M787" s="27"/>
      <c r="N787" s="27"/>
      <c r="O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58"/>
    </row>
    <row r="788" ht="17.25" customHeight="1">
      <c r="A788" s="1"/>
      <c r="B788" s="1"/>
      <c r="C788" s="1"/>
      <c r="D788" s="1"/>
      <c r="E788" s="1"/>
      <c r="F788" s="1"/>
      <c r="K788" s="27"/>
      <c r="L788" s="27"/>
      <c r="M788" s="27"/>
      <c r="N788" s="27"/>
      <c r="O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58"/>
    </row>
    <row r="789" ht="17.25" customHeight="1">
      <c r="A789" s="1"/>
      <c r="B789" s="1"/>
      <c r="C789" s="1"/>
      <c r="D789" s="1"/>
      <c r="E789" s="1"/>
      <c r="F789" s="1"/>
      <c r="K789" s="27"/>
      <c r="L789" s="27"/>
      <c r="M789" s="27"/>
      <c r="N789" s="27"/>
      <c r="O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58"/>
    </row>
    <row r="790" ht="17.25" customHeight="1">
      <c r="A790" s="1"/>
      <c r="B790" s="1"/>
      <c r="C790" s="1"/>
      <c r="D790" s="1"/>
      <c r="E790" s="1"/>
      <c r="F790" s="1"/>
      <c r="K790" s="27"/>
      <c r="L790" s="27"/>
      <c r="M790" s="27"/>
      <c r="N790" s="27"/>
      <c r="O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58"/>
    </row>
    <row r="791" ht="17.25" customHeight="1">
      <c r="A791" s="1"/>
      <c r="B791" s="1"/>
      <c r="C791" s="1"/>
      <c r="D791" s="1"/>
      <c r="E791" s="1"/>
      <c r="F791" s="1"/>
      <c r="K791" s="27"/>
      <c r="L791" s="27"/>
      <c r="M791" s="27"/>
      <c r="N791" s="27"/>
      <c r="O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58"/>
    </row>
    <row r="792" ht="17.25" customHeight="1">
      <c r="A792" s="1"/>
      <c r="B792" s="1"/>
      <c r="C792" s="1"/>
      <c r="D792" s="1"/>
      <c r="E792" s="1"/>
      <c r="F792" s="1"/>
      <c r="K792" s="27"/>
      <c r="L792" s="27"/>
      <c r="M792" s="27"/>
      <c r="N792" s="27"/>
      <c r="O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58"/>
    </row>
    <row r="793" ht="17.25" customHeight="1">
      <c r="A793" s="1"/>
      <c r="B793" s="1"/>
      <c r="C793" s="1"/>
      <c r="D793" s="1"/>
      <c r="E793" s="1"/>
      <c r="F793" s="1"/>
      <c r="K793" s="27"/>
      <c r="L793" s="27"/>
      <c r="M793" s="27"/>
      <c r="N793" s="27"/>
      <c r="O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58"/>
    </row>
    <row r="794" ht="17.25" customHeight="1">
      <c r="A794" s="1"/>
      <c r="B794" s="1"/>
      <c r="C794" s="1"/>
      <c r="D794" s="1"/>
      <c r="E794" s="1"/>
      <c r="F794" s="1"/>
      <c r="K794" s="27"/>
      <c r="L794" s="27"/>
      <c r="M794" s="27"/>
      <c r="N794" s="27"/>
      <c r="O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58"/>
    </row>
    <row r="795" ht="17.25" customHeight="1">
      <c r="A795" s="1"/>
      <c r="B795" s="1"/>
      <c r="C795" s="1"/>
      <c r="D795" s="1"/>
      <c r="E795" s="1"/>
      <c r="F795" s="1"/>
      <c r="K795" s="27"/>
      <c r="L795" s="27"/>
      <c r="M795" s="27"/>
      <c r="N795" s="27"/>
      <c r="O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58"/>
    </row>
    <row r="796" ht="17.25" customHeight="1">
      <c r="A796" s="1"/>
      <c r="B796" s="1"/>
      <c r="C796" s="1"/>
      <c r="D796" s="1"/>
      <c r="E796" s="1"/>
      <c r="F796" s="1"/>
      <c r="K796" s="27"/>
      <c r="L796" s="27"/>
      <c r="M796" s="27"/>
      <c r="N796" s="27"/>
      <c r="O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58"/>
    </row>
    <row r="797" ht="17.25" customHeight="1">
      <c r="A797" s="1"/>
      <c r="B797" s="1"/>
      <c r="C797" s="1"/>
      <c r="D797" s="1"/>
      <c r="E797" s="1"/>
      <c r="F797" s="1"/>
      <c r="K797" s="27"/>
      <c r="L797" s="27"/>
      <c r="M797" s="27"/>
      <c r="N797" s="27"/>
      <c r="O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58"/>
    </row>
    <row r="798" ht="17.25" customHeight="1">
      <c r="A798" s="1"/>
      <c r="B798" s="1"/>
      <c r="C798" s="1"/>
      <c r="D798" s="1"/>
      <c r="E798" s="1"/>
      <c r="F798" s="1"/>
      <c r="K798" s="27"/>
      <c r="L798" s="27"/>
      <c r="M798" s="27"/>
      <c r="N798" s="27"/>
      <c r="O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58"/>
    </row>
    <row r="799" ht="17.25" customHeight="1">
      <c r="A799" s="1"/>
      <c r="B799" s="1"/>
      <c r="C799" s="1"/>
      <c r="D799" s="1"/>
      <c r="E799" s="1"/>
      <c r="F799" s="1"/>
      <c r="K799" s="27"/>
      <c r="L799" s="27"/>
      <c r="M799" s="27"/>
      <c r="N799" s="27"/>
      <c r="O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58"/>
    </row>
    <row r="800" ht="17.25" customHeight="1">
      <c r="A800" s="1"/>
      <c r="B800" s="1"/>
      <c r="C800" s="1"/>
      <c r="D800" s="1"/>
      <c r="E800" s="1"/>
      <c r="F800" s="1"/>
      <c r="K800" s="27"/>
      <c r="L800" s="27"/>
      <c r="M800" s="27"/>
      <c r="N800" s="27"/>
      <c r="O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58"/>
    </row>
    <row r="801" ht="17.25" customHeight="1">
      <c r="A801" s="1"/>
      <c r="B801" s="1"/>
      <c r="C801" s="1"/>
      <c r="D801" s="1"/>
      <c r="E801" s="1"/>
      <c r="F801" s="1"/>
      <c r="K801" s="27"/>
      <c r="L801" s="27"/>
      <c r="M801" s="27"/>
      <c r="N801" s="27"/>
      <c r="O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58"/>
    </row>
    <row r="802" ht="17.25" customHeight="1">
      <c r="A802" s="1"/>
      <c r="B802" s="1"/>
      <c r="C802" s="1"/>
      <c r="D802" s="1"/>
      <c r="E802" s="1"/>
      <c r="F802" s="1"/>
      <c r="K802" s="27"/>
      <c r="L802" s="27"/>
      <c r="M802" s="27"/>
      <c r="N802" s="27"/>
      <c r="O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58"/>
    </row>
    <row r="803" ht="17.25" customHeight="1">
      <c r="A803" s="1"/>
      <c r="B803" s="1"/>
      <c r="C803" s="1"/>
      <c r="D803" s="1"/>
      <c r="E803" s="1"/>
      <c r="F803" s="1"/>
      <c r="K803" s="27"/>
      <c r="L803" s="27"/>
      <c r="M803" s="27"/>
      <c r="N803" s="27"/>
      <c r="O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58"/>
    </row>
    <row r="804" ht="17.25" customHeight="1">
      <c r="A804" s="1"/>
      <c r="B804" s="1"/>
      <c r="C804" s="1"/>
      <c r="D804" s="1"/>
      <c r="E804" s="1"/>
      <c r="F804" s="1"/>
      <c r="K804" s="27"/>
      <c r="L804" s="27"/>
      <c r="M804" s="27"/>
      <c r="N804" s="27"/>
      <c r="O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58"/>
    </row>
    <row r="805" ht="17.25" customHeight="1">
      <c r="A805" s="1"/>
      <c r="B805" s="1"/>
      <c r="C805" s="1"/>
      <c r="D805" s="1"/>
      <c r="E805" s="1"/>
      <c r="F805" s="1"/>
      <c r="K805" s="27"/>
      <c r="L805" s="27"/>
      <c r="M805" s="27"/>
      <c r="N805" s="27"/>
      <c r="O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58"/>
    </row>
    <row r="806" ht="17.25" customHeight="1">
      <c r="A806" s="1"/>
      <c r="B806" s="1"/>
      <c r="C806" s="1"/>
      <c r="D806" s="1"/>
      <c r="E806" s="1"/>
      <c r="F806" s="1"/>
      <c r="K806" s="27"/>
      <c r="L806" s="27"/>
      <c r="M806" s="27"/>
      <c r="N806" s="27"/>
      <c r="O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58"/>
    </row>
    <row r="807" ht="17.25" customHeight="1">
      <c r="A807" s="1"/>
      <c r="B807" s="1"/>
      <c r="C807" s="1"/>
      <c r="D807" s="1"/>
      <c r="E807" s="1"/>
      <c r="F807" s="1"/>
      <c r="K807" s="27"/>
      <c r="L807" s="27"/>
      <c r="M807" s="27"/>
      <c r="N807" s="27"/>
      <c r="O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58"/>
    </row>
    <row r="808" ht="17.25" customHeight="1">
      <c r="A808" s="1"/>
      <c r="B808" s="1"/>
      <c r="C808" s="1"/>
      <c r="D808" s="1"/>
      <c r="E808" s="1"/>
      <c r="F808" s="1"/>
      <c r="K808" s="27"/>
      <c r="L808" s="27"/>
      <c r="M808" s="27"/>
      <c r="N808" s="27"/>
      <c r="O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58"/>
    </row>
    <row r="809" ht="17.25" customHeight="1">
      <c r="A809" s="1"/>
      <c r="B809" s="1"/>
      <c r="C809" s="1"/>
      <c r="D809" s="1"/>
      <c r="E809" s="1"/>
      <c r="F809" s="1"/>
      <c r="K809" s="27"/>
      <c r="L809" s="27"/>
      <c r="M809" s="27"/>
      <c r="N809" s="27"/>
      <c r="O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58"/>
    </row>
    <row r="810" ht="17.25" customHeight="1">
      <c r="A810" s="1"/>
      <c r="B810" s="1"/>
      <c r="C810" s="1"/>
      <c r="D810" s="1"/>
      <c r="E810" s="1"/>
      <c r="F810" s="1"/>
      <c r="K810" s="27"/>
      <c r="L810" s="27"/>
      <c r="M810" s="27"/>
      <c r="N810" s="27"/>
      <c r="O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58"/>
    </row>
    <row r="811" ht="17.25" customHeight="1">
      <c r="A811" s="1"/>
      <c r="B811" s="1"/>
      <c r="C811" s="1"/>
      <c r="D811" s="1"/>
      <c r="E811" s="1"/>
      <c r="F811" s="1"/>
      <c r="K811" s="27"/>
      <c r="L811" s="27"/>
      <c r="M811" s="27"/>
      <c r="N811" s="27"/>
      <c r="O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58"/>
    </row>
    <row r="812" ht="17.25" customHeight="1">
      <c r="A812" s="1"/>
      <c r="B812" s="1"/>
      <c r="C812" s="1"/>
      <c r="D812" s="1"/>
      <c r="E812" s="1"/>
      <c r="F812" s="1"/>
      <c r="K812" s="27"/>
      <c r="L812" s="27"/>
      <c r="M812" s="27"/>
      <c r="N812" s="27"/>
      <c r="O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58"/>
    </row>
    <row r="813" ht="17.25" customHeight="1">
      <c r="A813" s="1"/>
      <c r="B813" s="1"/>
      <c r="C813" s="1"/>
      <c r="D813" s="1"/>
      <c r="E813" s="1"/>
      <c r="F813" s="1"/>
      <c r="K813" s="27"/>
      <c r="L813" s="27"/>
      <c r="M813" s="27"/>
      <c r="N813" s="27"/>
      <c r="O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58"/>
    </row>
    <row r="814" ht="17.25" customHeight="1">
      <c r="A814" s="1"/>
      <c r="B814" s="1"/>
      <c r="C814" s="1"/>
      <c r="D814" s="1"/>
      <c r="E814" s="1"/>
      <c r="F814" s="1"/>
      <c r="K814" s="27"/>
      <c r="L814" s="27"/>
      <c r="M814" s="27"/>
      <c r="N814" s="27"/>
      <c r="O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58"/>
    </row>
    <row r="815" ht="17.25" customHeight="1">
      <c r="A815" s="1"/>
      <c r="B815" s="1"/>
      <c r="C815" s="1"/>
      <c r="D815" s="1"/>
      <c r="E815" s="1"/>
      <c r="F815" s="1"/>
      <c r="K815" s="27"/>
      <c r="L815" s="27"/>
      <c r="M815" s="27"/>
      <c r="N815" s="27"/>
      <c r="O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58"/>
    </row>
    <row r="816" ht="17.25" customHeight="1">
      <c r="A816" s="1"/>
      <c r="B816" s="1"/>
      <c r="C816" s="1"/>
      <c r="D816" s="1"/>
      <c r="E816" s="1"/>
      <c r="F816" s="1"/>
      <c r="K816" s="27"/>
      <c r="L816" s="27"/>
      <c r="M816" s="27"/>
      <c r="N816" s="27"/>
      <c r="O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58"/>
    </row>
    <row r="817" ht="17.25" customHeight="1">
      <c r="A817" s="1"/>
      <c r="B817" s="1"/>
      <c r="C817" s="1"/>
      <c r="D817" s="1"/>
      <c r="E817" s="1"/>
      <c r="F817" s="1"/>
      <c r="K817" s="27"/>
      <c r="L817" s="27"/>
      <c r="M817" s="27"/>
      <c r="N817" s="27"/>
      <c r="O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58"/>
    </row>
    <row r="818" ht="17.25" customHeight="1">
      <c r="A818" s="1"/>
      <c r="B818" s="1"/>
      <c r="C818" s="1"/>
      <c r="D818" s="1"/>
      <c r="E818" s="1"/>
      <c r="F818" s="1"/>
      <c r="K818" s="27"/>
      <c r="L818" s="27"/>
      <c r="M818" s="27"/>
      <c r="N818" s="27"/>
      <c r="O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58"/>
    </row>
    <row r="819" ht="17.25" customHeight="1">
      <c r="A819" s="1"/>
      <c r="B819" s="1"/>
      <c r="C819" s="1"/>
      <c r="D819" s="1"/>
      <c r="E819" s="1"/>
      <c r="F819" s="1"/>
      <c r="K819" s="27"/>
      <c r="L819" s="27"/>
      <c r="M819" s="27"/>
      <c r="N819" s="27"/>
      <c r="O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58"/>
    </row>
    <row r="820" ht="17.25" customHeight="1">
      <c r="A820" s="1"/>
      <c r="B820" s="1"/>
      <c r="C820" s="1"/>
      <c r="D820" s="1"/>
      <c r="E820" s="1"/>
      <c r="F820" s="1"/>
      <c r="K820" s="27"/>
      <c r="L820" s="27"/>
      <c r="M820" s="27"/>
      <c r="N820" s="27"/>
      <c r="O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58"/>
    </row>
    <row r="821" ht="17.25" customHeight="1">
      <c r="A821" s="1"/>
      <c r="B821" s="1"/>
      <c r="C821" s="1"/>
      <c r="D821" s="1"/>
      <c r="E821" s="1"/>
      <c r="F821" s="1"/>
      <c r="K821" s="27"/>
      <c r="L821" s="27"/>
      <c r="M821" s="27"/>
      <c r="N821" s="27"/>
      <c r="O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58"/>
    </row>
    <row r="822" ht="17.25" customHeight="1">
      <c r="A822" s="1"/>
      <c r="B822" s="1"/>
      <c r="C822" s="1"/>
      <c r="D822" s="1"/>
      <c r="E822" s="1"/>
      <c r="F822" s="1"/>
      <c r="K822" s="27"/>
      <c r="L822" s="27"/>
      <c r="M822" s="27"/>
      <c r="N822" s="27"/>
      <c r="O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58"/>
    </row>
    <row r="823" ht="17.25" customHeight="1">
      <c r="A823" s="1"/>
      <c r="B823" s="1"/>
      <c r="C823" s="1"/>
      <c r="D823" s="1"/>
      <c r="E823" s="1"/>
      <c r="F823" s="1"/>
      <c r="K823" s="27"/>
      <c r="L823" s="27"/>
      <c r="M823" s="27"/>
      <c r="N823" s="27"/>
      <c r="O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58"/>
    </row>
    <row r="824" ht="17.25" customHeight="1">
      <c r="A824" s="1"/>
      <c r="B824" s="1"/>
      <c r="C824" s="1"/>
      <c r="D824" s="1"/>
      <c r="E824" s="1"/>
      <c r="F824" s="1"/>
      <c r="K824" s="27"/>
      <c r="L824" s="27"/>
      <c r="M824" s="27"/>
      <c r="N824" s="27"/>
      <c r="O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58"/>
    </row>
    <row r="825" ht="17.25" customHeight="1">
      <c r="A825" s="1"/>
      <c r="B825" s="1"/>
      <c r="C825" s="1"/>
      <c r="D825" s="1"/>
      <c r="E825" s="1"/>
      <c r="F825" s="1"/>
      <c r="K825" s="27"/>
      <c r="L825" s="27"/>
      <c r="M825" s="27"/>
      <c r="N825" s="27"/>
      <c r="O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58"/>
    </row>
    <row r="826" ht="17.25" customHeight="1">
      <c r="A826" s="1"/>
      <c r="B826" s="1"/>
      <c r="C826" s="1"/>
      <c r="D826" s="1"/>
      <c r="E826" s="1"/>
      <c r="F826" s="1"/>
      <c r="K826" s="27"/>
      <c r="L826" s="27"/>
      <c r="M826" s="27"/>
      <c r="N826" s="27"/>
      <c r="O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58"/>
    </row>
    <row r="827" ht="17.25" customHeight="1">
      <c r="A827" s="1"/>
      <c r="B827" s="1"/>
      <c r="C827" s="1"/>
      <c r="D827" s="1"/>
      <c r="E827" s="1"/>
      <c r="F827" s="1"/>
      <c r="K827" s="27"/>
      <c r="L827" s="27"/>
      <c r="M827" s="27"/>
      <c r="N827" s="27"/>
      <c r="O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58"/>
    </row>
    <row r="828" ht="17.25" customHeight="1">
      <c r="A828" s="1"/>
      <c r="B828" s="1"/>
      <c r="C828" s="1"/>
      <c r="D828" s="1"/>
      <c r="E828" s="1"/>
      <c r="F828" s="1"/>
      <c r="K828" s="27"/>
      <c r="L828" s="27"/>
      <c r="M828" s="27"/>
      <c r="N828" s="27"/>
      <c r="O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58"/>
    </row>
    <row r="829" ht="17.25" customHeight="1">
      <c r="A829" s="1"/>
      <c r="B829" s="1"/>
      <c r="C829" s="1"/>
      <c r="D829" s="1"/>
      <c r="E829" s="1"/>
      <c r="F829" s="1"/>
      <c r="K829" s="27"/>
      <c r="L829" s="27"/>
      <c r="M829" s="27"/>
      <c r="N829" s="27"/>
      <c r="O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58"/>
    </row>
    <row r="830" ht="17.25" customHeight="1">
      <c r="A830" s="1"/>
      <c r="B830" s="1"/>
      <c r="C830" s="1"/>
      <c r="D830" s="1"/>
      <c r="E830" s="1"/>
      <c r="F830" s="1"/>
      <c r="K830" s="27"/>
      <c r="L830" s="27"/>
      <c r="M830" s="27"/>
      <c r="N830" s="27"/>
      <c r="O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58"/>
    </row>
    <row r="831" ht="17.25" customHeight="1">
      <c r="A831" s="1"/>
      <c r="B831" s="1"/>
      <c r="C831" s="1"/>
      <c r="D831" s="1"/>
      <c r="E831" s="1"/>
      <c r="F831" s="1"/>
      <c r="K831" s="27"/>
      <c r="L831" s="27"/>
      <c r="M831" s="27"/>
      <c r="N831" s="27"/>
      <c r="O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58"/>
    </row>
    <row r="832" ht="17.25" customHeight="1">
      <c r="A832" s="1"/>
      <c r="B832" s="1"/>
      <c r="C832" s="1"/>
      <c r="D832" s="1"/>
      <c r="E832" s="1"/>
      <c r="F832" s="1"/>
      <c r="K832" s="27"/>
      <c r="L832" s="27"/>
      <c r="M832" s="27"/>
      <c r="N832" s="27"/>
      <c r="O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58"/>
    </row>
    <row r="833" ht="17.25" customHeight="1">
      <c r="A833" s="1"/>
      <c r="B833" s="1"/>
      <c r="C833" s="1"/>
      <c r="D833" s="1"/>
      <c r="E833" s="1"/>
      <c r="F833" s="1"/>
      <c r="K833" s="27"/>
      <c r="L833" s="27"/>
      <c r="M833" s="27"/>
      <c r="N833" s="27"/>
      <c r="O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58"/>
    </row>
    <row r="834" ht="17.25" customHeight="1">
      <c r="A834" s="1"/>
      <c r="B834" s="1"/>
      <c r="C834" s="1"/>
      <c r="D834" s="1"/>
      <c r="E834" s="1"/>
      <c r="F834" s="1"/>
      <c r="K834" s="27"/>
      <c r="L834" s="27"/>
      <c r="M834" s="27"/>
      <c r="N834" s="27"/>
      <c r="O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58"/>
    </row>
    <row r="835" ht="17.25" customHeight="1">
      <c r="A835" s="1"/>
      <c r="B835" s="1"/>
      <c r="C835" s="1"/>
      <c r="D835" s="1"/>
      <c r="E835" s="1"/>
      <c r="F835" s="1"/>
      <c r="K835" s="27"/>
      <c r="L835" s="27"/>
      <c r="M835" s="27"/>
      <c r="N835" s="27"/>
      <c r="O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58"/>
    </row>
    <row r="836" ht="17.25" customHeight="1">
      <c r="A836" s="1"/>
      <c r="B836" s="1"/>
      <c r="C836" s="1"/>
      <c r="D836" s="1"/>
      <c r="E836" s="1"/>
      <c r="F836" s="1"/>
      <c r="K836" s="27"/>
      <c r="L836" s="27"/>
      <c r="M836" s="27"/>
      <c r="N836" s="27"/>
      <c r="O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58"/>
    </row>
    <row r="837" ht="17.25" customHeight="1">
      <c r="A837" s="1"/>
      <c r="B837" s="1"/>
      <c r="C837" s="1"/>
      <c r="D837" s="1"/>
      <c r="E837" s="1"/>
      <c r="F837" s="1"/>
      <c r="K837" s="27"/>
      <c r="L837" s="27"/>
      <c r="M837" s="27"/>
      <c r="N837" s="27"/>
      <c r="O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58"/>
    </row>
    <row r="838" ht="17.25" customHeight="1">
      <c r="A838" s="1"/>
      <c r="B838" s="1"/>
      <c r="C838" s="1"/>
      <c r="D838" s="1"/>
      <c r="E838" s="1"/>
      <c r="F838" s="1"/>
      <c r="K838" s="27"/>
      <c r="L838" s="27"/>
      <c r="M838" s="27"/>
      <c r="N838" s="27"/>
      <c r="O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58"/>
    </row>
    <row r="839" ht="17.25" customHeight="1">
      <c r="A839" s="1"/>
      <c r="B839" s="1"/>
      <c r="C839" s="1"/>
      <c r="D839" s="1"/>
      <c r="E839" s="1"/>
      <c r="F839" s="1"/>
      <c r="K839" s="27"/>
      <c r="L839" s="27"/>
      <c r="M839" s="27"/>
      <c r="N839" s="27"/>
      <c r="O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58"/>
    </row>
    <row r="840" ht="17.25" customHeight="1">
      <c r="A840" s="1"/>
      <c r="B840" s="1"/>
      <c r="C840" s="1"/>
      <c r="D840" s="1"/>
      <c r="E840" s="1"/>
      <c r="F840" s="1"/>
      <c r="K840" s="27"/>
      <c r="L840" s="27"/>
      <c r="M840" s="27"/>
      <c r="N840" s="27"/>
      <c r="O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58"/>
    </row>
    <row r="841" ht="17.25" customHeight="1">
      <c r="A841" s="1"/>
      <c r="B841" s="1"/>
      <c r="C841" s="1"/>
      <c r="D841" s="1"/>
      <c r="E841" s="1"/>
      <c r="F841" s="1"/>
      <c r="K841" s="27"/>
      <c r="L841" s="27"/>
      <c r="M841" s="27"/>
      <c r="N841" s="27"/>
      <c r="O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58"/>
    </row>
    <row r="842" ht="17.25" customHeight="1">
      <c r="A842" s="1"/>
      <c r="B842" s="1"/>
      <c r="C842" s="1"/>
      <c r="D842" s="1"/>
      <c r="E842" s="1"/>
      <c r="F842" s="1"/>
      <c r="K842" s="27"/>
      <c r="L842" s="27"/>
      <c r="M842" s="27"/>
      <c r="N842" s="27"/>
      <c r="O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58"/>
    </row>
    <row r="843" ht="17.25" customHeight="1">
      <c r="A843" s="1"/>
      <c r="B843" s="1"/>
      <c r="C843" s="1"/>
      <c r="D843" s="1"/>
      <c r="E843" s="1"/>
      <c r="F843" s="1"/>
      <c r="K843" s="27"/>
      <c r="L843" s="27"/>
      <c r="M843" s="27"/>
      <c r="N843" s="27"/>
      <c r="O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58"/>
    </row>
    <row r="844" ht="17.25" customHeight="1">
      <c r="A844" s="1"/>
      <c r="B844" s="1"/>
      <c r="C844" s="1"/>
      <c r="D844" s="1"/>
      <c r="E844" s="1"/>
      <c r="F844" s="1"/>
      <c r="K844" s="27"/>
      <c r="L844" s="27"/>
      <c r="M844" s="27"/>
      <c r="N844" s="27"/>
      <c r="O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58"/>
    </row>
    <row r="845" ht="17.25" customHeight="1">
      <c r="A845" s="1"/>
      <c r="B845" s="1"/>
      <c r="C845" s="1"/>
      <c r="D845" s="1"/>
      <c r="E845" s="1"/>
      <c r="F845" s="1"/>
      <c r="K845" s="27"/>
      <c r="L845" s="27"/>
      <c r="M845" s="27"/>
      <c r="N845" s="27"/>
      <c r="O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58"/>
    </row>
    <row r="846" ht="17.25" customHeight="1">
      <c r="A846" s="1"/>
      <c r="B846" s="1"/>
      <c r="C846" s="1"/>
      <c r="D846" s="1"/>
      <c r="E846" s="1"/>
      <c r="F846" s="1"/>
      <c r="K846" s="27"/>
      <c r="L846" s="27"/>
      <c r="M846" s="27"/>
      <c r="N846" s="27"/>
      <c r="O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58"/>
    </row>
    <row r="847" ht="17.25" customHeight="1">
      <c r="A847" s="1"/>
      <c r="B847" s="1"/>
      <c r="C847" s="1"/>
      <c r="D847" s="1"/>
      <c r="E847" s="1"/>
      <c r="F847" s="1"/>
      <c r="K847" s="27"/>
      <c r="L847" s="27"/>
      <c r="M847" s="27"/>
      <c r="N847" s="27"/>
      <c r="O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58"/>
    </row>
    <row r="848" ht="17.25" customHeight="1">
      <c r="A848" s="1"/>
      <c r="B848" s="1"/>
      <c r="C848" s="1"/>
      <c r="D848" s="1"/>
      <c r="E848" s="1"/>
      <c r="F848" s="1"/>
      <c r="K848" s="27"/>
      <c r="L848" s="27"/>
      <c r="M848" s="27"/>
      <c r="N848" s="27"/>
      <c r="O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58"/>
    </row>
    <row r="849" ht="17.25" customHeight="1">
      <c r="A849" s="1"/>
      <c r="B849" s="1"/>
      <c r="C849" s="1"/>
      <c r="D849" s="1"/>
      <c r="E849" s="1"/>
      <c r="F849" s="1"/>
      <c r="K849" s="27"/>
      <c r="L849" s="27"/>
      <c r="M849" s="27"/>
      <c r="N849" s="27"/>
      <c r="O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58"/>
    </row>
    <row r="850" ht="17.25" customHeight="1">
      <c r="A850" s="1"/>
      <c r="B850" s="1"/>
      <c r="C850" s="1"/>
      <c r="D850" s="1"/>
      <c r="E850" s="1"/>
      <c r="F850" s="1"/>
      <c r="K850" s="27"/>
      <c r="L850" s="27"/>
      <c r="M850" s="27"/>
      <c r="N850" s="27"/>
      <c r="O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58"/>
    </row>
    <row r="851" ht="17.25" customHeight="1">
      <c r="A851" s="1"/>
      <c r="B851" s="1"/>
      <c r="C851" s="1"/>
      <c r="D851" s="1"/>
      <c r="E851" s="1"/>
      <c r="F851" s="1"/>
      <c r="K851" s="27"/>
      <c r="L851" s="27"/>
      <c r="M851" s="27"/>
      <c r="N851" s="27"/>
      <c r="O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58"/>
    </row>
    <row r="852" ht="17.25" customHeight="1">
      <c r="A852" s="1"/>
      <c r="B852" s="1"/>
      <c r="C852" s="1"/>
      <c r="D852" s="1"/>
      <c r="E852" s="1"/>
      <c r="F852" s="1"/>
      <c r="K852" s="27"/>
      <c r="L852" s="27"/>
      <c r="M852" s="27"/>
      <c r="N852" s="27"/>
      <c r="O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58"/>
    </row>
    <row r="853" ht="17.25" customHeight="1">
      <c r="A853" s="1"/>
      <c r="B853" s="1"/>
      <c r="C853" s="1"/>
      <c r="D853" s="1"/>
      <c r="E853" s="1"/>
      <c r="F853" s="1"/>
      <c r="K853" s="27"/>
      <c r="L853" s="27"/>
      <c r="M853" s="27"/>
      <c r="N853" s="27"/>
      <c r="O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58"/>
    </row>
    <row r="854" ht="17.25" customHeight="1">
      <c r="A854" s="1"/>
      <c r="B854" s="1"/>
      <c r="C854" s="1"/>
      <c r="D854" s="1"/>
      <c r="E854" s="1"/>
      <c r="F854" s="1"/>
      <c r="K854" s="27"/>
      <c r="L854" s="27"/>
      <c r="M854" s="27"/>
      <c r="N854" s="27"/>
      <c r="O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58"/>
    </row>
    <row r="855" ht="17.25" customHeight="1">
      <c r="A855" s="1"/>
      <c r="B855" s="1"/>
      <c r="C855" s="1"/>
      <c r="D855" s="1"/>
      <c r="E855" s="1"/>
      <c r="F855" s="1"/>
      <c r="K855" s="27"/>
      <c r="L855" s="27"/>
      <c r="M855" s="27"/>
      <c r="N855" s="27"/>
      <c r="O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58"/>
    </row>
    <row r="856" ht="17.25" customHeight="1">
      <c r="A856" s="1"/>
      <c r="B856" s="1"/>
      <c r="C856" s="1"/>
      <c r="D856" s="1"/>
      <c r="E856" s="1"/>
      <c r="F856" s="1"/>
      <c r="K856" s="27"/>
      <c r="L856" s="27"/>
      <c r="M856" s="27"/>
      <c r="N856" s="27"/>
      <c r="O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58"/>
    </row>
    <row r="857" ht="17.25" customHeight="1">
      <c r="A857" s="1"/>
      <c r="B857" s="1"/>
      <c r="C857" s="1"/>
      <c r="D857" s="1"/>
      <c r="E857" s="1"/>
      <c r="F857" s="1"/>
      <c r="K857" s="27"/>
      <c r="L857" s="27"/>
      <c r="M857" s="27"/>
      <c r="N857" s="27"/>
      <c r="O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58"/>
    </row>
    <row r="858" ht="17.25" customHeight="1">
      <c r="A858" s="1"/>
      <c r="B858" s="1"/>
      <c r="C858" s="1"/>
      <c r="D858" s="1"/>
      <c r="E858" s="1"/>
      <c r="F858" s="1"/>
      <c r="K858" s="27"/>
      <c r="L858" s="27"/>
      <c r="M858" s="27"/>
      <c r="N858" s="27"/>
      <c r="O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58"/>
    </row>
    <row r="859" ht="17.25" customHeight="1">
      <c r="A859" s="1"/>
      <c r="B859" s="1"/>
      <c r="C859" s="1"/>
      <c r="D859" s="1"/>
      <c r="E859" s="1"/>
      <c r="F859" s="1"/>
      <c r="K859" s="27"/>
      <c r="L859" s="27"/>
      <c r="M859" s="27"/>
      <c r="N859" s="27"/>
      <c r="O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58"/>
    </row>
    <row r="860" ht="17.25" customHeight="1">
      <c r="A860" s="1"/>
      <c r="B860" s="1"/>
      <c r="C860" s="1"/>
      <c r="D860" s="1"/>
      <c r="E860" s="1"/>
      <c r="F860" s="1"/>
      <c r="K860" s="27"/>
      <c r="L860" s="27"/>
      <c r="M860" s="27"/>
      <c r="N860" s="27"/>
      <c r="O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58"/>
    </row>
    <row r="861" ht="17.25" customHeight="1">
      <c r="A861" s="1"/>
      <c r="B861" s="1"/>
      <c r="C861" s="1"/>
      <c r="D861" s="1"/>
      <c r="E861" s="1"/>
      <c r="F861" s="1"/>
      <c r="K861" s="27"/>
      <c r="L861" s="27"/>
      <c r="M861" s="27"/>
      <c r="N861" s="27"/>
      <c r="O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58"/>
    </row>
    <row r="862" ht="17.25" customHeight="1">
      <c r="A862" s="1"/>
      <c r="B862" s="1"/>
      <c r="C862" s="1"/>
      <c r="D862" s="1"/>
      <c r="E862" s="1"/>
      <c r="F862" s="1"/>
      <c r="K862" s="27"/>
      <c r="L862" s="27"/>
      <c r="M862" s="27"/>
      <c r="N862" s="27"/>
      <c r="O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58"/>
    </row>
    <row r="863" ht="17.25" customHeight="1">
      <c r="A863" s="1"/>
      <c r="B863" s="1"/>
      <c r="C863" s="1"/>
      <c r="D863" s="1"/>
      <c r="E863" s="1"/>
      <c r="F863" s="1"/>
      <c r="K863" s="27"/>
      <c r="L863" s="27"/>
      <c r="M863" s="27"/>
      <c r="N863" s="27"/>
      <c r="O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58"/>
    </row>
    <row r="864" ht="17.25" customHeight="1">
      <c r="A864" s="1"/>
      <c r="B864" s="1"/>
      <c r="C864" s="1"/>
      <c r="D864" s="1"/>
      <c r="E864" s="1"/>
      <c r="F864" s="1"/>
      <c r="K864" s="27"/>
      <c r="L864" s="27"/>
      <c r="M864" s="27"/>
      <c r="N864" s="27"/>
      <c r="O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58"/>
    </row>
    <row r="865" ht="17.25" customHeight="1">
      <c r="A865" s="1"/>
      <c r="B865" s="1"/>
      <c r="C865" s="1"/>
      <c r="D865" s="1"/>
      <c r="E865" s="1"/>
      <c r="F865" s="1"/>
      <c r="K865" s="27"/>
      <c r="L865" s="27"/>
      <c r="M865" s="27"/>
      <c r="N865" s="27"/>
      <c r="O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58"/>
    </row>
    <row r="866" ht="17.25" customHeight="1">
      <c r="A866" s="1"/>
      <c r="B866" s="1"/>
      <c r="C866" s="1"/>
      <c r="D866" s="1"/>
      <c r="E866" s="1"/>
      <c r="F866" s="1"/>
      <c r="K866" s="27"/>
      <c r="L866" s="27"/>
      <c r="M866" s="27"/>
      <c r="N866" s="27"/>
      <c r="O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58"/>
    </row>
    <row r="867" ht="17.25" customHeight="1">
      <c r="A867" s="1"/>
      <c r="B867" s="1"/>
      <c r="C867" s="1"/>
      <c r="D867" s="1"/>
      <c r="E867" s="1"/>
      <c r="F867" s="1"/>
      <c r="K867" s="27"/>
      <c r="L867" s="27"/>
      <c r="M867" s="27"/>
      <c r="N867" s="27"/>
      <c r="O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58"/>
    </row>
    <row r="868" ht="17.25" customHeight="1">
      <c r="A868" s="1"/>
      <c r="B868" s="1"/>
      <c r="C868" s="1"/>
      <c r="D868" s="1"/>
      <c r="E868" s="1"/>
      <c r="F868" s="1"/>
      <c r="K868" s="27"/>
      <c r="L868" s="27"/>
      <c r="M868" s="27"/>
      <c r="N868" s="27"/>
      <c r="O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58"/>
    </row>
    <row r="869" ht="17.25" customHeight="1">
      <c r="A869" s="1"/>
      <c r="B869" s="1"/>
      <c r="C869" s="1"/>
      <c r="D869" s="1"/>
      <c r="E869" s="1"/>
      <c r="F869" s="1"/>
      <c r="K869" s="27"/>
      <c r="L869" s="27"/>
      <c r="M869" s="27"/>
      <c r="N869" s="27"/>
      <c r="O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58"/>
    </row>
    <row r="870" ht="17.25" customHeight="1">
      <c r="A870" s="1"/>
      <c r="B870" s="1"/>
      <c r="C870" s="1"/>
      <c r="D870" s="1"/>
      <c r="E870" s="1"/>
      <c r="F870" s="1"/>
      <c r="K870" s="27"/>
      <c r="L870" s="27"/>
      <c r="M870" s="27"/>
      <c r="N870" s="27"/>
      <c r="O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58"/>
    </row>
    <row r="871" ht="17.25" customHeight="1">
      <c r="A871" s="1"/>
      <c r="B871" s="1"/>
      <c r="C871" s="1"/>
      <c r="D871" s="1"/>
      <c r="E871" s="1"/>
      <c r="F871" s="1"/>
      <c r="K871" s="27"/>
      <c r="L871" s="27"/>
      <c r="M871" s="27"/>
      <c r="N871" s="27"/>
      <c r="O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58"/>
    </row>
    <row r="872" ht="17.25" customHeight="1">
      <c r="A872" s="1"/>
      <c r="B872" s="1"/>
      <c r="C872" s="1"/>
      <c r="D872" s="1"/>
      <c r="E872" s="1"/>
      <c r="F872" s="1"/>
      <c r="K872" s="27"/>
      <c r="L872" s="27"/>
      <c r="M872" s="27"/>
      <c r="N872" s="27"/>
      <c r="O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58"/>
    </row>
    <row r="873" ht="17.25" customHeight="1">
      <c r="A873" s="1"/>
      <c r="B873" s="1"/>
      <c r="C873" s="1"/>
      <c r="D873" s="1"/>
      <c r="E873" s="1"/>
      <c r="F873" s="1"/>
      <c r="K873" s="27"/>
      <c r="L873" s="27"/>
      <c r="M873" s="27"/>
      <c r="N873" s="27"/>
      <c r="O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58"/>
    </row>
    <row r="874" ht="17.25" customHeight="1">
      <c r="A874" s="1"/>
      <c r="B874" s="1"/>
      <c r="C874" s="1"/>
      <c r="D874" s="1"/>
      <c r="E874" s="1"/>
      <c r="F874" s="1"/>
      <c r="K874" s="27"/>
      <c r="L874" s="27"/>
      <c r="M874" s="27"/>
      <c r="N874" s="27"/>
      <c r="O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58"/>
    </row>
    <row r="875" ht="17.25" customHeight="1">
      <c r="A875" s="1"/>
      <c r="B875" s="1"/>
      <c r="C875" s="1"/>
      <c r="D875" s="1"/>
      <c r="E875" s="1"/>
      <c r="F875" s="1"/>
      <c r="K875" s="27"/>
      <c r="L875" s="27"/>
      <c r="M875" s="27"/>
      <c r="N875" s="27"/>
      <c r="O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58"/>
    </row>
    <row r="876" ht="17.25" customHeight="1">
      <c r="A876" s="1"/>
      <c r="B876" s="1"/>
      <c r="C876" s="1"/>
      <c r="D876" s="1"/>
      <c r="E876" s="1"/>
      <c r="F876" s="1"/>
      <c r="K876" s="27"/>
      <c r="L876" s="27"/>
      <c r="M876" s="27"/>
      <c r="N876" s="27"/>
      <c r="O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58"/>
    </row>
    <row r="877" ht="17.25" customHeight="1">
      <c r="A877" s="1"/>
      <c r="B877" s="1"/>
      <c r="C877" s="1"/>
      <c r="D877" s="1"/>
      <c r="E877" s="1"/>
      <c r="F877" s="1"/>
      <c r="K877" s="27"/>
      <c r="L877" s="27"/>
      <c r="M877" s="27"/>
      <c r="N877" s="27"/>
      <c r="O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58"/>
    </row>
    <row r="878" ht="17.25" customHeight="1">
      <c r="A878" s="1"/>
      <c r="B878" s="1"/>
      <c r="C878" s="1"/>
      <c r="D878" s="1"/>
      <c r="E878" s="1"/>
      <c r="F878" s="1"/>
      <c r="K878" s="27"/>
      <c r="L878" s="27"/>
      <c r="M878" s="27"/>
      <c r="N878" s="27"/>
      <c r="O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58"/>
    </row>
    <row r="879" ht="17.25" customHeight="1">
      <c r="A879" s="1"/>
      <c r="B879" s="1"/>
      <c r="C879" s="1"/>
      <c r="D879" s="1"/>
      <c r="E879" s="1"/>
      <c r="F879" s="1"/>
      <c r="K879" s="27"/>
      <c r="L879" s="27"/>
      <c r="M879" s="27"/>
      <c r="N879" s="27"/>
      <c r="O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58"/>
    </row>
    <row r="880" ht="17.25" customHeight="1">
      <c r="A880" s="1"/>
      <c r="B880" s="1"/>
      <c r="C880" s="1"/>
      <c r="D880" s="1"/>
      <c r="E880" s="1"/>
      <c r="F880" s="1"/>
      <c r="K880" s="27"/>
      <c r="L880" s="27"/>
      <c r="M880" s="27"/>
      <c r="N880" s="27"/>
      <c r="O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58"/>
    </row>
    <row r="881" ht="17.25" customHeight="1">
      <c r="A881" s="1"/>
      <c r="B881" s="1"/>
      <c r="C881" s="1"/>
      <c r="D881" s="1"/>
      <c r="E881" s="1"/>
      <c r="F881" s="1"/>
      <c r="K881" s="27"/>
      <c r="L881" s="27"/>
      <c r="M881" s="27"/>
      <c r="N881" s="27"/>
      <c r="O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58"/>
    </row>
    <row r="882" ht="17.25" customHeight="1">
      <c r="A882" s="1"/>
      <c r="B882" s="1"/>
      <c r="C882" s="1"/>
      <c r="D882" s="1"/>
      <c r="E882" s="1"/>
      <c r="F882" s="1"/>
      <c r="K882" s="27"/>
      <c r="L882" s="27"/>
      <c r="M882" s="27"/>
      <c r="N882" s="27"/>
      <c r="O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58"/>
    </row>
    <row r="883" ht="17.25" customHeight="1">
      <c r="A883" s="1"/>
      <c r="B883" s="1"/>
      <c r="C883" s="1"/>
      <c r="D883" s="1"/>
      <c r="E883" s="1"/>
      <c r="F883" s="1"/>
      <c r="K883" s="27"/>
      <c r="L883" s="27"/>
      <c r="M883" s="27"/>
      <c r="N883" s="27"/>
      <c r="O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58"/>
    </row>
    <row r="884" ht="17.25" customHeight="1">
      <c r="A884" s="1"/>
      <c r="B884" s="1"/>
      <c r="C884" s="1"/>
      <c r="D884" s="1"/>
      <c r="E884" s="1"/>
      <c r="F884" s="1"/>
      <c r="K884" s="27"/>
      <c r="L884" s="27"/>
      <c r="M884" s="27"/>
      <c r="N884" s="27"/>
      <c r="O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58"/>
    </row>
    <row r="885" ht="17.25" customHeight="1">
      <c r="A885" s="1"/>
      <c r="B885" s="1"/>
      <c r="C885" s="1"/>
      <c r="D885" s="1"/>
      <c r="E885" s="1"/>
      <c r="F885" s="1"/>
      <c r="K885" s="27"/>
      <c r="L885" s="27"/>
      <c r="M885" s="27"/>
      <c r="N885" s="27"/>
      <c r="O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58"/>
    </row>
    <row r="886" ht="17.25" customHeight="1">
      <c r="A886" s="1"/>
      <c r="B886" s="1"/>
      <c r="C886" s="1"/>
      <c r="D886" s="1"/>
      <c r="E886" s="1"/>
      <c r="F886" s="1"/>
      <c r="K886" s="27"/>
      <c r="L886" s="27"/>
      <c r="M886" s="27"/>
      <c r="N886" s="27"/>
      <c r="O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58"/>
    </row>
    <row r="887" ht="17.25" customHeight="1">
      <c r="A887" s="1"/>
      <c r="B887" s="1"/>
      <c r="C887" s="1"/>
      <c r="D887" s="1"/>
      <c r="E887" s="1"/>
      <c r="F887" s="1"/>
      <c r="K887" s="27"/>
      <c r="L887" s="27"/>
      <c r="M887" s="27"/>
      <c r="N887" s="27"/>
      <c r="O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58"/>
    </row>
    <row r="888" ht="17.25" customHeight="1">
      <c r="A888" s="1"/>
      <c r="B888" s="1"/>
      <c r="C888" s="1"/>
      <c r="D888" s="1"/>
      <c r="E888" s="1"/>
      <c r="F888" s="1"/>
      <c r="K888" s="27"/>
      <c r="L888" s="27"/>
      <c r="M888" s="27"/>
      <c r="N888" s="27"/>
      <c r="O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58"/>
    </row>
    <row r="889" ht="17.25" customHeight="1">
      <c r="A889" s="1"/>
      <c r="B889" s="1"/>
      <c r="C889" s="1"/>
      <c r="D889" s="1"/>
      <c r="E889" s="1"/>
      <c r="F889" s="1"/>
      <c r="K889" s="27"/>
      <c r="L889" s="27"/>
      <c r="M889" s="27"/>
      <c r="N889" s="27"/>
      <c r="O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58"/>
    </row>
    <row r="890" ht="17.25" customHeight="1">
      <c r="A890" s="1"/>
      <c r="B890" s="1"/>
      <c r="C890" s="1"/>
      <c r="D890" s="1"/>
      <c r="E890" s="1"/>
      <c r="F890" s="1"/>
      <c r="K890" s="27"/>
      <c r="L890" s="27"/>
      <c r="M890" s="27"/>
      <c r="N890" s="27"/>
      <c r="O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58"/>
    </row>
    <row r="891" ht="17.25" customHeight="1">
      <c r="A891" s="1"/>
      <c r="B891" s="1"/>
      <c r="C891" s="1"/>
      <c r="D891" s="1"/>
      <c r="E891" s="1"/>
      <c r="F891" s="1"/>
      <c r="K891" s="27"/>
      <c r="L891" s="27"/>
      <c r="M891" s="27"/>
      <c r="N891" s="27"/>
      <c r="O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58"/>
    </row>
    <row r="892" ht="17.25" customHeight="1">
      <c r="A892" s="1"/>
      <c r="B892" s="1"/>
      <c r="C892" s="1"/>
      <c r="D892" s="1"/>
      <c r="E892" s="1"/>
      <c r="F892" s="1"/>
      <c r="K892" s="27"/>
      <c r="L892" s="27"/>
      <c r="M892" s="27"/>
      <c r="N892" s="27"/>
      <c r="O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58"/>
    </row>
    <row r="893" ht="17.25" customHeight="1">
      <c r="A893" s="1"/>
      <c r="B893" s="1"/>
      <c r="C893" s="1"/>
      <c r="D893" s="1"/>
      <c r="E893" s="1"/>
      <c r="F893" s="1"/>
      <c r="K893" s="27"/>
      <c r="L893" s="27"/>
      <c r="M893" s="27"/>
      <c r="N893" s="27"/>
      <c r="O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58"/>
    </row>
    <row r="894" ht="17.25" customHeight="1">
      <c r="A894" s="1"/>
      <c r="B894" s="1"/>
      <c r="C894" s="1"/>
      <c r="D894" s="1"/>
      <c r="E894" s="1"/>
      <c r="F894" s="1"/>
      <c r="K894" s="27"/>
      <c r="L894" s="27"/>
      <c r="M894" s="27"/>
      <c r="N894" s="27"/>
      <c r="O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58"/>
    </row>
    <row r="895" ht="17.25" customHeight="1">
      <c r="A895" s="1"/>
      <c r="B895" s="1"/>
      <c r="C895" s="1"/>
      <c r="D895" s="1"/>
      <c r="E895" s="1"/>
      <c r="F895" s="1"/>
      <c r="K895" s="27"/>
      <c r="L895" s="27"/>
      <c r="M895" s="27"/>
      <c r="N895" s="27"/>
      <c r="O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58"/>
    </row>
    <row r="896" ht="17.25" customHeight="1">
      <c r="A896" s="1"/>
      <c r="B896" s="1"/>
      <c r="C896" s="1"/>
      <c r="D896" s="1"/>
      <c r="E896" s="1"/>
      <c r="F896" s="1"/>
      <c r="K896" s="27"/>
      <c r="L896" s="27"/>
      <c r="M896" s="27"/>
      <c r="N896" s="27"/>
      <c r="O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58"/>
    </row>
    <row r="897" ht="17.25" customHeight="1">
      <c r="A897" s="1"/>
      <c r="B897" s="1"/>
      <c r="C897" s="1"/>
      <c r="D897" s="1"/>
      <c r="E897" s="1"/>
      <c r="F897" s="1"/>
      <c r="K897" s="27"/>
      <c r="L897" s="27"/>
      <c r="M897" s="27"/>
      <c r="N897" s="27"/>
      <c r="O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58"/>
    </row>
    <row r="898" ht="17.25" customHeight="1">
      <c r="A898" s="1"/>
      <c r="B898" s="1"/>
      <c r="C898" s="1"/>
      <c r="D898" s="1"/>
      <c r="E898" s="1"/>
      <c r="F898" s="1"/>
      <c r="K898" s="27"/>
      <c r="L898" s="27"/>
      <c r="M898" s="27"/>
      <c r="N898" s="27"/>
      <c r="O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58"/>
    </row>
    <row r="899" ht="17.25" customHeight="1">
      <c r="A899" s="1"/>
      <c r="B899" s="1"/>
      <c r="C899" s="1"/>
      <c r="D899" s="1"/>
      <c r="E899" s="1"/>
      <c r="F899" s="1"/>
      <c r="K899" s="27"/>
      <c r="L899" s="27"/>
      <c r="M899" s="27"/>
      <c r="N899" s="27"/>
      <c r="O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58"/>
    </row>
    <row r="900" ht="17.25" customHeight="1">
      <c r="A900" s="1"/>
      <c r="B900" s="1"/>
      <c r="C900" s="1"/>
      <c r="D900" s="1"/>
      <c r="E900" s="1"/>
      <c r="F900" s="1"/>
      <c r="K900" s="27"/>
      <c r="L900" s="27"/>
      <c r="M900" s="27"/>
      <c r="N900" s="27"/>
      <c r="O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58"/>
    </row>
    <row r="901" ht="17.25" customHeight="1">
      <c r="A901" s="1"/>
      <c r="B901" s="1"/>
      <c r="C901" s="1"/>
      <c r="D901" s="1"/>
      <c r="E901" s="1"/>
      <c r="F901" s="1"/>
      <c r="K901" s="27"/>
      <c r="L901" s="27"/>
      <c r="M901" s="27"/>
      <c r="N901" s="27"/>
      <c r="O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58"/>
    </row>
    <row r="902" ht="17.25" customHeight="1">
      <c r="A902" s="1"/>
      <c r="B902" s="1"/>
      <c r="C902" s="1"/>
      <c r="D902" s="1"/>
      <c r="E902" s="1"/>
      <c r="F902" s="1"/>
      <c r="K902" s="27"/>
      <c r="L902" s="27"/>
      <c r="M902" s="27"/>
      <c r="N902" s="27"/>
      <c r="O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58"/>
    </row>
    <row r="903" ht="17.25" customHeight="1">
      <c r="A903" s="1"/>
      <c r="B903" s="1"/>
      <c r="C903" s="1"/>
      <c r="D903" s="1"/>
      <c r="E903" s="1"/>
      <c r="F903" s="1"/>
      <c r="K903" s="27"/>
      <c r="L903" s="27"/>
      <c r="M903" s="27"/>
      <c r="N903" s="27"/>
      <c r="O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58"/>
    </row>
    <row r="904" ht="17.25" customHeight="1">
      <c r="A904" s="1"/>
      <c r="B904" s="1"/>
      <c r="C904" s="1"/>
      <c r="D904" s="1"/>
      <c r="E904" s="1"/>
      <c r="F904" s="1"/>
      <c r="K904" s="27"/>
      <c r="L904" s="27"/>
      <c r="M904" s="27"/>
      <c r="N904" s="27"/>
      <c r="O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58"/>
    </row>
    <row r="905" ht="17.25" customHeight="1">
      <c r="A905" s="1"/>
      <c r="B905" s="1"/>
      <c r="C905" s="1"/>
      <c r="D905" s="1"/>
      <c r="E905" s="1"/>
      <c r="F905" s="1"/>
      <c r="K905" s="27"/>
      <c r="L905" s="27"/>
      <c r="M905" s="27"/>
      <c r="N905" s="27"/>
      <c r="O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58"/>
    </row>
    <row r="906" ht="17.25" customHeight="1">
      <c r="A906" s="1"/>
      <c r="B906" s="1"/>
      <c r="C906" s="1"/>
      <c r="D906" s="1"/>
      <c r="E906" s="1"/>
      <c r="F906" s="1"/>
      <c r="K906" s="27"/>
      <c r="L906" s="27"/>
      <c r="M906" s="27"/>
      <c r="N906" s="27"/>
      <c r="O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58"/>
    </row>
    <row r="907" ht="17.25" customHeight="1">
      <c r="A907" s="1"/>
      <c r="B907" s="1"/>
      <c r="C907" s="1"/>
      <c r="D907" s="1"/>
      <c r="E907" s="1"/>
      <c r="F907" s="1"/>
      <c r="K907" s="27"/>
      <c r="L907" s="27"/>
      <c r="M907" s="27"/>
      <c r="N907" s="27"/>
      <c r="O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58"/>
    </row>
    <row r="908" ht="17.25" customHeight="1">
      <c r="A908" s="1"/>
      <c r="B908" s="1"/>
      <c r="C908" s="1"/>
      <c r="D908" s="1"/>
      <c r="E908" s="1"/>
      <c r="F908" s="1"/>
      <c r="K908" s="27"/>
      <c r="L908" s="27"/>
      <c r="M908" s="27"/>
      <c r="N908" s="27"/>
      <c r="O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58"/>
    </row>
    <row r="909" ht="17.25" customHeight="1">
      <c r="A909" s="1"/>
      <c r="B909" s="1"/>
      <c r="C909" s="1"/>
      <c r="D909" s="1"/>
      <c r="E909" s="1"/>
      <c r="F909" s="1"/>
      <c r="K909" s="27"/>
      <c r="L909" s="27"/>
      <c r="M909" s="27"/>
      <c r="N909" s="27"/>
      <c r="O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58"/>
    </row>
    <row r="910" ht="17.25" customHeight="1">
      <c r="A910" s="1"/>
      <c r="B910" s="1"/>
      <c r="C910" s="1"/>
      <c r="D910" s="1"/>
      <c r="E910" s="1"/>
      <c r="F910" s="1"/>
      <c r="K910" s="27"/>
      <c r="L910" s="27"/>
      <c r="M910" s="27"/>
      <c r="N910" s="27"/>
      <c r="O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58"/>
    </row>
    <row r="911" ht="17.25" customHeight="1">
      <c r="A911" s="1"/>
      <c r="B911" s="1"/>
      <c r="C911" s="1"/>
      <c r="D911" s="1"/>
      <c r="E911" s="1"/>
      <c r="F911" s="1"/>
      <c r="K911" s="27"/>
      <c r="L911" s="27"/>
      <c r="M911" s="27"/>
      <c r="N911" s="27"/>
      <c r="O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58"/>
    </row>
    <row r="912" ht="17.25" customHeight="1">
      <c r="A912" s="1"/>
      <c r="B912" s="1"/>
      <c r="C912" s="1"/>
      <c r="D912" s="1"/>
      <c r="E912" s="1"/>
      <c r="F912" s="1"/>
      <c r="K912" s="27"/>
      <c r="L912" s="27"/>
      <c r="M912" s="27"/>
      <c r="N912" s="27"/>
      <c r="O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58"/>
    </row>
    <row r="913" ht="17.25" customHeight="1">
      <c r="A913" s="1"/>
      <c r="B913" s="1"/>
      <c r="C913" s="1"/>
      <c r="D913" s="1"/>
      <c r="E913" s="1"/>
      <c r="F913" s="1"/>
      <c r="K913" s="27"/>
      <c r="L913" s="27"/>
      <c r="M913" s="27"/>
      <c r="N913" s="27"/>
      <c r="O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58"/>
    </row>
    <row r="914" ht="17.25" customHeight="1">
      <c r="A914" s="1"/>
      <c r="B914" s="1"/>
      <c r="C914" s="1"/>
      <c r="D914" s="1"/>
      <c r="E914" s="1"/>
      <c r="F914" s="1"/>
      <c r="K914" s="27"/>
      <c r="L914" s="27"/>
      <c r="M914" s="27"/>
      <c r="N914" s="27"/>
      <c r="O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58"/>
    </row>
    <row r="915" ht="17.25" customHeight="1">
      <c r="A915" s="1"/>
      <c r="B915" s="1"/>
      <c r="C915" s="1"/>
      <c r="D915" s="1"/>
      <c r="E915" s="1"/>
      <c r="F915" s="1"/>
      <c r="K915" s="27"/>
      <c r="L915" s="27"/>
      <c r="M915" s="27"/>
      <c r="N915" s="27"/>
      <c r="O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58"/>
    </row>
    <row r="916" ht="17.25" customHeight="1">
      <c r="A916" s="1"/>
      <c r="B916" s="1"/>
      <c r="C916" s="1"/>
      <c r="D916" s="1"/>
      <c r="E916" s="1"/>
      <c r="F916" s="1"/>
      <c r="K916" s="27"/>
      <c r="L916" s="27"/>
      <c r="M916" s="27"/>
      <c r="N916" s="27"/>
      <c r="O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58"/>
    </row>
    <row r="917" ht="17.25" customHeight="1">
      <c r="A917" s="1"/>
      <c r="B917" s="1"/>
      <c r="C917" s="1"/>
      <c r="D917" s="1"/>
      <c r="E917" s="1"/>
      <c r="F917" s="1"/>
      <c r="K917" s="27"/>
      <c r="L917" s="27"/>
      <c r="M917" s="27"/>
      <c r="N917" s="27"/>
      <c r="O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58"/>
    </row>
    <row r="918" ht="17.25" customHeight="1">
      <c r="A918" s="1"/>
      <c r="B918" s="1"/>
      <c r="C918" s="1"/>
      <c r="D918" s="1"/>
      <c r="E918" s="1"/>
      <c r="F918" s="1"/>
      <c r="K918" s="27"/>
      <c r="L918" s="27"/>
      <c r="M918" s="27"/>
      <c r="N918" s="27"/>
      <c r="O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58"/>
    </row>
    <row r="919" ht="17.25" customHeight="1">
      <c r="A919" s="1"/>
      <c r="B919" s="1"/>
      <c r="C919" s="1"/>
      <c r="D919" s="1"/>
      <c r="E919" s="1"/>
      <c r="F919" s="1"/>
      <c r="K919" s="27"/>
      <c r="L919" s="27"/>
      <c r="M919" s="27"/>
      <c r="N919" s="27"/>
      <c r="O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58"/>
    </row>
    <row r="920" ht="17.25" customHeight="1">
      <c r="A920" s="1"/>
      <c r="B920" s="1"/>
      <c r="C920" s="1"/>
      <c r="D920" s="1"/>
      <c r="E920" s="1"/>
      <c r="F920" s="1"/>
      <c r="K920" s="27"/>
      <c r="L920" s="27"/>
      <c r="M920" s="27"/>
      <c r="N920" s="27"/>
      <c r="O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58"/>
    </row>
    <row r="921" ht="17.25" customHeight="1">
      <c r="A921" s="1"/>
      <c r="B921" s="1"/>
      <c r="C921" s="1"/>
      <c r="D921" s="1"/>
      <c r="E921" s="1"/>
      <c r="F921" s="1"/>
      <c r="K921" s="27"/>
      <c r="L921" s="27"/>
      <c r="M921" s="27"/>
      <c r="N921" s="27"/>
      <c r="O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58"/>
    </row>
    <row r="922" ht="17.25" customHeight="1">
      <c r="A922" s="1"/>
      <c r="B922" s="1"/>
      <c r="C922" s="1"/>
      <c r="D922" s="1"/>
      <c r="E922" s="1"/>
      <c r="F922" s="1"/>
      <c r="K922" s="27"/>
      <c r="L922" s="27"/>
      <c r="M922" s="27"/>
      <c r="N922" s="27"/>
      <c r="O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58"/>
    </row>
    <row r="923" ht="17.25" customHeight="1">
      <c r="A923" s="1"/>
      <c r="B923" s="1"/>
      <c r="C923" s="1"/>
      <c r="D923" s="1"/>
      <c r="E923" s="1"/>
      <c r="F923" s="1"/>
      <c r="K923" s="27"/>
      <c r="L923" s="27"/>
      <c r="M923" s="27"/>
      <c r="N923" s="27"/>
      <c r="O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58"/>
    </row>
    <row r="924" ht="17.25" customHeight="1">
      <c r="A924" s="1"/>
      <c r="B924" s="1"/>
      <c r="C924" s="1"/>
      <c r="D924" s="1"/>
      <c r="E924" s="1"/>
      <c r="F924" s="1"/>
      <c r="K924" s="27"/>
      <c r="L924" s="27"/>
      <c r="M924" s="27"/>
      <c r="N924" s="27"/>
      <c r="O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58"/>
    </row>
    <row r="925" ht="17.25" customHeight="1">
      <c r="A925" s="1"/>
      <c r="B925" s="1"/>
      <c r="C925" s="1"/>
      <c r="D925" s="1"/>
      <c r="E925" s="1"/>
      <c r="F925" s="1"/>
      <c r="K925" s="27"/>
      <c r="L925" s="27"/>
      <c r="M925" s="27"/>
      <c r="N925" s="27"/>
      <c r="O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58"/>
    </row>
    <row r="926" ht="17.25" customHeight="1">
      <c r="A926" s="1"/>
      <c r="B926" s="1"/>
      <c r="C926" s="1"/>
      <c r="D926" s="1"/>
      <c r="E926" s="1"/>
      <c r="F926" s="1"/>
      <c r="K926" s="27"/>
      <c r="L926" s="27"/>
      <c r="M926" s="27"/>
      <c r="N926" s="27"/>
      <c r="O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58"/>
    </row>
    <row r="927" ht="17.25" customHeight="1">
      <c r="A927" s="1"/>
      <c r="B927" s="1"/>
      <c r="C927" s="1"/>
      <c r="D927" s="1"/>
      <c r="E927" s="1"/>
      <c r="F927" s="1"/>
      <c r="K927" s="27"/>
      <c r="L927" s="27"/>
      <c r="M927" s="27"/>
      <c r="N927" s="27"/>
      <c r="O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58"/>
    </row>
    <row r="928" ht="17.25" customHeight="1">
      <c r="A928" s="1"/>
      <c r="B928" s="1"/>
      <c r="C928" s="1"/>
      <c r="D928" s="1"/>
      <c r="E928" s="1"/>
      <c r="F928" s="1"/>
      <c r="K928" s="27"/>
      <c r="L928" s="27"/>
      <c r="M928" s="27"/>
      <c r="N928" s="27"/>
      <c r="O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58"/>
    </row>
    <row r="929" ht="17.25" customHeight="1">
      <c r="A929" s="1"/>
      <c r="B929" s="1"/>
      <c r="C929" s="1"/>
      <c r="D929" s="1"/>
      <c r="E929" s="1"/>
      <c r="F929" s="1"/>
      <c r="K929" s="27"/>
      <c r="L929" s="27"/>
      <c r="M929" s="27"/>
      <c r="N929" s="27"/>
      <c r="O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58"/>
    </row>
    <row r="930" ht="17.25" customHeight="1">
      <c r="A930" s="1"/>
      <c r="B930" s="1"/>
      <c r="C930" s="1"/>
      <c r="D930" s="1"/>
      <c r="E930" s="1"/>
      <c r="F930" s="1"/>
      <c r="K930" s="27"/>
      <c r="L930" s="27"/>
      <c r="M930" s="27"/>
      <c r="N930" s="27"/>
      <c r="O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58"/>
    </row>
    <row r="931" ht="17.25" customHeight="1">
      <c r="A931" s="1"/>
      <c r="B931" s="1"/>
      <c r="C931" s="1"/>
      <c r="D931" s="1"/>
      <c r="E931" s="1"/>
      <c r="F931" s="1"/>
      <c r="K931" s="27"/>
      <c r="L931" s="27"/>
      <c r="M931" s="27"/>
      <c r="N931" s="27"/>
      <c r="O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58"/>
    </row>
    <row r="932" ht="17.25" customHeight="1">
      <c r="A932" s="1"/>
      <c r="B932" s="1"/>
      <c r="C932" s="1"/>
      <c r="D932" s="1"/>
      <c r="E932" s="1"/>
      <c r="F932" s="1"/>
      <c r="K932" s="27"/>
      <c r="L932" s="27"/>
      <c r="M932" s="27"/>
      <c r="N932" s="27"/>
      <c r="O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58"/>
    </row>
    <row r="933" ht="17.25" customHeight="1">
      <c r="A933" s="1"/>
      <c r="B933" s="1"/>
      <c r="C933" s="1"/>
      <c r="D933" s="1"/>
      <c r="E933" s="1"/>
      <c r="F933" s="1"/>
      <c r="K933" s="27"/>
      <c r="L933" s="27"/>
      <c r="M933" s="27"/>
      <c r="N933" s="27"/>
      <c r="O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58"/>
    </row>
    <row r="934" ht="17.25" customHeight="1">
      <c r="A934" s="1"/>
      <c r="B934" s="1"/>
      <c r="C934" s="1"/>
      <c r="D934" s="1"/>
      <c r="E934" s="1"/>
      <c r="F934" s="1"/>
      <c r="K934" s="27"/>
      <c r="L934" s="27"/>
      <c r="M934" s="27"/>
      <c r="N934" s="27"/>
      <c r="O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58"/>
    </row>
    <row r="935" ht="17.25" customHeight="1">
      <c r="A935" s="1"/>
      <c r="B935" s="1"/>
      <c r="C935" s="1"/>
      <c r="D935" s="1"/>
      <c r="E935" s="1"/>
      <c r="F935" s="1"/>
      <c r="K935" s="27"/>
      <c r="L935" s="27"/>
      <c r="M935" s="27"/>
      <c r="N935" s="27"/>
      <c r="O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58"/>
    </row>
    <row r="936" ht="17.25" customHeight="1">
      <c r="A936" s="1"/>
      <c r="B936" s="1"/>
      <c r="C936" s="1"/>
      <c r="D936" s="1"/>
      <c r="E936" s="1"/>
      <c r="F936" s="1"/>
      <c r="K936" s="27"/>
      <c r="L936" s="27"/>
      <c r="M936" s="27"/>
      <c r="N936" s="27"/>
      <c r="O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58"/>
    </row>
    <row r="937" ht="17.25" customHeight="1">
      <c r="A937" s="1"/>
      <c r="B937" s="1"/>
      <c r="C937" s="1"/>
      <c r="D937" s="1"/>
      <c r="E937" s="1"/>
      <c r="F937" s="1"/>
      <c r="K937" s="27"/>
      <c r="L937" s="27"/>
      <c r="M937" s="27"/>
      <c r="N937" s="27"/>
      <c r="O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58"/>
    </row>
    <row r="938" ht="17.25" customHeight="1">
      <c r="A938" s="1"/>
      <c r="B938" s="1"/>
      <c r="C938" s="1"/>
      <c r="D938" s="1"/>
      <c r="E938" s="1"/>
      <c r="F938" s="1"/>
      <c r="K938" s="27"/>
      <c r="L938" s="27"/>
      <c r="M938" s="27"/>
      <c r="N938" s="27"/>
      <c r="O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58"/>
    </row>
    <row r="939" ht="17.25" customHeight="1">
      <c r="A939" s="1"/>
      <c r="B939" s="1"/>
      <c r="C939" s="1"/>
      <c r="D939" s="1"/>
      <c r="E939" s="1"/>
      <c r="F939" s="1"/>
      <c r="K939" s="27"/>
      <c r="L939" s="27"/>
      <c r="M939" s="27"/>
      <c r="N939" s="27"/>
      <c r="O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58"/>
    </row>
    <row r="940" ht="17.25" customHeight="1">
      <c r="A940" s="1"/>
      <c r="B940" s="1"/>
      <c r="C940" s="1"/>
      <c r="D940" s="1"/>
      <c r="E940" s="1"/>
      <c r="F940" s="1"/>
      <c r="K940" s="27"/>
      <c r="L940" s="27"/>
      <c r="M940" s="27"/>
      <c r="N940" s="27"/>
      <c r="O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58"/>
    </row>
    <row r="941" ht="17.25" customHeight="1">
      <c r="A941" s="1"/>
      <c r="B941" s="1"/>
      <c r="C941" s="1"/>
      <c r="D941" s="1"/>
      <c r="E941" s="1"/>
      <c r="F941" s="1"/>
      <c r="K941" s="27"/>
      <c r="L941" s="27"/>
      <c r="M941" s="27"/>
      <c r="N941" s="27"/>
      <c r="O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58"/>
    </row>
    <row r="942" ht="17.25" customHeight="1">
      <c r="A942" s="1"/>
      <c r="B942" s="1"/>
      <c r="C942" s="1"/>
      <c r="D942" s="1"/>
      <c r="E942" s="1"/>
      <c r="F942" s="1"/>
      <c r="K942" s="27"/>
      <c r="L942" s="27"/>
      <c r="M942" s="27"/>
      <c r="N942" s="27"/>
      <c r="O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58"/>
    </row>
    <row r="943" ht="17.25" customHeight="1">
      <c r="A943" s="1"/>
      <c r="B943" s="1"/>
      <c r="C943" s="1"/>
      <c r="D943" s="1"/>
      <c r="E943" s="1"/>
      <c r="F943" s="1"/>
      <c r="K943" s="27"/>
      <c r="L943" s="27"/>
      <c r="M943" s="27"/>
      <c r="N943" s="27"/>
      <c r="O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58"/>
    </row>
    <row r="944" ht="17.25" customHeight="1">
      <c r="A944" s="1"/>
      <c r="B944" s="1"/>
      <c r="C944" s="1"/>
      <c r="D944" s="1"/>
      <c r="E944" s="1"/>
      <c r="F944" s="1"/>
      <c r="K944" s="27"/>
      <c r="L944" s="27"/>
      <c r="M944" s="27"/>
      <c r="N944" s="27"/>
      <c r="O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58"/>
    </row>
    <row r="945" ht="17.25" customHeight="1">
      <c r="A945" s="1"/>
      <c r="B945" s="1"/>
      <c r="C945" s="1"/>
      <c r="D945" s="1"/>
      <c r="E945" s="1"/>
      <c r="F945" s="1"/>
      <c r="K945" s="27"/>
      <c r="L945" s="27"/>
      <c r="M945" s="27"/>
      <c r="N945" s="27"/>
      <c r="O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58"/>
    </row>
    <row r="946" ht="17.25" customHeight="1">
      <c r="A946" s="1"/>
      <c r="B946" s="1"/>
      <c r="C946" s="1"/>
      <c r="D946" s="1"/>
      <c r="E946" s="1"/>
      <c r="F946" s="1"/>
      <c r="K946" s="27"/>
      <c r="L946" s="27"/>
      <c r="M946" s="27"/>
      <c r="N946" s="27"/>
      <c r="O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58"/>
    </row>
    <row r="947" ht="17.25" customHeight="1">
      <c r="A947" s="1"/>
      <c r="B947" s="1"/>
      <c r="C947" s="1"/>
      <c r="D947" s="1"/>
      <c r="E947" s="1"/>
      <c r="F947" s="1"/>
      <c r="K947" s="27"/>
      <c r="L947" s="27"/>
      <c r="M947" s="27"/>
      <c r="N947" s="27"/>
      <c r="O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58"/>
    </row>
    <row r="948" ht="17.25" customHeight="1">
      <c r="A948" s="1"/>
      <c r="B948" s="1"/>
      <c r="C948" s="1"/>
      <c r="D948" s="1"/>
      <c r="E948" s="1"/>
      <c r="F948" s="1"/>
      <c r="K948" s="27"/>
      <c r="L948" s="27"/>
      <c r="M948" s="27"/>
      <c r="N948" s="27"/>
      <c r="O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58"/>
    </row>
    <row r="949" ht="17.25" customHeight="1">
      <c r="A949" s="1"/>
      <c r="B949" s="1"/>
      <c r="C949" s="1"/>
      <c r="D949" s="1"/>
      <c r="E949" s="1"/>
      <c r="F949" s="1"/>
      <c r="K949" s="27"/>
      <c r="L949" s="27"/>
      <c r="M949" s="27"/>
      <c r="N949" s="27"/>
      <c r="O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58"/>
    </row>
    <row r="950" ht="17.25" customHeight="1">
      <c r="A950" s="1"/>
      <c r="B950" s="1"/>
      <c r="C950" s="1"/>
      <c r="D950" s="1"/>
      <c r="E950" s="1"/>
      <c r="F950" s="1"/>
      <c r="K950" s="27"/>
      <c r="L950" s="27"/>
      <c r="M950" s="27"/>
      <c r="N950" s="27"/>
      <c r="O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58"/>
    </row>
    <row r="951" ht="17.25" customHeight="1">
      <c r="A951" s="1"/>
      <c r="B951" s="1"/>
      <c r="C951" s="1"/>
      <c r="D951" s="1"/>
      <c r="E951" s="1"/>
      <c r="F951" s="1"/>
      <c r="K951" s="27"/>
      <c r="L951" s="27"/>
      <c r="M951" s="27"/>
      <c r="N951" s="27"/>
      <c r="O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58"/>
    </row>
    <row r="952" ht="17.25" customHeight="1">
      <c r="A952" s="1"/>
      <c r="B952" s="1"/>
      <c r="C952" s="1"/>
      <c r="D952" s="1"/>
      <c r="E952" s="1"/>
      <c r="F952" s="1"/>
      <c r="K952" s="27"/>
      <c r="L952" s="27"/>
      <c r="M952" s="27"/>
      <c r="N952" s="27"/>
      <c r="O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58"/>
    </row>
    <row r="953" ht="17.25" customHeight="1">
      <c r="A953" s="1"/>
      <c r="B953" s="1"/>
      <c r="C953" s="1"/>
      <c r="D953" s="1"/>
      <c r="E953" s="1"/>
      <c r="F953" s="1"/>
      <c r="K953" s="27"/>
      <c r="L953" s="27"/>
      <c r="M953" s="27"/>
      <c r="N953" s="27"/>
      <c r="O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58"/>
    </row>
    <row r="954" ht="17.25" customHeight="1">
      <c r="A954" s="1"/>
      <c r="B954" s="1"/>
      <c r="C954" s="1"/>
      <c r="D954" s="1"/>
      <c r="E954" s="1"/>
      <c r="F954" s="1"/>
      <c r="K954" s="27"/>
      <c r="L954" s="27"/>
      <c r="M954" s="27"/>
      <c r="N954" s="27"/>
      <c r="O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58"/>
    </row>
    <row r="955" ht="17.25" customHeight="1">
      <c r="A955" s="1"/>
      <c r="B955" s="1"/>
      <c r="C955" s="1"/>
      <c r="D955" s="1"/>
      <c r="E955" s="1"/>
      <c r="F955" s="1"/>
      <c r="K955" s="27"/>
      <c r="L955" s="27"/>
      <c r="M955" s="27"/>
      <c r="N955" s="27"/>
      <c r="O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58"/>
    </row>
    <row r="956" ht="17.25" customHeight="1">
      <c r="A956" s="1"/>
      <c r="B956" s="1"/>
      <c r="C956" s="1"/>
      <c r="D956" s="1"/>
      <c r="E956" s="1"/>
      <c r="F956" s="1"/>
      <c r="K956" s="27"/>
      <c r="L956" s="27"/>
      <c r="M956" s="27"/>
      <c r="N956" s="27"/>
      <c r="O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58"/>
    </row>
    <row r="957" ht="17.25" customHeight="1">
      <c r="A957" s="1"/>
      <c r="B957" s="1"/>
      <c r="C957" s="1"/>
      <c r="D957" s="1"/>
      <c r="E957" s="1"/>
      <c r="F957" s="1"/>
      <c r="K957" s="27"/>
      <c r="L957" s="27"/>
      <c r="M957" s="27"/>
      <c r="N957" s="27"/>
      <c r="O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58"/>
    </row>
    <row r="958" ht="17.25" customHeight="1">
      <c r="A958" s="1"/>
      <c r="B958" s="1"/>
      <c r="C958" s="1"/>
      <c r="D958" s="1"/>
      <c r="E958" s="1"/>
      <c r="F958" s="1"/>
      <c r="K958" s="27"/>
      <c r="L958" s="27"/>
      <c r="M958" s="27"/>
      <c r="N958" s="27"/>
      <c r="O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58"/>
    </row>
    <row r="959" ht="17.25" customHeight="1">
      <c r="A959" s="1"/>
      <c r="B959" s="1"/>
      <c r="C959" s="1"/>
      <c r="D959" s="1"/>
      <c r="E959" s="1"/>
      <c r="F959" s="1"/>
      <c r="K959" s="27"/>
      <c r="L959" s="27"/>
      <c r="M959" s="27"/>
      <c r="N959" s="27"/>
      <c r="O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58"/>
    </row>
    <row r="960" ht="17.25" customHeight="1">
      <c r="A960" s="1"/>
      <c r="B960" s="1"/>
      <c r="C960" s="1"/>
      <c r="D960" s="1"/>
      <c r="E960" s="1"/>
      <c r="F960" s="1"/>
      <c r="K960" s="27"/>
      <c r="L960" s="27"/>
      <c r="M960" s="27"/>
      <c r="N960" s="27"/>
      <c r="O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58"/>
    </row>
    <row r="961" ht="17.25" customHeight="1">
      <c r="A961" s="1"/>
      <c r="B961" s="1"/>
      <c r="C961" s="1"/>
      <c r="D961" s="1"/>
      <c r="E961" s="1"/>
      <c r="F961" s="1"/>
      <c r="K961" s="27"/>
      <c r="L961" s="27"/>
      <c r="M961" s="27"/>
      <c r="N961" s="27"/>
      <c r="O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58"/>
    </row>
    <row r="962" ht="17.25" customHeight="1">
      <c r="A962" s="1"/>
      <c r="B962" s="1"/>
      <c r="C962" s="1"/>
      <c r="D962" s="1"/>
      <c r="E962" s="1"/>
      <c r="F962" s="1"/>
      <c r="K962" s="27"/>
      <c r="L962" s="27"/>
      <c r="M962" s="27"/>
      <c r="N962" s="27"/>
      <c r="O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58"/>
    </row>
    <row r="963" ht="17.25" customHeight="1">
      <c r="A963" s="1"/>
      <c r="B963" s="1"/>
      <c r="C963" s="1"/>
      <c r="D963" s="1"/>
      <c r="E963" s="1"/>
      <c r="F963" s="1"/>
      <c r="K963" s="27"/>
      <c r="L963" s="27"/>
      <c r="M963" s="27"/>
      <c r="N963" s="27"/>
      <c r="O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58"/>
    </row>
    <row r="964" ht="17.25" customHeight="1">
      <c r="A964" s="1"/>
      <c r="B964" s="1"/>
      <c r="C964" s="1"/>
      <c r="D964" s="1"/>
      <c r="E964" s="1"/>
      <c r="F964" s="1"/>
      <c r="K964" s="27"/>
      <c r="L964" s="27"/>
      <c r="M964" s="27"/>
      <c r="N964" s="27"/>
      <c r="O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58"/>
    </row>
    <row r="965" ht="17.25" customHeight="1">
      <c r="A965" s="1"/>
      <c r="B965" s="1"/>
      <c r="C965" s="1"/>
      <c r="D965" s="1"/>
      <c r="E965" s="1"/>
      <c r="F965" s="1"/>
      <c r="K965" s="27"/>
      <c r="L965" s="27"/>
      <c r="M965" s="27"/>
      <c r="N965" s="27"/>
      <c r="O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58"/>
    </row>
    <row r="966" ht="17.25" customHeight="1">
      <c r="A966" s="1"/>
      <c r="B966" s="1"/>
      <c r="C966" s="1"/>
      <c r="D966" s="1"/>
      <c r="E966" s="1"/>
      <c r="F966" s="1"/>
      <c r="K966" s="27"/>
      <c r="L966" s="27"/>
      <c r="M966" s="27"/>
      <c r="N966" s="27"/>
      <c r="O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58"/>
    </row>
    <row r="967" ht="17.25" customHeight="1">
      <c r="A967" s="1"/>
      <c r="B967" s="1"/>
      <c r="C967" s="1"/>
      <c r="D967" s="1"/>
      <c r="E967" s="1"/>
      <c r="F967" s="1"/>
      <c r="K967" s="27"/>
      <c r="L967" s="27"/>
      <c r="M967" s="27"/>
      <c r="N967" s="27"/>
      <c r="O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58"/>
    </row>
    <row r="968" ht="17.25" customHeight="1">
      <c r="A968" s="1"/>
      <c r="B968" s="1"/>
      <c r="C968" s="1"/>
      <c r="D968" s="1"/>
      <c r="E968" s="1"/>
      <c r="F968" s="1"/>
      <c r="K968" s="27"/>
      <c r="L968" s="27"/>
      <c r="M968" s="27"/>
      <c r="N968" s="27"/>
      <c r="O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58"/>
    </row>
    <row r="969" ht="17.25" customHeight="1">
      <c r="A969" s="1"/>
      <c r="B969" s="1"/>
      <c r="C969" s="1"/>
      <c r="D969" s="1"/>
      <c r="E969" s="1"/>
      <c r="F969" s="1"/>
      <c r="K969" s="27"/>
      <c r="L969" s="27"/>
      <c r="M969" s="27"/>
      <c r="N969" s="27"/>
      <c r="O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58"/>
    </row>
    <row r="970" ht="17.25" customHeight="1">
      <c r="A970" s="1"/>
      <c r="B970" s="1"/>
      <c r="C970" s="1"/>
      <c r="D970" s="1"/>
      <c r="E970" s="1"/>
      <c r="F970" s="1"/>
      <c r="K970" s="27"/>
      <c r="L970" s="27"/>
      <c r="M970" s="27"/>
      <c r="N970" s="27"/>
      <c r="O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58"/>
    </row>
    <row r="971" ht="17.25" customHeight="1">
      <c r="A971" s="1"/>
      <c r="B971" s="1"/>
      <c r="C971" s="1"/>
      <c r="D971" s="1"/>
      <c r="E971" s="1"/>
      <c r="F971" s="1"/>
      <c r="K971" s="27"/>
      <c r="L971" s="27"/>
      <c r="M971" s="27"/>
      <c r="N971" s="27"/>
      <c r="O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58"/>
    </row>
    <row r="972" ht="17.25" customHeight="1">
      <c r="A972" s="1"/>
      <c r="B972" s="1"/>
      <c r="C972" s="1"/>
      <c r="D972" s="1"/>
      <c r="E972" s="1"/>
      <c r="F972" s="1"/>
      <c r="K972" s="27"/>
      <c r="L972" s="27"/>
      <c r="M972" s="27"/>
      <c r="N972" s="27"/>
      <c r="O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58"/>
    </row>
    <row r="973" ht="17.25" customHeight="1">
      <c r="A973" s="1"/>
      <c r="B973" s="1"/>
      <c r="C973" s="1"/>
      <c r="D973" s="1"/>
      <c r="E973" s="1"/>
      <c r="F973" s="1"/>
      <c r="K973" s="27"/>
      <c r="L973" s="27"/>
      <c r="M973" s="27"/>
      <c r="N973" s="27"/>
      <c r="O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58"/>
    </row>
    <row r="974" ht="17.25" customHeight="1">
      <c r="A974" s="1"/>
      <c r="B974" s="1"/>
      <c r="C974" s="1"/>
      <c r="D974" s="1"/>
      <c r="E974" s="1"/>
      <c r="F974" s="1"/>
      <c r="K974" s="27"/>
      <c r="L974" s="27"/>
      <c r="M974" s="27"/>
      <c r="N974" s="27"/>
      <c r="O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58"/>
    </row>
    <row r="975" ht="17.25" customHeight="1">
      <c r="A975" s="1"/>
      <c r="B975" s="1"/>
      <c r="C975" s="1"/>
      <c r="D975" s="1"/>
      <c r="E975" s="1"/>
      <c r="F975" s="1"/>
      <c r="K975" s="27"/>
      <c r="L975" s="27"/>
      <c r="M975" s="27"/>
      <c r="N975" s="27"/>
      <c r="O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58"/>
    </row>
    <row r="976" ht="17.25" customHeight="1">
      <c r="A976" s="1"/>
      <c r="B976" s="1"/>
      <c r="C976" s="1"/>
      <c r="D976" s="1"/>
      <c r="E976" s="1"/>
      <c r="F976" s="1"/>
      <c r="K976" s="27"/>
      <c r="L976" s="27"/>
      <c r="M976" s="27"/>
      <c r="N976" s="27"/>
      <c r="O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58"/>
    </row>
    <row r="977" ht="17.25" customHeight="1">
      <c r="A977" s="1"/>
      <c r="B977" s="1"/>
      <c r="C977" s="1"/>
      <c r="D977" s="1"/>
      <c r="E977" s="1"/>
      <c r="F977" s="1"/>
      <c r="K977" s="27"/>
      <c r="L977" s="27"/>
      <c r="M977" s="27"/>
      <c r="N977" s="27"/>
      <c r="O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58"/>
    </row>
    <row r="978" ht="17.25" customHeight="1">
      <c r="A978" s="1"/>
      <c r="B978" s="1"/>
      <c r="C978" s="1"/>
      <c r="D978" s="1"/>
      <c r="E978" s="1"/>
      <c r="F978" s="1"/>
      <c r="K978" s="27"/>
      <c r="L978" s="27"/>
      <c r="M978" s="27"/>
      <c r="N978" s="27"/>
      <c r="O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58"/>
    </row>
    <row r="979" ht="17.25" customHeight="1">
      <c r="A979" s="1"/>
      <c r="B979" s="1"/>
      <c r="C979" s="1"/>
      <c r="D979" s="1"/>
      <c r="E979" s="1"/>
      <c r="F979" s="1"/>
      <c r="K979" s="27"/>
      <c r="L979" s="27"/>
      <c r="M979" s="27"/>
      <c r="N979" s="27"/>
      <c r="O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58"/>
    </row>
    <row r="980" ht="17.25" customHeight="1">
      <c r="A980" s="1"/>
      <c r="B980" s="1"/>
      <c r="C980" s="1"/>
      <c r="D980" s="1"/>
      <c r="E980" s="1"/>
      <c r="F980" s="1"/>
      <c r="K980" s="27"/>
      <c r="L980" s="27"/>
      <c r="M980" s="27"/>
      <c r="N980" s="27"/>
      <c r="O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58"/>
    </row>
    <row r="981" ht="17.25" customHeight="1">
      <c r="A981" s="1"/>
      <c r="B981" s="1"/>
      <c r="C981" s="1"/>
      <c r="D981" s="1"/>
      <c r="E981" s="1"/>
      <c r="F981" s="1"/>
      <c r="K981" s="27"/>
      <c r="L981" s="27"/>
      <c r="M981" s="27"/>
      <c r="N981" s="27"/>
      <c r="O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58"/>
    </row>
    <row r="982" ht="17.25" customHeight="1">
      <c r="A982" s="1"/>
      <c r="B982" s="1"/>
      <c r="C982" s="1"/>
      <c r="D982" s="1"/>
      <c r="E982" s="1"/>
      <c r="F982" s="1"/>
      <c r="K982" s="27"/>
      <c r="L982" s="27"/>
      <c r="M982" s="27"/>
      <c r="N982" s="27"/>
      <c r="O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58"/>
    </row>
    <row r="983" ht="17.25" customHeight="1">
      <c r="A983" s="1"/>
      <c r="B983" s="1"/>
      <c r="C983" s="1"/>
      <c r="D983" s="1"/>
      <c r="E983" s="1"/>
      <c r="F983" s="1"/>
      <c r="K983" s="27"/>
      <c r="L983" s="27"/>
      <c r="M983" s="27"/>
      <c r="N983" s="27"/>
      <c r="O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58"/>
    </row>
    <row r="984" ht="17.25" customHeight="1">
      <c r="A984" s="1"/>
      <c r="B984" s="1"/>
      <c r="C984" s="1"/>
      <c r="D984" s="1"/>
      <c r="E984" s="1"/>
      <c r="F984" s="1"/>
      <c r="K984" s="27"/>
      <c r="L984" s="27"/>
      <c r="M984" s="27"/>
      <c r="N984" s="27"/>
      <c r="O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58"/>
    </row>
    <row r="985" ht="17.25" customHeight="1">
      <c r="A985" s="1"/>
      <c r="B985" s="1"/>
      <c r="C985" s="1"/>
      <c r="D985" s="1"/>
      <c r="E985" s="1"/>
      <c r="F985" s="1"/>
      <c r="K985" s="27"/>
      <c r="L985" s="27"/>
      <c r="M985" s="27"/>
      <c r="N985" s="27"/>
      <c r="O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58"/>
    </row>
    <row r="986" ht="17.25" customHeight="1">
      <c r="A986" s="1"/>
      <c r="B986" s="1"/>
      <c r="C986" s="1"/>
      <c r="D986" s="1"/>
      <c r="E986" s="1"/>
      <c r="F986" s="1"/>
      <c r="K986" s="27"/>
      <c r="L986" s="27"/>
      <c r="M986" s="27"/>
      <c r="N986" s="27"/>
      <c r="O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58"/>
    </row>
    <row r="987" ht="17.25" customHeight="1">
      <c r="A987" s="1"/>
      <c r="B987" s="1"/>
      <c r="C987" s="1"/>
      <c r="D987" s="1"/>
      <c r="E987" s="1"/>
      <c r="F987" s="1"/>
      <c r="K987" s="27"/>
      <c r="L987" s="27"/>
      <c r="M987" s="27"/>
      <c r="N987" s="27"/>
      <c r="O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58"/>
    </row>
    <row r="988" ht="17.25" customHeight="1">
      <c r="A988" s="1"/>
      <c r="B988" s="1"/>
      <c r="C988" s="1"/>
      <c r="D988" s="1"/>
      <c r="E988" s="1"/>
      <c r="F988" s="1"/>
      <c r="K988" s="27"/>
      <c r="L988" s="27"/>
      <c r="M988" s="27"/>
      <c r="N988" s="27"/>
      <c r="O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58"/>
    </row>
    <row r="989" ht="17.25" customHeight="1">
      <c r="A989" s="1"/>
      <c r="B989" s="1"/>
      <c r="C989" s="1"/>
      <c r="D989" s="1"/>
      <c r="E989" s="1"/>
      <c r="F989" s="1"/>
      <c r="K989" s="27"/>
      <c r="L989" s="27"/>
      <c r="M989" s="27"/>
      <c r="N989" s="27"/>
      <c r="O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58"/>
    </row>
    <row r="990" ht="17.25" customHeight="1">
      <c r="A990" s="1"/>
      <c r="B990" s="1"/>
      <c r="C990" s="1"/>
      <c r="D990" s="1"/>
      <c r="E990" s="1"/>
      <c r="F990" s="1"/>
      <c r="K990" s="27"/>
      <c r="L990" s="27"/>
      <c r="M990" s="27"/>
      <c r="N990" s="27"/>
      <c r="O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58"/>
    </row>
    <row r="991" ht="17.25" customHeight="1">
      <c r="A991" s="1"/>
      <c r="B991" s="1"/>
      <c r="C991" s="1"/>
      <c r="D991" s="1"/>
      <c r="E991" s="1"/>
      <c r="F991" s="1"/>
      <c r="K991" s="27"/>
      <c r="L991" s="27"/>
      <c r="M991" s="27"/>
      <c r="N991" s="27"/>
      <c r="O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58"/>
    </row>
    <row r="992" ht="17.25" customHeight="1">
      <c r="A992" s="1"/>
      <c r="B992" s="1"/>
      <c r="C992" s="1"/>
      <c r="D992" s="1"/>
      <c r="E992" s="1"/>
      <c r="F992" s="1"/>
      <c r="K992" s="27"/>
      <c r="L992" s="27"/>
      <c r="M992" s="27"/>
      <c r="N992" s="27"/>
      <c r="O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58"/>
    </row>
    <row r="993" ht="17.25" customHeight="1">
      <c r="A993" s="1"/>
      <c r="B993" s="1"/>
      <c r="C993" s="1"/>
      <c r="D993" s="1"/>
      <c r="E993" s="1"/>
      <c r="F993" s="1"/>
      <c r="K993" s="27"/>
      <c r="L993" s="27"/>
      <c r="M993" s="27"/>
      <c r="N993" s="27"/>
      <c r="O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58"/>
    </row>
    <row r="994" ht="17.25" customHeight="1">
      <c r="A994" s="1"/>
      <c r="B994" s="1"/>
      <c r="C994" s="1"/>
      <c r="D994" s="1"/>
      <c r="E994" s="1"/>
      <c r="F994" s="1"/>
      <c r="K994" s="27"/>
      <c r="L994" s="27"/>
      <c r="M994" s="27"/>
      <c r="N994" s="27"/>
      <c r="O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58"/>
    </row>
    <row r="995" ht="17.25" customHeight="1">
      <c r="A995" s="1"/>
      <c r="B995" s="1"/>
      <c r="C995" s="1"/>
      <c r="D995" s="1"/>
      <c r="E995" s="1"/>
      <c r="F995" s="1"/>
      <c r="K995" s="27"/>
      <c r="L995" s="27"/>
      <c r="M995" s="27"/>
      <c r="N995" s="27"/>
      <c r="O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58"/>
    </row>
    <row r="996" ht="17.25" customHeight="1">
      <c r="A996" s="1"/>
      <c r="B996" s="1"/>
      <c r="C996" s="1"/>
      <c r="D996" s="1"/>
      <c r="E996" s="1"/>
      <c r="F996" s="1"/>
      <c r="K996" s="27"/>
      <c r="L996" s="27"/>
      <c r="M996" s="27"/>
      <c r="N996" s="27"/>
      <c r="O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58"/>
    </row>
    <row r="997" ht="17.25" customHeight="1">
      <c r="A997" s="1"/>
      <c r="B997" s="1"/>
      <c r="C997" s="1"/>
      <c r="D997" s="1"/>
      <c r="E997" s="1"/>
      <c r="F997" s="1"/>
      <c r="K997" s="27"/>
      <c r="L997" s="27"/>
      <c r="M997" s="27"/>
      <c r="N997" s="27"/>
      <c r="O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58"/>
    </row>
    <row r="998" ht="17.25" customHeight="1">
      <c r="A998" s="1"/>
      <c r="B998" s="1"/>
      <c r="C998" s="1"/>
      <c r="D998" s="1"/>
      <c r="E998" s="1"/>
      <c r="F998" s="1"/>
      <c r="K998" s="27"/>
      <c r="L998" s="27"/>
      <c r="M998" s="27"/>
      <c r="N998" s="27"/>
      <c r="O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58"/>
    </row>
    <row r="999" ht="17.25" customHeight="1">
      <c r="A999" s="1"/>
      <c r="B999" s="1"/>
      <c r="C999" s="1"/>
      <c r="D999" s="1"/>
      <c r="E999" s="1"/>
      <c r="F999" s="1"/>
      <c r="K999" s="27"/>
      <c r="L999" s="27"/>
      <c r="M999" s="27"/>
      <c r="N999" s="27"/>
      <c r="O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58"/>
    </row>
    <row r="1000" ht="17.25" customHeight="1">
      <c r="A1000" s="1"/>
      <c r="B1000" s="1"/>
      <c r="C1000" s="1"/>
      <c r="D1000" s="1"/>
      <c r="E1000" s="1"/>
      <c r="F1000" s="1"/>
      <c r="K1000" s="27"/>
      <c r="L1000" s="27"/>
      <c r="M1000" s="27"/>
      <c r="N1000" s="27"/>
      <c r="O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58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9.0"/>
  </cols>
  <sheetData>
    <row r="1" ht="12.0" customHeight="1">
      <c r="A1" s="1"/>
      <c r="B1" s="1"/>
      <c r="C1" s="1"/>
      <c r="D1" s="1"/>
      <c r="E1" s="1"/>
      <c r="F1" s="1"/>
      <c r="Q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58"/>
    </row>
    <row r="2" ht="30.0" customHeight="1">
      <c r="A2" s="4" t="s">
        <v>25</v>
      </c>
      <c r="B2" s="5"/>
      <c r="C2" s="1"/>
      <c r="D2" s="1"/>
      <c r="E2" s="1"/>
      <c r="F2" s="1"/>
      <c r="Q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58" t="s">
        <v>26</v>
      </c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12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260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9">
        <v>3709.0</v>
      </c>
      <c r="E4" s="20">
        <f t="shared" ref="E4:O4" si="1">D24</f>
        <v>3417</v>
      </c>
      <c r="F4" s="20">
        <f t="shared" si="1"/>
        <v>3721</v>
      </c>
      <c r="G4" s="20">
        <f t="shared" si="1"/>
        <v>5561</v>
      </c>
      <c r="H4" s="20">
        <f t="shared" si="1"/>
        <v>5081</v>
      </c>
      <c r="I4" s="20">
        <f t="shared" si="1"/>
        <v>4317</v>
      </c>
      <c r="J4" s="20">
        <f t="shared" si="1"/>
        <v>5501</v>
      </c>
      <c r="K4" s="20">
        <f t="shared" si="1"/>
        <v>5389</v>
      </c>
      <c r="L4" s="20">
        <f t="shared" si="1"/>
        <v>5374</v>
      </c>
      <c r="M4" s="20">
        <f t="shared" si="1"/>
        <v>4461</v>
      </c>
      <c r="N4" s="20">
        <f t="shared" si="1"/>
        <v>4581</v>
      </c>
      <c r="O4" s="21">
        <f t="shared" si="1"/>
        <v>4581</v>
      </c>
      <c r="P4" s="22">
        <v>4581.0</v>
      </c>
      <c r="Q4" s="147">
        <f t="shared" ref="Q4:AU4" si="2">+P24</f>
        <v>4581</v>
      </c>
      <c r="R4" s="148">
        <f t="shared" si="2"/>
        <v>4581</v>
      </c>
      <c r="S4" s="148">
        <f t="shared" si="2"/>
        <v>4581</v>
      </c>
      <c r="T4" s="148">
        <f t="shared" si="2"/>
        <v>5549</v>
      </c>
      <c r="U4" s="148">
        <f t="shared" si="2"/>
        <v>5549</v>
      </c>
      <c r="V4" s="148">
        <f t="shared" si="2"/>
        <v>2469</v>
      </c>
      <c r="W4" s="148">
        <f t="shared" si="2"/>
        <v>5269</v>
      </c>
      <c r="X4" s="148">
        <f t="shared" si="2"/>
        <v>5269</v>
      </c>
      <c r="Y4" s="148">
        <f t="shared" si="2"/>
        <v>5269</v>
      </c>
      <c r="Z4" s="148">
        <f t="shared" si="2"/>
        <v>5269</v>
      </c>
      <c r="AA4" s="148">
        <f t="shared" si="2"/>
        <v>6741</v>
      </c>
      <c r="AB4" s="148">
        <f t="shared" si="2"/>
        <v>6741</v>
      </c>
      <c r="AC4" s="148">
        <f t="shared" si="2"/>
        <v>6741</v>
      </c>
      <c r="AD4" s="148">
        <f t="shared" si="2"/>
        <v>6741</v>
      </c>
      <c r="AE4" s="148">
        <f t="shared" si="2"/>
        <v>6741</v>
      </c>
      <c r="AF4" s="148">
        <f t="shared" si="2"/>
        <v>6741</v>
      </c>
      <c r="AG4" s="148">
        <f t="shared" si="2"/>
        <v>6741</v>
      </c>
      <c r="AH4" s="148">
        <f t="shared" si="2"/>
        <v>6741</v>
      </c>
      <c r="AI4" s="148">
        <f t="shared" si="2"/>
        <v>6741</v>
      </c>
      <c r="AJ4" s="148">
        <f t="shared" si="2"/>
        <v>6741</v>
      </c>
      <c r="AK4" s="148">
        <f t="shared" si="2"/>
        <v>6741</v>
      </c>
      <c r="AL4" s="148">
        <f t="shared" si="2"/>
        <v>6741</v>
      </c>
      <c r="AM4" s="148">
        <f t="shared" si="2"/>
        <v>6741</v>
      </c>
      <c r="AN4" s="148">
        <f t="shared" si="2"/>
        <v>6741</v>
      </c>
      <c r="AO4" s="148">
        <f t="shared" si="2"/>
        <v>6741</v>
      </c>
      <c r="AP4" s="148">
        <f t="shared" si="2"/>
        <v>6741</v>
      </c>
      <c r="AQ4" s="148">
        <f t="shared" si="2"/>
        <v>6741</v>
      </c>
      <c r="AR4" s="148">
        <f t="shared" si="2"/>
        <v>6741</v>
      </c>
      <c r="AS4" s="148">
        <f t="shared" si="2"/>
        <v>6741</v>
      </c>
      <c r="AT4" s="148">
        <f t="shared" si="2"/>
        <v>6741</v>
      </c>
      <c r="AU4" s="148">
        <f t="shared" si="2"/>
        <v>6741</v>
      </c>
      <c r="AV4" s="25">
        <f t="shared" ref="AV4:AV8" si="5">P24</f>
        <v>4581</v>
      </c>
    </row>
    <row r="5" ht="18.0" customHeight="1">
      <c r="A5" s="28"/>
      <c r="B5" s="29"/>
      <c r="C5" s="100" t="s">
        <v>9</v>
      </c>
      <c r="D5" s="221">
        <v>0.0</v>
      </c>
      <c r="E5" s="222">
        <f t="shared" ref="E5:O5" si="3">D25</f>
        <v>-1240</v>
      </c>
      <c r="F5" s="222">
        <f t="shared" si="3"/>
        <v>0</v>
      </c>
      <c r="G5" s="222">
        <f t="shared" si="3"/>
        <v>-2440</v>
      </c>
      <c r="H5" s="222">
        <f t="shared" si="3"/>
        <v>0</v>
      </c>
      <c r="I5" s="222">
        <f t="shared" si="3"/>
        <v>0</v>
      </c>
      <c r="J5" s="222">
        <f t="shared" si="3"/>
        <v>0</v>
      </c>
      <c r="K5" s="222">
        <f t="shared" si="3"/>
        <v>0</v>
      </c>
      <c r="L5" s="222">
        <f t="shared" si="3"/>
        <v>0</v>
      </c>
      <c r="M5" s="222">
        <f t="shared" si="3"/>
        <v>-1988</v>
      </c>
      <c r="N5" s="222">
        <f t="shared" si="3"/>
        <v>12</v>
      </c>
      <c r="O5" s="223">
        <f t="shared" si="3"/>
        <v>12</v>
      </c>
      <c r="P5" s="153">
        <v>12.0</v>
      </c>
      <c r="Q5" s="154">
        <f t="shared" ref="Q5:AU5" si="4">+P25</f>
        <v>12</v>
      </c>
      <c r="R5" s="155">
        <f t="shared" si="4"/>
        <v>12</v>
      </c>
      <c r="S5" s="155">
        <f t="shared" si="4"/>
        <v>12</v>
      </c>
      <c r="T5" s="155">
        <f t="shared" si="4"/>
        <v>-21006</v>
      </c>
      <c r="U5" s="155">
        <f t="shared" si="4"/>
        <v>-26246</v>
      </c>
      <c r="V5" s="155">
        <f t="shared" si="4"/>
        <v>-24332</v>
      </c>
      <c r="W5" s="155">
        <f t="shared" si="4"/>
        <v>-17576</v>
      </c>
      <c r="X5" s="155">
        <f t="shared" si="4"/>
        <v>-5320</v>
      </c>
      <c r="Y5" s="155">
        <f t="shared" si="4"/>
        <v>-5320</v>
      </c>
      <c r="Z5" s="155">
        <f t="shared" si="4"/>
        <v>-5320</v>
      </c>
      <c r="AA5" s="155">
        <f t="shared" si="4"/>
        <v>-8128</v>
      </c>
      <c r="AB5" s="155">
        <f t="shared" si="4"/>
        <v>-8128</v>
      </c>
      <c r="AC5" s="155">
        <f t="shared" si="4"/>
        <v>-8128</v>
      </c>
      <c r="AD5" s="155">
        <f t="shared" si="4"/>
        <v>-8128</v>
      </c>
      <c r="AE5" s="155">
        <f t="shared" si="4"/>
        <v>-8128</v>
      </c>
      <c r="AF5" s="155">
        <f t="shared" si="4"/>
        <v>-8128</v>
      </c>
      <c r="AG5" s="155">
        <f t="shared" si="4"/>
        <v>-8128</v>
      </c>
      <c r="AH5" s="155">
        <f t="shared" si="4"/>
        <v>-8128</v>
      </c>
      <c r="AI5" s="155">
        <f t="shared" si="4"/>
        <v>-8128</v>
      </c>
      <c r="AJ5" s="155">
        <f t="shared" si="4"/>
        <v>-8128</v>
      </c>
      <c r="AK5" s="155">
        <f t="shared" si="4"/>
        <v>-8128</v>
      </c>
      <c r="AL5" s="155">
        <f t="shared" si="4"/>
        <v>-8128</v>
      </c>
      <c r="AM5" s="155">
        <f t="shared" si="4"/>
        <v>-8128</v>
      </c>
      <c r="AN5" s="155">
        <f t="shared" si="4"/>
        <v>-8128</v>
      </c>
      <c r="AO5" s="155">
        <f t="shared" si="4"/>
        <v>-8128</v>
      </c>
      <c r="AP5" s="155">
        <f t="shared" si="4"/>
        <v>-8128</v>
      </c>
      <c r="AQ5" s="155">
        <f t="shared" si="4"/>
        <v>-8128</v>
      </c>
      <c r="AR5" s="155">
        <f t="shared" si="4"/>
        <v>-8128</v>
      </c>
      <c r="AS5" s="155">
        <f t="shared" si="4"/>
        <v>-8128</v>
      </c>
      <c r="AT5" s="155">
        <f t="shared" si="4"/>
        <v>-8128</v>
      </c>
      <c r="AU5" s="155">
        <f t="shared" si="4"/>
        <v>-8128</v>
      </c>
      <c r="AV5" s="263">
        <f t="shared" si="5"/>
        <v>12</v>
      </c>
    </row>
    <row r="6" ht="18.0" customHeight="1">
      <c r="A6" s="28"/>
      <c r="B6" s="38" t="s">
        <v>10</v>
      </c>
      <c r="C6" s="106" t="s">
        <v>8</v>
      </c>
      <c r="D6" s="19">
        <v>2640.0</v>
      </c>
      <c r="E6" s="20">
        <f t="shared" ref="E6:O6" si="6">D26</f>
        <v>1760</v>
      </c>
      <c r="F6" s="20">
        <f t="shared" si="6"/>
        <v>2420</v>
      </c>
      <c r="G6" s="20">
        <f t="shared" si="6"/>
        <v>3190</v>
      </c>
      <c r="H6" s="20">
        <f t="shared" si="6"/>
        <v>3146</v>
      </c>
      <c r="I6" s="20">
        <f t="shared" si="6"/>
        <v>3038</v>
      </c>
      <c r="J6" s="20">
        <f t="shared" si="6"/>
        <v>2574</v>
      </c>
      <c r="K6" s="20">
        <f t="shared" si="6"/>
        <v>3234</v>
      </c>
      <c r="L6" s="20">
        <f t="shared" si="6"/>
        <v>3080</v>
      </c>
      <c r="M6" s="20">
        <f t="shared" si="6"/>
        <v>4862</v>
      </c>
      <c r="N6" s="20">
        <f t="shared" si="6"/>
        <v>3080</v>
      </c>
      <c r="O6" s="21">
        <f t="shared" si="6"/>
        <v>3080</v>
      </c>
      <c r="P6" s="22">
        <v>3080.0</v>
      </c>
      <c r="Q6" s="147">
        <f t="shared" ref="Q6:AU6" si="7">+P26</f>
        <v>3080</v>
      </c>
      <c r="R6" s="148">
        <f t="shared" si="7"/>
        <v>3080</v>
      </c>
      <c r="S6" s="148">
        <f t="shared" si="7"/>
        <v>3080</v>
      </c>
      <c r="T6" s="148">
        <f t="shared" si="7"/>
        <v>3080</v>
      </c>
      <c r="U6" s="148">
        <f t="shared" si="7"/>
        <v>3080</v>
      </c>
      <c r="V6" s="148">
        <f t="shared" si="7"/>
        <v>3080</v>
      </c>
      <c r="W6" s="148">
        <f t="shared" si="7"/>
        <v>3080</v>
      </c>
      <c r="X6" s="148">
        <f t="shared" si="7"/>
        <v>3060</v>
      </c>
      <c r="Y6" s="148">
        <f t="shared" si="7"/>
        <v>3060</v>
      </c>
      <c r="Z6" s="148">
        <f t="shared" si="7"/>
        <v>3060</v>
      </c>
      <c r="AA6" s="148">
        <f t="shared" si="7"/>
        <v>3060</v>
      </c>
      <c r="AB6" s="148">
        <f t="shared" si="7"/>
        <v>3060</v>
      </c>
      <c r="AC6" s="148">
        <f t="shared" si="7"/>
        <v>3060</v>
      </c>
      <c r="AD6" s="148">
        <f t="shared" si="7"/>
        <v>3060</v>
      </c>
      <c r="AE6" s="148">
        <f t="shared" si="7"/>
        <v>3060</v>
      </c>
      <c r="AF6" s="148">
        <f t="shared" si="7"/>
        <v>3060</v>
      </c>
      <c r="AG6" s="148">
        <f t="shared" si="7"/>
        <v>3060</v>
      </c>
      <c r="AH6" s="148">
        <f t="shared" si="7"/>
        <v>3060</v>
      </c>
      <c r="AI6" s="148">
        <f t="shared" si="7"/>
        <v>3060</v>
      </c>
      <c r="AJ6" s="148">
        <f t="shared" si="7"/>
        <v>3060</v>
      </c>
      <c r="AK6" s="148">
        <f t="shared" si="7"/>
        <v>3060</v>
      </c>
      <c r="AL6" s="148">
        <f t="shared" si="7"/>
        <v>3060</v>
      </c>
      <c r="AM6" s="148">
        <f t="shared" si="7"/>
        <v>3060</v>
      </c>
      <c r="AN6" s="148">
        <f t="shared" si="7"/>
        <v>3060</v>
      </c>
      <c r="AO6" s="148">
        <f t="shared" si="7"/>
        <v>3060</v>
      </c>
      <c r="AP6" s="148">
        <f t="shared" si="7"/>
        <v>3060</v>
      </c>
      <c r="AQ6" s="148">
        <f t="shared" si="7"/>
        <v>3060</v>
      </c>
      <c r="AR6" s="148">
        <f t="shared" si="7"/>
        <v>3060</v>
      </c>
      <c r="AS6" s="148">
        <f t="shared" si="7"/>
        <v>3060</v>
      </c>
      <c r="AT6" s="148">
        <f t="shared" si="7"/>
        <v>3060</v>
      </c>
      <c r="AU6" s="148">
        <f t="shared" si="7"/>
        <v>3060</v>
      </c>
      <c r="AV6" s="37">
        <f t="shared" si="5"/>
        <v>3080</v>
      </c>
    </row>
    <row r="7" ht="18.0" customHeight="1">
      <c r="A7" s="28"/>
      <c r="B7" s="40"/>
      <c r="C7" s="209" t="s">
        <v>9</v>
      </c>
      <c r="D7" s="266">
        <v>2280.0</v>
      </c>
      <c r="E7" s="267">
        <f t="shared" ref="E7:O7" si="8">D27</f>
        <v>1360</v>
      </c>
      <c r="F7" s="267">
        <f t="shared" si="8"/>
        <v>1960</v>
      </c>
      <c r="G7" s="267">
        <f t="shared" si="8"/>
        <v>1960</v>
      </c>
      <c r="H7" s="267">
        <f t="shared" si="8"/>
        <v>3220</v>
      </c>
      <c r="I7" s="267">
        <f t="shared" si="8"/>
        <v>2580</v>
      </c>
      <c r="J7" s="267">
        <f t="shared" si="8"/>
        <v>980</v>
      </c>
      <c r="K7" s="267">
        <f t="shared" si="8"/>
        <v>3100</v>
      </c>
      <c r="L7" s="267">
        <f t="shared" si="8"/>
        <v>2980</v>
      </c>
      <c r="M7" s="267">
        <f t="shared" si="8"/>
        <v>2900</v>
      </c>
      <c r="N7" s="267">
        <f t="shared" si="8"/>
        <v>2680</v>
      </c>
      <c r="O7" s="268">
        <f t="shared" si="8"/>
        <v>2680</v>
      </c>
      <c r="P7" s="161">
        <v>2680.0</v>
      </c>
      <c r="Q7" s="35">
        <f t="shared" ref="Q7:AU7" si="9">+P27</f>
        <v>2680</v>
      </c>
      <c r="R7" s="36">
        <f t="shared" si="9"/>
        <v>2680</v>
      </c>
      <c r="S7" s="36">
        <f t="shared" si="9"/>
        <v>2680</v>
      </c>
      <c r="T7" s="36">
        <f t="shared" si="9"/>
        <v>2680</v>
      </c>
      <c r="U7" s="36">
        <f t="shared" si="9"/>
        <v>2680</v>
      </c>
      <c r="V7" s="36">
        <f t="shared" si="9"/>
        <v>2680</v>
      </c>
      <c r="W7" s="36">
        <f t="shared" si="9"/>
        <v>2232</v>
      </c>
      <c r="X7" s="36">
        <f t="shared" si="9"/>
        <v>2232</v>
      </c>
      <c r="Y7" s="36">
        <f t="shared" si="9"/>
        <v>2232</v>
      </c>
      <c r="Z7" s="36">
        <f t="shared" si="9"/>
        <v>2232</v>
      </c>
      <c r="AA7" s="36">
        <f t="shared" si="9"/>
        <v>2632</v>
      </c>
      <c r="AB7" s="36">
        <f t="shared" si="9"/>
        <v>2632</v>
      </c>
      <c r="AC7" s="36">
        <f t="shared" si="9"/>
        <v>2632</v>
      </c>
      <c r="AD7" s="36">
        <f t="shared" si="9"/>
        <v>2632</v>
      </c>
      <c r="AE7" s="36">
        <f t="shared" si="9"/>
        <v>2632</v>
      </c>
      <c r="AF7" s="36">
        <f t="shared" si="9"/>
        <v>2632</v>
      </c>
      <c r="AG7" s="36">
        <f t="shared" si="9"/>
        <v>2632</v>
      </c>
      <c r="AH7" s="36">
        <f t="shared" si="9"/>
        <v>2632</v>
      </c>
      <c r="AI7" s="36">
        <f t="shared" si="9"/>
        <v>2632</v>
      </c>
      <c r="AJ7" s="36">
        <f t="shared" si="9"/>
        <v>2632</v>
      </c>
      <c r="AK7" s="36">
        <f t="shared" si="9"/>
        <v>2632</v>
      </c>
      <c r="AL7" s="36">
        <f t="shared" si="9"/>
        <v>2632</v>
      </c>
      <c r="AM7" s="36">
        <f t="shared" si="9"/>
        <v>2632</v>
      </c>
      <c r="AN7" s="36">
        <f t="shared" si="9"/>
        <v>2632</v>
      </c>
      <c r="AO7" s="36">
        <f t="shared" si="9"/>
        <v>2632</v>
      </c>
      <c r="AP7" s="36">
        <f t="shared" si="9"/>
        <v>2632</v>
      </c>
      <c r="AQ7" s="36">
        <f t="shared" si="9"/>
        <v>2632</v>
      </c>
      <c r="AR7" s="36">
        <f t="shared" si="9"/>
        <v>2632</v>
      </c>
      <c r="AS7" s="36">
        <f t="shared" si="9"/>
        <v>2632</v>
      </c>
      <c r="AT7" s="36">
        <f t="shared" si="9"/>
        <v>2632</v>
      </c>
      <c r="AU7" s="36">
        <f t="shared" si="9"/>
        <v>2632</v>
      </c>
      <c r="AV7" s="168">
        <f t="shared" si="5"/>
        <v>2680</v>
      </c>
    </row>
    <row r="8" ht="18.0" customHeight="1">
      <c r="A8" s="29"/>
      <c r="B8" s="43" t="s">
        <v>11</v>
      </c>
      <c r="C8" s="213" t="s">
        <v>9</v>
      </c>
      <c r="D8" s="229">
        <v>42376.0</v>
      </c>
      <c r="E8" s="230">
        <f t="shared" ref="E8:O8" si="10">D28</f>
        <v>22256</v>
      </c>
      <c r="F8" s="230">
        <f t="shared" si="10"/>
        <v>46532</v>
      </c>
      <c r="G8" s="230">
        <f t="shared" si="10"/>
        <v>41080</v>
      </c>
      <c r="H8" s="230">
        <f t="shared" si="10"/>
        <v>30612</v>
      </c>
      <c r="I8" s="230">
        <f t="shared" si="10"/>
        <v>52084</v>
      </c>
      <c r="J8" s="230">
        <f t="shared" si="10"/>
        <v>66296</v>
      </c>
      <c r="K8" s="230">
        <f t="shared" si="10"/>
        <v>30868</v>
      </c>
      <c r="L8" s="230">
        <f t="shared" si="10"/>
        <v>32468</v>
      </c>
      <c r="M8" s="230">
        <f t="shared" si="10"/>
        <v>14684</v>
      </c>
      <c r="N8" s="230">
        <f t="shared" si="10"/>
        <v>32336</v>
      </c>
      <c r="O8" s="231">
        <f t="shared" si="10"/>
        <v>32336</v>
      </c>
      <c r="P8" s="42">
        <v>32336.0</v>
      </c>
      <c r="Q8" s="84">
        <f t="shared" ref="Q8:AU8" si="11">+P28</f>
        <v>32336</v>
      </c>
      <c r="R8" s="71">
        <f t="shared" si="11"/>
        <v>32336</v>
      </c>
      <c r="S8" s="71">
        <f t="shared" si="11"/>
        <v>32336</v>
      </c>
      <c r="T8" s="71">
        <f t="shared" si="11"/>
        <v>9312</v>
      </c>
      <c r="U8" s="71">
        <f t="shared" si="11"/>
        <v>9312</v>
      </c>
      <c r="V8" s="71">
        <f t="shared" si="11"/>
        <v>20752</v>
      </c>
      <c r="W8" s="71">
        <f t="shared" si="11"/>
        <v>22000</v>
      </c>
      <c r="X8" s="71">
        <f t="shared" si="11"/>
        <v>22000</v>
      </c>
      <c r="Y8" s="71">
        <f t="shared" si="11"/>
        <v>22000</v>
      </c>
      <c r="Z8" s="71">
        <f t="shared" si="11"/>
        <v>22000</v>
      </c>
      <c r="AA8" s="71">
        <f t="shared" si="11"/>
        <v>7472</v>
      </c>
      <c r="AB8" s="71">
        <f t="shared" si="11"/>
        <v>7472</v>
      </c>
      <c r="AC8" s="71">
        <f t="shared" si="11"/>
        <v>7472</v>
      </c>
      <c r="AD8" s="71">
        <f t="shared" si="11"/>
        <v>7472</v>
      </c>
      <c r="AE8" s="71">
        <f t="shared" si="11"/>
        <v>7472</v>
      </c>
      <c r="AF8" s="71">
        <f t="shared" si="11"/>
        <v>7472</v>
      </c>
      <c r="AG8" s="71">
        <f t="shared" si="11"/>
        <v>7472</v>
      </c>
      <c r="AH8" s="71">
        <f t="shared" si="11"/>
        <v>7472</v>
      </c>
      <c r="AI8" s="71">
        <f t="shared" si="11"/>
        <v>7472</v>
      </c>
      <c r="AJ8" s="71">
        <f t="shared" si="11"/>
        <v>7472</v>
      </c>
      <c r="AK8" s="71">
        <f t="shared" si="11"/>
        <v>7472</v>
      </c>
      <c r="AL8" s="71">
        <f t="shared" si="11"/>
        <v>7472</v>
      </c>
      <c r="AM8" s="71">
        <f t="shared" si="11"/>
        <v>7472</v>
      </c>
      <c r="AN8" s="71">
        <f t="shared" si="11"/>
        <v>7472</v>
      </c>
      <c r="AO8" s="71">
        <f t="shared" si="11"/>
        <v>7472</v>
      </c>
      <c r="AP8" s="71">
        <f t="shared" si="11"/>
        <v>7472</v>
      </c>
      <c r="AQ8" s="71">
        <f t="shared" si="11"/>
        <v>7472</v>
      </c>
      <c r="AR8" s="71">
        <f t="shared" si="11"/>
        <v>7472</v>
      </c>
      <c r="AS8" s="71">
        <f t="shared" si="11"/>
        <v>7472</v>
      </c>
      <c r="AT8" s="71">
        <f t="shared" si="11"/>
        <v>7472</v>
      </c>
      <c r="AU8" s="71">
        <f t="shared" si="11"/>
        <v>7472</v>
      </c>
      <c r="AV8" s="46">
        <f t="shared" si="5"/>
        <v>32336</v>
      </c>
    </row>
    <row r="9" ht="18.0" customHeight="1">
      <c r="A9" s="169" t="s">
        <v>12</v>
      </c>
      <c r="B9" s="169" t="s">
        <v>7</v>
      </c>
      <c r="C9" s="170" t="s">
        <v>8</v>
      </c>
      <c r="D9" s="201">
        <v>5483.0</v>
      </c>
      <c r="E9" s="171">
        <v>7472.0</v>
      </c>
      <c r="F9" s="171">
        <v>13236.0</v>
      </c>
      <c r="G9" s="120">
        <v>8464.0</v>
      </c>
      <c r="H9" s="120">
        <v>8703.0</v>
      </c>
      <c r="I9" s="120">
        <v>18984.0</v>
      </c>
      <c r="J9" s="120">
        <v>4756.0</v>
      </c>
      <c r="K9" s="120">
        <v>4992.0</v>
      </c>
      <c r="L9" s="120">
        <v>10152.0</v>
      </c>
      <c r="M9" s="120">
        <v>5566.0</v>
      </c>
      <c r="N9" s="120"/>
      <c r="O9" s="172"/>
      <c r="P9" s="173"/>
      <c r="Q9" s="174">
        <v>0.0</v>
      </c>
      <c r="R9" s="174">
        <v>0.0</v>
      </c>
      <c r="S9" s="174">
        <v>968.0</v>
      </c>
      <c r="T9" s="174">
        <v>0.0</v>
      </c>
      <c r="U9" s="174">
        <v>0.0</v>
      </c>
      <c r="V9" s="174">
        <v>2800.0</v>
      </c>
      <c r="W9" s="174">
        <v>0.0</v>
      </c>
      <c r="X9" s="174">
        <v>0.0</v>
      </c>
      <c r="Y9" s="174">
        <v>0.0</v>
      </c>
      <c r="Z9" s="174">
        <v>1799.0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5567</v>
      </c>
    </row>
    <row r="10" ht="18.0" customHeight="1">
      <c r="A10" s="28"/>
      <c r="B10" s="29"/>
      <c r="C10" s="175" t="s">
        <v>9</v>
      </c>
      <c r="D10" s="176">
        <v>139696.0</v>
      </c>
      <c r="E10" s="177">
        <v>166376.0</v>
      </c>
      <c r="F10" s="177">
        <v>154580.0</v>
      </c>
      <c r="G10" s="178">
        <v>166624.0</v>
      </c>
      <c r="H10" s="178">
        <v>171508.0</v>
      </c>
      <c r="I10" s="178">
        <v>218548.0</v>
      </c>
      <c r="J10" s="178">
        <v>137616.0</v>
      </c>
      <c r="K10" s="178">
        <v>144894.0</v>
      </c>
      <c r="L10" s="178">
        <v>179190.0</v>
      </c>
      <c r="M10" s="178">
        <v>144724.0</v>
      </c>
      <c r="N10" s="178"/>
      <c r="O10" s="179"/>
      <c r="P10" s="180"/>
      <c r="Q10" s="181">
        <v>0.0</v>
      </c>
      <c r="R10" s="181">
        <v>0.0</v>
      </c>
      <c r="S10" s="181">
        <v>11856.0</v>
      </c>
      <c r="T10" s="181">
        <v>23144.0</v>
      </c>
      <c r="U10" s="181">
        <v>10274.0</v>
      </c>
      <c r="V10" s="181">
        <v>13368.0</v>
      </c>
      <c r="W10" s="181">
        <v>12480.0</v>
      </c>
      <c r="X10" s="181">
        <v>0.0</v>
      </c>
      <c r="Y10" s="181">
        <v>0.0</v>
      </c>
      <c r="Z10" s="181">
        <v>6350.0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77472</v>
      </c>
    </row>
    <row r="11" ht="18.0" customHeight="1">
      <c r="A11" s="28"/>
      <c r="B11" s="182" t="s">
        <v>10</v>
      </c>
      <c r="C11" s="183" t="s">
        <v>8</v>
      </c>
      <c r="D11" s="184">
        <v>4400.0</v>
      </c>
      <c r="E11" s="185">
        <v>3960.0</v>
      </c>
      <c r="F11" s="185">
        <v>5280.0</v>
      </c>
      <c r="G11" s="126">
        <v>3080.0</v>
      </c>
      <c r="H11" s="126">
        <v>5456.0</v>
      </c>
      <c r="I11" s="126">
        <v>3300.0</v>
      </c>
      <c r="J11" s="126">
        <v>3300.0</v>
      </c>
      <c r="K11" s="126">
        <v>4400.0</v>
      </c>
      <c r="L11" s="126">
        <v>10120.0</v>
      </c>
      <c r="M11" s="126">
        <v>0.0</v>
      </c>
      <c r="N11" s="126"/>
      <c r="O11" s="186"/>
      <c r="P11" s="187"/>
      <c r="Q11" s="174">
        <v>0.0</v>
      </c>
      <c r="R11" s="174">
        <v>0.0</v>
      </c>
      <c r="S11" s="174">
        <v>0.0</v>
      </c>
      <c r="T11" s="174">
        <v>0.0</v>
      </c>
      <c r="U11" s="174">
        <v>0.0</v>
      </c>
      <c r="V11" s="174">
        <v>0.0</v>
      </c>
      <c r="W11" s="174">
        <v>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0</v>
      </c>
    </row>
    <row r="12" ht="18.0" customHeight="1">
      <c r="A12" s="28"/>
      <c r="B12" s="40"/>
      <c r="C12" s="188" t="s">
        <v>9</v>
      </c>
      <c r="D12" s="189">
        <v>1288.0</v>
      </c>
      <c r="E12" s="190">
        <v>5028.0</v>
      </c>
      <c r="F12" s="190">
        <v>1080.0</v>
      </c>
      <c r="G12" s="191">
        <v>4612.0</v>
      </c>
      <c r="H12" s="191">
        <v>3228.0</v>
      </c>
      <c r="I12" s="191">
        <v>1720.0</v>
      </c>
      <c r="J12" s="191">
        <v>3983.0</v>
      </c>
      <c r="K12" s="191">
        <v>1368.0</v>
      </c>
      <c r="L12" s="191">
        <v>648.0</v>
      </c>
      <c r="M12" s="191">
        <v>1311.0</v>
      </c>
      <c r="N12" s="191"/>
      <c r="O12" s="192"/>
      <c r="P12" s="180"/>
      <c r="Q12" s="181">
        <v>0.0</v>
      </c>
      <c r="R12" s="181">
        <v>0.0</v>
      </c>
      <c r="S12" s="181">
        <v>0.0</v>
      </c>
      <c r="T12" s="181">
        <v>0.0</v>
      </c>
      <c r="U12" s="181">
        <v>200.0</v>
      </c>
      <c r="V12" s="181">
        <v>200.0</v>
      </c>
      <c r="W12" s="181">
        <v>0.0</v>
      </c>
      <c r="X12" s="181">
        <v>0.0</v>
      </c>
      <c r="Y12" s="181">
        <v>0.0</v>
      </c>
      <c r="Z12" s="181">
        <v>400.0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800</v>
      </c>
    </row>
    <row r="13" ht="18.0" customHeight="1">
      <c r="A13" s="29"/>
      <c r="B13" s="195" t="s">
        <v>11</v>
      </c>
      <c r="C13" s="196" t="s">
        <v>9</v>
      </c>
      <c r="D13" s="197">
        <v>54912.0</v>
      </c>
      <c r="E13" s="198">
        <v>72592.0</v>
      </c>
      <c r="F13" s="198">
        <v>55744.0</v>
      </c>
      <c r="G13" s="135">
        <v>77988.0</v>
      </c>
      <c r="H13" s="135">
        <v>68016.0</v>
      </c>
      <c r="I13" s="135">
        <v>66976.0</v>
      </c>
      <c r="J13" s="135">
        <v>34320.0</v>
      </c>
      <c r="K13" s="135">
        <v>51168.0</v>
      </c>
      <c r="L13" s="135">
        <v>48244.0</v>
      </c>
      <c r="M13" s="135">
        <v>54288.0</v>
      </c>
      <c r="N13" s="135"/>
      <c r="O13" s="199"/>
      <c r="P13" s="200"/>
      <c r="Q13" s="174">
        <v>0.0</v>
      </c>
      <c r="R13" s="174">
        <v>0.0</v>
      </c>
      <c r="S13" s="174">
        <v>6656.0</v>
      </c>
      <c r="T13" s="174">
        <v>0.0</v>
      </c>
      <c r="U13" s="174">
        <v>11440.0</v>
      </c>
      <c r="V13" s="174">
        <v>1248.0</v>
      </c>
      <c r="W13" s="174">
        <v>0.0</v>
      </c>
      <c r="X13" s="174">
        <v>0.0</v>
      </c>
      <c r="Y13" s="174">
        <v>0.0</v>
      </c>
      <c r="Z13" s="174">
        <v>832.0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20176</v>
      </c>
    </row>
    <row r="14" ht="18.0" customHeight="1">
      <c r="A14" s="169" t="s">
        <v>13</v>
      </c>
      <c r="B14" s="169" t="s">
        <v>7</v>
      </c>
      <c r="C14" s="170" t="s">
        <v>8</v>
      </c>
      <c r="D14" s="201">
        <v>4443.0</v>
      </c>
      <c r="E14" s="171">
        <v>4900.0</v>
      </c>
      <c r="F14" s="171">
        <v>8008.0</v>
      </c>
      <c r="G14" s="120">
        <v>5884.0</v>
      </c>
      <c r="H14" s="120">
        <v>6755.0</v>
      </c>
      <c r="I14" s="120">
        <v>15536.0</v>
      </c>
      <c r="J14" s="120">
        <v>2108.0</v>
      </c>
      <c r="K14" s="120">
        <v>1003.0</v>
      </c>
      <c r="L14" s="126">
        <v>7505.0</v>
      </c>
      <c r="M14" s="126">
        <v>2966.0</v>
      </c>
      <c r="N14" s="126"/>
      <c r="O14" s="186"/>
      <c r="P14" s="187"/>
      <c r="Q14" s="174">
        <v>0.0</v>
      </c>
      <c r="R14" s="174">
        <v>0.0</v>
      </c>
      <c r="S14" s="174">
        <v>0.0</v>
      </c>
      <c r="T14" s="174">
        <v>0.0</v>
      </c>
      <c r="U14" s="174">
        <v>3080.0</v>
      </c>
      <c r="V14" s="174">
        <v>0.0</v>
      </c>
      <c r="W14" s="174">
        <v>0.0</v>
      </c>
      <c r="X14" s="174">
        <v>0.0</v>
      </c>
      <c r="Y14" s="174">
        <v>0.0</v>
      </c>
      <c r="Z14" s="174">
        <v>327.0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78">
        <f t="shared" si="12"/>
        <v>3407</v>
      </c>
    </row>
    <row r="15" ht="18.0" customHeight="1">
      <c r="A15" s="28"/>
      <c r="B15" s="29"/>
      <c r="C15" s="175" t="s">
        <v>9</v>
      </c>
      <c r="D15" s="176">
        <v>144432.0</v>
      </c>
      <c r="E15" s="177">
        <v>169972.0</v>
      </c>
      <c r="F15" s="177">
        <v>157628.0</v>
      </c>
      <c r="G15" s="178">
        <v>170452.0</v>
      </c>
      <c r="H15" s="178">
        <v>178140.0</v>
      </c>
      <c r="I15" s="178">
        <v>232786.0</v>
      </c>
      <c r="J15" s="178">
        <v>138648.0</v>
      </c>
      <c r="K15" s="178">
        <v>146378.0</v>
      </c>
      <c r="L15" s="178">
        <v>182578.0</v>
      </c>
      <c r="M15" s="178">
        <v>147264.0</v>
      </c>
      <c r="N15" s="178"/>
      <c r="O15" s="179"/>
      <c r="P15" s="180"/>
      <c r="Q15" s="181">
        <v>0.0</v>
      </c>
      <c r="R15" s="181">
        <v>0.0</v>
      </c>
      <c r="S15" s="181">
        <v>32874.0</v>
      </c>
      <c r="T15" s="181">
        <v>28384.0</v>
      </c>
      <c r="U15" s="181">
        <v>8360.0</v>
      </c>
      <c r="V15" s="181">
        <v>6612.0</v>
      </c>
      <c r="W15" s="181">
        <v>224.0</v>
      </c>
      <c r="X15" s="181">
        <v>0.0</v>
      </c>
      <c r="Y15" s="181">
        <v>0.0</v>
      </c>
      <c r="Z15" s="181">
        <v>9158.0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63">
        <f t="shared" si="12"/>
        <v>85612</v>
      </c>
    </row>
    <row r="16" ht="18.0" customHeight="1">
      <c r="A16" s="28"/>
      <c r="B16" s="182" t="s">
        <v>10</v>
      </c>
      <c r="C16" s="183" t="s">
        <v>8</v>
      </c>
      <c r="D16" s="184">
        <v>0.0</v>
      </c>
      <c r="E16" s="185">
        <v>60.0</v>
      </c>
      <c r="F16" s="185">
        <v>19.0</v>
      </c>
      <c r="G16" s="126">
        <v>0.0</v>
      </c>
      <c r="H16" s="126">
        <v>0.0</v>
      </c>
      <c r="I16" s="126">
        <v>0.0</v>
      </c>
      <c r="J16" s="126">
        <v>0.0</v>
      </c>
      <c r="K16" s="126">
        <v>0.0</v>
      </c>
      <c r="L16" s="126">
        <v>100.0</v>
      </c>
      <c r="M16" s="126">
        <v>0.0</v>
      </c>
      <c r="N16" s="126"/>
      <c r="O16" s="186"/>
      <c r="P16" s="187"/>
      <c r="Q16" s="174">
        <v>0.0</v>
      </c>
      <c r="R16" s="174">
        <v>0.0</v>
      </c>
      <c r="S16" s="174">
        <v>0.0</v>
      </c>
      <c r="T16" s="174">
        <v>0.0</v>
      </c>
      <c r="U16" s="174">
        <v>0.0</v>
      </c>
      <c r="V16" s="174">
        <v>0.0</v>
      </c>
      <c r="W16" s="174">
        <v>20.0</v>
      </c>
      <c r="X16" s="174">
        <v>0.0</v>
      </c>
      <c r="Y16" s="174">
        <v>0.0</v>
      </c>
      <c r="Z16" s="174">
        <v>0.0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20</v>
      </c>
    </row>
    <row r="17" ht="18.0" customHeight="1">
      <c r="A17" s="28"/>
      <c r="B17" s="40"/>
      <c r="C17" s="188" t="s">
        <v>9</v>
      </c>
      <c r="D17" s="189">
        <v>632.0</v>
      </c>
      <c r="E17" s="190">
        <v>1044.0</v>
      </c>
      <c r="F17" s="190">
        <v>996.0</v>
      </c>
      <c r="G17" s="191">
        <v>2512.0</v>
      </c>
      <c r="H17" s="191">
        <v>1692.0</v>
      </c>
      <c r="I17" s="191">
        <v>1704.0</v>
      </c>
      <c r="J17" s="191">
        <v>1423.0</v>
      </c>
      <c r="K17" s="191">
        <v>1380.0</v>
      </c>
      <c r="L17" s="191">
        <v>712.0</v>
      </c>
      <c r="M17" s="191">
        <v>1535.0</v>
      </c>
      <c r="N17" s="191"/>
      <c r="O17" s="192"/>
      <c r="P17" s="193"/>
      <c r="Q17" s="181">
        <v>0.0</v>
      </c>
      <c r="R17" s="181">
        <v>0.0</v>
      </c>
      <c r="S17" s="181">
        <v>0.0</v>
      </c>
      <c r="T17" s="181">
        <v>0.0</v>
      </c>
      <c r="U17" s="181">
        <v>200.0</v>
      </c>
      <c r="V17" s="181">
        <v>648.0</v>
      </c>
      <c r="W17" s="181">
        <v>0.0</v>
      </c>
      <c r="X17" s="181">
        <v>0.0</v>
      </c>
      <c r="Y17" s="181">
        <v>0.0</v>
      </c>
      <c r="Z17" s="181">
        <v>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63">
        <f t="shared" si="12"/>
        <v>848</v>
      </c>
    </row>
    <row r="18" ht="18.0" customHeight="1">
      <c r="A18" s="29"/>
      <c r="B18" s="195" t="s">
        <v>11</v>
      </c>
      <c r="C18" s="196" t="s">
        <v>9</v>
      </c>
      <c r="D18" s="197">
        <v>74564.0</v>
      </c>
      <c r="E18" s="198">
        <v>48916.0</v>
      </c>
      <c r="F18" s="198">
        <v>61820.0</v>
      </c>
      <c r="G18" s="135">
        <v>88456.0</v>
      </c>
      <c r="H18" s="135">
        <v>46520.0</v>
      </c>
      <c r="I18" s="135">
        <v>52128.0</v>
      </c>
      <c r="J18" s="135">
        <v>69748.0</v>
      </c>
      <c r="K18" s="135">
        <v>48980.0</v>
      </c>
      <c r="L18" s="135">
        <v>66028.0</v>
      </c>
      <c r="M18" s="135">
        <v>36636.0</v>
      </c>
      <c r="N18" s="135"/>
      <c r="O18" s="281"/>
      <c r="P18" s="200"/>
      <c r="Q18" s="202">
        <v>0.0</v>
      </c>
      <c r="R18" s="202">
        <v>0.0</v>
      </c>
      <c r="S18" s="202">
        <v>29680.0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15360.0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59">
        <f t="shared" si="12"/>
        <v>45040</v>
      </c>
    </row>
    <row r="19" ht="18.0" customHeight="1">
      <c r="A19" s="17" t="s">
        <v>14</v>
      </c>
      <c r="B19" s="17" t="s">
        <v>7</v>
      </c>
      <c r="C19" s="94" t="s">
        <v>8</v>
      </c>
      <c r="D19" s="201">
        <v>1332.0</v>
      </c>
      <c r="E19" s="171">
        <v>2268.0</v>
      </c>
      <c r="F19" s="171">
        <v>3388.0</v>
      </c>
      <c r="G19" s="120">
        <v>3060.0</v>
      </c>
      <c r="H19" s="120">
        <v>2712.0</v>
      </c>
      <c r="I19" s="120">
        <v>2264.0</v>
      </c>
      <c r="J19" s="120">
        <v>2760.0</v>
      </c>
      <c r="K19" s="120">
        <v>4004.0</v>
      </c>
      <c r="L19" s="120">
        <v>3560.0</v>
      </c>
      <c r="M19" s="120">
        <v>2480.0</v>
      </c>
      <c r="N19" s="120"/>
      <c r="O19" s="1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176">
        <v>-3496.0</v>
      </c>
      <c r="E20" s="177">
        <v>-4836.0</v>
      </c>
      <c r="F20" s="177">
        <v>-608.0</v>
      </c>
      <c r="G20" s="178">
        <v>-6268.0</v>
      </c>
      <c r="H20" s="178">
        <v>-6632.0</v>
      </c>
      <c r="I20" s="178">
        <v>-14238.0</v>
      </c>
      <c r="J20" s="178">
        <v>-1032.0</v>
      </c>
      <c r="K20" s="178">
        <v>-1484.0</v>
      </c>
      <c r="L20" s="178">
        <v>-1400.0</v>
      </c>
      <c r="M20" s="178">
        <v>-4540.0</v>
      </c>
      <c r="N20" s="178"/>
      <c r="O20" s="179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184">
        <v>5280.0</v>
      </c>
      <c r="E21" s="185">
        <v>3240.0</v>
      </c>
      <c r="F21" s="185">
        <v>4491.0</v>
      </c>
      <c r="G21" s="126">
        <v>3124.0</v>
      </c>
      <c r="H21" s="126">
        <v>5564.0</v>
      </c>
      <c r="I21" s="214">
        <v>3764.0</v>
      </c>
      <c r="J21" s="126">
        <v>2640.0</v>
      </c>
      <c r="K21" s="120">
        <v>4554.0</v>
      </c>
      <c r="L21" s="120">
        <v>8238.0</v>
      </c>
      <c r="M21" s="120">
        <v>1782.0</v>
      </c>
      <c r="N21" s="126"/>
      <c r="O21" s="279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189">
        <v>1576.0</v>
      </c>
      <c r="E22" s="190">
        <v>3384.0</v>
      </c>
      <c r="F22" s="190">
        <v>84.0</v>
      </c>
      <c r="G22" s="191">
        <v>840.0</v>
      </c>
      <c r="H22" s="191">
        <v>2176.0</v>
      </c>
      <c r="I22" s="178">
        <v>1616.0</v>
      </c>
      <c r="J22" s="191">
        <v>440.0</v>
      </c>
      <c r="K22" s="191">
        <v>108.0</v>
      </c>
      <c r="L22" s="191">
        <v>16.0</v>
      </c>
      <c r="M22" s="191">
        <v>-4.0</v>
      </c>
      <c r="N22" s="191"/>
      <c r="O22" s="192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197">
        <v>468.0</v>
      </c>
      <c r="E23" s="198">
        <v>-600.0</v>
      </c>
      <c r="F23" s="198">
        <v>-624.0</v>
      </c>
      <c r="G23" s="135">
        <v>0.0</v>
      </c>
      <c r="H23" s="135">
        <v>24.0</v>
      </c>
      <c r="I23" s="135">
        <v>636.0</v>
      </c>
      <c r="J23" s="135">
        <v>0.0</v>
      </c>
      <c r="K23" s="135">
        <v>588.0</v>
      </c>
      <c r="L23" s="135">
        <v>0.0</v>
      </c>
      <c r="M23" s="135">
        <v>0.0</v>
      </c>
      <c r="N23" s="214"/>
      <c r="O23" s="287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3417</v>
      </c>
      <c r="E24" s="20">
        <f t="shared" si="13"/>
        <v>3721</v>
      </c>
      <c r="F24" s="20">
        <f t="shared" si="13"/>
        <v>5561</v>
      </c>
      <c r="G24" s="20">
        <f t="shared" si="13"/>
        <v>5081</v>
      </c>
      <c r="H24" s="20">
        <f t="shared" si="13"/>
        <v>4317</v>
      </c>
      <c r="I24" s="20">
        <f t="shared" si="13"/>
        <v>5501</v>
      </c>
      <c r="J24" s="20">
        <f t="shared" si="13"/>
        <v>5389</v>
      </c>
      <c r="K24" s="20">
        <f t="shared" si="13"/>
        <v>5374</v>
      </c>
      <c r="L24" s="20">
        <f t="shared" si="13"/>
        <v>4461</v>
      </c>
      <c r="M24" s="20">
        <f t="shared" si="13"/>
        <v>4581</v>
      </c>
      <c r="N24" s="20">
        <f t="shared" si="13"/>
        <v>4581</v>
      </c>
      <c r="O24" s="21">
        <f t="shared" si="13"/>
        <v>4581</v>
      </c>
      <c r="P24" s="274">
        <f t="shared" si="13"/>
        <v>4581</v>
      </c>
      <c r="Q24" s="74">
        <f t="shared" si="13"/>
        <v>4581</v>
      </c>
      <c r="R24" s="66">
        <f t="shared" si="13"/>
        <v>4581</v>
      </c>
      <c r="S24" s="66">
        <f t="shared" si="13"/>
        <v>5549</v>
      </c>
      <c r="T24" s="66">
        <f t="shared" si="13"/>
        <v>5549</v>
      </c>
      <c r="U24" s="66">
        <f t="shared" si="13"/>
        <v>2469</v>
      </c>
      <c r="V24" s="66">
        <f t="shared" si="13"/>
        <v>5269</v>
      </c>
      <c r="W24" s="66">
        <f t="shared" si="13"/>
        <v>5269</v>
      </c>
      <c r="X24" s="66">
        <f t="shared" si="13"/>
        <v>5269</v>
      </c>
      <c r="Y24" s="66">
        <f t="shared" si="13"/>
        <v>5269</v>
      </c>
      <c r="Z24" s="66">
        <f t="shared" si="13"/>
        <v>6741</v>
      </c>
      <c r="AA24" s="66">
        <f t="shared" si="13"/>
        <v>6741</v>
      </c>
      <c r="AB24" s="66">
        <f t="shared" si="13"/>
        <v>6741</v>
      </c>
      <c r="AC24" s="66">
        <f t="shared" si="13"/>
        <v>6741</v>
      </c>
      <c r="AD24" s="66">
        <f t="shared" si="13"/>
        <v>6741</v>
      </c>
      <c r="AE24" s="66">
        <f t="shared" si="13"/>
        <v>6741</v>
      </c>
      <c r="AF24" s="66">
        <f t="shared" si="13"/>
        <v>6741</v>
      </c>
      <c r="AG24" s="66">
        <f t="shared" si="13"/>
        <v>6741</v>
      </c>
      <c r="AH24" s="66">
        <f t="shared" si="13"/>
        <v>6741</v>
      </c>
      <c r="AI24" s="66">
        <f t="shared" si="13"/>
        <v>6741</v>
      </c>
      <c r="AJ24" s="66">
        <f t="shared" si="13"/>
        <v>6741</v>
      </c>
      <c r="AK24" s="66">
        <f t="shared" si="13"/>
        <v>6741</v>
      </c>
      <c r="AL24" s="66">
        <f t="shared" si="13"/>
        <v>6741</v>
      </c>
      <c r="AM24" s="66">
        <f t="shared" si="13"/>
        <v>6741</v>
      </c>
      <c r="AN24" s="66">
        <f t="shared" si="13"/>
        <v>6741</v>
      </c>
      <c r="AO24" s="66">
        <f t="shared" si="13"/>
        <v>6741</v>
      </c>
      <c r="AP24" s="66">
        <f t="shared" si="13"/>
        <v>6741</v>
      </c>
      <c r="AQ24" s="66">
        <f t="shared" si="13"/>
        <v>6741</v>
      </c>
      <c r="AR24" s="66">
        <f t="shared" si="13"/>
        <v>6741</v>
      </c>
      <c r="AS24" s="66">
        <f t="shared" si="13"/>
        <v>6741</v>
      </c>
      <c r="AT24" s="66">
        <f t="shared" si="13"/>
        <v>6741</v>
      </c>
      <c r="AU24" s="66">
        <f t="shared" si="13"/>
        <v>6741</v>
      </c>
      <c r="AV24" s="220">
        <f t="shared" si="13"/>
        <v>6741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-1240</v>
      </c>
      <c r="E25" s="222">
        <f t="shared" si="14"/>
        <v>0</v>
      </c>
      <c r="F25" s="222">
        <f t="shared" si="14"/>
        <v>-2440</v>
      </c>
      <c r="G25" s="222">
        <f t="shared" si="14"/>
        <v>0</v>
      </c>
      <c r="H25" s="222">
        <f t="shared" si="14"/>
        <v>0</v>
      </c>
      <c r="I25" s="222">
        <f t="shared" si="14"/>
        <v>0</v>
      </c>
      <c r="J25" s="222">
        <f t="shared" si="14"/>
        <v>0</v>
      </c>
      <c r="K25" s="222">
        <f t="shared" si="14"/>
        <v>0</v>
      </c>
      <c r="L25" s="222">
        <f t="shared" si="14"/>
        <v>-1988</v>
      </c>
      <c r="M25" s="222">
        <f t="shared" si="14"/>
        <v>12</v>
      </c>
      <c r="N25" s="222">
        <f t="shared" si="14"/>
        <v>12</v>
      </c>
      <c r="O25" s="223">
        <f t="shared" si="14"/>
        <v>12</v>
      </c>
      <c r="P25" s="275">
        <f t="shared" si="14"/>
        <v>12</v>
      </c>
      <c r="Q25" s="35">
        <f t="shared" si="14"/>
        <v>12</v>
      </c>
      <c r="R25" s="36">
        <f t="shared" si="14"/>
        <v>12</v>
      </c>
      <c r="S25" s="36">
        <f t="shared" si="14"/>
        <v>-21006</v>
      </c>
      <c r="T25" s="36">
        <f t="shared" si="14"/>
        <v>-26246</v>
      </c>
      <c r="U25" s="36">
        <f t="shared" si="14"/>
        <v>-24332</v>
      </c>
      <c r="V25" s="36">
        <f t="shared" si="14"/>
        <v>-17576</v>
      </c>
      <c r="W25" s="36">
        <f t="shared" si="14"/>
        <v>-5320</v>
      </c>
      <c r="X25" s="36">
        <f t="shared" si="14"/>
        <v>-5320</v>
      </c>
      <c r="Y25" s="36">
        <f t="shared" si="14"/>
        <v>-5320</v>
      </c>
      <c r="Z25" s="36">
        <f t="shared" si="14"/>
        <v>-8128</v>
      </c>
      <c r="AA25" s="36">
        <f t="shared" si="14"/>
        <v>-8128</v>
      </c>
      <c r="AB25" s="36">
        <f t="shared" si="14"/>
        <v>-8128</v>
      </c>
      <c r="AC25" s="36">
        <f t="shared" si="14"/>
        <v>-8128</v>
      </c>
      <c r="AD25" s="36">
        <f t="shared" si="14"/>
        <v>-8128</v>
      </c>
      <c r="AE25" s="36">
        <f t="shared" si="14"/>
        <v>-8128</v>
      </c>
      <c r="AF25" s="36">
        <f t="shared" si="14"/>
        <v>-8128</v>
      </c>
      <c r="AG25" s="36">
        <f t="shared" si="14"/>
        <v>-8128</v>
      </c>
      <c r="AH25" s="36">
        <f t="shared" si="14"/>
        <v>-8128</v>
      </c>
      <c r="AI25" s="36">
        <f t="shared" si="14"/>
        <v>-8128</v>
      </c>
      <c r="AJ25" s="36">
        <f t="shared" si="14"/>
        <v>-8128</v>
      </c>
      <c r="AK25" s="36">
        <f t="shared" si="14"/>
        <v>-8128</v>
      </c>
      <c r="AL25" s="36">
        <f t="shared" si="14"/>
        <v>-8128</v>
      </c>
      <c r="AM25" s="36">
        <f t="shared" si="14"/>
        <v>-8128</v>
      </c>
      <c r="AN25" s="36">
        <f t="shared" si="14"/>
        <v>-8128</v>
      </c>
      <c r="AO25" s="36">
        <f t="shared" si="14"/>
        <v>-8128</v>
      </c>
      <c r="AP25" s="36">
        <f t="shared" si="14"/>
        <v>-8128</v>
      </c>
      <c r="AQ25" s="36">
        <f t="shared" si="14"/>
        <v>-8128</v>
      </c>
      <c r="AR25" s="36">
        <f t="shared" si="14"/>
        <v>-8128</v>
      </c>
      <c r="AS25" s="36">
        <f t="shared" si="14"/>
        <v>-8128</v>
      </c>
      <c r="AT25" s="36">
        <f t="shared" si="14"/>
        <v>-8128</v>
      </c>
      <c r="AU25" s="36">
        <f t="shared" si="14"/>
        <v>-8128</v>
      </c>
      <c r="AV25" s="225">
        <f t="shared" si="14"/>
        <v>-8128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1760</v>
      </c>
      <c r="E26" s="32">
        <f t="shared" si="15"/>
        <v>2420</v>
      </c>
      <c r="F26" s="32">
        <f t="shared" si="15"/>
        <v>3190</v>
      </c>
      <c r="G26" s="32">
        <f t="shared" si="15"/>
        <v>3146</v>
      </c>
      <c r="H26" s="32">
        <f t="shared" si="15"/>
        <v>3038</v>
      </c>
      <c r="I26" s="32">
        <f t="shared" si="15"/>
        <v>2574</v>
      </c>
      <c r="J26" s="32">
        <f t="shared" si="15"/>
        <v>3234</v>
      </c>
      <c r="K26" s="32">
        <f t="shared" si="15"/>
        <v>3080</v>
      </c>
      <c r="L26" s="32">
        <f t="shared" si="15"/>
        <v>4862</v>
      </c>
      <c r="M26" s="32">
        <f t="shared" si="15"/>
        <v>3080</v>
      </c>
      <c r="N26" s="32">
        <f t="shared" si="15"/>
        <v>3080</v>
      </c>
      <c r="O26" s="33">
        <f t="shared" si="15"/>
        <v>3080</v>
      </c>
      <c r="P26" s="274">
        <f t="shared" si="15"/>
        <v>3080</v>
      </c>
      <c r="Q26" s="74">
        <f t="shared" si="15"/>
        <v>3080</v>
      </c>
      <c r="R26" s="66">
        <f t="shared" si="15"/>
        <v>3080</v>
      </c>
      <c r="S26" s="66">
        <f t="shared" si="15"/>
        <v>3080</v>
      </c>
      <c r="T26" s="66">
        <f t="shared" si="15"/>
        <v>3080</v>
      </c>
      <c r="U26" s="66">
        <f t="shared" si="15"/>
        <v>3080</v>
      </c>
      <c r="V26" s="66">
        <f t="shared" si="15"/>
        <v>3080</v>
      </c>
      <c r="W26" s="66">
        <f t="shared" si="15"/>
        <v>3060</v>
      </c>
      <c r="X26" s="66">
        <f t="shared" si="15"/>
        <v>3060</v>
      </c>
      <c r="Y26" s="66">
        <f t="shared" si="15"/>
        <v>3060</v>
      </c>
      <c r="Z26" s="66">
        <f t="shared" si="15"/>
        <v>3060</v>
      </c>
      <c r="AA26" s="66">
        <f t="shared" si="15"/>
        <v>3060</v>
      </c>
      <c r="AB26" s="66">
        <f t="shared" si="15"/>
        <v>3060</v>
      </c>
      <c r="AC26" s="66">
        <f t="shared" si="15"/>
        <v>3060</v>
      </c>
      <c r="AD26" s="66">
        <f t="shared" si="15"/>
        <v>3060</v>
      </c>
      <c r="AE26" s="66">
        <f t="shared" si="15"/>
        <v>3060</v>
      </c>
      <c r="AF26" s="66">
        <f t="shared" si="15"/>
        <v>3060</v>
      </c>
      <c r="AG26" s="66">
        <f t="shared" si="15"/>
        <v>3060</v>
      </c>
      <c r="AH26" s="66">
        <f t="shared" si="15"/>
        <v>3060</v>
      </c>
      <c r="AI26" s="66">
        <f t="shared" si="15"/>
        <v>3060</v>
      </c>
      <c r="AJ26" s="66">
        <f t="shared" si="15"/>
        <v>3060</v>
      </c>
      <c r="AK26" s="66">
        <f t="shared" si="15"/>
        <v>3060</v>
      </c>
      <c r="AL26" s="66">
        <f t="shared" si="15"/>
        <v>3060</v>
      </c>
      <c r="AM26" s="66">
        <f t="shared" si="15"/>
        <v>3060</v>
      </c>
      <c r="AN26" s="66">
        <f t="shared" si="15"/>
        <v>3060</v>
      </c>
      <c r="AO26" s="66">
        <f t="shared" si="15"/>
        <v>3060</v>
      </c>
      <c r="AP26" s="66">
        <f t="shared" si="15"/>
        <v>3060</v>
      </c>
      <c r="AQ26" s="66">
        <f t="shared" si="15"/>
        <v>3060</v>
      </c>
      <c r="AR26" s="66">
        <f t="shared" si="15"/>
        <v>3060</v>
      </c>
      <c r="AS26" s="66">
        <f t="shared" si="15"/>
        <v>3060</v>
      </c>
      <c r="AT26" s="66">
        <f t="shared" si="15"/>
        <v>3060</v>
      </c>
      <c r="AU26" s="66">
        <f t="shared" si="15"/>
        <v>3060</v>
      </c>
      <c r="AV26" s="67">
        <f t="shared" si="15"/>
        <v>3060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1360</v>
      </c>
      <c r="E27" s="222">
        <f t="shared" si="16"/>
        <v>1960</v>
      </c>
      <c r="F27" s="222">
        <f t="shared" si="16"/>
        <v>1960</v>
      </c>
      <c r="G27" s="222">
        <f t="shared" si="16"/>
        <v>3220</v>
      </c>
      <c r="H27" s="222">
        <f t="shared" si="16"/>
        <v>2580</v>
      </c>
      <c r="I27" s="222">
        <f t="shared" si="16"/>
        <v>980</v>
      </c>
      <c r="J27" s="222">
        <f t="shared" si="16"/>
        <v>3100</v>
      </c>
      <c r="K27" s="222">
        <f t="shared" si="16"/>
        <v>2980</v>
      </c>
      <c r="L27" s="222">
        <f t="shared" si="16"/>
        <v>2900</v>
      </c>
      <c r="M27" s="222">
        <f t="shared" si="16"/>
        <v>2680</v>
      </c>
      <c r="N27" s="222">
        <f t="shared" si="16"/>
        <v>2680</v>
      </c>
      <c r="O27" s="223">
        <f t="shared" si="16"/>
        <v>2680</v>
      </c>
      <c r="P27" s="275">
        <f t="shared" si="16"/>
        <v>2680</v>
      </c>
      <c r="Q27" s="35">
        <f t="shared" si="16"/>
        <v>2680</v>
      </c>
      <c r="R27" s="36">
        <f t="shared" si="16"/>
        <v>2680</v>
      </c>
      <c r="S27" s="36">
        <f t="shared" si="16"/>
        <v>2680</v>
      </c>
      <c r="T27" s="36">
        <f t="shared" si="16"/>
        <v>2680</v>
      </c>
      <c r="U27" s="36">
        <f t="shared" si="16"/>
        <v>2680</v>
      </c>
      <c r="V27" s="36">
        <f t="shared" si="16"/>
        <v>2232</v>
      </c>
      <c r="W27" s="36">
        <f t="shared" si="16"/>
        <v>2232</v>
      </c>
      <c r="X27" s="36">
        <f t="shared" si="16"/>
        <v>2232</v>
      </c>
      <c r="Y27" s="36">
        <f t="shared" si="16"/>
        <v>2232</v>
      </c>
      <c r="Z27" s="36">
        <f t="shared" si="16"/>
        <v>2632</v>
      </c>
      <c r="AA27" s="36">
        <f t="shared" si="16"/>
        <v>2632</v>
      </c>
      <c r="AB27" s="36">
        <f t="shared" si="16"/>
        <v>2632</v>
      </c>
      <c r="AC27" s="36">
        <f t="shared" si="16"/>
        <v>2632</v>
      </c>
      <c r="AD27" s="36">
        <f t="shared" si="16"/>
        <v>2632</v>
      </c>
      <c r="AE27" s="36">
        <f t="shared" si="16"/>
        <v>2632</v>
      </c>
      <c r="AF27" s="36">
        <f t="shared" si="16"/>
        <v>2632</v>
      </c>
      <c r="AG27" s="36">
        <f t="shared" si="16"/>
        <v>2632</v>
      </c>
      <c r="AH27" s="36">
        <f t="shared" si="16"/>
        <v>2632</v>
      </c>
      <c r="AI27" s="36">
        <f t="shared" si="16"/>
        <v>2632</v>
      </c>
      <c r="AJ27" s="36">
        <f t="shared" si="16"/>
        <v>2632</v>
      </c>
      <c r="AK27" s="36">
        <f t="shared" si="16"/>
        <v>2632</v>
      </c>
      <c r="AL27" s="36">
        <f t="shared" si="16"/>
        <v>2632</v>
      </c>
      <c r="AM27" s="36">
        <f t="shared" si="16"/>
        <v>2632</v>
      </c>
      <c r="AN27" s="36">
        <f t="shared" si="16"/>
        <v>2632</v>
      </c>
      <c r="AO27" s="36">
        <f t="shared" si="16"/>
        <v>2632</v>
      </c>
      <c r="AP27" s="36">
        <f t="shared" si="16"/>
        <v>2632</v>
      </c>
      <c r="AQ27" s="36">
        <f t="shared" si="16"/>
        <v>2632</v>
      </c>
      <c r="AR27" s="36">
        <f t="shared" si="16"/>
        <v>2632</v>
      </c>
      <c r="AS27" s="36">
        <f t="shared" si="16"/>
        <v>2632</v>
      </c>
      <c r="AT27" s="36">
        <f t="shared" si="16"/>
        <v>2632</v>
      </c>
      <c r="AU27" s="36">
        <f t="shared" si="16"/>
        <v>2632</v>
      </c>
      <c r="AV27" s="63">
        <f t="shared" si="16"/>
        <v>2632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22256</v>
      </c>
      <c r="E28" s="230">
        <f t="shared" si="17"/>
        <v>46532</v>
      </c>
      <c r="F28" s="230">
        <f t="shared" si="17"/>
        <v>41080</v>
      </c>
      <c r="G28" s="230">
        <f t="shared" si="17"/>
        <v>30612</v>
      </c>
      <c r="H28" s="230">
        <f t="shared" si="17"/>
        <v>52084</v>
      </c>
      <c r="I28" s="230">
        <f t="shared" si="17"/>
        <v>66296</v>
      </c>
      <c r="J28" s="230">
        <f t="shared" si="17"/>
        <v>30868</v>
      </c>
      <c r="K28" s="230">
        <f t="shared" si="17"/>
        <v>32468</v>
      </c>
      <c r="L28" s="230">
        <f t="shared" si="17"/>
        <v>14684</v>
      </c>
      <c r="M28" s="230">
        <f t="shared" si="17"/>
        <v>32336</v>
      </c>
      <c r="N28" s="230">
        <f t="shared" si="17"/>
        <v>32336</v>
      </c>
      <c r="O28" s="231">
        <f t="shared" si="17"/>
        <v>32336</v>
      </c>
      <c r="P28" s="288">
        <f t="shared" si="17"/>
        <v>32336</v>
      </c>
      <c r="Q28" s="84">
        <f t="shared" si="17"/>
        <v>32336</v>
      </c>
      <c r="R28" s="71">
        <f t="shared" si="17"/>
        <v>32336</v>
      </c>
      <c r="S28" s="71">
        <f t="shared" si="17"/>
        <v>9312</v>
      </c>
      <c r="T28" s="71">
        <f t="shared" si="17"/>
        <v>9312</v>
      </c>
      <c r="U28" s="71">
        <f t="shared" si="17"/>
        <v>20752</v>
      </c>
      <c r="V28" s="71">
        <f t="shared" si="17"/>
        <v>22000</v>
      </c>
      <c r="W28" s="71">
        <f t="shared" si="17"/>
        <v>22000</v>
      </c>
      <c r="X28" s="71">
        <f t="shared" si="17"/>
        <v>22000</v>
      </c>
      <c r="Y28" s="71">
        <f t="shared" si="17"/>
        <v>22000</v>
      </c>
      <c r="Z28" s="71">
        <f t="shared" si="17"/>
        <v>7472</v>
      </c>
      <c r="AA28" s="71">
        <f t="shared" si="17"/>
        <v>7472</v>
      </c>
      <c r="AB28" s="71">
        <f t="shared" si="17"/>
        <v>7472</v>
      </c>
      <c r="AC28" s="71">
        <f t="shared" si="17"/>
        <v>7472</v>
      </c>
      <c r="AD28" s="71">
        <f t="shared" si="17"/>
        <v>7472</v>
      </c>
      <c r="AE28" s="71">
        <f t="shared" si="17"/>
        <v>7472</v>
      </c>
      <c r="AF28" s="71">
        <f t="shared" si="17"/>
        <v>7472</v>
      </c>
      <c r="AG28" s="71">
        <f t="shared" si="17"/>
        <v>7472</v>
      </c>
      <c r="AH28" s="71">
        <f t="shared" si="17"/>
        <v>7472</v>
      </c>
      <c r="AI28" s="71">
        <f t="shared" si="17"/>
        <v>7472</v>
      </c>
      <c r="AJ28" s="71">
        <f t="shared" si="17"/>
        <v>7472</v>
      </c>
      <c r="AK28" s="71">
        <f t="shared" si="17"/>
        <v>7472</v>
      </c>
      <c r="AL28" s="71">
        <f t="shared" si="17"/>
        <v>7472</v>
      </c>
      <c r="AM28" s="71">
        <f t="shared" si="17"/>
        <v>7472</v>
      </c>
      <c r="AN28" s="71">
        <f t="shared" si="17"/>
        <v>7472</v>
      </c>
      <c r="AO28" s="71">
        <f t="shared" si="17"/>
        <v>7472</v>
      </c>
      <c r="AP28" s="71">
        <f t="shared" si="17"/>
        <v>7472</v>
      </c>
      <c r="AQ28" s="71">
        <f t="shared" si="17"/>
        <v>7472</v>
      </c>
      <c r="AR28" s="71">
        <f t="shared" si="17"/>
        <v>7472</v>
      </c>
      <c r="AS28" s="71">
        <f t="shared" si="17"/>
        <v>7472</v>
      </c>
      <c r="AT28" s="71">
        <f t="shared" si="17"/>
        <v>7472</v>
      </c>
      <c r="AU28" s="71">
        <f t="shared" si="17"/>
        <v>7472</v>
      </c>
      <c r="AV28" s="63">
        <f t="shared" si="17"/>
        <v>7472</v>
      </c>
    </row>
    <row r="29" ht="18.0" customHeight="1">
      <c r="A29" s="1"/>
      <c r="B29" s="1"/>
      <c r="C29" s="1"/>
      <c r="D29" s="27">
        <f t="shared" ref="D29:AV29" si="18">SUM(D24:D28)</f>
        <v>27553</v>
      </c>
      <c r="E29" s="27">
        <f t="shared" si="18"/>
        <v>54633</v>
      </c>
      <c r="F29" s="27">
        <f t="shared" si="18"/>
        <v>49351</v>
      </c>
      <c r="G29" s="27">
        <f t="shared" si="18"/>
        <v>42059</v>
      </c>
      <c r="H29" s="27">
        <f t="shared" si="18"/>
        <v>62019</v>
      </c>
      <c r="I29" s="27">
        <f t="shared" si="18"/>
        <v>75351</v>
      </c>
      <c r="J29" s="27">
        <f t="shared" si="18"/>
        <v>42591</v>
      </c>
      <c r="K29" s="27">
        <f t="shared" si="18"/>
        <v>43902</v>
      </c>
      <c r="L29" s="27">
        <f t="shared" si="18"/>
        <v>24919</v>
      </c>
      <c r="M29" s="27">
        <f t="shared" si="18"/>
        <v>42689</v>
      </c>
      <c r="N29" s="27">
        <f t="shared" si="18"/>
        <v>42689</v>
      </c>
      <c r="O29" s="27">
        <f t="shared" si="18"/>
        <v>42689</v>
      </c>
      <c r="P29" s="27">
        <f t="shared" si="18"/>
        <v>42689</v>
      </c>
      <c r="Q29" s="27">
        <f t="shared" si="18"/>
        <v>42689</v>
      </c>
      <c r="R29" s="27">
        <f t="shared" si="18"/>
        <v>42689</v>
      </c>
      <c r="S29" s="27">
        <f t="shared" si="18"/>
        <v>-385</v>
      </c>
      <c r="T29" s="27">
        <f t="shared" si="18"/>
        <v>-5625</v>
      </c>
      <c r="U29" s="27">
        <f t="shared" si="18"/>
        <v>4649</v>
      </c>
      <c r="V29" s="27">
        <f t="shared" si="18"/>
        <v>15005</v>
      </c>
      <c r="W29" s="27">
        <f t="shared" si="18"/>
        <v>27241</v>
      </c>
      <c r="X29" s="27">
        <f t="shared" si="18"/>
        <v>27241</v>
      </c>
      <c r="Y29" s="27">
        <f t="shared" si="18"/>
        <v>27241</v>
      </c>
      <c r="Z29" s="27">
        <f t="shared" si="18"/>
        <v>11777</v>
      </c>
      <c r="AA29" s="27">
        <f t="shared" si="18"/>
        <v>11777</v>
      </c>
      <c r="AB29" s="27">
        <f t="shared" si="18"/>
        <v>11777</v>
      </c>
      <c r="AC29" s="27">
        <f t="shared" si="18"/>
        <v>11777</v>
      </c>
      <c r="AD29" s="27">
        <f t="shared" si="18"/>
        <v>11777</v>
      </c>
      <c r="AE29" s="27">
        <f t="shared" si="18"/>
        <v>11777</v>
      </c>
      <c r="AF29" s="27">
        <f t="shared" si="18"/>
        <v>11777</v>
      </c>
      <c r="AG29" s="27">
        <f t="shared" si="18"/>
        <v>11777</v>
      </c>
      <c r="AH29" s="27">
        <f t="shared" si="18"/>
        <v>11777</v>
      </c>
      <c r="AI29" s="27">
        <f t="shared" si="18"/>
        <v>11777</v>
      </c>
      <c r="AJ29" s="27">
        <f t="shared" si="18"/>
        <v>11777</v>
      </c>
      <c r="AK29" s="27">
        <f t="shared" si="18"/>
        <v>11777</v>
      </c>
      <c r="AL29" s="27">
        <f t="shared" si="18"/>
        <v>11777</v>
      </c>
      <c r="AM29" s="27">
        <f t="shared" si="18"/>
        <v>11777</v>
      </c>
      <c r="AN29" s="27">
        <f t="shared" si="18"/>
        <v>11777</v>
      </c>
      <c r="AO29" s="27">
        <f t="shared" si="18"/>
        <v>11777</v>
      </c>
      <c r="AP29" s="27">
        <f t="shared" si="18"/>
        <v>11777</v>
      </c>
      <c r="AQ29" s="27">
        <f t="shared" si="18"/>
        <v>11777</v>
      </c>
      <c r="AR29" s="27">
        <f t="shared" si="18"/>
        <v>11777</v>
      </c>
      <c r="AS29" s="27">
        <f t="shared" si="18"/>
        <v>11777</v>
      </c>
      <c r="AT29" s="27">
        <f t="shared" si="18"/>
        <v>11777</v>
      </c>
      <c r="AU29" s="27">
        <f t="shared" si="18"/>
        <v>11777</v>
      </c>
      <c r="AV29" s="27">
        <f t="shared" si="18"/>
        <v>11777</v>
      </c>
    </row>
    <row r="30" ht="18.0" customHeight="1">
      <c r="A30" s="1"/>
      <c r="B30" s="1"/>
      <c r="C30" s="1"/>
      <c r="D30" s="1"/>
      <c r="E30" s="1"/>
      <c r="F30" s="1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58"/>
    </row>
    <row r="31" ht="18.0" customHeight="1">
      <c r="A31" s="93" t="s">
        <v>16</v>
      </c>
      <c r="B31" s="17" t="s">
        <v>7</v>
      </c>
      <c r="C31" s="94" t="s">
        <v>8</v>
      </c>
      <c r="D31" s="201">
        <v>19.0</v>
      </c>
      <c r="E31" s="171">
        <f t="shared" ref="E31:O31" si="19">ROUND(E24/200,0)</f>
        <v>19</v>
      </c>
      <c r="F31" s="171">
        <f t="shared" si="19"/>
        <v>28</v>
      </c>
      <c r="G31" s="171">
        <f t="shared" si="19"/>
        <v>25</v>
      </c>
      <c r="H31" s="171">
        <f t="shared" si="19"/>
        <v>22</v>
      </c>
      <c r="I31" s="171">
        <f t="shared" si="19"/>
        <v>28</v>
      </c>
      <c r="J31" s="171">
        <f t="shared" si="19"/>
        <v>27</v>
      </c>
      <c r="K31" s="171">
        <f t="shared" si="19"/>
        <v>27</v>
      </c>
      <c r="L31" s="171">
        <f t="shared" si="19"/>
        <v>22</v>
      </c>
      <c r="M31" s="171">
        <f t="shared" si="19"/>
        <v>23</v>
      </c>
      <c r="N31" s="171">
        <f t="shared" si="19"/>
        <v>23</v>
      </c>
      <c r="O31" s="171">
        <f t="shared" si="19"/>
        <v>23</v>
      </c>
      <c r="P31" s="201">
        <f t="shared" ref="P31:AV31" si="20">P24/200</f>
        <v>22.905</v>
      </c>
      <c r="Q31" s="201">
        <f t="shared" si="20"/>
        <v>22.905</v>
      </c>
      <c r="R31" s="171">
        <f t="shared" si="20"/>
        <v>22.905</v>
      </c>
      <c r="S31" s="171">
        <f t="shared" si="20"/>
        <v>27.745</v>
      </c>
      <c r="T31" s="171">
        <f t="shared" si="20"/>
        <v>27.745</v>
      </c>
      <c r="U31" s="171">
        <f t="shared" si="20"/>
        <v>12.345</v>
      </c>
      <c r="V31" s="171">
        <f t="shared" si="20"/>
        <v>26.345</v>
      </c>
      <c r="W31" s="171">
        <f t="shared" si="20"/>
        <v>26.345</v>
      </c>
      <c r="X31" s="171">
        <f t="shared" si="20"/>
        <v>26.345</v>
      </c>
      <c r="Y31" s="171">
        <f t="shared" si="20"/>
        <v>26.345</v>
      </c>
      <c r="Z31" s="171">
        <f t="shared" si="20"/>
        <v>33.705</v>
      </c>
      <c r="AA31" s="171">
        <f t="shared" si="20"/>
        <v>33.705</v>
      </c>
      <c r="AB31" s="171">
        <f t="shared" si="20"/>
        <v>33.705</v>
      </c>
      <c r="AC31" s="171">
        <f t="shared" si="20"/>
        <v>33.705</v>
      </c>
      <c r="AD31" s="171">
        <f t="shared" si="20"/>
        <v>33.705</v>
      </c>
      <c r="AE31" s="171">
        <f t="shared" si="20"/>
        <v>33.705</v>
      </c>
      <c r="AF31" s="171">
        <f t="shared" si="20"/>
        <v>33.705</v>
      </c>
      <c r="AG31" s="171">
        <f t="shared" si="20"/>
        <v>33.705</v>
      </c>
      <c r="AH31" s="171">
        <f t="shared" si="20"/>
        <v>33.705</v>
      </c>
      <c r="AI31" s="171">
        <f t="shared" si="20"/>
        <v>33.705</v>
      </c>
      <c r="AJ31" s="171">
        <f t="shared" si="20"/>
        <v>33.705</v>
      </c>
      <c r="AK31" s="171">
        <f t="shared" si="20"/>
        <v>33.705</v>
      </c>
      <c r="AL31" s="171">
        <f t="shared" si="20"/>
        <v>33.705</v>
      </c>
      <c r="AM31" s="171">
        <f t="shared" si="20"/>
        <v>33.705</v>
      </c>
      <c r="AN31" s="171">
        <f t="shared" si="20"/>
        <v>33.705</v>
      </c>
      <c r="AO31" s="171">
        <f t="shared" si="20"/>
        <v>33.705</v>
      </c>
      <c r="AP31" s="171">
        <f t="shared" si="20"/>
        <v>33.705</v>
      </c>
      <c r="AQ31" s="171">
        <f t="shared" si="20"/>
        <v>33.705</v>
      </c>
      <c r="AR31" s="171">
        <f t="shared" si="20"/>
        <v>33.705</v>
      </c>
      <c r="AS31" s="171">
        <f t="shared" si="20"/>
        <v>33.705</v>
      </c>
      <c r="AT31" s="171">
        <f t="shared" si="20"/>
        <v>33.705</v>
      </c>
      <c r="AU31" s="171">
        <f t="shared" si="20"/>
        <v>33.705</v>
      </c>
      <c r="AV31" s="201">
        <f t="shared" si="20"/>
        <v>33.705</v>
      </c>
    </row>
    <row r="32" ht="18.0" customHeight="1">
      <c r="A32" s="28"/>
      <c r="B32" s="29"/>
      <c r="C32" s="100" t="s">
        <v>9</v>
      </c>
      <c r="D32" s="176">
        <v>0.0</v>
      </c>
      <c r="E32" s="177">
        <f t="shared" ref="E32:AV32" si="21">E25/200</f>
        <v>0</v>
      </c>
      <c r="F32" s="177">
        <f t="shared" si="21"/>
        <v>-12.2</v>
      </c>
      <c r="G32" s="177">
        <f t="shared" si="21"/>
        <v>0</v>
      </c>
      <c r="H32" s="177">
        <f t="shared" si="21"/>
        <v>0</v>
      </c>
      <c r="I32" s="177">
        <f t="shared" si="21"/>
        <v>0</v>
      </c>
      <c r="J32" s="177">
        <f t="shared" si="21"/>
        <v>0</v>
      </c>
      <c r="K32" s="177">
        <f t="shared" si="21"/>
        <v>0</v>
      </c>
      <c r="L32" s="177">
        <f t="shared" si="21"/>
        <v>-9.94</v>
      </c>
      <c r="M32" s="177">
        <f t="shared" si="21"/>
        <v>0.06</v>
      </c>
      <c r="N32" s="177">
        <f t="shared" si="21"/>
        <v>0.06</v>
      </c>
      <c r="O32" s="177">
        <f t="shared" si="21"/>
        <v>0.06</v>
      </c>
      <c r="P32" s="176">
        <f t="shared" si="21"/>
        <v>0.06</v>
      </c>
      <c r="Q32" s="176">
        <f t="shared" si="21"/>
        <v>0.06</v>
      </c>
      <c r="R32" s="177">
        <f t="shared" si="21"/>
        <v>0.06</v>
      </c>
      <c r="S32" s="177">
        <f t="shared" si="21"/>
        <v>-105.03</v>
      </c>
      <c r="T32" s="177">
        <f t="shared" si="21"/>
        <v>-131.23</v>
      </c>
      <c r="U32" s="177">
        <f t="shared" si="21"/>
        <v>-121.66</v>
      </c>
      <c r="V32" s="177">
        <f t="shared" si="21"/>
        <v>-87.88</v>
      </c>
      <c r="W32" s="177">
        <f t="shared" si="21"/>
        <v>-26.6</v>
      </c>
      <c r="X32" s="177">
        <f t="shared" si="21"/>
        <v>-26.6</v>
      </c>
      <c r="Y32" s="177">
        <f t="shared" si="21"/>
        <v>-26.6</v>
      </c>
      <c r="Z32" s="177">
        <f t="shared" si="21"/>
        <v>-40.64</v>
      </c>
      <c r="AA32" s="177">
        <f t="shared" si="21"/>
        <v>-40.64</v>
      </c>
      <c r="AB32" s="177">
        <f t="shared" si="21"/>
        <v>-40.64</v>
      </c>
      <c r="AC32" s="177">
        <f t="shared" si="21"/>
        <v>-40.64</v>
      </c>
      <c r="AD32" s="177">
        <f t="shared" si="21"/>
        <v>-40.64</v>
      </c>
      <c r="AE32" s="177">
        <f t="shared" si="21"/>
        <v>-40.64</v>
      </c>
      <c r="AF32" s="177">
        <f t="shared" si="21"/>
        <v>-40.64</v>
      </c>
      <c r="AG32" s="177">
        <f t="shared" si="21"/>
        <v>-40.64</v>
      </c>
      <c r="AH32" s="177">
        <f t="shared" si="21"/>
        <v>-40.64</v>
      </c>
      <c r="AI32" s="177">
        <f t="shared" si="21"/>
        <v>-40.64</v>
      </c>
      <c r="AJ32" s="177">
        <f t="shared" si="21"/>
        <v>-40.64</v>
      </c>
      <c r="AK32" s="177">
        <f t="shared" si="21"/>
        <v>-40.64</v>
      </c>
      <c r="AL32" s="177">
        <f t="shared" si="21"/>
        <v>-40.64</v>
      </c>
      <c r="AM32" s="177">
        <f t="shared" si="21"/>
        <v>-40.64</v>
      </c>
      <c r="AN32" s="177">
        <f t="shared" si="21"/>
        <v>-40.64</v>
      </c>
      <c r="AO32" s="177">
        <f t="shared" si="21"/>
        <v>-40.64</v>
      </c>
      <c r="AP32" s="177">
        <f t="shared" si="21"/>
        <v>-40.64</v>
      </c>
      <c r="AQ32" s="177">
        <f t="shared" si="21"/>
        <v>-40.64</v>
      </c>
      <c r="AR32" s="177">
        <f t="shared" si="21"/>
        <v>-40.64</v>
      </c>
      <c r="AS32" s="177">
        <f t="shared" si="21"/>
        <v>-40.64</v>
      </c>
      <c r="AT32" s="177">
        <f t="shared" si="21"/>
        <v>-40.64</v>
      </c>
      <c r="AU32" s="177">
        <f t="shared" si="21"/>
        <v>-40.64</v>
      </c>
      <c r="AV32" s="176">
        <f t="shared" si="21"/>
        <v>-40.64</v>
      </c>
    </row>
    <row r="33" ht="18.0" customHeight="1">
      <c r="A33" s="28"/>
      <c r="B33" s="38" t="s">
        <v>10</v>
      </c>
      <c r="C33" s="106" t="s">
        <v>8</v>
      </c>
      <c r="D33" s="184">
        <v>13.0</v>
      </c>
      <c r="E33" s="185">
        <f t="shared" ref="E33:P33" si="22">ROUND(E26/200,0)</f>
        <v>12</v>
      </c>
      <c r="F33" s="185">
        <f t="shared" si="22"/>
        <v>16</v>
      </c>
      <c r="G33" s="185">
        <f t="shared" si="22"/>
        <v>16</v>
      </c>
      <c r="H33" s="185">
        <f t="shared" si="22"/>
        <v>15</v>
      </c>
      <c r="I33" s="185">
        <f t="shared" si="22"/>
        <v>13</v>
      </c>
      <c r="J33" s="185">
        <f t="shared" si="22"/>
        <v>16</v>
      </c>
      <c r="K33" s="185">
        <f t="shared" si="22"/>
        <v>15</v>
      </c>
      <c r="L33" s="185">
        <f t="shared" si="22"/>
        <v>24</v>
      </c>
      <c r="M33" s="185">
        <f t="shared" si="22"/>
        <v>15</v>
      </c>
      <c r="N33" s="185">
        <f t="shared" si="22"/>
        <v>15</v>
      </c>
      <c r="O33" s="185">
        <f t="shared" si="22"/>
        <v>15</v>
      </c>
      <c r="P33" s="184">
        <f t="shared" si="22"/>
        <v>15</v>
      </c>
      <c r="Q33" s="184">
        <f t="shared" ref="Q33:AV33" si="23">Q26/200</f>
        <v>15.4</v>
      </c>
      <c r="R33" s="185">
        <f t="shared" si="23"/>
        <v>15.4</v>
      </c>
      <c r="S33" s="185">
        <f t="shared" si="23"/>
        <v>15.4</v>
      </c>
      <c r="T33" s="185">
        <f t="shared" si="23"/>
        <v>15.4</v>
      </c>
      <c r="U33" s="185">
        <f t="shared" si="23"/>
        <v>15.4</v>
      </c>
      <c r="V33" s="185">
        <f t="shared" si="23"/>
        <v>15.4</v>
      </c>
      <c r="W33" s="185">
        <f t="shared" si="23"/>
        <v>15.3</v>
      </c>
      <c r="X33" s="185">
        <f t="shared" si="23"/>
        <v>15.3</v>
      </c>
      <c r="Y33" s="185">
        <f t="shared" si="23"/>
        <v>15.3</v>
      </c>
      <c r="Z33" s="185">
        <f t="shared" si="23"/>
        <v>15.3</v>
      </c>
      <c r="AA33" s="185">
        <f t="shared" si="23"/>
        <v>15.3</v>
      </c>
      <c r="AB33" s="185">
        <f t="shared" si="23"/>
        <v>15.3</v>
      </c>
      <c r="AC33" s="185">
        <f t="shared" si="23"/>
        <v>15.3</v>
      </c>
      <c r="AD33" s="185">
        <f t="shared" si="23"/>
        <v>15.3</v>
      </c>
      <c r="AE33" s="185">
        <f t="shared" si="23"/>
        <v>15.3</v>
      </c>
      <c r="AF33" s="185">
        <f t="shared" si="23"/>
        <v>15.3</v>
      </c>
      <c r="AG33" s="185">
        <f t="shared" si="23"/>
        <v>15.3</v>
      </c>
      <c r="AH33" s="185">
        <f t="shared" si="23"/>
        <v>15.3</v>
      </c>
      <c r="AI33" s="185">
        <f t="shared" si="23"/>
        <v>15.3</v>
      </c>
      <c r="AJ33" s="185">
        <f t="shared" si="23"/>
        <v>15.3</v>
      </c>
      <c r="AK33" s="185">
        <f t="shared" si="23"/>
        <v>15.3</v>
      </c>
      <c r="AL33" s="185">
        <f t="shared" si="23"/>
        <v>15.3</v>
      </c>
      <c r="AM33" s="185">
        <f t="shared" si="23"/>
        <v>15.3</v>
      </c>
      <c r="AN33" s="185">
        <f t="shared" si="23"/>
        <v>15.3</v>
      </c>
      <c r="AO33" s="185">
        <f t="shared" si="23"/>
        <v>15.3</v>
      </c>
      <c r="AP33" s="185">
        <f t="shared" si="23"/>
        <v>15.3</v>
      </c>
      <c r="AQ33" s="185">
        <f t="shared" si="23"/>
        <v>15.3</v>
      </c>
      <c r="AR33" s="185">
        <f t="shared" si="23"/>
        <v>15.3</v>
      </c>
      <c r="AS33" s="185">
        <f t="shared" si="23"/>
        <v>15.3</v>
      </c>
      <c r="AT33" s="185">
        <f t="shared" si="23"/>
        <v>15.3</v>
      </c>
      <c r="AU33" s="185">
        <f t="shared" si="23"/>
        <v>15.3</v>
      </c>
      <c r="AV33" s="184">
        <f t="shared" si="23"/>
        <v>15.3</v>
      </c>
    </row>
    <row r="34" ht="18.0" customHeight="1">
      <c r="A34" s="28"/>
      <c r="B34" s="29"/>
      <c r="C34" s="100" t="s">
        <v>9</v>
      </c>
      <c r="D34" s="176">
        <v>11.4</v>
      </c>
      <c r="E34" s="177">
        <f t="shared" ref="E34:AV34" si="24">E27/200</f>
        <v>9.8</v>
      </c>
      <c r="F34" s="177">
        <f t="shared" si="24"/>
        <v>9.8</v>
      </c>
      <c r="G34" s="177">
        <f t="shared" si="24"/>
        <v>16.1</v>
      </c>
      <c r="H34" s="177">
        <f t="shared" si="24"/>
        <v>12.9</v>
      </c>
      <c r="I34" s="177">
        <f t="shared" si="24"/>
        <v>4.9</v>
      </c>
      <c r="J34" s="177">
        <f t="shared" si="24"/>
        <v>15.5</v>
      </c>
      <c r="K34" s="177">
        <f t="shared" si="24"/>
        <v>14.9</v>
      </c>
      <c r="L34" s="177">
        <f t="shared" si="24"/>
        <v>14.5</v>
      </c>
      <c r="M34" s="177">
        <f t="shared" si="24"/>
        <v>13.4</v>
      </c>
      <c r="N34" s="177">
        <f t="shared" si="24"/>
        <v>13.4</v>
      </c>
      <c r="O34" s="177">
        <f t="shared" si="24"/>
        <v>13.4</v>
      </c>
      <c r="P34" s="176">
        <f t="shared" si="24"/>
        <v>13.4</v>
      </c>
      <c r="Q34" s="176">
        <f t="shared" si="24"/>
        <v>13.4</v>
      </c>
      <c r="R34" s="177">
        <f t="shared" si="24"/>
        <v>13.4</v>
      </c>
      <c r="S34" s="177">
        <f t="shared" si="24"/>
        <v>13.4</v>
      </c>
      <c r="T34" s="177">
        <f t="shared" si="24"/>
        <v>13.4</v>
      </c>
      <c r="U34" s="177">
        <f t="shared" si="24"/>
        <v>13.4</v>
      </c>
      <c r="V34" s="177">
        <f t="shared" si="24"/>
        <v>11.16</v>
      </c>
      <c r="W34" s="177">
        <f t="shared" si="24"/>
        <v>11.16</v>
      </c>
      <c r="X34" s="177">
        <f t="shared" si="24"/>
        <v>11.16</v>
      </c>
      <c r="Y34" s="177">
        <f t="shared" si="24"/>
        <v>11.16</v>
      </c>
      <c r="Z34" s="177">
        <f t="shared" si="24"/>
        <v>13.16</v>
      </c>
      <c r="AA34" s="177">
        <f t="shared" si="24"/>
        <v>13.16</v>
      </c>
      <c r="AB34" s="177">
        <f t="shared" si="24"/>
        <v>13.16</v>
      </c>
      <c r="AC34" s="177">
        <f t="shared" si="24"/>
        <v>13.16</v>
      </c>
      <c r="AD34" s="177">
        <f t="shared" si="24"/>
        <v>13.16</v>
      </c>
      <c r="AE34" s="177">
        <f t="shared" si="24"/>
        <v>13.16</v>
      </c>
      <c r="AF34" s="177">
        <f t="shared" si="24"/>
        <v>13.16</v>
      </c>
      <c r="AG34" s="177">
        <f t="shared" si="24"/>
        <v>13.16</v>
      </c>
      <c r="AH34" s="177">
        <f t="shared" si="24"/>
        <v>13.16</v>
      </c>
      <c r="AI34" s="177">
        <f t="shared" si="24"/>
        <v>13.16</v>
      </c>
      <c r="AJ34" s="177">
        <f t="shared" si="24"/>
        <v>13.16</v>
      </c>
      <c r="AK34" s="177">
        <f t="shared" si="24"/>
        <v>13.16</v>
      </c>
      <c r="AL34" s="177">
        <f t="shared" si="24"/>
        <v>13.16</v>
      </c>
      <c r="AM34" s="177">
        <f t="shared" si="24"/>
        <v>13.16</v>
      </c>
      <c r="AN34" s="177">
        <f t="shared" si="24"/>
        <v>13.16</v>
      </c>
      <c r="AO34" s="177">
        <f t="shared" si="24"/>
        <v>13.16</v>
      </c>
      <c r="AP34" s="177">
        <f t="shared" si="24"/>
        <v>13.16</v>
      </c>
      <c r="AQ34" s="177">
        <f t="shared" si="24"/>
        <v>13.16</v>
      </c>
      <c r="AR34" s="177">
        <f t="shared" si="24"/>
        <v>13.16</v>
      </c>
      <c r="AS34" s="177">
        <f t="shared" si="24"/>
        <v>13.16</v>
      </c>
      <c r="AT34" s="177">
        <f t="shared" si="24"/>
        <v>13.16</v>
      </c>
      <c r="AU34" s="177">
        <f t="shared" si="24"/>
        <v>13.16</v>
      </c>
      <c r="AV34" s="176">
        <f t="shared" si="24"/>
        <v>13.16</v>
      </c>
    </row>
    <row r="35" ht="18.0" customHeight="1">
      <c r="A35" s="29"/>
      <c r="B35" s="43" t="s">
        <v>11</v>
      </c>
      <c r="C35" s="43" t="s">
        <v>9</v>
      </c>
      <c r="D35" s="197">
        <v>211.88</v>
      </c>
      <c r="E35" s="198">
        <f t="shared" ref="E35:AV35" si="25">E28/200</f>
        <v>232.66</v>
      </c>
      <c r="F35" s="198">
        <f t="shared" si="25"/>
        <v>205.4</v>
      </c>
      <c r="G35" s="198">
        <f t="shared" si="25"/>
        <v>153.06</v>
      </c>
      <c r="H35" s="198">
        <f t="shared" si="25"/>
        <v>260.42</v>
      </c>
      <c r="I35" s="198">
        <f t="shared" si="25"/>
        <v>331.48</v>
      </c>
      <c r="J35" s="198">
        <f t="shared" si="25"/>
        <v>154.34</v>
      </c>
      <c r="K35" s="198">
        <f t="shared" si="25"/>
        <v>162.34</v>
      </c>
      <c r="L35" s="198">
        <f t="shared" si="25"/>
        <v>73.42</v>
      </c>
      <c r="M35" s="198">
        <f t="shared" si="25"/>
        <v>161.68</v>
      </c>
      <c r="N35" s="198">
        <f t="shared" si="25"/>
        <v>161.68</v>
      </c>
      <c r="O35" s="198">
        <f t="shared" si="25"/>
        <v>161.68</v>
      </c>
      <c r="P35" s="197">
        <f t="shared" si="25"/>
        <v>161.68</v>
      </c>
      <c r="Q35" s="197">
        <f t="shared" si="25"/>
        <v>161.68</v>
      </c>
      <c r="R35" s="198">
        <f t="shared" si="25"/>
        <v>161.68</v>
      </c>
      <c r="S35" s="198">
        <f t="shared" si="25"/>
        <v>46.56</v>
      </c>
      <c r="T35" s="198">
        <f t="shared" si="25"/>
        <v>46.56</v>
      </c>
      <c r="U35" s="198">
        <f t="shared" si="25"/>
        <v>103.76</v>
      </c>
      <c r="V35" s="198">
        <f t="shared" si="25"/>
        <v>110</v>
      </c>
      <c r="W35" s="198">
        <f t="shared" si="25"/>
        <v>110</v>
      </c>
      <c r="X35" s="198">
        <f t="shared" si="25"/>
        <v>110</v>
      </c>
      <c r="Y35" s="198">
        <f t="shared" si="25"/>
        <v>110</v>
      </c>
      <c r="Z35" s="198">
        <f t="shared" si="25"/>
        <v>37.36</v>
      </c>
      <c r="AA35" s="198">
        <f t="shared" si="25"/>
        <v>37.36</v>
      </c>
      <c r="AB35" s="198">
        <f t="shared" si="25"/>
        <v>37.36</v>
      </c>
      <c r="AC35" s="198">
        <f t="shared" si="25"/>
        <v>37.36</v>
      </c>
      <c r="AD35" s="198">
        <f t="shared" si="25"/>
        <v>37.36</v>
      </c>
      <c r="AE35" s="198">
        <f t="shared" si="25"/>
        <v>37.36</v>
      </c>
      <c r="AF35" s="198">
        <f t="shared" si="25"/>
        <v>37.36</v>
      </c>
      <c r="AG35" s="198">
        <f t="shared" si="25"/>
        <v>37.36</v>
      </c>
      <c r="AH35" s="198">
        <f t="shared" si="25"/>
        <v>37.36</v>
      </c>
      <c r="AI35" s="198">
        <f t="shared" si="25"/>
        <v>37.36</v>
      </c>
      <c r="AJ35" s="198">
        <f t="shared" si="25"/>
        <v>37.36</v>
      </c>
      <c r="AK35" s="198">
        <f t="shared" si="25"/>
        <v>37.36</v>
      </c>
      <c r="AL35" s="198">
        <f t="shared" si="25"/>
        <v>37.36</v>
      </c>
      <c r="AM35" s="198">
        <f t="shared" si="25"/>
        <v>37.36</v>
      </c>
      <c r="AN35" s="198">
        <f t="shared" si="25"/>
        <v>37.36</v>
      </c>
      <c r="AO35" s="198">
        <f t="shared" si="25"/>
        <v>37.36</v>
      </c>
      <c r="AP35" s="198">
        <f t="shared" si="25"/>
        <v>37.36</v>
      </c>
      <c r="AQ35" s="198">
        <f t="shared" si="25"/>
        <v>37.36</v>
      </c>
      <c r="AR35" s="198">
        <f t="shared" si="25"/>
        <v>37.36</v>
      </c>
      <c r="AS35" s="198">
        <f t="shared" si="25"/>
        <v>37.36</v>
      </c>
      <c r="AT35" s="198">
        <f t="shared" si="25"/>
        <v>37.36</v>
      </c>
      <c r="AU35" s="198">
        <f t="shared" si="25"/>
        <v>37.36</v>
      </c>
      <c r="AV35" s="197">
        <f t="shared" si="25"/>
        <v>37.36</v>
      </c>
    </row>
    <row r="36" ht="17.25" customHeight="1">
      <c r="A36" s="1"/>
      <c r="B36" s="1"/>
      <c r="C36" s="1"/>
      <c r="D36" s="1"/>
      <c r="E36" s="1"/>
      <c r="F36" s="1"/>
      <c r="Q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58"/>
    </row>
    <row r="37" ht="17.25" customHeight="1">
      <c r="A37" s="1"/>
      <c r="B37" s="1"/>
      <c r="C37" s="1"/>
      <c r="D37" s="1"/>
      <c r="E37" s="1"/>
      <c r="F37" s="1"/>
      <c r="Q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58"/>
    </row>
    <row r="38" ht="17.25" customHeight="1">
      <c r="A38" s="1"/>
      <c r="B38" s="1"/>
      <c r="C38" s="1"/>
      <c r="D38" s="1"/>
      <c r="E38" s="1"/>
      <c r="F38" s="1"/>
      <c r="Q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58"/>
    </row>
    <row r="39" ht="17.25" customHeight="1">
      <c r="A39" s="1"/>
      <c r="B39" s="1"/>
      <c r="C39" s="1"/>
      <c r="D39" s="1"/>
      <c r="E39" s="1"/>
      <c r="F39" s="1"/>
      <c r="Q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</row>
    <row r="40" ht="17.25" customHeight="1">
      <c r="A40" s="1"/>
      <c r="B40" s="1"/>
      <c r="C40" s="1"/>
      <c r="D40" s="1"/>
      <c r="E40" s="1"/>
      <c r="F40" s="1"/>
      <c r="Q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7.25" customHeight="1">
      <c r="A41" s="1"/>
      <c r="B41" s="1"/>
      <c r="C41" s="1"/>
      <c r="D41" s="1"/>
      <c r="E41" s="1"/>
      <c r="F41" s="1"/>
      <c r="Q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7.25" customHeight="1">
      <c r="A42" s="1"/>
      <c r="B42" s="1"/>
      <c r="C42" s="1"/>
      <c r="D42" s="1"/>
      <c r="E42" s="1"/>
      <c r="F42" s="1"/>
      <c r="Q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7.25" customHeight="1">
      <c r="A43" s="1"/>
      <c r="B43" s="1"/>
      <c r="C43" s="1"/>
      <c r="D43" s="1"/>
      <c r="E43" s="1"/>
      <c r="F43" s="1"/>
      <c r="Q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7.25" customHeight="1">
      <c r="A44" s="1"/>
      <c r="B44" s="1"/>
      <c r="C44" s="1"/>
      <c r="D44" s="1"/>
      <c r="E44" s="1"/>
      <c r="F44" s="1"/>
      <c r="Q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58"/>
    </row>
    <row r="45" ht="17.25" customHeight="1">
      <c r="A45" s="1"/>
      <c r="B45" s="1"/>
      <c r="C45" s="1"/>
      <c r="D45" s="1"/>
      <c r="E45" s="1"/>
      <c r="F45" s="1"/>
      <c r="Q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58"/>
    </row>
    <row r="46" ht="17.25" customHeight="1">
      <c r="A46" s="1"/>
      <c r="B46" s="1"/>
      <c r="C46" s="1"/>
      <c r="D46" s="1"/>
      <c r="E46" s="1"/>
      <c r="F46" s="1"/>
      <c r="Q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58"/>
    </row>
    <row r="47" ht="17.25" customHeight="1">
      <c r="A47" s="1"/>
      <c r="B47" s="1"/>
      <c r="C47" s="1"/>
      <c r="D47" s="1"/>
      <c r="E47" s="1"/>
      <c r="F47" s="1"/>
      <c r="Q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58"/>
    </row>
    <row r="48" ht="17.25" customHeight="1">
      <c r="A48" s="1"/>
      <c r="B48" s="1"/>
      <c r="C48" s="1"/>
      <c r="D48" s="1"/>
      <c r="E48" s="1"/>
      <c r="F48" s="1"/>
      <c r="Q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58"/>
    </row>
    <row r="49" ht="17.25" customHeight="1">
      <c r="A49" s="1"/>
      <c r="B49" s="1"/>
      <c r="C49" s="1"/>
      <c r="D49" s="1"/>
      <c r="E49" s="1"/>
      <c r="F49" s="1"/>
      <c r="Q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58"/>
    </row>
    <row r="50" ht="17.25" customHeight="1">
      <c r="A50" s="1"/>
      <c r="B50" s="1"/>
      <c r="C50" s="1"/>
      <c r="D50" s="1"/>
      <c r="E50" s="1"/>
      <c r="F50" s="1"/>
      <c r="Q50" s="27"/>
    </row>
    <row r="51" ht="17.25" customHeight="1">
      <c r="A51" s="1"/>
      <c r="B51" s="1"/>
      <c r="C51" s="1"/>
      <c r="D51" s="1"/>
      <c r="E51" s="1"/>
      <c r="F51" s="1"/>
      <c r="Q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58"/>
    </row>
    <row r="52" ht="17.25" customHeight="1">
      <c r="A52" s="1"/>
      <c r="B52" s="1"/>
      <c r="C52" s="1"/>
      <c r="D52" s="1"/>
      <c r="E52" s="1"/>
      <c r="F52" s="1"/>
      <c r="Q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58"/>
    </row>
    <row r="53" ht="17.25" customHeight="1">
      <c r="A53" s="1"/>
      <c r="B53" s="1"/>
      <c r="C53" s="1"/>
      <c r="D53" s="1"/>
      <c r="E53" s="1"/>
      <c r="F53" s="1"/>
      <c r="Q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58"/>
    </row>
    <row r="54" ht="17.25" customHeight="1">
      <c r="A54" s="1"/>
      <c r="B54" s="1"/>
      <c r="C54" s="1"/>
      <c r="D54" s="1"/>
      <c r="E54" s="1"/>
      <c r="F54" s="1"/>
      <c r="Q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58"/>
    </row>
    <row r="55" ht="17.25" customHeight="1">
      <c r="A55" s="1"/>
      <c r="B55" s="1"/>
      <c r="C55" s="1"/>
      <c r="D55" s="1"/>
      <c r="E55" s="1"/>
      <c r="F55" s="1"/>
      <c r="Q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58"/>
    </row>
    <row r="56" ht="17.25" customHeight="1">
      <c r="A56" s="1"/>
      <c r="B56" s="1"/>
      <c r="C56" s="1"/>
      <c r="D56" s="1"/>
      <c r="E56" s="1"/>
      <c r="F56" s="1"/>
      <c r="Q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58"/>
    </row>
    <row r="57" ht="17.25" customHeight="1">
      <c r="A57" s="1"/>
      <c r="B57" s="1"/>
      <c r="C57" s="1"/>
      <c r="D57" s="1"/>
      <c r="E57" s="1"/>
      <c r="F57" s="1"/>
      <c r="Q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58"/>
    </row>
    <row r="58" ht="17.25" customHeight="1">
      <c r="A58" s="1"/>
      <c r="B58" s="1"/>
      <c r="C58" s="1"/>
      <c r="D58" s="1"/>
      <c r="E58" s="1"/>
      <c r="F58" s="1"/>
      <c r="Q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58"/>
    </row>
    <row r="59" ht="17.25" customHeight="1">
      <c r="A59" s="1"/>
      <c r="B59" s="1"/>
      <c r="C59" s="1"/>
      <c r="D59" s="1"/>
      <c r="E59" s="1"/>
      <c r="F59" s="1"/>
      <c r="Q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58"/>
    </row>
    <row r="60" ht="17.25" customHeight="1">
      <c r="A60" s="1"/>
      <c r="B60" s="1"/>
      <c r="C60" s="1"/>
      <c r="D60" s="1"/>
      <c r="E60" s="1"/>
      <c r="F60" s="1"/>
      <c r="Q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58"/>
    </row>
    <row r="61" ht="17.25" customHeight="1">
      <c r="A61" s="1"/>
      <c r="B61" s="1"/>
      <c r="C61" s="1"/>
      <c r="D61" s="1"/>
      <c r="E61" s="1"/>
      <c r="F61" s="1"/>
      <c r="Q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58"/>
    </row>
    <row r="62" ht="17.25" customHeight="1">
      <c r="A62" s="1"/>
      <c r="B62" s="1"/>
      <c r="C62" s="1"/>
      <c r="D62" s="1"/>
      <c r="E62" s="1"/>
      <c r="F62" s="1"/>
      <c r="Q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58"/>
    </row>
    <row r="63" ht="17.25" customHeight="1">
      <c r="A63" s="1"/>
      <c r="B63" s="1"/>
      <c r="C63" s="1"/>
      <c r="D63" s="1"/>
      <c r="E63" s="1"/>
      <c r="F63" s="1"/>
      <c r="Q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58"/>
    </row>
    <row r="64" ht="17.25" customHeight="1">
      <c r="A64" s="1"/>
      <c r="B64" s="1"/>
      <c r="C64" s="1"/>
      <c r="D64" s="1"/>
      <c r="E64" s="1"/>
      <c r="F64" s="1"/>
      <c r="Q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58"/>
    </row>
    <row r="65" ht="17.25" customHeight="1">
      <c r="A65" s="1"/>
      <c r="B65" s="1"/>
      <c r="C65" s="1"/>
      <c r="D65" s="1"/>
      <c r="E65" s="1"/>
      <c r="F65" s="1"/>
      <c r="Q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58"/>
    </row>
    <row r="66" ht="17.25" customHeight="1">
      <c r="A66" s="1"/>
      <c r="B66" s="1"/>
      <c r="C66" s="1"/>
      <c r="D66" s="1"/>
      <c r="E66" s="1"/>
      <c r="F66" s="1"/>
      <c r="Q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58"/>
    </row>
    <row r="67" ht="17.25" customHeight="1">
      <c r="A67" s="1"/>
      <c r="B67" s="1"/>
      <c r="C67" s="1"/>
      <c r="D67" s="1"/>
      <c r="E67" s="1"/>
      <c r="F67" s="1"/>
      <c r="Q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58"/>
    </row>
    <row r="68" ht="17.25" customHeight="1">
      <c r="A68" s="1"/>
      <c r="B68" s="1"/>
      <c r="C68" s="1"/>
      <c r="D68" s="1"/>
      <c r="E68" s="1"/>
      <c r="F68" s="1"/>
      <c r="Q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58"/>
    </row>
    <row r="69" ht="17.25" customHeight="1">
      <c r="A69" s="1"/>
      <c r="B69" s="1"/>
      <c r="C69" s="1"/>
      <c r="D69" s="1"/>
      <c r="E69" s="1"/>
      <c r="F69" s="1"/>
      <c r="Q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58"/>
    </row>
    <row r="70" ht="17.25" customHeight="1">
      <c r="A70" s="1"/>
      <c r="B70" s="1"/>
      <c r="C70" s="1"/>
      <c r="D70" s="1"/>
      <c r="E70" s="1"/>
      <c r="F70" s="1"/>
      <c r="Q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58"/>
    </row>
    <row r="71" ht="17.25" customHeight="1">
      <c r="A71" s="1"/>
      <c r="B71" s="1"/>
      <c r="C71" s="1"/>
      <c r="D71" s="1"/>
      <c r="E71" s="1"/>
      <c r="F71" s="1"/>
      <c r="Q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58"/>
    </row>
    <row r="72" ht="17.25" customHeight="1">
      <c r="A72" s="1"/>
      <c r="B72" s="1"/>
      <c r="C72" s="1"/>
      <c r="D72" s="1"/>
      <c r="E72" s="1"/>
      <c r="F72" s="1"/>
      <c r="Q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58"/>
    </row>
    <row r="73" ht="17.25" customHeight="1">
      <c r="A73" s="1"/>
      <c r="B73" s="1"/>
      <c r="C73" s="1"/>
      <c r="D73" s="1"/>
      <c r="E73" s="1"/>
      <c r="F73" s="1"/>
      <c r="Q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58"/>
    </row>
    <row r="74" ht="17.25" customHeight="1">
      <c r="A74" s="1"/>
      <c r="B74" s="1"/>
      <c r="C74" s="1"/>
      <c r="D74" s="1"/>
      <c r="E74" s="1"/>
      <c r="F74" s="1"/>
      <c r="Q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58"/>
    </row>
    <row r="75" ht="17.25" customHeight="1">
      <c r="A75" s="1"/>
      <c r="B75" s="1"/>
      <c r="C75" s="1"/>
      <c r="D75" s="1"/>
      <c r="E75" s="1"/>
      <c r="F75" s="1"/>
      <c r="Q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58"/>
    </row>
    <row r="76" ht="17.25" customHeight="1">
      <c r="A76" s="1"/>
      <c r="B76" s="1"/>
      <c r="C76" s="1"/>
      <c r="D76" s="1"/>
      <c r="E76" s="1"/>
      <c r="F76" s="1"/>
      <c r="Q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58"/>
    </row>
    <row r="77" ht="17.25" customHeight="1">
      <c r="A77" s="1"/>
      <c r="B77" s="1"/>
      <c r="C77" s="1"/>
      <c r="D77" s="1"/>
      <c r="E77" s="1"/>
      <c r="F77" s="1"/>
      <c r="Q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58"/>
    </row>
    <row r="78" ht="17.25" customHeight="1">
      <c r="A78" s="1"/>
      <c r="B78" s="1"/>
      <c r="C78" s="1"/>
      <c r="D78" s="1"/>
      <c r="E78" s="1"/>
      <c r="F78" s="1"/>
      <c r="Q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58"/>
    </row>
    <row r="79" ht="17.25" customHeight="1">
      <c r="A79" s="1"/>
      <c r="B79" s="1"/>
      <c r="C79" s="1"/>
      <c r="D79" s="1"/>
      <c r="E79" s="1"/>
      <c r="F79" s="1"/>
      <c r="Q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58"/>
    </row>
    <row r="80" ht="17.25" customHeight="1">
      <c r="A80" s="1"/>
      <c r="B80" s="1"/>
      <c r="C80" s="1"/>
      <c r="D80" s="1"/>
      <c r="E80" s="1"/>
      <c r="F80" s="1"/>
      <c r="Q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58"/>
    </row>
    <row r="81" ht="17.25" customHeight="1">
      <c r="A81" s="1"/>
      <c r="B81" s="1"/>
      <c r="C81" s="1"/>
      <c r="D81" s="1"/>
      <c r="E81" s="1"/>
      <c r="F81" s="1"/>
      <c r="Q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58"/>
    </row>
    <row r="82" ht="17.25" customHeight="1">
      <c r="A82" s="1"/>
      <c r="B82" s="1"/>
      <c r="C82" s="1"/>
      <c r="D82" s="1"/>
      <c r="E82" s="1"/>
      <c r="F82" s="1"/>
      <c r="Q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58"/>
    </row>
    <row r="83" ht="17.25" customHeight="1">
      <c r="A83" s="1"/>
      <c r="B83" s="1"/>
      <c r="C83" s="1"/>
      <c r="D83" s="1"/>
      <c r="E83" s="1"/>
      <c r="F83" s="1"/>
      <c r="Q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58"/>
    </row>
    <row r="84" ht="17.25" customHeight="1">
      <c r="A84" s="1"/>
      <c r="B84" s="1"/>
      <c r="C84" s="1"/>
      <c r="D84" s="1"/>
      <c r="E84" s="1"/>
      <c r="F84" s="1"/>
      <c r="Q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58"/>
    </row>
    <row r="85" ht="17.25" customHeight="1">
      <c r="A85" s="1"/>
      <c r="B85" s="1"/>
      <c r="C85" s="1"/>
      <c r="D85" s="1"/>
      <c r="E85" s="1"/>
      <c r="F85" s="1"/>
      <c r="Q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58"/>
    </row>
    <row r="86" ht="17.25" customHeight="1">
      <c r="A86" s="1"/>
      <c r="B86" s="1"/>
      <c r="C86" s="1"/>
      <c r="D86" s="1"/>
      <c r="E86" s="1"/>
      <c r="F86" s="1"/>
      <c r="Q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58"/>
    </row>
    <row r="87" ht="17.25" customHeight="1">
      <c r="A87" s="1"/>
      <c r="B87" s="1"/>
      <c r="C87" s="1"/>
      <c r="D87" s="1"/>
      <c r="E87" s="1"/>
      <c r="F87" s="1"/>
      <c r="Q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58"/>
    </row>
    <row r="88" ht="17.25" customHeight="1">
      <c r="A88" s="1"/>
      <c r="B88" s="1"/>
      <c r="C88" s="1"/>
      <c r="D88" s="1"/>
      <c r="E88" s="1"/>
      <c r="F88" s="1"/>
      <c r="Q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58"/>
    </row>
    <row r="89" ht="17.25" customHeight="1">
      <c r="A89" s="1"/>
      <c r="B89" s="1"/>
      <c r="C89" s="1"/>
      <c r="D89" s="1"/>
      <c r="E89" s="1"/>
      <c r="F89" s="1"/>
      <c r="Q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58"/>
    </row>
    <row r="90" ht="17.25" customHeight="1">
      <c r="A90" s="1"/>
      <c r="B90" s="1"/>
      <c r="C90" s="1"/>
      <c r="D90" s="1"/>
      <c r="E90" s="1"/>
      <c r="F90" s="1"/>
      <c r="Q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58"/>
    </row>
    <row r="91" ht="17.25" customHeight="1">
      <c r="A91" s="1"/>
      <c r="B91" s="1"/>
      <c r="C91" s="1"/>
      <c r="D91" s="1"/>
      <c r="E91" s="1"/>
      <c r="F91" s="1"/>
      <c r="Q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58"/>
    </row>
    <row r="92" ht="17.25" customHeight="1">
      <c r="A92" s="1"/>
      <c r="B92" s="1"/>
      <c r="C92" s="1"/>
      <c r="D92" s="1"/>
      <c r="E92" s="1"/>
      <c r="F92" s="1"/>
      <c r="Q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58"/>
    </row>
    <row r="93" ht="17.25" customHeight="1">
      <c r="A93" s="1"/>
      <c r="B93" s="1"/>
      <c r="C93" s="1"/>
      <c r="D93" s="1"/>
      <c r="E93" s="1"/>
      <c r="F93" s="1"/>
      <c r="Q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58"/>
    </row>
    <row r="94" ht="17.25" customHeight="1">
      <c r="A94" s="1"/>
      <c r="B94" s="1"/>
      <c r="C94" s="1"/>
      <c r="D94" s="1"/>
      <c r="E94" s="1"/>
      <c r="F94" s="1"/>
      <c r="Q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58"/>
    </row>
    <row r="95" ht="17.25" customHeight="1">
      <c r="A95" s="1"/>
      <c r="B95" s="1"/>
      <c r="C95" s="1"/>
      <c r="D95" s="1"/>
      <c r="E95" s="1"/>
      <c r="F95" s="1"/>
      <c r="Q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58"/>
    </row>
    <row r="96" ht="17.25" customHeight="1">
      <c r="A96" s="1"/>
      <c r="B96" s="1"/>
      <c r="C96" s="1"/>
      <c r="D96" s="1"/>
      <c r="E96" s="1"/>
      <c r="F96" s="1"/>
      <c r="Q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58"/>
    </row>
    <row r="97" ht="17.25" customHeight="1">
      <c r="A97" s="1"/>
      <c r="B97" s="1"/>
      <c r="C97" s="1"/>
      <c r="D97" s="1"/>
      <c r="E97" s="1"/>
      <c r="F97" s="1"/>
      <c r="Q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58"/>
    </row>
    <row r="98" ht="17.25" customHeight="1">
      <c r="A98" s="1"/>
      <c r="B98" s="1"/>
      <c r="C98" s="1"/>
      <c r="D98" s="1"/>
      <c r="E98" s="1"/>
      <c r="F98" s="1"/>
      <c r="Q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58"/>
    </row>
    <row r="99" ht="17.25" customHeight="1">
      <c r="A99" s="1"/>
      <c r="B99" s="1"/>
      <c r="C99" s="1"/>
      <c r="D99" s="1"/>
      <c r="E99" s="1"/>
      <c r="F99" s="1"/>
      <c r="Q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58"/>
    </row>
    <row r="100" ht="17.25" customHeight="1">
      <c r="A100" s="1"/>
      <c r="B100" s="1"/>
      <c r="C100" s="1"/>
      <c r="D100" s="1"/>
      <c r="E100" s="1"/>
      <c r="F100" s="1"/>
      <c r="Q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58"/>
    </row>
    <row r="101" ht="17.25" customHeight="1">
      <c r="A101" s="1"/>
      <c r="B101" s="1"/>
      <c r="C101" s="1"/>
      <c r="D101" s="1"/>
      <c r="E101" s="1"/>
      <c r="F101" s="1"/>
      <c r="Q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58"/>
    </row>
    <row r="102" ht="17.25" customHeight="1">
      <c r="A102" s="1"/>
      <c r="B102" s="1"/>
      <c r="C102" s="1"/>
      <c r="D102" s="1"/>
      <c r="E102" s="1"/>
      <c r="F102" s="1"/>
      <c r="Q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58"/>
    </row>
    <row r="103" ht="17.25" customHeight="1">
      <c r="A103" s="1"/>
      <c r="B103" s="1"/>
      <c r="C103" s="1"/>
      <c r="D103" s="1"/>
      <c r="E103" s="1"/>
      <c r="F103" s="1"/>
      <c r="Q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58"/>
    </row>
    <row r="104" ht="17.25" customHeight="1">
      <c r="A104" s="1"/>
      <c r="B104" s="1"/>
      <c r="C104" s="1"/>
      <c r="D104" s="1"/>
      <c r="E104" s="1"/>
      <c r="F104" s="1"/>
      <c r="Q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58"/>
    </row>
    <row r="105" ht="17.25" customHeight="1">
      <c r="A105" s="1"/>
      <c r="B105" s="1"/>
      <c r="C105" s="1"/>
      <c r="D105" s="1"/>
      <c r="E105" s="1"/>
      <c r="F105" s="1"/>
      <c r="Q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58"/>
    </row>
    <row r="106" ht="17.25" customHeight="1">
      <c r="A106" s="1"/>
      <c r="B106" s="1"/>
      <c r="C106" s="1"/>
      <c r="D106" s="1"/>
      <c r="E106" s="1"/>
      <c r="F106" s="1"/>
      <c r="Q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58"/>
    </row>
    <row r="107" ht="17.25" customHeight="1">
      <c r="A107" s="1"/>
      <c r="B107" s="1"/>
      <c r="C107" s="1"/>
      <c r="D107" s="1"/>
      <c r="E107" s="1"/>
      <c r="F107" s="1"/>
      <c r="Q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58"/>
    </row>
    <row r="108" ht="17.25" customHeight="1">
      <c r="A108" s="1"/>
      <c r="B108" s="1"/>
      <c r="C108" s="1"/>
      <c r="D108" s="1"/>
      <c r="E108" s="1"/>
      <c r="F108" s="1"/>
      <c r="Q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58"/>
    </row>
    <row r="109" ht="17.25" customHeight="1">
      <c r="A109" s="1"/>
      <c r="B109" s="1"/>
      <c r="C109" s="1"/>
      <c r="D109" s="1"/>
      <c r="E109" s="1"/>
      <c r="F109" s="1"/>
      <c r="Q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58"/>
    </row>
    <row r="110" ht="17.25" customHeight="1">
      <c r="A110" s="1"/>
      <c r="B110" s="1"/>
      <c r="C110" s="1"/>
      <c r="D110" s="1"/>
      <c r="E110" s="1"/>
      <c r="F110" s="1"/>
      <c r="Q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58"/>
    </row>
    <row r="111" ht="17.25" customHeight="1">
      <c r="A111" s="1"/>
      <c r="B111" s="1"/>
      <c r="C111" s="1"/>
      <c r="D111" s="1"/>
      <c r="E111" s="1"/>
      <c r="F111" s="1"/>
      <c r="Q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58"/>
    </row>
    <row r="112" ht="17.25" customHeight="1">
      <c r="A112" s="1"/>
      <c r="B112" s="1"/>
      <c r="C112" s="1"/>
      <c r="D112" s="1"/>
      <c r="E112" s="1"/>
      <c r="F112" s="1"/>
      <c r="Q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58"/>
    </row>
    <row r="113" ht="17.25" customHeight="1">
      <c r="A113" s="1"/>
      <c r="B113" s="1"/>
      <c r="C113" s="1"/>
      <c r="D113" s="1"/>
      <c r="E113" s="1"/>
      <c r="F113" s="1"/>
      <c r="Q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58"/>
    </row>
    <row r="114" ht="17.25" customHeight="1">
      <c r="A114" s="1"/>
      <c r="B114" s="1"/>
      <c r="C114" s="1"/>
      <c r="D114" s="1"/>
      <c r="E114" s="1"/>
      <c r="F114" s="1"/>
      <c r="Q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58"/>
    </row>
    <row r="115" ht="17.25" customHeight="1">
      <c r="A115" s="1"/>
      <c r="B115" s="1"/>
      <c r="C115" s="1"/>
      <c r="D115" s="1"/>
      <c r="E115" s="1"/>
      <c r="F115" s="1"/>
      <c r="Q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58"/>
    </row>
    <row r="116" ht="17.25" customHeight="1">
      <c r="A116" s="1"/>
      <c r="B116" s="1"/>
      <c r="C116" s="1"/>
      <c r="D116" s="1"/>
      <c r="E116" s="1"/>
      <c r="F116" s="1"/>
      <c r="Q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58"/>
    </row>
    <row r="117" ht="17.25" customHeight="1">
      <c r="A117" s="1"/>
      <c r="B117" s="1"/>
      <c r="C117" s="1"/>
      <c r="D117" s="1"/>
      <c r="E117" s="1"/>
      <c r="F117" s="1"/>
      <c r="Q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58"/>
    </row>
    <row r="118" ht="17.25" customHeight="1">
      <c r="A118" s="1"/>
      <c r="B118" s="1"/>
      <c r="C118" s="1"/>
      <c r="D118" s="1"/>
      <c r="E118" s="1"/>
      <c r="F118" s="1"/>
      <c r="Q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58"/>
    </row>
    <row r="119" ht="17.25" customHeight="1">
      <c r="A119" s="1"/>
      <c r="B119" s="1"/>
      <c r="C119" s="1"/>
      <c r="D119" s="1"/>
      <c r="E119" s="1"/>
      <c r="F119" s="1"/>
      <c r="Q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58"/>
    </row>
    <row r="120" ht="17.25" customHeight="1">
      <c r="A120" s="1"/>
      <c r="B120" s="1"/>
      <c r="C120" s="1"/>
      <c r="D120" s="1"/>
      <c r="E120" s="1"/>
      <c r="F120" s="1"/>
      <c r="Q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58"/>
    </row>
    <row r="121" ht="17.25" customHeight="1">
      <c r="A121" s="1"/>
      <c r="B121" s="1"/>
      <c r="C121" s="1"/>
      <c r="D121" s="1"/>
      <c r="E121" s="1"/>
      <c r="F121" s="1"/>
      <c r="Q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58"/>
    </row>
    <row r="122" ht="17.25" customHeight="1">
      <c r="A122" s="1"/>
      <c r="B122" s="1"/>
      <c r="C122" s="1"/>
      <c r="D122" s="1"/>
      <c r="E122" s="1"/>
      <c r="F122" s="1"/>
      <c r="Q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58"/>
    </row>
    <row r="123" ht="17.25" customHeight="1">
      <c r="A123" s="1"/>
      <c r="B123" s="1"/>
      <c r="C123" s="1"/>
      <c r="D123" s="1"/>
      <c r="E123" s="1"/>
      <c r="F123" s="1"/>
      <c r="Q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58"/>
    </row>
    <row r="124" ht="17.25" customHeight="1">
      <c r="A124" s="1"/>
      <c r="B124" s="1"/>
      <c r="C124" s="1"/>
      <c r="D124" s="1"/>
      <c r="E124" s="1"/>
      <c r="F124" s="1"/>
      <c r="Q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58"/>
    </row>
    <row r="125" ht="17.25" customHeight="1">
      <c r="A125" s="1"/>
      <c r="B125" s="1"/>
      <c r="C125" s="1"/>
      <c r="D125" s="1"/>
      <c r="E125" s="1"/>
      <c r="F125" s="1"/>
      <c r="Q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58"/>
    </row>
    <row r="126" ht="17.25" customHeight="1">
      <c r="A126" s="1"/>
      <c r="B126" s="1"/>
      <c r="C126" s="1"/>
      <c r="D126" s="1"/>
      <c r="E126" s="1"/>
      <c r="F126" s="1"/>
      <c r="Q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58"/>
    </row>
    <row r="127" ht="17.25" customHeight="1">
      <c r="A127" s="1"/>
      <c r="B127" s="1"/>
      <c r="C127" s="1"/>
      <c r="D127" s="1"/>
      <c r="E127" s="1"/>
      <c r="F127" s="1"/>
      <c r="Q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58"/>
    </row>
    <row r="128" ht="17.25" customHeight="1">
      <c r="A128" s="1"/>
      <c r="B128" s="1"/>
      <c r="C128" s="1"/>
      <c r="D128" s="1"/>
      <c r="E128" s="1"/>
      <c r="F128" s="1"/>
      <c r="Q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58"/>
    </row>
    <row r="129" ht="17.25" customHeight="1">
      <c r="A129" s="1"/>
      <c r="B129" s="1"/>
      <c r="C129" s="1"/>
      <c r="D129" s="1"/>
      <c r="E129" s="1"/>
      <c r="F129" s="1"/>
      <c r="Q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58"/>
    </row>
    <row r="130" ht="17.25" customHeight="1">
      <c r="A130" s="1"/>
      <c r="B130" s="1"/>
      <c r="C130" s="1"/>
      <c r="D130" s="1"/>
      <c r="E130" s="1"/>
      <c r="F130" s="1"/>
      <c r="Q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58"/>
    </row>
    <row r="131" ht="17.25" customHeight="1">
      <c r="A131" s="1"/>
      <c r="B131" s="1"/>
      <c r="C131" s="1"/>
      <c r="D131" s="1"/>
      <c r="E131" s="1"/>
      <c r="F131" s="1"/>
      <c r="Q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58"/>
    </row>
    <row r="132" ht="17.25" customHeight="1">
      <c r="A132" s="1"/>
      <c r="B132" s="1"/>
      <c r="C132" s="1"/>
      <c r="D132" s="1"/>
      <c r="E132" s="1"/>
      <c r="F132" s="1"/>
      <c r="Q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58"/>
    </row>
    <row r="133" ht="17.25" customHeight="1">
      <c r="A133" s="1"/>
      <c r="B133" s="1"/>
      <c r="C133" s="1"/>
      <c r="D133" s="1"/>
      <c r="E133" s="1"/>
      <c r="F133" s="1"/>
      <c r="Q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58"/>
    </row>
    <row r="134" ht="17.25" customHeight="1">
      <c r="A134" s="1"/>
      <c r="B134" s="1"/>
      <c r="C134" s="1"/>
      <c r="D134" s="1"/>
      <c r="E134" s="1"/>
      <c r="F134" s="1"/>
      <c r="Q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58"/>
    </row>
    <row r="135" ht="17.25" customHeight="1">
      <c r="A135" s="1"/>
      <c r="B135" s="1"/>
      <c r="C135" s="1"/>
      <c r="D135" s="1"/>
      <c r="E135" s="1"/>
      <c r="F135" s="1"/>
      <c r="Q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58"/>
    </row>
    <row r="136" ht="17.25" customHeight="1">
      <c r="A136" s="1"/>
      <c r="B136" s="1"/>
      <c r="C136" s="1"/>
      <c r="D136" s="1"/>
      <c r="E136" s="1"/>
      <c r="F136" s="1"/>
      <c r="Q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58"/>
    </row>
    <row r="137" ht="17.25" customHeight="1">
      <c r="A137" s="1"/>
      <c r="B137" s="1"/>
      <c r="C137" s="1"/>
      <c r="D137" s="1"/>
      <c r="E137" s="1"/>
      <c r="F137" s="1"/>
      <c r="Q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58"/>
    </row>
    <row r="138" ht="17.25" customHeight="1">
      <c r="A138" s="1"/>
      <c r="B138" s="1"/>
      <c r="C138" s="1"/>
      <c r="D138" s="1"/>
      <c r="E138" s="1"/>
      <c r="F138" s="1"/>
      <c r="Q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58"/>
    </row>
    <row r="139" ht="17.25" customHeight="1">
      <c r="A139" s="1"/>
      <c r="B139" s="1"/>
      <c r="C139" s="1"/>
      <c r="D139" s="1"/>
      <c r="E139" s="1"/>
      <c r="F139" s="1"/>
      <c r="Q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58"/>
    </row>
    <row r="140" ht="17.25" customHeight="1">
      <c r="A140" s="1"/>
      <c r="B140" s="1"/>
      <c r="C140" s="1"/>
      <c r="D140" s="1"/>
      <c r="E140" s="1"/>
      <c r="F140" s="1"/>
      <c r="Q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58"/>
    </row>
    <row r="141" ht="17.25" customHeight="1">
      <c r="A141" s="1"/>
      <c r="B141" s="1"/>
      <c r="C141" s="1"/>
      <c r="D141" s="1"/>
      <c r="E141" s="1"/>
      <c r="F141" s="1"/>
      <c r="Q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58"/>
    </row>
    <row r="142" ht="17.25" customHeight="1">
      <c r="A142" s="1"/>
      <c r="B142" s="1"/>
      <c r="C142" s="1"/>
      <c r="D142" s="1"/>
      <c r="E142" s="1"/>
      <c r="F142" s="1"/>
      <c r="Q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58"/>
    </row>
    <row r="143" ht="17.25" customHeight="1">
      <c r="A143" s="1"/>
      <c r="B143" s="1"/>
      <c r="C143" s="1"/>
      <c r="D143" s="1"/>
      <c r="E143" s="1"/>
      <c r="F143" s="1"/>
      <c r="Q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58"/>
    </row>
    <row r="144" ht="17.25" customHeight="1">
      <c r="A144" s="1"/>
      <c r="B144" s="1"/>
      <c r="C144" s="1"/>
      <c r="D144" s="1"/>
      <c r="E144" s="1"/>
      <c r="F144" s="1"/>
      <c r="Q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58"/>
    </row>
    <row r="145" ht="17.25" customHeight="1">
      <c r="A145" s="1"/>
      <c r="B145" s="1"/>
      <c r="C145" s="1"/>
      <c r="D145" s="1"/>
      <c r="E145" s="1"/>
      <c r="F145" s="1"/>
      <c r="Q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58"/>
    </row>
    <row r="146" ht="17.25" customHeight="1">
      <c r="A146" s="1"/>
      <c r="B146" s="1"/>
      <c r="C146" s="1"/>
      <c r="D146" s="1"/>
      <c r="E146" s="1"/>
      <c r="F146" s="1"/>
      <c r="Q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58"/>
    </row>
    <row r="147" ht="17.25" customHeight="1">
      <c r="A147" s="1"/>
      <c r="B147" s="1"/>
      <c r="C147" s="1"/>
      <c r="D147" s="1"/>
      <c r="E147" s="1"/>
      <c r="F147" s="1"/>
      <c r="Q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58"/>
    </row>
    <row r="148" ht="17.25" customHeight="1">
      <c r="A148" s="1"/>
      <c r="B148" s="1"/>
      <c r="C148" s="1"/>
      <c r="D148" s="1"/>
      <c r="E148" s="1"/>
      <c r="F148" s="1"/>
      <c r="Q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58"/>
    </row>
    <row r="149" ht="17.25" customHeight="1">
      <c r="A149" s="1"/>
      <c r="B149" s="1"/>
      <c r="C149" s="1"/>
      <c r="D149" s="1"/>
      <c r="E149" s="1"/>
      <c r="F149" s="1"/>
      <c r="Q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58"/>
    </row>
    <row r="150" ht="17.25" customHeight="1">
      <c r="A150" s="1"/>
      <c r="B150" s="1"/>
      <c r="C150" s="1"/>
      <c r="D150" s="1"/>
      <c r="E150" s="1"/>
      <c r="F150" s="1"/>
      <c r="Q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58"/>
    </row>
    <row r="151" ht="17.25" customHeight="1">
      <c r="A151" s="1"/>
      <c r="B151" s="1"/>
      <c r="C151" s="1"/>
      <c r="D151" s="1"/>
      <c r="E151" s="1"/>
      <c r="F151" s="1"/>
      <c r="Q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58"/>
    </row>
    <row r="152" ht="17.25" customHeight="1">
      <c r="A152" s="1"/>
      <c r="B152" s="1"/>
      <c r="C152" s="1"/>
      <c r="D152" s="1"/>
      <c r="E152" s="1"/>
      <c r="F152" s="1"/>
      <c r="Q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58"/>
    </row>
    <row r="153" ht="17.25" customHeight="1">
      <c r="A153" s="1"/>
      <c r="B153" s="1"/>
      <c r="C153" s="1"/>
      <c r="D153" s="1"/>
      <c r="E153" s="1"/>
      <c r="F153" s="1"/>
      <c r="Q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58"/>
    </row>
    <row r="154" ht="17.25" customHeight="1">
      <c r="A154" s="1"/>
      <c r="B154" s="1"/>
      <c r="C154" s="1"/>
      <c r="D154" s="1"/>
      <c r="E154" s="1"/>
      <c r="F154" s="1"/>
      <c r="Q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58"/>
    </row>
    <row r="155" ht="17.25" customHeight="1">
      <c r="A155" s="1"/>
      <c r="B155" s="1"/>
      <c r="C155" s="1"/>
      <c r="D155" s="1"/>
      <c r="E155" s="1"/>
      <c r="F155" s="1"/>
      <c r="Q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58"/>
    </row>
    <row r="156" ht="17.25" customHeight="1">
      <c r="A156" s="1"/>
      <c r="B156" s="1"/>
      <c r="C156" s="1"/>
      <c r="D156" s="1"/>
      <c r="E156" s="1"/>
      <c r="F156" s="1"/>
      <c r="Q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58"/>
    </row>
    <row r="157" ht="17.25" customHeight="1">
      <c r="A157" s="1"/>
      <c r="B157" s="1"/>
      <c r="C157" s="1"/>
      <c r="D157" s="1"/>
      <c r="E157" s="1"/>
      <c r="F157" s="1"/>
      <c r="Q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58"/>
    </row>
    <row r="158" ht="17.25" customHeight="1">
      <c r="A158" s="1"/>
      <c r="B158" s="1"/>
      <c r="C158" s="1"/>
      <c r="D158" s="1"/>
      <c r="E158" s="1"/>
      <c r="F158" s="1"/>
      <c r="Q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58"/>
    </row>
    <row r="159" ht="17.25" customHeight="1">
      <c r="A159" s="1"/>
      <c r="B159" s="1"/>
      <c r="C159" s="1"/>
      <c r="D159" s="1"/>
      <c r="E159" s="1"/>
      <c r="F159" s="1"/>
      <c r="Q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58"/>
    </row>
    <row r="160" ht="17.25" customHeight="1">
      <c r="A160" s="1"/>
      <c r="B160" s="1"/>
      <c r="C160" s="1"/>
      <c r="D160" s="1"/>
      <c r="E160" s="1"/>
      <c r="F160" s="1"/>
      <c r="Q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58"/>
    </row>
    <row r="161" ht="17.25" customHeight="1">
      <c r="A161" s="1"/>
      <c r="B161" s="1"/>
      <c r="C161" s="1"/>
      <c r="D161" s="1"/>
      <c r="E161" s="1"/>
      <c r="F161" s="1"/>
      <c r="Q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58"/>
    </row>
    <row r="162" ht="17.25" customHeight="1">
      <c r="A162" s="1"/>
      <c r="B162" s="1"/>
      <c r="C162" s="1"/>
      <c r="D162" s="1"/>
      <c r="E162" s="1"/>
      <c r="F162" s="1"/>
      <c r="Q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58"/>
    </row>
    <row r="163" ht="17.25" customHeight="1">
      <c r="A163" s="1"/>
      <c r="B163" s="1"/>
      <c r="C163" s="1"/>
      <c r="D163" s="1"/>
      <c r="E163" s="1"/>
      <c r="F163" s="1"/>
      <c r="Q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58"/>
    </row>
    <row r="164" ht="17.25" customHeight="1">
      <c r="A164" s="1"/>
      <c r="B164" s="1"/>
      <c r="C164" s="1"/>
      <c r="D164" s="1"/>
      <c r="E164" s="1"/>
      <c r="F164" s="1"/>
      <c r="Q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58"/>
    </row>
    <row r="165" ht="17.25" customHeight="1">
      <c r="A165" s="1"/>
      <c r="B165" s="1"/>
      <c r="C165" s="1"/>
      <c r="D165" s="1"/>
      <c r="E165" s="1"/>
      <c r="F165" s="1"/>
      <c r="Q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58"/>
    </row>
    <row r="166" ht="17.25" customHeight="1">
      <c r="A166" s="1"/>
      <c r="B166" s="1"/>
      <c r="C166" s="1"/>
      <c r="D166" s="1"/>
      <c r="E166" s="1"/>
      <c r="F166" s="1"/>
      <c r="Q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58"/>
    </row>
    <row r="167" ht="17.25" customHeight="1">
      <c r="A167" s="1"/>
      <c r="B167" s="1"/>
      <c r="C167" s="1"/>
      <c r="D167" s="1"/>
      <c r="E167" s="1"/>
      <c r="F167" s="1"/>
      <c r="Q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58"/>
    </row>
    <row r="168" ht="17.25" customHeight="1">
      <c r="A168" s="1"/>
      <c r="B168" s="1"/>
      <c r="C168" s="1"/>
      <c r="D168" s="1"/>
      <c r="E168" s="1"/>
      <c r="F168" s="1"/>
      <c r="Q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58"/>
    </row>
    <row r="169" ht="17.25" customHeight="1">
      <c r="A169" s="1"/>
      <c r="B169" s="1"/>
      <c r="C169" s="1"/>
      <c r="D169" s="1"/>
      <c r="E169" s="1"/>
      <c r="F169" s="1"/>
      <c r="Q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58"/>
    </row>
    <row r="170" ht="17.25" customHeight="1">
      <c r="A170" s="1"/>
      <c r="B170" s="1"/>
      <c r="C170" s="1"/>
      <c r="D170" s="1"/>
      <c r="E170" s="1"/>
      <c r="F170" s="1"/>
      <c r="Q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58"/>
    </row>
    <row r="171" ht="17.25" customHeight="1">
      <c r="A171" s="1"/>
      <c r="B171" s="1"/>
      <c r="C171" s="1"/>
      <c r="D171" s="1"/>
      <c r="E171" s="1"/>
      <c r="F171" s="1"/>
      <c r="Q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58"/>
    </row>
    <row r="172" ht="17.25" customHeight="1">
      <c r="A172" s="1"/>
      <c r="B172" s="1"/>
      <c r="C172" s="1"/>
      <c r="D172" s="1"/>
      <c r="E172" s="1"/>
      <c r="F172" s="1"/>
      <c r="Q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58"/>
    </row>
    <row r="173" ht="17.25" customHeight="1">
      <c r="A173" s="1"/>
      <c r="B173" s="1"/>
      <c r="C173" s="1"/>
      <c r="D173" s="1"/>
      <c r="E173" s="1"/>
      <c r="F173" s="1"/>
      <c r="Q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58"/>
    </row>
    <row r="174" ht="17.25" customHeight="1">
      <c r="A174" s="1"/>
      <c r="B174" s="1"/>
      <c r="C174" s="1"/>
      <c r="D174" s="1"/>
      <c r="E174" s="1"/>
      <c r="F174" s="1"/>
      <c r="Q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58"/>
    </row>
    <row r="175" ht="17.25" customHeight="1">
      <c r="A175" s="1"/>
      <c r="B175" s="1"/>
      <c r="C175" s="1"/>
      <c r="D175" s="1"/>
      <c r="E175" s="1"/>
      <c r="F175" s="1"/>
      <c r="Q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58"/>
    </row>
    <row r="176" ht="17.25" customHeight="1">
      <c r="A176" s="1"/>
      <c r="B176" s="1"/>
      <c r="C176" s="1"/>
      <c r="D176" s="1"/>
      <c r="E176" s="1"/>
      <c r="F176" s="1"/>
      <c r="Q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58"/>
    </row>
    <row r="177" ht="17.25" customHeight="1">
      <c r="A177" s="1"/>
      <c r="B177" s="1"/>
      <c r="C177" s="1"/>
      <c r="D177" s="1"/>
      <c r="E177" s="1"/>
      <c r="F177" s="1"/>
      <c r="Q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58"/>
    </row>
    <row r="178" ht="17.25" customHeight="1">
      <c r="A178" s="1"/>
      <c r="B178" s="1"/>
      <c r="C178" s="1"/>
      <c r="D178" s="1"/>
      <c r="E178" s="1"/>
      <c r="F178" s="1"/>
      <c r="Q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58"/>
    </row>
    <row r="179" ht="17.25" customHeight="1">
      <c r="A179" s="1"/>
      <c r="B179" s="1"/>
      <c r="C179" s="1"/>
      <c r="D179" s="1"/>
      <c r="E179" s="1"/>
      <c r="F179" s="1"/>
      <c r="Q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58"/>
    </row>
    <row r="180" ht="17.25" customHeight="1">
      <c r="A180" s="1"/>
      <c r="B180" s="1"/>
      <c r="C180" s="1"/>
      <c r="D180" s="1"/>
      <c r="E180" s="1"/>
      <c r="F180" s="1"/>
      <c r="Q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58"/>
    </row>
    <row r="181" ht="17.25" customHeight="1">
      <c r="A181" s="1"/>
      <c r="B181" s="1"/>
      <c r="C181" s="1"/>
      <c r="D181" s="1"/>
      <c r="E181" s="1"/>
      <c r="F181" s="1"/>
      <c r="Q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58"/>
    </row>
    <row r="182" ht="17.25" customHeight="1">
      <c r="A182" s="1"/>
      <c r="B182" s="1"/>
      <c r="C182" s="1"/>
      <c r="D182" s="1"/>
      <c r="E182" s="1"/>
      <c r="F182" s="1"/>
      <c r="Q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58"/>
    </row>
    <row r="183" ht="17.25" customHeight="1">
      <c r="A183" s="1"/>
      <c r="B183" s="1"/>
      <c r="C183" s="1"/>
      <c r="D183" s="1"/>
      <c r="E183" s="1"/>
      <c r="F183" s="1"/>
      <c r="Q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58"/>
    </row>
    <row r="184" ht="17.25" customHeight="1">
      <c r="A184" s="1"/>
      <c r="B184" s="1"/>
      <c r="C184" s="1"/>
      <c r="D184" s="1"/>
      <c r="E184" s="1"/>
      <c r="F184" s="1"/>
      <c r="Q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58"/>
    </row>
    <row r="185" ht="17.25" customHeight="1">
      <c r="A185" s="1"/>
      <c r="B185" s="1"/>
      <c r="C185" s="1"/>
      <c r="D185" s="1"/>
      <c r="E185" s="1"/>
      <c r="F185" s="1"/>
      <c r="Q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58"/>
    </row>
    <row r="186" ht="17.25" customHeight="1">
      <c r="A186" s="1"/>
      <c r="B186" s="1"/>
      <c r="C186" s="1"/>
      <c r="D186" s="1"/>
      <c r="E186" s="1"/>
      <c r="F186" s="1"/>
      <c r="Q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58"/>
    </row>
    <row r="187" ht="17.25" customHeight="1">
      <c r="A187" s="1"/>
      <c r="B187" s="1"/>
      <c r="C187" s="1"/>
      <c r="D187" s="1"/>
      <c r="E187" s="1"/>
      <c r="F187" s="1"/>
      <c r="Q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58"/>
    </row>
    <row r="188" ht="17.25" customHeight="1">
      <c r="A188" s="1"/>
      <c r="B188" s="1"/>
      <c r="C188" s="1"/>
      <c r="D188" s="1"/>
      <c r="E188" s="1"/>
      <c r="F188" s="1"/>
      <c r="Q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58"/>
    </row>
    <row r="189" ht="17.25" customHeight="1">
      <c r="A189" s="1"/>
      <c r="B189" s="1"/>
      <c r="C189" s="1"/>
      <c r="D189" s="1"/>
      <c r="E189" s="1"/>
      <c r="F189" s="1"/>
      <c r="Q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58"/>
    </row>
    <row r="190" ht="17.25" customHeight="1">
      <c r="A190" s="1"/>
      <c r="B190" s="1"/>
      <c r="C190" s="1"/>
      <c r="D190" s="1"/>
      <c r="E190" s="1"/>
      <c r="F190" s="1"/>
      <c r="Q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58"/>
    </row>
    <row r="191" ht="17.25" customHeight="1">
      <c r="A191" s="1"/>
      <c r="B191" s="1"/>
      <c r="C191" s="1"/>
      <c r="D191" s="1"/>
      <c r="E191" s="1"/>
      <c r="F191" s="1"/>
      <c r="Q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58"/>
    </row>
    <row r="192" ht="17.25" customHeight="1">
      <c r="A192" s="1"/>
      <c r="B192" s="1"/>
      <c r="C192" s="1"/>
      <c r="D192" s="1"/>
      <c r="E192" s="1"/>
      <c r="F192" s="1"/>
      <c r="Q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58"/>
    </row>
    <row r="193" ht="17.25" customHeight="1">
      <c r="A193" s="1"/>
      <c r="B193" s="1"/>
      <c r="C193" s="1"/>
      <c r="D193" s="1"/>
      <c r="E193" s="1"/>
      <c r="F193" s="1"/>
      <c r="Q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58"/>
    </row>
    <row r="194" ht="17.25" customHeight="1">
      <c r="A194" s="1"/>
      <c r="B194" s="1"/>
      <c r="C194" s="1"/>
      <c r="D194" s="1"/>
      <c r="E194" s="1"/>
      <c r="F194" s="1"/>
      <c r="Q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58"/>
    </row>
    <row r="195" ht="17.25" customHeight="1">
      <c r="A195" s="1"/>
      <c r="B195" s="1"/>
      <c r="C195" s="1"/>
      <c r="D195" s="1"/>
      <c r="E195" s="1"/>
      <c r="F195" s="1"/>
      <c r="Q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58"/>
    </row>
    <row r="196" ht="17.25" customHeight="1">
      <c r="A196" s="1"/>
      <c r="B196" s="1"/>
      <c r="C196" s="1"/>
      <c r="D196" s="1"/>
      <c r="E196" s="1"/>
      <c r="F196" s="1"/>
      <c r="Q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58"/>
    </row>
    <row r="197" ht="17.25" customHeight="1">
      <c r="A197" s="1"/>
      <c r="B197" s="1"/>
      <c r="C197" s="1"/>
      <c r="D197" s="1"/>
      <c r="E197" s="1"/>
      <c r="F197" s="1"/>
      <c r="Q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58"/>
    </row>
    <row r="198" ht="17.25" customHeight="1">
      <c r="A198" s="1"/>
      <c r="B198" s="1"/>
      <c r="C198" s="1"/>
      <c r="D198" s="1"/>
      <c r="E198" s="1"/>
      <c r="F198" s="1"/>
      <c r="Q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58"/>
    </row>
    <row r="199" ht="17.25" customHeight="1">
      <c r="A199" s="1"/>
      <c r="B199" s="1"/>
      <c r="C199" s="1"/>
      <c r="D199" s="1"/>
      <c r="E199" s="1"/>
      <c r="F199" s="1"/>
      <c r="Q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58"/>
    </row>
    <row r="200" ht="17.25" customHeight="1">
      <c r="A200" s="1"/>
      <c r="B200" s="1"/>
      <c r="C200" s="1"/>
      <c r="D200" s="1"/>
      <c r="E200" s="1"/>
      <c r="F200" s="1"/>
      <c r="Q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58"/>
    </row>
    <row r="201" ht="17.25" customHeight="1">
      <c r="A201" s="1"/>
      <c r="B201" s="1"/>
      <c r="C201" s="1"/>
      <c r="D201" s="1"/>
      <c r="E201" s="1"/>
      <c r="F201" s="1"/>
      <c r="Q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58"/>
    </row>
    <row r="202" ht="17.25" customHeight="1">
      <c r="A202" s="1"/>
      <c r="B202" s="1"/>
      <c r="C202" s="1"/>
      <c r="D202" s="1"/>
      <c r="E202" s="1"/>
      <c r="F202" s="1"/>
      <c r="Q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58"/>
    </row>
    <row r="203" ht="17.25" customHeight="1">
      <c r="A203" s="1"/>
      <c r="B203" s="1"/>
      <c r="C203" s="1"/>
      <c r="D203" s="1"/>
      <c r="E203" s="1"/>
      <c r="F203" s="1"/>
      <c r="Q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58"/>
    </row>
    <row r="204" ht="17.25" customHeight="1">
      <c r="A204" s="1"/>
      <c r="B204" s="1"/>
      <c r="C204" s="1"/>
      <c r="D204" s="1"/>
      <c r="E204" s="1"/>
      <c r="F204" s="1"/>
      <c r="Q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58"/>
    </row>
    <row r="205" ht="17.25" customHeight="1">
      <c r="A205" s="1"/>
      <c r="B205" s="1"/>
      <c r="C205" s="1"/>
      <c r="D205" s="1"/>
      <c r="E205" s="1"/>
      <c r="F205" s="1"/>
      <c r="Q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58"/>
    </row>
    <row r="206" ht="17.25" customHeight="1">
      <c r="A206" s="1"/>
      <c r="B206" s="1"/>
      <c r="C206" s="1"/>
      <c r="D206" s="1"/>
      <c r="E206" s="1"/>
      <c r="F206" s="1"/>
      <c r="Q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58"/>
    </row>
    <row r="207" ht="17.25" customHeight="1">
      <c r="A207" s="1"/>
      <c r="B207" s="1"/>
      <c r="C207" s="1"/>
      <c r="D207" s="1"/>
      <c r="E207" s="1"/>
      <c r="F207" s="1"/>
      <c r="Q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58"/>
    </row>
    <row r="208" ht="17.25" customHeight="1">
      <c r="A208" s="1"/>
      <c r="B208" s="1"/>
      <c r="C208" s="1"/>
      <c r="D208" s="1"/>
      <c r="E208" s="1"/>
      <c r="F208" s="1"/>
      <c r="Q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58"/>
    </row>
    <row r="209" ht="17.25" customHeight="1">
      <c r="A209" s="1"/>
      <c r="B209" s="1"/>
      <c r="C209" s="1"/>
      <c r="D209" s="1"/>
      <c r="E209" s="1"/>
      <c r="F209" s="1"/>
      <c r="Q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58"/>
    </row>
    <row r="210" ht="17.25" customHeight="1">
      <c r="A210" s="1"/>
      <c r="B210" s="1"/>
      <c r="C210" s="1"/>
      <c r="D210" s="1"/>
      <c r="E210" s="1"/>
      <c r="F210" s="1"/>
      <c r="Q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58"/>
    </row>
    <row r="211" ht="17.25" customHeight="1">
      <c r="A211" s="1"/>
      <c r="B211" s="1"/>
      <c r="C211" s="1"/>
      <c r="D211" s="1"/>
      <c r="E211" s="1"/>
      <c r="F211" s="1"/>
      <c r="Q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58"/>
    </row>
    <row r="212" ht="17.25" customHeight="1">
      <c r="A212" s="1"/>
      <c r="B212" s="1"/>
      <c r="C212" s="1"/>
      <c r="D212" s="1"/>
      <c r="E212" s="1"/>
      <c r="F212" s="1"/>
      <c r="Q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58"/>
    </row>
    <row r="213" ht="17.25" customHeight="1">
      <c r="A213" s="1"/>
      <c r="B213" s="1"/>
      <c r="C213" s="1"/>
      <c r="D213" s="1"/>
      <c r="E213" s="1"/>
      <c r="F213" s="1"/>
      <c r="Q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58"/>
    </row>
    <row r="214" ht="17.25" customHeight="1">
      <c r="A214" s="1"/>
      <c r="B214" s="1"/>
      <c r="C214" s="1"/>
      <c r="D214" s="1"/>
      <c r="E214" s="1"/>
      <c r="F214" s="1"/>
      <c r="Q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58"/>
    </row>
    <row r="215" ht="17.25" customHeight="1">
      <c r="A215" s="1"/>
      <c r="B215" s="1"/>
      <c r="C215" s="1"/>
      <c r="D215" s="1"/>
      <c r="E215" s="1"/>
      <c r="F215" s="1"/>
      <c r="Q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58"/>
    </row>
    <row r="216" ht="17.25" customHeight="1">
      <c r="A216" s="1"/>
      <c r="B216" s="1"/>
      <c r="C216" s="1"/>
      <c r="D216" s="1"/>
      <c r="E216" s="1"/>
      <c r="F216" s="1"/>
      <c r="Q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58"/>
    </row>
    <row r="217" ht="17.25" customHeight="1">
      <c r="A217" s="1"/>
      <c r="B217" s="1"/>
      <c r="C217" s="1"/>
      <c r="D217" s="1"/>
      <c r="E217" s="1"/>
      <c r="F217" s="1"/>
      <c r="Q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58"/>
    </row>
    <row r="218" ht="17.25" customHeight="1">
      <c r="A218" s="1"/>
      <c r="B218" s="1"/>
      <c r="C218" s="1"/>
      <c r="D218" s="1"/>
      <c r="E218" s="1"/>
      <c r="F218" s="1"/>
      <c r="Q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58"/>
    </row>
    <row r="219" ht="17.25" customHeight="1">
      <c r="A219" s="1"/>
      <c r="B219" s="1"/>
      <c r="C219" s="1"/>
      <c r="D219" s="1"/>
      <c r="E219" s="1"/>
      <c r="F219" s="1"/>
      <c r="Q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58"/>
    </row>
    <row r="220" ht="17.25" customHeight="1">
      <c r="A220" s="1"/>
      <c r="B220" s="1"/>
      <c r="C220" s="1"/>
      <c r="D220" s="1"/>
      <c r="E220" s="1"/>
      <c r="F220" s="1"/>
      <c r="Q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58"/>
    </row>
    <row r="221" ht="17.25" customHeight="1">
      <c r="A221" s="1"/>
      <c r="B221" s="1"/>
      <c r="C221" s="1"/>
      <c r="D221" s="1"/>
      <c r="E221" s="1"/>
      <c r="F221" s="1"/>
      <c r="Q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58"/>
    </row>
    <row r="222" ht="17.25" customHeight="1">
      <c r="A222" s="1"/>
      <c r="B222" s="1"/>
      <c r="C222" s="1"/>
      <c r="D222" s="1"/>
      <c r="E222" s="1"/>
      <c r="F222" s="1"/>
      <c r="Q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58"/>
    </row>
    <row r="223" ht="17.25" customHeight="1">
      <c r="A223" s="1"/>
      <c r="B223" s="1"/>
      <c r="C223" s="1"/>
      <c r="D223" s="1"/>
      <c r="E223" s="1"/>
      <c r="F223" s="1"/>
      <c r="Q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58"/>
    </row>
    <row r="224" ht="17.25" customHeight="1">
      <c r="A224" s="1"/>
      <c r="B224" s="1"/>
      <c r="C224" s="1"/>
      <c r="D224" s="1"/>
      <c r="E224" s="1"/>
      <c r="F224" s="1"/>
      <c r="Q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58"/>
    </row>
    <row r="225" ht="17.25" customHeight="1">
      <c r="A225" s="1"/>
      <c r="B225" s="1"/>
      <c r="C225" s="1"/>
      <c r="D225" s="1"/>
      <c r="E225" s="1"/>
      <c r="F225" s="1"/>
      <c r="Q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58"/>
    </row>
    <row r="226" ht="17.25" customHeight="1">
      <c r="A226" s="1"/>
      <c r="B226" s="1"/>
      <c r="C226" s="1"/>
      <c r="D226" s="1"/>
      <c r="E226" s="1"/>
      <c r="F226" s="1"/>
      <c r="Q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58"/>
    </row>
    <row r="227" ht="17.25" customHeight="1">
      <c r="A227" s="1"/>
      <c r="B227" s="1"/>
      <c r="C227" s="1"/>
      <c r="D227" s="1"/>
      <c r="E227" s="1"/>
      <c r="F227" s="1"/>
      <c r="Q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58"/>
    </row>
    <row r="228" ht="17.25" customHeight="1">
      <c r="A228" s="1"/>
      <c r="B228" s="1"/>
      <c r="C228" s="1"/>
      <c r="D228" s="1"/>
      <c r="E228" s="1"/>
      <c r="F228" s="1"/>
      <c r="Q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58"/>
    </row>
    <row r="229" ht="17.25" customHeight="1">
      <c r="A229" s="1"/>
      <c r="B229" s="1"/>
      <c r="C229" s="1"/>
      <c r="D229" s="1"/>
      <c r="E229" s="1"/>
      <c r="F229" s="1"/>
      <c r="Q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58"/>
    </row>
    <row r="230" ht="17.25" customHeight="1">
      <c r="A230" s="1"/>
      <c r="B230" s="1"/>
      <c r="C230" s="1"/>
      <c r="D230" s="1"/>
      <c r="E230" s="1"/>
      <c r="F230" s="1"/>
      <c r="Q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58"/>
    </row>
    <row r="231" ht="17.25" customHeight="1">
      <c r="A231" s="1"/>
      <c r="B231" s="1"/>
      <c r="C231" s="1"/>
      <c r="D231" s="1"/>
      <c r="E231" s="1"/>
      <c r="F231" s="1"/>
      <c r="Q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58"/>
    </row>
    <row r="232" ht="17.25" customHeight="1">
      <c r="A232" s="1"/>
      <c r="B232" s="1"/>
      <c r="C232" s="1"/>
      <c r="D232" s="1"/>
      <c r="E232" s="1"/>
      <c r="F232" s="1"/>
      <c r="Q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58"/>
    </row>
    <row r="233" ht="17.25" customHeight="1">
      <c r="A233" s="1"/>
      <c r="B233" s="1"/>
      <c r="C233" s="1"/>
      <c r="D233" s="1"/>
      <c r="E233" s="1"/>
      <c r="F233" s="1"/>
      <c r="Q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58"/>
    </row>
    <row r="234" ht="17.25" customHeight="1">
      <c r="A234" s="1"/>
      <c r="B234" s="1"/>
      <c r="C234" s="1"/>
      <c r="D234" s="1"/>
      <c r="E234" s="1"/>
      <c r="F234" s="1"/>
      <c r="Q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58"/>
    </row>
    <row r="235" ht="17.25" customHeight="1">
      <c r="A235" s="1"/>
      <c r="B235" s="1"/>
      <c r="C235" s="1"/>
      <c r="D235" s="1"/>
      <c r="E235" s="1"/>
      <c r="F235" s="1"/>
      <c r="Q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58"/>
    </row>
    <row r="236" ht="17.25" customHeight="1">
      <c r="A236" s="1"/>
      <c r="B236" s="1"/>
      <c r="C236" s="1"/>
      <c r="D236" s="1"/>
      <c r="E236" s="1"/>
      <c r="F236" s="1"/>
      <c r="Q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58"/>
    </row>
    <row r="237" ht="17.25" customHeight="1">
      <c r="A237" s="1"/>
      <c r="B237" s="1"/>
      <c r="C237" s="1"/>
      <c r="D237" s="1"/>
      <c r="E237" s="1"/>
      <c r="F237" s="1"/>
      <c r="Q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58"/>
    </row>
    <row r="238" ht="17.25" customHeight="1">
      <c r="A238" s="1"/>
      <c r="B238" s="1"/>
      <c r="C238" s="1"/>
      <c r="D238" s="1"/>
      <c r="E238" s="1"/>
      <c r="F238" s="1"/>
      <c r="Q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58"/>
    </row>
    <row r="239" ht="17.25" customHeight="1">
      <c r="A239" s="1"/>
      <c r="B239" s="1"/>
      <c r="C239" s="1"/>
      <c r="D239" s="1"/>
      <c r="E239" s="1"/>
      <c r="F239" s="1"/>
      <c r="Q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58"/>
    </row>
    <row r="240" ht="17.25" customHeight="1">
      <c r="A240" s="1"/>
      <c r="B240" s="1"/>
      <c r="C240" s="1"/>
      <c r="D240" s="1"/>
      <c r="E240" s="1"/>
      <c r="F240" s="1"/>
      <c r="Q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58"/>
    </row>
    <row r="241" ht="17.25" customHeight="1">
      <c r="A241" s="1"/>
      <c r="B241" s="1"/>
      <c r="C241" s="1"/>
      <c r="D241" s="1"/>
      <c r="E241" s="1"/>
      <c r="F241" s="1"/>
      <c r="Q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58"/>
    </row>
    <row r="242" ht="17.25" customHeight="1">
      <c r="A242" s="1"/>
      <c r="B242" s="1"/>
      <c r="C242" s="1"/>
      <c r="D242" s="1"/>
      <c r="E242" s="1"/>
      <c r="F242" s="1"/>
      <c r="Q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58"/>
    </row>
    <row r="243" ht="17.25" customHeight="1">
      <c r="A243" s="1"/>
      <c r="B243" s="1"/>
      <c r="C243" s="1"/>
      <c r="D243" s="1"/>
      <c r="E243" s="1"/>
      <c r="F243" s="1"/>
      <c r="Q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58"/>
    </row>
    <row r="244" ht="17.25" customHeight="1">
      <c r="A244" s="1"/>
      <c r="B244" s="1"/>
      <c r="C244" s="1"/>
      <c r="D244" s="1"/>
      <c r="E244" s="1"/>
      <c r="F244" s="1"/>
      <c r="Q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58"/>
    </row>
    <row r="245" ht="17.25" customHeight="1">
      <c r="A245" s="1"/>
      <c r="B245" s="1"/>
      <c r="C245" s="1"/>
      <c r="D245" s="1"/>
      <c r="E245" s="1"/>
      <c r="F245" s="1"/>
      <c r="Q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58"/>
    </row>
    <row r="246" ht="17.25" customHeight="1">
      <c r="A246" s="1"/>
      <c r="B246" s="1"/>
      <c r="C246" s="1"/>
      <c r="D246" s="1"/>
      <c r="E246" s="1"/>
      <c r="F246" s="1"/>
      <c r="Q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58"/>
    </row>
    <row r="247" ht="17.25" customHeight="1">
      <c r="A247" s="1"/>
      <c r="B247" s="1"/>
      <c r="C247" s="1"/>
      <c r="D247" s="1"/>
      <c r="E247" s="1"/>
      <c r="F247" s="1"/>
      <c r="Q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58"/>
    </row>
    <row r="248" ht="17.25" customHeight="1">
      <c r="A248" s="1"/>
      <c r="B248" s="1"/>
      <c r="C248" s="1"/>
      <c r="D248" s="1"/>
      <c r="E248" s="1"/>
      <c r="F248" s="1"/>
      <c r="Q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58"/>
    </row>
    <row r="249" ht="17.25" customHeight="1">
      <c r="A249" s="1"/>
      <c r="B249" s="1"/>
      <c r="C249" s="1"/>
      <c r="D249" s="1"/>
      <c r="E249" s="1"/>
      <c r="F249" s="1"/>
      <c r="Q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58"/>
    </row>
    <row r="250" ht="17.25" customHeight="1">
      <c r="A250" s="1"/>
      <c r="B250" s="1"/>
      <c r="C250" s="1"/>
      <c r="D250" s="1"/>
      <c r="E250" s="1"/>
      <c r="F250" s="1"/>
      <c r="Q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58"/>
    </row>
    <row r="251" ht="17.25" customHeight="1">
      <c r="A251" s="1"/>
      <c r="B251" s="1"/>
      <c r="C251" s="1"/>
      <c r="D251" s="1"/>
      <c r="E251" s="1"/>
      <c r="F251" s="1"/>
      <c r="Q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58"/>
    </row>
    <row r="252" ht="17.25" customHeight="1">
      <c r="A252" s="1"/>
      <c r="B252" s="1"/>
      <c r="C252" s="1"/>
      <c r="D252" s="1"/>
      <c r="E252" s="1"/>
      <c r="F252" s="1"/>
      <c r="Q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58"/>
    </row>
    <row r="253" ht="17.25" customHeight="1">
      <c r="A253" s="1"/>
      <c r="B253" s="1"/>
      <c r="C253" s="1"/>
      <c r="D253" s="1"/>
      <c r="E253" s="1"/>
      <c r="F253" s="1"/>
      <c r="Q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58"/>
    </row>
    <row r="254" ht="17.25" customHeight="1">
      <c r="A254" s="1"/>
      <c r="B254" s="1"/>
      <c r="C254" s="1"/>
      <c r="D254" s="1"/>
      <c r="E254" s="1"/>
      <c r="F254" s="1"/>
      <c r="Q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58"/>
    </row>
    <row r="255" ht="17.25" customHeight="1">
      <c r="A255" s="1"/>
      <c r="B255" s="1"/>
      <c r="C255" s="1"/>
      <c r="D255" s="1"/>
      <c r="E255" s="1"/>
      <c r="F255" s="1"/>
      <c r="Q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58"/>
    </row>
    <row r="256" ht="17.25" customHeight="1">
      <c r="A256" s="1"/>
      <c r="B256" s="1"/>
      <c r="C256" s="1"/>
      <c r="D256" s="1"/>
      <c r="E256" s="1"/>
      <c r="F256" s="1"/>
      <c r="Q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58"/>
    </row>
    <row r="257" ht="17.25" customHeight="1">
      <c r="A257" s="1"/>
      <c r="B257" s="1"/>
      <c r="C257" s="1"/>
      <c r="D257" s="1"/>
      <c r="E257" s="1"/>
      <c r="F257" s="1"/>
      <c r="Q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58"/>
    </row>
    <row r="258" ht="17.25" customHeight="1">
      <c r="A258" s="1"/>
      <c r="B258" s="1"/>
      <c r="C258" s="1"/>
      <c r="D258" s="1"/>
      <c r="E258" s="1"/>
      <c r="F258" s="1"/>
      <c r="Q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58"/>
    </row>
    <row r="259" ht="17.25" customHeight="1">
      <c r="A259" s="1"/>
      <c r="B259" s="1"/>
      <c r="C259" s="1"/>
      <c r="D259" s="1"/>
      <c r="E259" s="1"/>
      <c r="F259" s="1"/>
      <c r="Q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58"/>
    </row>
    <row r="260" ht="17.25" customHeight="1">
      <c r="A260" s="1"/>
      <c r="B260" s="1"/>
      <c r="C260" s="1"/>
      <c r="D260" s="1"/>
      <c r="E260" s="1"/>
      <c r="F260" s="1"/>
      <c r="Q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58"/>
    </row>
    <row r="261" ht="17.25" customHeight="1">
      <c r="A261" s="1"/>
      <c r="B261" s="1"/>
      <c r="C261" s="1"/>
      <c r="D261" s="1"/>
      <c r="E261" s="1"/>
      <c r="F261" s="1"/>
      <c r="Q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58"/>
    </row>
    <row r="262" ht="17.25" customHeight="1">
      <c r="A262" s="1"/>
      <c r="B262" s="1"/>
      <c r="C262" s="1"/>
      <c r="D262" s="1"/>
      <c r="E262" s="1"/>
      <c r="F262" s="1"/>
      <c r="Q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58"/>
    </row>
    <row r="263" ht="17.25" customHeight="1">
      <c r="A263" s="1"/>
      <c r="B263" s="1"/>
      <c r="C263" s="1"/>
      <c r="D263" s="1"/>
      <c r="E263" s="1"/>
      <c r="F263" s="1"/>
      <c r="Q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58"/>
    </row>
    <row r="264" ht="17.25" customHeight="1">
      <c r="A264" s="1"/>
      <c r="B264" s="1"/>
      <c r="C264" s="1"/>
      <c r="D264" s="1"/>
      <c r="E264" s="1"/>
      <c r="F264" s="1"/>
      <c r="Q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58"/>
    </row>
    <row r="265" ht="17.25" customHeight="1">
      <c r="A265" s="1"/>
      <c r="B265" s="1"/>
      <c r="C265" s="1"/>
      <c r="D265" s="1"/>
      <c r="E265" s="1"/>
      <c r="F265" s="1"/>
      <c r="Q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58"/>
    </row>
    <row r="266" ht="17.25" customHeight="1">
      <c r="A266" s="1"/>
      <c r="B266" s="1"/>
      <c r="C266" s="1"/>
      <c r="D266" s="1"/>
      <c r="E266" s="1"/>
      <c r="F266" s="1"/>
      <c r="Q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58"/>
    </row>
    <row r="267" ht="17.25" customHeight="1">
      <c r="A267" s="1"/>
      <c r="B267" s="1"/>
      <c r="C267" s="1"/>
      <c r="D267" s="1"/>
      <c r="E267" s="1"/>
      <c r="F267" s="1"/>
      <c r="Q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58"/>
    </row>
    <row r="268" ht="17.25" customHeight="1">
      <c r="A268" s="1"/>
      <c r="B268" s="1"/>
      <c r="C268" s="1"/>
      <c r="D268" s="1"/>
      <c r="E268" s="1"/>
      <c r="F268" s="1"/>
      <c r="Q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58"/>
    </row>
    <row r="269" ht="17.25" customHeight="1">
      <c r="A269" s="1"/>
      <c r="B269" s="1"/>
      <c r="C269" s="1"/>
      <c r="D269" s="1"/>
      <c r="E269" s="1"/>
      <c r="F269" s="1"/>
      <c r="Q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58"/>
    </row>
    <row r="270" ht="17.25" customHeight="1">
      <c r="A270" s="1"/>
      <c r="B270" s="1"/>
      <c r="C270" s="1"/>
      <c r="D270" s="1"/>
      <c r="E270" s="1"/>
      <c r="F270" s="1"/>
      <c r="Q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58"/>
    </row>
    <row r="271" ht="17.25" customHeight="1">
      <c r="A271" s="1"/>
      <c r="B271" s="1"/>
      <c r="C271" s="1"/>
      <c r="D271" s="1"/>
      <c r="E271" s="1"/>
      <c r="F271" s="1"/>
      <c r="Q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58"/>
    </row>
    <row r="272" ht="17.25" customHeight="1">
      <c r="A272" s="1"/>
      <c r="B272" s="1"/>
      <c r="C272" s="1"/>
      <c r="D272" s="1"/>
      <c r="E272" s="1"/>
      <c r="F272" s="1"/>
      <c r="Q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58"/>
    </row>
    <row r="273" ht="17.25" customHeight="1">
      <c r="A273" s="1"/>
      <c r="B273" s="1"/>
      <c r="C273" s="1"/>
      <c r="D273" s="1"/>
      <c r="E273" s="1"/>
      <c r="F273" s="1"/>
      <c r="Q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58"/>
    </row>
    <row r="274" ht="17.25" customHeight="1">
      <c r="A274" s="1"/>
      <c r="B274" s="1"/>
      <c r="C274" s="1"/>
      <c r="D274" s="1"/>
      <c r="E274" s="1"/>
      <c r="F274" s="1"/>
      <c r="Q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58"/>
    </row>
    <row r="275" ht="17.25" customHeight="1">
      <c r="A275" s="1"/>
      <c r="B275" s="1"/>
      <c r="C275" s="1"/>
      <c r="D275" s="1"/>
      <c r="E275" s="1"/>
      <c r="F275" s="1"/>
      <c r="Q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58"/>
    </row>
    <row r="276" ht="17.25" customHeight="1">
      <c r="A276" s="1"/>
      <c r="B276" s="1"/>
      <c r="C276" s="1"/>
      <c r="D276" s="1"/>
      <c r="E276" s="1"/>
      <c r="F276" s="1"/>
      <c r="Q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58"/>
    </row>
    <row r="277" ht="17.25" customHeight="1">
      <c r="A277" s="1"/>
      <c r="B277" s="1"/>
      <c r="C277" s="1"/>
      <c r="D277" s="1"/>
      <c r="E277" s="1"/>
      <c r="F277" s="1"/>
      <c r="Q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58"/>
    </row>
    <row r="278" ht="17.25" customHeight="1">
      <c r="A278" s="1"/>
      <c r="B278" s="1"/>
      <c r="C278" s="1"/>
      <c r="D278" s="1"/>
      <c r="E278" s="1"/>
      <c r="F278" s="1"/>
      <c r="Q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58"/>
    </row>
    <row r="279" ht="17.25" customHeight="1">
      <c r="A279" s="1"/>
      <c r="B279" s="1"/>
      <c r="C279" s="1"/>
      <c r="D279" s="1"/>
      <c r="E279" s="1"/>
      <c r="F279" s="1"/>
      <c r="Q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58"/>
    </row>
    <row r="280" ht="17.25" customHeight="1">
      <c r="A280" s="1"/>
      <c r="B280" s="1"/>
      <c r="C280" s="1"/>
      <c r="D280" s="1"/>
      <c r="E280" s="1"/>
      <c r="F280" s="1"/>
      <c r="Q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58"/>
    </row>
    <row r="281" ht="17.25" customHeight="1">
      <c r="A281" s="1"/>
      <c r="B281" s="1"/>
      <c r="C281" s="1"/>
      <c r="D281" s="1"/>
      <c r="E281" s="1"/>
      <c r="F281" s="1"/>
      <c r="Q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58"/>
    </row>
    <row r="282" ht="17.25" customHeight="1">
      <c r="A282" s="1"/>
      <c r="B282" s="1"/>
      <c r="C282" s="1"/>
      <c r="D282" s="1"/>
      <c r="E282" s="1"/>
      <c r="F282" s="1"/>
      <c r="Q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58"/>
    </row>
    <row r="283" ht="17.25" customHeight="1">
      <c r="A283" s="1"/>
      <c r="B283" s="1"/>
      <c r="C283" s="1"/>
      <c r="D283" s="1"/>
      <c r="E283" s="1"/>
      <c r="F283" s="1"/>
      <c r="Q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58"/>
    </row>
    <row r="284" ht="17.25" customHeight="1">
      <c r="A284" s="1"/>
      <c r="B284" s="1"/>
      <c r="C284" s="1"/>
      <c r="D284" s="1"/>
      <c r="E284" s="1"/>
      <c r="F284" s="1"/>
      <c r="Q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58"/>
    </row>
    <row r="285" ht="17.25" customHeight="1">
      <c r="A285" s="1"/>
      <c r="B285" s="1"/>
      <c r="C285" s="1"/>
      <c r="D285" s="1"/>
      <c r="E285" s="1"/>
      <c r="F285" s="1"/>
      <c r="Q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58"/>
    </row>
    <row r="286" ht="17.25" customHeight="1">
      <c r="A286" s="1"/>
      <c r="B286" s="1"/>
      <c r="C286" s="1"/>
      <c r="D286" s="1"/>
      <c r="E286" s="1"/>
      <c r="F286" s="1"/>
      <c r="Q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58"/>
    </row>
    <row r="287" ht="17.25" customHeight="1">
      <c r="A287" s="1"/>
      <c r="B287" s="1"/>
      <c r="C287" s="1"/>
      <c r="D287" s="1"/>
      <c r="E287" s="1"/>
      <c r="F287" s="1"/>
      <c r="Q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58"/>
    </row>
    <row r="288" ht="17.25" customHeight="1">
      <c r="A288" s="1"/>
      <c r="B288" s="1"/>
      <c r="C288" s="1"/>
      <c r="D288" s="1"/>
      <c r="E288" s="1"/>
      <c r="F288" s="1"/>
      <c r="Q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58"/>
    </row>
    <row r="289" ht="17.25" customHeight="1">
      <c r="A289" s="1"/>
      <c r="B289" s="1"/>
      <c r="C289" s="1"/>
      <c r="D289" s="1"/>
      <c r="E289" s="1"/>
      <c r="F289" s="1"/>
      <c r="Q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58"/>
    </row>
    <row r="290" ht="17.25" customHeight="1">
      <c r="A290" s="1"/>
      <c r="B290" s="1"/>
      <c r="C290" s="1"/>
      <c r="D290" s="1"/>
      <c r="E290" s="1"/>
      <c r="F290" s="1"/>
      <c r="Q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58"/>
    </row>
    <row r="291" ht="17.25" customHeight="1">
      <c r="A291" s="1"/>
      <c r="B291" s="1"/>
      <c r="C291" s="1"/>
      <c r="D291" s="1"/>
      <c r="E291" s="1"/>
      <c r="F291" s="1"/>
      <c r="Q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58"/>
    </row>
    <row r="292" ht="17.25" customHeight="1">
      <c r="A292" s="1"/>
      <c r="B292" s="1"/>
      <c r="C292" s="1"/>
      <c r="D292" s="1"/>
      <c r="E292" s="1"/>
      <c r="F292" s="1"/>
      <c r="Q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58"/>
    </row>
    <row r="293" ht="17.25" customHeight="1">
      <c r="A293" s="1"/>
      <c r="B293" s="1"/>
      <c r="C293" s="1"/>
      <c r="D293" s="1"/>
      <c r="E293" s="1"/>
      <c r="F293" s="1"/>
      <c r="Q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58"/>
    </row>
    <row r="294" ht="17.25" customHeight="1">
      <c r="A294" s="1"/>
      <c r="B294" s="1"/>
      <c r="C294" s="1"/>
      <c r="D294" s="1"/>
      <c r="E294" s="1"/>
      <c r="F294" s="1"/>
      <c r="Q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58"/>
    </row>
    <row r="295" ht="17.25" customHeight="1">
      <c r="A295" s="1"/>
      <c r="B295" s="1"/>
      <c r="C295" s="1"/>
      <c r="D295" s="1"/>
      <c r="E295" s="1"/>
      <c r="F295" s="1"/>
      <c r="Q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58"/>
    </row>
    <row r="296" ht="17.25" customHeight="1">
      <c r="A296" s="1"/>
      <c r="B296" s="1"/>
      <c r="C296" s="1"/>
      <c r="D296" s="1"/>
      <c r="E296" s="1"/>
      <c r="F296" s="1"/>
      <c r="Q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58"/>
    </row>
    <row r="297" ht="17.25" customHeight="1">
      <c r="A297" s="1"/>
      <c r="B297" s="1"/>
      <c r="C297" s="1"/>
      <c r="D297" s="1"/>
      <c r="E297" s="1"/>
      <c r="F297" s="1"/>
      <c r="Q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58"/>
    </row>
    <row r="298" ht="17.25" customHeight="1">
      <c r="A298" s="1"/>
      <c r="B298" s="1"/>
      <c r="C298" s="1"/>
      <c r="D298" s="1"/>
      <c r="E298" s="1"/>
      <c r="F298" s="1"/>
      <c r="Q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58"/>
    </row>
    <row r="299" ht="17.25" customHeight="1">
      <c r="A299" s="1"/>
      <c r="B299" s="1"/>
      <c r="C299" s="1"/>
      <c r="D299" s="1"/>
      <c r="E299" s="1"/>
      <c r="F299" s="1"/>
      <c r="Q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58"/>
    </row>
    <row r="300" ht="17.25" customHeight="1">
      <c r="A300" s="1"/>
      <c r="B300" s="1"/>
      <c r="C300" s="1"/>
      <c r="D300" s="1"/>
      <c r="E300" s="1"/>
      <c r="F300" s="1"/>
      <c r="Q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58"/>
    </row>
    <row r="301" ht="17.25" customHeight="1">
      <c r="A301" s="1"/>
      <c r="B301" s="1"/>
      <c r="C301" s="1"/>
      <c r="D301" s="1"/>
      <c r="E301" s="1"/>
      <c r="F301" s="1"/>
      <c r="Q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58"/>
    </row>
    <row r="302" ht="17.25" customHeight="1">
      <c r="A302" s="1"/>
      <c r="B302" s="1"/>
      <c r="C302" s="1"/>
      <c r="D302" s="1"/>
      <c r="E302" s="1"/>
      <c r="F302" s="1"/>
      <c r="Q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58"/>
    </row>
    <row r="303" ht="17.25" customHeight="1">
      <c r="A303" s="1"/>
      <c r="B303" s="1"/>
      <c r="C303" s="1"/>
      <c r="D303" s="1"/>
      <c r="E303" s="1"/>
      <c r="F303" s="1"/>
      <c r="Q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58"/>
    </row>
    <row r="304" ht="17.25" customHeight="1">
      <c r="A304" s="1"/>
      <c r="B304" s="1"/>
      <c r="C304" s="1"/>
      <c r="D304" s="1"/>
      <c r="E304" s="1"/>
      <c r="F304" s="1"/>
      <c r="Q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58"/>
    </row>
    <row r="305" ht="17.25" customHeight="1">
      <c r="A305" s="1"/>
      <c r="B305" s="1"/>
      <c r="C305" s="1"/>
      <c r="D305" s="1"/>
      <c r="E305" s="1"/>
      <c r="F305" s="1"/>
      <c r="Q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58"/>
    </row>
    <row r="306" ht="17.25" customHeight="1">
      <c r="A306" s="1"/>
      <c r="B306" s="1"/>
      <c r="C306" s="1"/>
      <c r="D306" s="1"/>
      <c r="E306" s="1"/>
      <c r="F306" s="1"/>
      <c r="Q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58"/>
    </row>
    <row r="307" ht="17.25" customHeight="1">
      <c r="A307" s="1"/>
      <c r="B307" s="1"/>
      <c r="C307" s="1"/>
      <c r="D307" s="1"/>
      <c r="E307" s="1"/>
      <c r="F307" s="1"/>
      <c r="Q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58"/>
    </row>
    <row r="308" ht="17.25" customHeight="1">
      <c r="A308" s="1"/>
      <c r="B308" s="1"/>
      <c r="C308" s="1"/>
      <c r="D308" s="1"/>
      <c r="E308" s="1"/>
      <c r="F308" s="1"/>
      <c r="Q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58"/>
    </row>
    <row r="309" ht="17.25" customHeight="1">
      <c r="A309" s="1"/>
      <c r="B309" s="1"/>
      <c r="C309" s="1"/>
      <c r="D309" s="1"/>
      <c r="E309" s="1"/>
      <c r="F309" s="1"/>
      <c r="Q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58"/>
    </row>
    <row r="310" ht="17.25" customHeight="1">
      <c r="A310" s="1"/>
      <c r="B310" s="1"/>
      <c r="C310" s="1"/>
      <c r="D310" s="1"/>
      <c r="E310" s="1"/>
      <c r="F310" s="1"/>
      <c r="Q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58"/>
    </row>
    <row r="311" ht="17.25" customHeight="1">
      <c r="A311" s="1"/>
      <c r="B311" s="1"/>
      <c r="C311" s="1"/>
      <c r="D311" s="1"/>
      <c r="E311" s="1"/>
      <c r="F311" s="1"/>
      <c r="Q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58"/>
    </row>
    <row r="312" ht="17.25" customHeight="1">
      <c r="A312" s="1"/>
      <c r="B312" s="1"/>
      <c r="C312" s="1"/>
      <c r="D312" s="1"/>
      <c r="E312" s="1"/>
      <c r="F312" s="1"/>
      <c r="Q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58"/>
    </row>
    <row r="313" ht="17.25" customHeight="1">
      <c r="A313" s="1"/>
      <c r="B313" s="1"/>
      <c r="C313" s="1"/>
      <c r="D313" s="1"/>
      <c r="E313" s="1"/>
      <c r="F313" s="1"/>
      <c r="Q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58"/>
    </row>
    <row r="314" ht="17.25" customHeight="1">
      <c r="A314" s="1"/>
      <c r="B314" s="1"/>
      <c r="C314" s="1"/>
      <c r="D314" s="1"/>
      <c r="E314" s="1"/>
      <c r="F314" s="1"/>
      <c r="Q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58"/>
    </row>
    <row r="315" ht="17.25" customHeight="1">
      <c r="A315" s="1"/>
      <c r="B315" s="1"/>
      <c r="C315" s="1"/>
      <c r="D315" s="1"/>
      <c r="E315" s="1"/>
      <c r="F315" s="1"/>
      <c r="Q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58"/>
    </row>
    <row r="316" ht="17.25" customHeight="1">
      <c r="A316" s="1"/>
      <c r="B316" s="1"/>
      <c r="C316" s="1"/>
      <c r="D316" s="1"/>
      <c r="E316" s="1"/>
      <c r="F316" s="1"/>
      <c r="Q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58"/>
    </row>
    <row r="317" ht="17.25" customHeight="1">
      <c r="A317" s="1"/>
      <c r="B317" s="1"/>
      <c r="C317" s="1"/>
      <c r="D317" s="1"/>
      <c r="E317" s="1"/>
      <c r="F317" s="1"/>
      <c r="Q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58"/>
    </row>
    <row r="318" ht="17.25" customHeight="1">
      <c r="A318" s="1"/>
      <c r="B318" s="1"/>
      <c r="C318" s="1"/>
      <c r="D318" s="1"/>
      <c r="E318" s="1"/>
      <c r="F318" s="1"/>
      <c r="Q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58"/>
    </row>
    <row r="319" ht="17.25" customHeight="1">
      <c r="A319" s="1"/>
      <c r="B319" s="1"/>
      <c r="C319" s="1"/>
      <c r="D319" s="1"/>
      <c r="E319" s="1"/>
      <c r="F319" s="1"/>
      <c r="Q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58"/>
    </row>
    <row r="320" ht="17.25" customHeight="1">
      <c r="A320" s="1"/>
      <c r="B320" s="1"/>
      <c r="C320" s="1"/>
      <c r="D320" s="1"/>
      <c r="E320" s="1"/>
      <c r="F320" s="1"/>
      <c r="Q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58"/>
    </row>
    <row r="321" ht="17.25" customHeight="1">
      <c r="A321" s="1"/>
      <c r="B321" s="1"/>
      <c r="C321" s="1"/>
      <c r="D321" s="1"/>
      <c r="E321" s="1"/>
      <c r="F321" s="1"/>
      <c r="Q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58"/>
    </row>
    <row r="322" ht="17.25" customHeight="1">
      <c r="A322" s="1"/>
      <c r="B322" s="1"/>
      <c r="C322" s="1"/>
      <c r="D322" s="1"/>
      <c r="E322" s="1"/>
      <c r="F322" s="1"/>
      <c r="Q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58"/>
    </row>
    <row r="323" ht="17.25" customHeight="1">
      <c r="A323" s="1"/>
      <c r="B323" s="1"/>
      <c r="C323" s="1"/>
      <c r="D323" s="1"/>
      <c r="E323" s="1"/>
      <c r="F323" s="1"/>
      <c r="Q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58"/>
    </row>
    <row r="324" ht="17.25" customHeight="1">
      <c r="A324" s="1"/>
      <c r="B324" s="1"/>
      <c r="C324" s="1"/>
      <c r="D324" s="1"/>
      <c r="E324" s="1"/>
      <c r="F324" s="1"/>
      <c r="Q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58"/>
    </row>
    <row r="325" ht="17.25" customHeight="1">
      <c r="A325" s="1"/>
      <c r="B325" s="1"/>
      <c r="C325" s="1"/>
      <c r="D325" s="1"/>
      <c r="E325" s="1"/>
      <c r="F325" s="1"/>
      <c r="Q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58"/>
    </row>
    <row r="326" ht="17.25" customHeight="1">
      <c r="A326" s="1"/>
      <c r="B326" s="1"/>
      <c r="C326" s="1"/>
      <c r="D326" s="1"/>
      <c r="E326" s="1"/>
      <c r="F326" s="1"/>
      <c r="Q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58"/>
    </row>
    <row r="327" ht="17.25" customHeight="1">
      <c r="A327" s="1"/>
      <c r="B327" s="1"/>
      <c r="C327" s="1"/>
      <c r="D327" s="1"/>
      <c r="E327" s="1"/>
      <c r="F327" s="1"/>
      <c r="Q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58"/>
    </row>
    <row r="328" ht="17.25" customHeight="1">
      <c r="A328" s="1"/>
      <c r="B328" s="1"/>
      <c r="C328" s="1"/>
      <c r="D328" s="1"/>
      <c r="E328" s="1"/>
      <c r="F328" s="1"/>
      <c r="Q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58"/>
    </row>
    <row r="329" ht="17.25" customHeight="1">
      <c r="A329" s="1"/>
      <c r="B329" s="1"/>
      <c r="C329" s="1"/>
      <c r="D329" s="1"/>
      <c r="E329" s="1"/>
      <c r="F329" s="1"/>
      <c r="Q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58"/>
    </row>
    <row r="330" ht="17.25" customHeight="1">
      <c r="A330" s="1"/>
      <c r="B330" s="1"/>
      <c r="C330" s="1"/>
      <c r="D330" s="1"/>
      <c r="E330" s="1"/>
      <c r="F330" s="1"/>
      <c r="Q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58"/>
    </row>
    <row r="331" ht="17.25" customHeight="1">
      <c r="A331" s="1"/>
      <c r="B331" s="1"/>
      <c r="C331" s="1"/>
      <c r="D331" s="1"/>
      <c r="E331" s="1"/>
      <c r="F331" s="1"/>
      <c r="Q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58"/>
    </row>
    <row r="332" ht="17.25" customHeight="1">
      <c r="A332" s="1"/>
      <c r="B332" s="1"/>
      <c r="C332" s="1"/>
      <c r="D332" s="1"/>
      <c r="E332" s="1"/>
      <c r="F332" s="1"/>
      <c r="Q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58"/>
    </row>
    <row r="333" ht="17.25" customHeight="1">
      <c r="A333" s="1"/>
      <c r="B333" s="1"/>
      <c r="C333" s="1"/>
      <c r="D333" s="1"/>
      <c r="E333" s="1"/>
      <c r="F333" s="1"/>
      <c r="Q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58"/>
    </row>
    <row r="334" ht="17.25" customHeight="1">
      <c r="A334" s="1"/>
      <c r="B334" s="1"/>
      <c r="C334" s="1"/>
      <c r="D334" s="1"/>
      <c r="E334" s="1"/>
      <c r="F334" s="1"/>
      <c r="Q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58"/>
    </row>
    <row r="335" ht="17.25" customHeight="1">
      <c r="A335" s="1"/>
      <c r="B335" s="1"/>
      <c r="C335" s="1"/>
      <c r="D335" s="1"/>
      <c r="E335" s="1"/>
      <c r="F335" s="1"/>
      <c r="Q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58"/>
    </row>
    <row r="336" ht="17.25" customHeight="1">
      <c r="A336" s="1"/>
      <c r="B336" s="1"/>
      <c r="C336" s="1"/>
      <c r="D336" s="1"/>
      <c r="E336" s="1"/>
      <c r="F336" s="1"/>
      <c r="Q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58"/>
    </row>
    <row r="337" ht="17.25" customHeight="1">
      <c r="A337" s="1"/>
      <c r="B337" s="1"/>
      <c r="C337" s="1"/>
      <c r="D337" s="1"/>
      <c r="E337" s="1"/>
      <c r="F337" s="1"/>
      <c r="Q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58"/>
    </row>
    <row r="338" ht="17.25" customHeight="1">
      <c r="A338" s="1"/>
      <c r="B338" s="1"/>
      <c r="C338" s="1"/>
      <c r="D338" s="1"/>
      <c r="E338" s="1"/>
      <c r="F338" s="1"/>
      <c r="Q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58"/>
    </row>
    <row r="339" ht="17.25" customHeight="1">
      <c r="A339" s="1"/>
      <c r="B339" s="1"/>
      <c r="C339" s="1"/>
      <c r="D339" s="1"/>
      <c r="E339" s="1"/>
      <c r="F339" s="1"/>
      <c r="Q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58"/>
    </row>
    <row r="340" ht="17.25" customHeight="1">
      <c r="A340" s="1"/>
      <c r="B340" s="1"/>
      <c r="C340" s="1"/>
      <c r="D340" s="1"/>
      <c r="E340" s="1"/>
      <c r="F340" s="1"/>
      <c r="Q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58"/>
    </row>
    <row r="341" ht="17.25" customHeight="1">
      <c r="A341" s="1"/>
      <c r="B341" s="1"/>
      <c r="C341" s="1"/>
      <c r="D341" s="1"/>
      <c r="E341" s="1"/>
      <c r="F341" s="1"/>
      <c r="Q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58"/>
    </row>
    <row r="342" ht="17.25" customHeight="1">
      <c r="A342" s="1"/>
      <c r="B342" s="1"/>
      <c r="C342" s="1"/>
      <c r="D342" s="1"/>
      <c r="E342" s="1"/>
      <c r="F342" s="1"/>
      <c r="Q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58"/>
    </row>
    <row r="343" ht="17.25" customHeight="1">
      <c r="A343" s="1"/>
      <c r="B343" s="1"/>
      <c r="C343" s="1"/>
      <c r="D343" s="1"/>
      <c r="E343" s="1"/>
      <c r="F343" s="1"/>
      <c r="Q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58"/>
    </row>
    <row r="344" ht="17.25" customHeight="1">
      <c r="A344" s="1"/>
      <c r="B344" s="1"/>
      <c r="C344" s="1"/>
      <c r="D344" s="1"/>
      <c r="E344" s="1"/>
      <c r="F344" s="1"/>
      <c r="Q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58"/>
    </row>
    <row r="345" ht="17.25" customHeight="1">
      <c r="A345" s="1"/>
      <c r="B345" s="1"/>
      <c r="C345" s="1"/>
      <c r="D345" s="1"/>
      <c r="E345" s="1"/>
      <c r="F345" s="1"/>
      <c r="Q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58"/>
    </row>
    <row r="346" ht="17.25" customHeight="1">
      <c r="A346" s="1"/>
      <c r="B346" s="1"/>
      <c r="C346" s="1"/>
      <c r="D346" s="1"/>
      <c r="E346" s="1"/>
      <c r="F346" s="1"/>
      <c r="Q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58"/>
    </row>
    <row r="347" ht="17.25" customHeight="1">
      <c r="A347" s="1"/>
      <c r="B347" s="1"/>
      <c r="C347" s="1"/>
      <c r="D347" s="1"/>
      <c r="E347" s="1"/>
      <c r="F347" s="1"/>
      <c r="Q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58"/>
    </row>
    <row r="348" ht="17.25" customHeight="1">
      <c r="A348" s="1"/>
      <c r="B348" s="1"/>
      <c r="C348" s="1"/>
      <c r="D348" s="1"/>
      <c r="E348" s="1"/>
      <c r="F348" s="1"/>
      <c r="Q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58"/>
    </row>
    <row r="349" ht="17.25" customHeight="1">
      <c r="A349" s="1"/>
      <c r="B349" s="1"/>
      <c r="C349" s="1"/>
      <c r="D349" s="1"/>
      <c r="E349" s="1"/>
      <c r="F349" s="1"/>
      <c r="Q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58"/>
    </row>
    <row r="350" ht="17.25" customHeight="1">
      <c r="A350" s="1"/>
      <c r="B350" s="1"/>
      <c r="C350" s="1"/>
      <c r="D350" s="1"/>
      <c r="E350" s="1"/>
      <c r="F350" s="1"/>
      <c r="Q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58"/>
    </row>
    <row r="351" ht="17.25" customHeight="1">
      <c r="A351" s="1"/>
      <c r="B351" s="1"/>
      <c r="C351" s="1"/>
      <c r="D351" s="1"/>
      <c r="E351" s="1"/>
      <c r="F351" s="1"/>
      <c r="Q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58"/>
    </row>
    <row r="352" ht="17.25" customHeight="1">
      <c r="A352" s="1"/>
      <c r="B352" s="1"/>
      <c r="C352" s="1"/>
      <c r="D352" s="1"/>
      <c r="E352" s="1"/>
      <c r="F352" s="1"/>
      <c r="Q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58"/>
    </row>
    <row r="353" ht="17.25" customHeight="1">
      <c r="A353" s="1"/>
      <c r="B353" s="1"/>
      <c r="C353" s="1"/>
      <c r="D353" s="1"/>
      <c r="E353" s="1"/>
      <c r="F353" s="1"/>
      <c r="Q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58"/>
    </row>
    <row r="354" ht="17.25" customHeight="1">
      <c r="A354" s="1"/>
      <c r="B354" s="1"/>
      <c r="C354" s="1"/>
      <c r="D354" s="1"/>
      <c r="E354" s="1"/>
      <c r="F354" s="1"/>
      <c r="Q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58"/>
    </row>
    <row r="355" ht="17.25" customHeight="1">
      <c r="A355" s="1"/>
      <c r="B355" s="1"/>
      <c r="C355" s="1"/>
      <c r="D355" s="1"/>
      <c r="E355" s="1"/>
      <c r="F355" s="1"/>
      <c r="Q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58"/>
    </row>
    <row r="356" ht="17.25" customHeight="1">
      <c r="A356" s="1"/>
      <c r="B356" s="1"/>
      <c r="C356" s="1"/>
      <c r="D356" s="1"/>
      <c r="E356" s="1"/>
      <c r="F356" s="1"/>
      <c r="Q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58"/>
    </row>
    <row r="357" ht="17.25" customHeight="1">
      <c r="A357" s="1"/>
      <c r="B357" s="1"/>
      <c r="C357" s="1"/>
      <c r="D357" s="1"/>
      <c r="E357" s="1"/>
      <c r="F357" s="1"/>
      <c r="Q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58"/>
    </row>
    <row r="358" ht="17.25" customHeight="1">
      <c r="A358" s="1"/>
      <c r="B358" s="1"/>
      <c r="C358" s="1"/>
      <c r="D358" s="1"/>
      <c r="E358" s="1"/>
      <c r="F358" s="1"/>
      <c r="Q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58"/>
    </row>
    <row r="359" ht="17.25" customHeight="1">
      <c r="A359" s="1"/>
      <c r="B359" s="1"/>
      <c r="C359" s="1"/>
      <c r="D359" s="1"/>
      <c r="E359" s="1"/>
      <c r="F359" s="1"/>
      <c r="Q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58"/>
    </row>
    <row r="360" ht="17.25" customHeight="1">
      <c r="A360" s="1"/>
      <c r="B360" s="1"/>
      <c r="C360" s="1"/>
      <c r="D360" s="1"/>
      <c r="E360" s="1"/>
      <c r="F360" s="1"/>
      <c r="Q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58"/>
    </row>
    <row r="361" ht="17.25" customHeight="1">
      <c r="A361" s="1"/>
      <c r="B361" s="1"/>
      <c r="C361" s="1"/>
      <c r="D361" s="1"/>
      <c r="E361" s="1"/>
      <c r="F361" s="1"/>
      <c r="Q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58"/>
    </row>
    <row r="362" ht="17.25" customHeight="1">
      <c r="A362" s="1"/>
      <c r="B362" s="1"/>
      <c r="C362" s="1"/>
      <c r="D362" s="1"/>
      <c r="E362" s="1"/>
      <c r="F362" s="1"/>
      <c r="Q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58"/>
    </row>
    <row r="363" ht="17.25" customHeight="1">
      <c r="A363" s="1"/>
      <c r="B363" s="1"/>
      <c r="C363" s="1"/>
      <c r="D363" s="1"/>
      <c r="E363" s="1"/>
      <c r="F363" s="1"/>
      <c r="Q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58"/>
    </row>
    <row r="364" ht="17.25" customHeight="1">
      <c r="A364" s="1"/>
      <c r="B364" s="1"/>
      <c r="C364" s="1"/>
      <c r="D364" s="1"/>
      <c r="E364" s="1"/>
      <c r="F364" s="1"/>
      <c r="Q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58"/>
    </row>
    <row r="365" ht="17.25" customHeight="1">
      <c r="A365" s="1"/>
      <c r="B365" s="1"/>
      <c r="C365" s="1"/>
      <c r="D365" s="1"/>
      <c r="E365" s="1"/>
      <c r="F365" s="1"/>
      <c r="Q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58"/>
    </row>
    <row r="366" ht="17.25" customHeight="1">
      <c r="A366" s="1"/>
      <c r="B366" s="1"/>
      <c r="C366" s="1"/>
      <c r="D366" s="1"/>
      <c r="E366" s="1"/>
      <c r="F366" s="1"/>
      <c r="Q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58"/>
    </row>
    <row r="367" ht="17.25" customHeight="1">
      <c r="A367" s="1"/>
      <c r="B367" s="1"/>
      <c r="C367" s="1"/>
      <c r="D367" s="1"/>
      <c r="E367" s="1"/>
      <c r="F367" s="1"/>
      <c r="Q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58"/>
    </row>
    <row r="368" ht="17.25" customHeight="1">
      <c r="A368" s="1"/>
      <c r="B368" s="1"/>
      <c r="C368" s="1"/>
      <c r="D368" s="1"/>
      <c r="E368" s="1"/>
      <c r="F368" s="1"/>
      <c r="Q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58"/>
    </row>
    <row r="369" ht="17.25" customHeight="1">
      <c r="A369" s="1"/>
      <c r="B369" s="1"/>
      <c r="C369" s="1"/>
      <c r="D369" s="1"/>
      <c r="E369" s="1"/>
      <c r="F369" s="1"/>
      <c r="Q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58"/>
    </row>
    <row r="370" ht="17.25" customHeight="1">
      <c r="A370" s="1"/>
      <c r="B370" s="1"/>
      <c r="C370" s="1"/>
      <c r="D370" s="1"/>
      <c r="E370" s="1"/>
      <c r="F370" s="1"/>
      <c r="Q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58"/>
    </row>
    <row r="371" ht="17.25" customHeight="1">
      <c r="A371" s="1"/>
      <c r="B371" s="1"/>
      <c r="C371" s="1"/>
      <c r="D371" s="1"/>
      <c r="E371" s="1"/>
      <c r="F371" s="1"/>
      <c r="Q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58"/>
    </row>
    <row r="372" ht="17.25" customHeight="1">
      <c r="A372" s="1"/>
      <c r="B372" s="1"/>
      <c r="C372" s="1"/>
      <c r="D372" s="1"/>
      <c r="E372" s="1"/>
      <c r="F372" s="1"/>
      <c r="Q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58"/>
    </row>
    <row r="373" ht="17.25" customHeight="1">
      <c r="A373" s="1"/>
      <c r="B373" s="1"/>
      <c r="C373" s="1"/>
      <c r="D373" s="1"/>
      <c r="E373" s="1"/>
      <c r="F373" s="1"/>
      <c r="Q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58"/>
    </row>
    <row r="374" ht="17.25" customHeight="1">
      <c r="A374" s="1"/>
      <c r="B374" s="1"/>
      <c r="C374" s="1"/>
      <c r="D374" s="1"/>
      <c r="E374" s="1"/>
      <c r="F374" s="1"/>
      <c r="Q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58"/>
    </row>
    <row r="375" ht="17.25" customHeight="1">
      <c r="A375" s="1"/>
      <c r="B375" s="1"/>
      <c r="C375" s="1"/>
      <c r="D375" s="1"/>
      <c r="E375" s="1"/>
      <c r="F375" s="1"/>
      <c r="Q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58"/>
    </row>
    <row r="376" ht="17.25" customHeight="1">
      <c r="A376" s="1"/>
      <c r="B376" s="1"/>
      <c r="C376" s="1"/>
      <c r="D376" s="1"/>
      <c r="E376" s="1"/>
      <c r="F376" s="1"/>
      <c r="Q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58"/>
    </row>
    <row r="377" ht="17.25" customHeight="1">
      <c r="A377" s="1"/>
      <c r="B377" s="1"/>
      <c r="C377" s="1"/>
      <c r="D377" s="1"/>
      <c r="E377" s="1"/>
      <c r="F377" s="1"/>
      <c r="Q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58"/>
    </row>
    <row r="378" ht="17.25" customHeight="1">
      <c r="A378" s="1"/>
      <c r="B378" s="1"/>
      <c r="C378" s="1"/>
      <c r="D378" s="1"/>
      <c r="E378" s="1"/>
      <c r="F378" s="1"/>
      <c r="Q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58"/>
    </row>
    <row r="379" ht="17.25" customHeight="1">
      <c r="A379" s="1"/>
      <c r="B379" s="1"/>
      <c r="C379" s="1"/>
      <c r="D379" s="1"/>
      <c r="E379" s="1"/>
      <c r="F379" s="1"/>
      <c r="Q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58"/>
    </row>
    <row r="380" ht="17.25" customHeight="1">
      <c r="A380" s="1"/>
      <c r="B380" s="1"/>
      <c r="C380" s="1"/>
      <c r="D380" s="1"/>
      <c r="E380" s="1"/>
      <c r="F380" s="1"/>
      <c r="Q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58"/>
    </row>
    <row r="381" ht="17.25" customHeight="1">
      <c r="A381" s="1"/>
      <c r="B381" s="1"/>
      <c r="C381" s="1"/>
      <c r="D381" s="1"/>
      <c r="E381" s="1"/>
      <c r="F381" s="1"/>
      <c r="Q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58"/>
    </row>
    <row r="382" ht="17.25" customHeight="1">
      <c r="A382" s="1"/>
      <c r="B382" s="1"/>
      <c r="C382" s="1"/>
      <c r="D382" s="1"/>
      <c r="E382" s="1"/>
      <c r="F382" s="1"/>
      <c r="Q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58"/>
    </row>
    <row r="383" ht="17.25" customHeight="1">
      <c r="A383" s="1"/>
      <c r="B383" s="1"/>
      <c r="C383" s="1"/>
      <c r="D383" s="1"/>
      <c r="E383" s="1"/>
      <c r="F383" s="1"/>
      <c r="Q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58"/>
    </row>
    <row r="384" ht="17.25" customHeight="1">
      <c r="A384" s="1"/>
      <c r="B384" s="1"/>
      <c r="C384" s="1"/>
      <c r="D384" s="1"/>
      <c r="E384" s="1"/>
      <c r="F384" s="1"/>
      <c r="Q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58"/>
    </row>
    <row r="385" ht="17.25" customHeight="1">
      <c r="A385" s="1"/>
      <c r="B385" s="1"/>
      <c r="C385" s="1"/>
      <c r="D385" s="1"/>
      <c r="E385" s="1"/>
      <c r="F385" s="1"/>
      <c r="Q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58"/>
    </row>
    <row r="386" ht="17.25" customHeight="1">
      <c r="A386" s="1"/>
      <c r="B386" s="1"/>
      <c r="C386" s="1"/>
      <c r="D386" s="1"/>
      <c r="E386" s="1"/>
      <c r="F386" s="1"/>
      <c r="Q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58"/>
    </row>
    <row r="387" ht="17.25" customHeight="1">
      <c r="A387" s="1"/>
      <c r="B387" s="1"/>
      <c r="C387" s="1"/>
      <c r="D387" s="1"/>
      <c r="E387" s="1"/>
      <c r="F387" s="1"/>
      <c r="Q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58"/>
    </row>
    <row r="388" ht="17.25" customHeight="1">
      <c r="A388" s="1"/>
      <c r="B388" s="1"/>
      <c r="C388" s="1"/>
      <c r="D388" s="1"/>
      <c r="E388" s="1"/>
      <c r="F388" s="1"/>
      <c r="Q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58"/>
    </row>
    <row r="389" ht="17.25" customHeight="1">
      <c r="A389" s="1"/>
      <c r="B389" s="1"/>
      <c r="C389" s="1"/>
      <c r="D389" s="1"/>
      <c r="E389" s="1"/>
      <c r="F389" s="1"/>
      <c r="Q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58"/>
    </row>
    <row r="390" ht="17.25" customHeight="1">
      <c r="A390" s="1"/>
      <c r="B390" s="1"/>
      <c r="C390" s="1"/>
      <c r="D390" s="1"/>
      <c r="E390" s="1"/>
      <c r="F390" s="1"/>
      <c r="Q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58"/>
    </row>
    <row r="391" ht="17.25" customHeight="1">
      <c r="A391" s="1"/>
      <c r="B391" s="1"/>
      <c r="C391" s="1"/>
      <c r="D391" s="1"/>
      <c r="E391" s="1"/>
      <c r="F391" s="1"/>
      <c r="Q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58"/>
    </row>
    <row r="392" ht="17.25" customHeight="1">
      <c r="A392" s="1"/>
      <c r="B392" s="1"/>
      <c r="C392" s="1"/>
      <c r="D392" s="1"/>
      <c r="E392" s="1"/>
      <c r="F392" s="1"/>
      <c r="Q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58"/>
    </row>
    <row r="393" ht="17.25" customHeight="1">
      <c r="A393" s="1"/>
      <c r="B393" s="1"/>
      <c r="C393" s="1"/>
      <c r="D393" s="1"/>
      <c r="E393" s="1"/>
      <c r="F393" s="1"/>
      <c r="Q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58"/>
    </row>
    <row r="394" ht="17.25" customHeight="1">
      <c r="A394" s="1"/>
      <c r="B394" s="1"/>
      <c r="C394" s="1"/>
      <c r="D394" s="1"/>
      <c r="E394" s="1"/>
      <c r="F394" s="1"/>
      <c r="Q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58"/>
    </row>
    <row r="395" ht="17.25" customHeight="1">
      <c r="A395" s="1"/>
      <c r="B395" s="1"/>
      <c r="C395" s="1"/>
      <c r="D395" s="1"/>
      <c r="E395" s="1"/>
      <c r="F395" s="1"/>
      <c r="Q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58"/>
    </row>
    <row r="396" ht="17.25" customHeight="1">
      <c r="A396" s="1"/>
      <c r="B396" s="1"/>
      <c r="C396" s="1"/>
      <c r="D396" s="1"/>
      <c r="E396" s="1"/>
      <c r="F396" s="1"/>
      <c r="Q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58"/>
    </row>
    <row r="397" ht="17.25" customHeight="1">
      <c r="A397" s="1"/>
      <c r="B397" s="1"/>
      <c r="C397" s="1"/>
      <c r="D397" s="1"/>
      <c r="E397" s="1"/>
      <c r="F397" s="1"/>
      <c r="Q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58"/>
    </row>
    <row r="398" ht="17.25" customHeight="1">
      <c r="A398" s="1"/>
      <c r="B398" s="1"/>
      <c r="C398" s="1"/>
      <c r="D398" s="1"/>
      <c r="E398" s="1"/>
      <c r="F398" s="1"/>
      <c r="Q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58"/>
    </row>
    <row r="399" ht="17.25" customHeight="1">
      <c r="A399" s="1"/>
      <c r="B399" s="1"/>
      <c r="C399" s="1"/>
      <c r="D399" s="1"/>
      <c r="E399" s="1"/>
      <c r="F399" s="1"/>
      <c r="Q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58"/>
    </row>
    <row r="400" ht="17.25" customHeight="1">
      <c r="A400" s="1"/>
      <c r="B400" s="1"/>
      <c r="C400" s="1"/>
      <c r="D400" s="1"/>
      <c r="E400" s="1"/>
      <c r="F400" s="1"/>
      <c r="Q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58"/>
    </row>
    <row r="401" ht="17.25" customHeight="1">
      <c r="A401" s="1"/>
      <c r="B401" s="1"/>
      <c r="C401" s="1"/>
      <c r="D401" s="1"/>
      <c r="E401" s="1"/>
      <c r="F401" s="1"/>
      <c r="Q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58"/>
    </row>
    <row r="402" ht="17.25" customHeight="1">
      <c r="A402" s="1"/>
      <c r="B402" s="1"/>
      <c r="C402" s="1"/>
      <c r="D402" s="1"/>
      <c r="E402" s="1"/>
      <c r="F402" s="1"/>
      <c r="Q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58"/>
    </row>
    <row r="403" ht="17.25" customHeight="1">
      <c r="A403" s="1"/>
      <c r="B403" s="1"/>
      <c r="C403" s="1"/>
      <c r="D403" s="1"/>
      <c r="E403" s="1"/>
      <c r="F403" s="1"/>
      <c r="Q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58"/>
    </row>
    <row r="404" ht="17.25" customHeight="1">
      <c r="A404" s="1"/>
      <c r="B404" s="1"/>
      <c r="C404" s="1"/>
      <c r="D404" s="1"/>
      <c r="E404" s="1"/>
      <c r="F404" s="1"/>
      <c r="Q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58"/>
    </row>
    <row r="405" ht="17.25" customHeight="1">
      <c r="A405" s="1"/>
      <c r="B405" s="1"/>
      <c r="C405" s="1"/>
      <c r="D405" s="1"/>
      <c r="E405" s="1"/>
      <c r="F405" s="1"/>
      <c r="Q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58"/>
    </row>
    <row r="406" ht="17.25" customHeight="1">
      <c r="A406" s="1"/>
      <c r="B406" s="1"/>
      <c r="C406" s="1"/>
      <c r="D406" s="1"/>
      <c r="E406" s="1"/>
      <c r="F406" s="1"/>
      <c r="Q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58"/>
    </row>
    <row r="407" ht="17.25" customHeight="1">
      <c r="A407" s="1"/>
      <c r="B407" s="1"/>
      <c r="C407" s="1"/>
      <c r="D407" s="1"/>
      <c r="E407" s="1"/>
      <c r="F407" s="1"/>
      <c r="Q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58"/>
    </row>
    <row r="408" ht="17.25" customHeight="1">
      <c r="A408" s="1"/>
      <c r="B408" s="1"/>
      <c r="C408" s="1"/>
      <c r="D408" s="1"/>
      <c r="E408" s="1"/>
      <c r="F408" s="1"/>
      <c r="Q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58"/>
    </row>
    <row r="409" ht="17.25" customHeight="1">
      <c r="A409" s="1"/>
      <c r="B409" s="1"/>
      <c r="C409" s="1"/>
      <c r="D409" s="1"/>
      <c r="E409" s="1"/>
      <c r="F409" s="1"/>
      <c r="Q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58"/>
    </row>
    <row r="410" ht="17.25" customHeight="1">
      <c r="A410" s="1"/>
      <c r="B410" s="1"/>
      <c r="C410" s="1"/>
      <c r="D410" s="1"/>
      <c r="E410" s="1"/>
      <c r="F410" s="1"/>
      <c r="Q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58"/>
    </row>
    <row r="411" ht="17.25" customHeight="1">
      <c r="A411" s="1"/>
      <c r="B411" s="1"/>
      <c r="C411" s="1"/>
      <c r="D411" s="1"/>
      <c r="E411" s="1"/>
      <c r="F411" s="1"/>
      <c r="Q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58"/>
    </row>
    <row r="412" ht="17.25" customHeight="1">
      <c r="A412" s="1"/>
      <c r="B412" s="1"/>
      <c r="C412" s="1"/>
      <c r="D412" s="1"/>
      <c r="E412" s="1"/>
      <c r="F412" s="1"/>
      <c r="Q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58"/>
    </row>
    <row r="413" ht="17.25" customHeight="1">
      <c r="A413" s="1"/>
      <c r="B413" s="1"/>
      <c r="C413" s="1"/>
      <c r="D413" s="1"/>
      <c r="E413" s="1"/>
      <c r="F413" s="1"/>
      <c r="Q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58"/>
    </row>
    <row r="414" ht="17.25" customHeight="1">
      <c r="A414" s="1"/>
      <c r="B414" s="1"/>
      <c r="C414" s="1"/>
      <c r="D414" s="1"/>
      <c r="E414" s="1"/>
      <c r="F414" s="1"/>
      <c r="Q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58"/>
    </row>
    <row r="415" ht="17.25" customHeight="1">
      <c r="A415" s="1"/>
      <c r="B415" s="1"/>
      <c r="C415" s="1"/>
      <c r="D415" s="1"/>
      <c r="E415" s="1"/>
      <c r="F415" s="1"/>
      <c r="Q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58"/>
    </row>
    <row r="416" ht="17.25" customHeight="1">
      <c r="A416" s="1"/>
      <c r="B416" s="1"/>
      <c r="C416" s="1"/>
      <c r="D416" s="1"/>
      <c r="E416" s="1"/>
      <c r="F416" s="1"/>
      <c r="Q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58"/>
    </row>
    <row r="417" ht="17.25" customHeight="1">
      <c r="A417" s="1"/>
      <c r="B417" s="1"/>
      <c r="C417" s="1"/>
      <c r="D417" s="1"/>
      <c r="E417" s="1"/>
      <c r="F417" s="1"/>
      <c r="Q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58"/>
    </row>
    <row r="418" ht="17.25" customHeight="1">
      <c r="A418" s="1"/>
      <c r="B418" s="1"/>
      <c r="C418" s="1"/>
      <c r="D418" s="1"/>
      <c r="E418" s="1"/>
      <c r="F418" s="1"/>
      <c r="Q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58"/>
    </row>
    <row r="419" ht="17.25" customHeight="1">
      <c r="A419" s="1"/>
      <c r="B419" s="1"/>
      <c r="C419" s="1"/>
      <c r="D419" s="1"/>
      <c r="E419" s="1"/>
      <c r="F419" s="1"/>
      <c r="Q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58"/>
    </row>
    <row r="420" ht="17.25" customHeight="1">
      <c r="A420" s="1"/>
      <c r="B420" s="1"/>
      <c r="C420" s="1"/>
      <c r="D420" s="1"/>
      <c r="E420" s="1"/>
      <c r="F420" s="1"/>
      <c r="Q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58"/>
    </row>
    <row r="421" ht="17.25" customHeight="1">
      <c r="A421" s="1"/>
      <c r="B421" s="1"/>
      <c r="C421" s="1"/>
      <c r="D421" s="1"/>
      <c r="E421" s="1"/>
      <c r="F421" s="1"/>
      <c r="Q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58"/>
    </row>
    <row r="422" ht="17.25" customHeight="1">
      <c r="A422" s="1"/>
      <c r="B422" s="1"/>
      <c r="C422" s="1"/>
      <c r="D422" s="1"/>
      <c r="E422" s="1"/>
      <c r="F422" s="1"/>
      <c r="Q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58"/>
    </row>
    <row r="423" ht="17.25" customHeight="1">
      <c r="A423" s="1"/>
      <c r="B423" s="1"/>
      <c r="C423" s="1"/>
      <c r="D423" s="1"/>
      <c r="E423" s="1"/>
      <c r="F423" s="1"/>
      <c r="Q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58"/>
    </row>
    <row r="424" ht="17.25" customHeight="1">
      <c r="A424" s="1"/>
      <c r="B424" s="1"/>
      <c r="C424" s="1"/>
      <c r="D424" s="1"/>
      <c r="E424" s="1"/>
      <c r="F424" s="1"/>
      <c r="Q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58"/>
    </row>
    <row r="425" ht="17.25" customHeight="1">
      <c r="A425" s="1"/>
      <c r="B425" s="1"/>
      <c r="C425" s="1"/>
      <c r="D425" s="1"/>
      <c r="E425" s="1"/>
      <c r="F425" s="1"/>
      <c r="Q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58"/>
    </row>
    <row r="426" ht="17.25" customHeight="1">
      <c r="A426" s="1"/>
      <c r="B426" s="1"/>
      <c r="C426" s="1"/>
      <c r="D426" s="1"/>
      <c r="E426" s="1"/>
      <c r="F426" s="1"/>
      <c r="Q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58"/>
    </row>
    <row r="427" ht="17.25" customHeight="1">
      <c r="A427" s="1"/>
      <c r="B427" s="1"/>
      <c r="C427" s="1"/>
      <c r="D427" s="1"/>
      <c r="E427" s="1"/>
      <c r="F427" s="1"/>
      <c r="Q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58"/>
    </row>
    <row r="428" ht="17.25" customHeight="1">
      <c r="A428" s="1"/>
      <c r="B428" s="1"/>
      <c r="C428" s="1"/>
      <c r="D428" s="1"/>
      <c r="E428" s="1"/>
      <c r="F428" s="1"/>
      <c r="Q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58"/>
    </row>
    <row r="429" ht="17.25" customHeight="1">
      <c r="A429" s="1"/>
      <c r="B429" s="1"/>
      <c r="C429" s="1"/>
      <c r="D429" s="1"/>
      <c r="E429" s="1"/>
      <c r="F429" s="1"/>
      <c r="Q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58"/>
    </row>
    <row r="430" ht="17.25" customHeight="1">
      <c r="A430" s="1"/>
      <c r="B430" s="1"/>
      <c r="C430" s="1"/>
      <c r="D430" s="1"/>
      <c r="E430" s="1"/>
      <c r="F430" s="1"/>
      <c r="Q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58"/>
    </row>
    <row r="431" ht="17.25" customHeight="1">
      <c r="A431" s="1"/>
      <c r="B431" s="1"/>
      <c r="C431" s="1"/>
      <c r="D431" s="1"/>
      <c r="E431" s="1"/>
      <c r="F431" s="1"/>
      <c r="Q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58"/>
    </row>
    <row r="432" ht="17.25" customHeight="1">
      <c r="A432" s="1"/>
      <c r="B432" s="1"/>
      <c r="C432" s="1"/>
      <c r="D432" s="1"/>
      <c r="E432" s="1"/>
      <c r="F432" s="1"/>
      <c r="Q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58"/>
    </row>
    <row r="433" ht="17.25" customHeight="1">
      <c r="A433" s="1"/>
      <c r="B433" s="1"/>
      <c r="C433" s="1"/>
      <c r="D433" s="1"/>
      <c r="E433" s="1"/>
      <c r="F433" s="1"/>
      <c r="Q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58"/>
    </row>
    <row r="434" ht="17.25" customHeight="1">
      <c r="A434" s="1"/>
      <c r="B434" s="1"/>
      <c r="C434" s="1"/>
      <c r="D434" s="1"/>
      <c r="E434" s="1"/>
      <c r="F434" s="1"/>
      <c r="Q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58"/>
    </row>
    <row r="435" ht="17.25" customHeight="1">
      <c r="A435" s="1"/>
      <c r="B435" s="1"/>
      <c r="C435" s="1"/>
      <c r="D435" s="1"/>
      <c r="E435" s="1"/>
      <c r="F435" s="1"/>
      <c r="Q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58"/>
    </row>
    <row r="436" ht="17.25" customHeight="1">
      <c r="A436" s="1"/>
      <c r="B436" s="1"/>
      <c r="C436" s="1"/>
      <c r="D436" s="1"/>
      <c r="E436" s="1"/>
      <c r="F436" s="1"/>
      <c r="Q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58"/>
    </row>
    <row r="437" ht="17.25" customHeight="1">
      <c r="A437" s="1"/>
      <c r="B437" s="1"/>
      <c r="C437" s="1"/>
      <c r="D437" s="1"/>
      <c r="E437" s="1"/>
      <c r="F437" s="1"/>
      <c r="Q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58"/>
    </row>
    <row r="438" ht="17.25" customHeight="1">
      <c r="A438" s="1"/>
      <c r="B438" s="1"/>
      <c r="C438" s="1"/>
      <c r="D438" s="1"/>
      <c r="E438" s="1"/>
      <c r="F438" s="1"/>
      <c r="Q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58"/>
    </row>
    <row r="439" ht="17.25" customHeight="1">
      <c r="A439" s="1"/>
      <c r="B439" s="1"/>
      <c r="C439" s="1"/>
      <c r="D439" s="1"/>
      <c r="E439" s="1"/>
      <c r="F439" s="1"/>
      <c r="Q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58"/>
    </row>
    <row r="440" ht="17.25" customHeight="1">
      <c r="A440" s="1"/>
      <c r="B440" s="1"/>
      <c r="C440" s="1"/>
      <c r="D440" s="1"/>
      <c r="E440" s="1"/>
      <c r="F440" s="1"/>
      <c r="Q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58"/>
    </row>
    <row r="441" ht="17.25" customHeight="1">
      <c r="A441" s="1"/>
      <c r="B441" s="1"/>
      <c r="C441" s="1"/>
      <c r="D441" s="1"/>
      <c r="E441" s="1"/>
      <c r="F441" s="1"/>
      <c r="Q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58"/>
    </row>
    <row r="442" ht="17.25" customHeight="1">
      <c r="A442" s="1"/>
      <c r="B442" s="1"/>
      <c r="C442" s="1"/>
      <c r="D442" s="1"/>
      <c r="E442" s="1"/>
      <c r="F442" s="1"/>
      <c r="Q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58"/>
    </row>
    <row r="443" ht="17.25" customHeight="1">
      <c r="A443" s="1"/>
      <c r="B443" s="1"/>
      <c r="C443" s="1"/>
      <c r="D443" s="1"/>
      <c r="E443" s="1"/>
      <c r="F443" s="1"/>
      <c r="Q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58"/>
    </row>
    <row r="444" ht="17.25" customHeight="1">
      <c r="A444" s="1"/>
      <c r="B444" s="1"/>
      <c r="C444" s="1"/>
      <c r="D444" s="1"/>
      <c r="E444" s="1"/>
      <c r="F444" s="1"/>
      <c r="Q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58"/>
    </row>
    <row r="445" ht="17.25" customHeight="1">
      <c r="A445" s="1"/>
      <c r="B445" s="1"/>
      <c r="C445" s="1"/>
      <c r="D445" s="1"/>
      <c r="E445" s="1"/>
      <c r="F445" s="1"/>
      <c r="Q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58"/>
    </row>
    <row r="446" ht="17.25" customHeight="1">
      <c r="A446" s="1"/>
      <c r="B446" s="1"/>
      <c r="C446" s="1"/>
      <c r="D446" s="1"/>
      <c r="E446" s="1"/>
      <c r="F446" s="1"/>
      <c r="Q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58"/>
    </row>
    <row r="447" ht="17.25" customHeight="1">
      <c r="A447" s="1"/>
      <c r="B447" s="1"/>
      <c r="C447" s="1"/>
      <c r="D447" s="1"/>
      <c r="E447" s="1"/>
      <c r="F447" s="1"/>
      <c r="Q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58"/>
    </row>
    <row r="448" ht="17.25" customHeight="1">
      <c r="A448" s="1"/>
      <c r="B448" s="1"/>
      <c r="C448" s="1"/>
      <c r="D448" s="1"/>
      <c r="E448" s="1"/>
      <c r="F448" s="1"/>
      <c r="Q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58"/>
    </row>
    <row r="449" ht="17.25" customHeight="1">
      <c r="A449" s="1"/>
      <c r="B449" s="1"/>
      <c r="C449" s="1"/>
      <c r="D449" s="1"/>
      <c r="E449" s="1"/>
      <c r="F449" s="1"/>
      <c r="Q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58"/>
    </row>
    <row r="450" ht="17.25" customHeight="1">
      <c r="A450" s="1"/>
      <c r="B450" s="1"/>
      <c r="C450" s="1"/>
      <c r="D450" s="1"/>
      <c r="E450" s="1"/>
      <c r="F450" s="1"/>
      <c r="Q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58"/>
    </row>
    <row r="451" ht="17.25" customHeight="1">
      <c r="A451" s="1"/>
      <c r="B451" s="1"/>
      <c r="C451" s="1"/>
      <c r="D451" s="1"/>
      <c r="E451" s="1"/>
      <c r="F451" s="1"/>
      <c r="Q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58"/>
    </row>
    <row r="452" ht="17.25" customHeight="1">
      <c r="A452" s="1"/>
      <c r="B452" s="1"/>
      <c r="C452" s="1"/>
      <c r="D452" s="1"/>
      <c r="E452" s="1"/>
      <c r="F452" s="1"/>
      <c r="Q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58"/>
    </row>
    <row r="453" ht="17.25" customHeight="1">
      <c r="A453" s="1"/>
      <c r="B453" s="1"/>
      <c r="C453" s="1"/>
      <c r="D453" s="1"/>
      <c r="E453" s="1"/>
      <c r="F453" s="1"/>
      <c r="Q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58"/>
    </row>
    <row r="454" ht="17.25" customHeight="1">
      <c r="A454" s="1"/>
      <c r="B454" s="1"/>
      <c r="C454" s="1"/>
      <c r="D454" s="1"/>
      <c r="E454" s="1"/>
      <c r="F454" s="1"/>
      <c r="Q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58"/>
    </row>
    <row r="455" ht="17.25" customHeight="1">
      <c r="A455" s="1"/>
      <c r="B455" s="1"/>
      <c r="C455" s="1"/>
      <c r="D455" s="1"/>
      <c r="E455" s="1"/>
      <c r="F455" s="1"/>
      <c r="Q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58"/>
    </row>
    <row r="456" ht="17.25" customHeight="1">
      <c r="A456" s="1"/>
      <c r="B456" s="1"/>
      <c r="C456" s="1"/>
      <c r="D456" s="1"/>
      <c r="E456" s="1"/>
      <c r="F456" s="1"/>
      <c r="Q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58"/>
    </row>
    <row r="457" ht="17.25" customHeight="1">
      <c r="A457" s="1"/>
      <c r="B457" s="1"/>
      <c r="C457" s="1"/>
      <c r="D457" s="1"/>
      <c r="E457" s="1"/>
      <c r="F457" s="1"/>
      <c r="Q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58"/>
    </row>
    <row r="458" ht="17.25" customHeight="1">
      <c r="A458" s="1"/>
      <c r="B458" s="1"/>
      <c r="C458" s="1"/>
      <c r="D458" s="1"/>
      <c r="E458" s="1"/>
      <c r="F458" s="1"/>
      <c r="Q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58"/>
    </row>
    <row r="459" ht="17.25" customHeight="1">
      <c r="A459" s="1"/>
      <c r="B459" s="1"/>
      <c r="C459" s="1"/>
      <c r="D459" s="1"/>
      <c r="E459" s="1"/>
      <c r="F459" s="1"/>
      <c r="Q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58"/>
    </row>
    <row r="460" ht="17.25" customHeight="1">
      <c r="A460" s="1"/>
      <c r="B460" s="1"/>
      <c r="C460" s="1"/>
      <c r="D460" s="1"/>
      <c r="E460" s="1"/>
      <c r="F460" s="1"/>
      <c r="Q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58"/>
    </row>
    <row r="461" ht="17.25" customHeight="1">
      <c r="A461" s="1"/>
      <c r="B461" s="1"/>
      <c r="C461" s="1"/>
      <c r="D461" s="1"/>
      <c r="E461" s="1"/>
      <c r="F461" s="1"/>
      <c r="Q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58"/>
    </row>
    <row r="462" ht="17.25" customHeight="1">
      <c r="A462" s="1"/>
      <c r="B462" s="1"/>
      <c r="C462" s="1"/>
      <c r="D462" s="1"/>
      <c r="E462" s="1"/>
      <c r="F462" s="1"/>
      <c r="Q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58"/>
    </row>
    <row r="463" ht="17.25" customHeight="1">
      <c r="A463" s="1"/>
      <c r="B463" s="1"/>
      <c r="C463" s="1"/>
      <c r="D463" s="1"/>
      <c r="E463" s="1"/>
      <c r="F463" s="1"/>
      <c r="Q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58"/>
    </row>
    <row r="464" ht="17.25" customHeight="1">
      <c r="A464" s="1"/>
      <c r="B464" s="1"/>
      <c r="C464" s="1"/>
      <c r="D464" s="1"/>
      <c r="E464" s="1"/>
      <c r="F464" s="1"/>
      <c r="Q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58"/>
    </row>
    <row r="465" ht="17.25" customHeight="1">
      <c r="A465" s="1"/>
      <c r="B465" s="1"/>
      <c r="C465" s="1"/>
      <c r="D465" s="1"/>
      <c r="E465" s="1"/>
      <c r="F465" s="1"/>
      <c r="Q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58"/>
    </row>
    <row r="466" ht="17.25" customHeight="1">
      <c r="A466" s="1"/>
      <c r="B466" s="1"/>
      <c r="C466" s="1"/>
      <c r="D466" s="1"/>
      <c r="E466" s="1"/>
      <c r="F466" s="1"/>
      <c r="Q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58"/>
    </row>
    <row r="467" ht="17.25" customHeight="1">
      <c r="A467" s="1"/>
      <c r="B467" s="1"/>
      <c r="C467" s="1"/>
      <c r="D467" s="1"/>
      <c r="E467" s="1"/>
      <c r="F467" s="1"/>
      <c r="Q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58"/>
    </row>
    <row r="468" ht="17.25" customHeight="1">
      <c r="A468" s="1"/>
      <c r="B468" s="1"/>
      <c r="C468" s="1"/>
      <c r="D468" s="1"/>
      <c r="E468" s="1"/>
      <c r="F468" s="1"/>
      <c r="Q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58"/>
    </row>
    <row r="469" ht="17.25" customHeight="1">
      <c r="A469" s="1"/>
      <c r="B469" s="1"/>
      <c r="C469" s="1"/>
      <c r="D469" s="1"/>
      <c r="E469" s="1"/>
      <c r="F469" s="1"/>
      <c r="Q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58"/>
    </row>
    <row r="470" ht="17.25" customHeight="1">
      <c r="A470" s="1"/>
      <c r="B470" s="1"/>
      <c r="C470" s="1"/>
      <c r="D470" s="1"/>
      <c r="E470" s="1"/>
      <c r="F470" s="1"/>
      <c r="Q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58"/>
    </row>
    <row r="471" ht="17.25" customHeight="1">
      <c r="A471" s="1"/>
      <c r="B471" s="1"/>
      <c r="C471" s="1"/>
      <c r="D471" s="1"/>
      <c r="E471" s="1"/>
      <c r="F471" s="1"/>
      <c r="Q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58"/>
    </row>
    <row r="472" ht="17.25" customHeight="1">
      <c r="A472" s="1"/>
      <c r="B472" s="1"/>
      <c r="C472" s="1"/>
      <c r="D472" s="1"/>
      <c r="E472" s="1"/>
      <c r="F472" s="1"/>
      <c r="Q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58"/>
    </row>
    <row r="473" ht="17.25" customHeight="1">
      <c r="A473" s="1"/>
      <c r="B473" s="1"/>
      <c r="C473" s="1"/>
      <c r="D473" s="1"/>
      <c r="E473" s="1"/>
      <c r="F473" s="1"/>
      <c r="Q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58"/>
    </row>
    <row r="474" ht="17.25" customHeight="1">
      <c r="A474" s="1"/>
      <c r="B474" s="1"/>
      <c r="C474" s="1"/>
      <c r="D474" s="1"/>
      <c r="E474" s="1"/>
      <c r="F474" s="1"/>
      <c r="Q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58"/>
    </row>
    <row r="475" ht="17.25" customHeight="1">
      <c r="A475" s="1"/>
      <c r="B475" s="1"/>
      <c r="C475" s="1"/>
      <c r="D475" s="1"/>
      <c r="E475" s="1"/>
      <c r="F475" s="1"/>
      <c r="Q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58"/>
    </row>
    <row r="476" ht="17.25" customHeight="1">
      <c r="A476" s="1"/>
      <c r="B476" s="1"/>
      <c r="C476" s="1"/>
      <c r="D476" s="1"/>
      <c r="E476" s="1"/>
      <c r="F476" s="1"/>
      <c r="Q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58"/>
    </row>
    <row r="477" ht="17.25" customHeight="1">
      <c r="A477" s="1"/>
      <c r="B477" s="1"/>
      <c r="C477" s="1"/>
      <c r="D477" s="1"/>
      <c r="E477" s="1"/>
      <c r="F477" s="1"/>
      <c r="Q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58"/>
    </row>
    <row r="478" ht="17.25" customHeight="1">
      <c r="A478" s="1"/>
      <c r="B478" s="1"/>
      <c r="C478" s="1"/>
      <c r="D478" s="1"/>
      <c r="E478" s="1"/>
      <c r="F478" s="1"/>
      <c r="Q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58"/>
    </row>
    <row r="479" ht="17.25" customHeight="1">
      <c r="A479" s="1"/>
      <c r="B479" s="1"/>
      <c r="C479" s="1"/>
      <c r="D479" s="1"/>
      <c r="E479" s="1"/>
      <c r="F479" s="1"/>
      <c r="Q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58"/>
    </row>
    <row r="480" ht="17.25" customHeight="1">
      <c r="A480" s="1"/>
      <c r="B480" s="1"/>
      <c r="C480" s="1"/>
      <c r="D480" s="1"/>
      <c r="E480" s="1"/>
      <c r="F480" s="1"/>
      <c r="Q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58"/>
    </row>
    <row r="481" ht="17.25" customHeight="1">
      <c r="A481" s="1"/>
      <c r="B481" s="1"/>
      <c r="C481" s="1"/>
      <c r="D481" s="1"/>
      <c r="E481" s="1"/>
      <c r="F481" s="1"/>
      <c r="Q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58"/>
    </row>
    <row r="482" ht="17.25" customHeight="1">
      <c r="A482" s="1"/>
      <c r="B482" s="1"/>
      <c r="C482" s="1"/>
      <c r="D482" s="1"/>
      <c r="E482" s="1"/>
      <c r="F482" s="1"/>
      <c r="Q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58"/>
    </row>
    <row r="483" ht="17.25" customHeight="1">
      <c r="A483" s="1"/>
      <c r="B483" s="1"/>
      <c r="C483" s="1"/>
      <c r="D483" s="1"/>
      <c r="E483" s="1"/>
      <c r="F483" s="1"/>
      <c r="Q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58"/>
    </row>
    <row r="484" ht="17.25" customHeight="1">
      <c r="A484" s="1"/>
      <c r="B484" s="1"/>
      <c r="C484" s="1"/>
      <c r="D484" s="1"/>
      <c r="E484" s="1"/>
      <c r="F484" s="1"/>
      <c r="Q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58"/>
    </row>
    <row r="485" ht="17.25" customHeight="1">
      <c r="A485" s="1"/>
      <c r="B485" s="1"/>
      <c r="C485" s="1"/>
      <c r="D485" s="1"/>
      <c r="E485" s="1"/>
      <c r="F485" s="1"/>
      <c r="Q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58"/>
    </row>
    <row r="486" ht="17.25" customHeight="1">
      <c r="A486" s="1"/>
      <c r="B486" s="1"/>
      <c r="C486" s="1"/>
      <c r="D486" s="1"/>
      <c r="E486" s="1"/>
      <c r="F486" s="1"/>
      <c r="Q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58"/>
    </row>
    <row r="487" ht="17.25" customHeight="1">
      <c r="A487" s="1"/>
      <c r="B487" s="1"/>
      <c r="C487" s="1"/>
      <c r="D487" s="1"/>
      <c r="E487" s="1"/>
      <c r="F487" s="1"/>
      <c r="Q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58"/>
    </row>
    <row r="488" ht="17.25" customHeight="1">
      <c r="A488" s="1"/>
      <c r="B488" s="1"/>
      <c r="C488" s="1"/>
      <c r="D488" s="1"/>
      <c r="E488" s="1"/>
      <c r="F488" s="1"/>
      <c r="Q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58"/>
    </row>
    <row r="489" ht="17.25" customHeight="1">
      <c r="A489" s="1"/>
      <c r="B489" s="1"/>
      <c r="C489" s="1"/>
      <c r="D489" s="1"/>
      <c r="E489" s="1"/>
      <c r="F489" s="1"/>
      <c r="Q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58"/>
    </row>
    <row r="490" ht="17.25" customHeight="1">
      <c r="A490" s="1"/>
      <c r="B490" s="1"/>
      <c r="C490" s="1"/>
      <c r="D490" s="1"/>
      <c r="E490" s="1"/>
      <c r="F490" s="1"/>
      <c r="Q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58"/>
    </row>
    <row r="491" ht="17.25" customHeight="1">
      <c r="A491" s="1"/>
      <c r="B491" s="1"/>
      <c r="C491" s="1"/>
      <c r="D491" s="1"/>
      <c r="E491" s="1"/>
      <c r="F491" s="1"/>
      <c r="Q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58"/>
    </row>
    <row r="492" ht="17.25" customHeight="1">
      <c r="A492" s="1"/>
      <c r="B492" s="1"/>
      <c r="C492" s="1"/>
      <c r="D492" s="1"/>
      <c r="E492" s="1"/>
      <c r="F492" s="1"/>
      <c r="Q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58"/>
    </row>
    <row r="493" ht="17.25" customHeight="1">
      <c r="A493" s="1"/>
      <c r="B493" s="1"/>
      <c r="C493" s="1"/>
      <c r="D493" s="1"/>
      <c r="E493" s="1"/>
      <c r="F493" s="1"/>
      <c r="Q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58"/>
    </row>
    <row r="494" ht="17.25" customHeight="1">
      <c r="A494" s="1"/>
      <c r="B494" s="1"/>
      <c r="C494" s="1"/>
      <c r="D494" s="1"/>
      <c r="E494" s="1"/>
      <c r="F494" s="1"/>
      <c r="Q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58"/>
    </row>
    <row r="495" ht="17.25" customHeight="1">
      <c r="A495" s="1"/>
      <c r="B495" s="1"/>
      <c r="C495" s="1"/>
      <c r="D495" s="1"/>
      <c r="E495" s="1"/>
      <c r="F495" s="1"/>
      <c r="Q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58"/>
    </row>
    <row r="496" ht="17.25" customHeight="1">
      <c r="A496" s="1"/>
      <c r="B496" s="1"/>
      <c r="C496" s="1"/>
      <c r="D496" s="1"/>
      <c r="E496" s="1"/>
      <c r="F496" s="1"/>
      <c r="Q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58"/>
    </row>
    <row r="497" ht="17.25" customHeight="1">
      <c r="A497" s="1"/>
      <c r="B497" s="1"/>
      <c r="C497" s="1"/>
      <c r="D497" s="1"/>
      <c r="E497" s="1"/>
      <c r="F497" s="1"/>
      <c r="Q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58"/>
    </row>
    <row r="498" ht="17.25" customHeight="1">
      <c r="A498" s="1"/>
      <c r="B498" s="1"/>
      <c r="C498" s="1"/>
      <c r="D498" s="1"/>
      <c r="E498" s="1"/>
      <c r="F498" s="1"/>
      <c r="Q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58"/>
    </row>
    <row r="499" ht="17.25" customHeight="1">
      <c r="A499" s="1"/>
      <c r="B499" s="1"/>
      <c r="C499" s="1"/>
      <c r="D499" s="1"/>
      <c r="E499" s="1"/>
      <c r="F499" s="1"/>
      <c r="Q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58"/>
    </row>
    <row r="500" ht="17.25" customHeight="1">
      <c r="A500" s="1"/>
      <c r="B500" s="1"/>
      <c r="C500" s="1"/>
      <c r="D500" s="1"/>
      <c r="E500" s="1"/>
      <c r="F500" s="1"/>
      <c r="Q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58"/>
    </row>
    <row r="501" ht="17.25" customHeight="1">
      <c r="A501" s="1"/>
      <c r="B501" s="1"/>
      <c r="C501" s="1"/>
      <c r="D501" s="1"/>
      <c r="E501" s="1"/>
      <c r="F501" s="1"/>
      <c r="Q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58"/>
    </row>
    <row r="502" ht="17.25" customHeight="1">
      <c r="A502" s="1"/>
      <c r="B502" s="1"/>
      <c r="C502" s="1"/>
      <c r="D502" s="1"/>
      <c r="E502" s="1"/>
      <c r="F502" s="1"/>
      <c r="Q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58"/>
    </row>
    <row r="503" ht="17.25" customHeight="1">
      <c r="A503" s="1"/>
      <c r="B503" s="1"/>
      <c r="C503" s="1"/>
      <c r="D503" s="1"/>
      <c r="E503" s="1"/>
      <c r="F503" s="1"/>
      <c r="Q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58"/>
    </row>
    <row r="504" ht="17.25" customHeight="1">
      <c r="A504" s="1"/>
      <c r="B504" s="1"/>
      <c r="C504" s="1"/>
      <c r="D504" s="1"/>
      <c r="E504" s="1"/>
      <c r="F504" s="1"/>
      <c r="Q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58"/>
    </row>
    <row r="505" ht="17.25" customHeight="1">
      <c r="A505" s="1"/>
      <c r="B505" s="1"/>
      <c r="C505" s="1"/>
      <c r="D505" s="1"/>
      <c r="E505" s="1"/>
      <c r="F505" s="1"/>
      <c r="Q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58"/>
    </row>
    <row r="506" ht="17.25" customHeight="1">
      <c r="A506" s="1"/>
      <c r="B506" s="1"/>
      <c r="C506" s="1"/>
      <c r="D506" s="1"/>
      <c r="E506" s="1"/>
      <c r="F506" s="1"/>
      <c r="Q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58"/>
    </row>
    <row r="507" ht="17.25" customHeight="1">
      <c r="A507" s="1"/>
      <c r="B507" s="1"/>
      <c r="C507" s="1"/>
      <c r="D507" s="1"/>
      <c r="E507" s="1"/>
      <c r="F507" s="1"/>
      <c r="Q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58"/>
    </row>
    <row r="508" ht="17.25" customHeight="1">
      <c r="A508" s="1"/>
      <c r="B508" s="1"/>
      <c r="C508" s="1"/>
      <c r="D508" s="1"/>
      <c r="E508" s="1"/>
      <c r="F508" s="1"/>
      <c r="Q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58"/>
    </row>
    <row r="509" ht="17.25" customHeight="1">
      <c r="A509" s="1"/>
      <c r="B509" s="1"/>
      <c r="C509" s="1"/>
      <c r="D509" s="1"/>
      <c r="E509" s="1"/>
      <c r="F509" s="1"/>
      <c r="Q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58"/>
    </row>
    <row r="510" ht="17.25" customHeight="1">
      <c r="A510" s="1"/>
      <c r="B510" s="1"/>
      <c r="C510" s="1"/>
      <c r="D510" s="1"/>
      <c r="E510" s="1"/>
      <c r="F510" s="1"/>
      <c r="Q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58"/>
    </row>
    <row r="511" ht="17.25" customHeight="1">
      <c r="A511" s="1"/>
      <c r="B511" s="1"/>
      <c r="C511" s="1"/>
      <c r="D511" s="1"/>
      <c r="E511" s="1"/>
      <c r="F511" s="1"/>
      <c r="Q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58"/>
    </row>
    <row r="512" ht="17.25" customHeight="1">
      <c r="A512" s="1"/>
      <c r="B512" s="1"/>
      <c r="C512" s="1"/>
      <c r="D512" s="1"/>
      <c r="E512" s="1"/>
      <c r="F512" s="1"/>
      <c r="Q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58"/>
    </row>
    <row r="513" ht="17.25" customHeight="1">
      <c r="A513" s="1"/>
      <c r="B513" s="1"/>
      <c r="C513" s="1"/>
      <c r="D513" s="1"/>
      <c r="E513" s="1"/>
      <c r="F513" s="1"/>
      <c r="Q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58"/>
    </row>
    <row r="514" ht="17.25" customHeight="1">
      <c r="A514" s="1"/>
      <c r="B514" s="1"/>
      <c r="C514" s="1"/>
      <c r="D514" s="1"/>
      <c r="E514" s="1"/>
      <c r="F514" s="1"/>
      <c r="Q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58"/>
    </row>
    <row r="515" ht="17.25" customHeight="1">
      <c r="A515" s="1"/>
      <c r="B515" s="1"/>
      <c r="C515" s="1"/>
      <c r="D515" s="1"/>
      <c r="E515" s="1"/>
      <c r="F515" s="1"/>
      <c r="Q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58"/>
    </row>
    <row r="516" ht="17.25" customHeight="1">
      <c r="A516" s="1"/>
      <c r="B516" s="1"/>
      <c r="C516" s="1"/>
      <c r="D516" s="1"/>
      <c r="E516" s="1"/>
      <c r="F516" s="1"/>
      <c r="Q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58"/>
    </row>
    <row r="517" ht="17.25" customHeight="1">
      <c r="A517" s="1"/>
      <c r="B517" s="1"/>
      <c r="C517" s="1"/>
      <c r="D517" s="1"/>
      <c r="E517" s="1"/>
      <c r="F517" s="1"/>
      <c r="Q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58"/>
    </row>
    <row r="518" ht="17.25" customHeight="1">
      <c r="A518" s="1"/>
      <c r="B518" s="1"/>
      <c r="C518" s="1"/>
      <c r="D518" s="1"/>
      <c r="E518" s="1"/>
      <c r="F518" s="1"/>
      <c r="Q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58"/>
    </row>
    <row r="519" ht="17.25" customHeight="1">
      <c r="A519" s="1"/>
      <c r="B519" s="1"/>
      <c r="C519" s="1"/>
      <c r="D519" s="1"/>
      <c r="E519" s="1"/>
      <c r="F519" s="1"/>
      <c r="Q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58"/>
    </row>
    <row r="520" ht="17.25" customHeight="1">
      <c r="A520" s="1"/>
      <c r="B520" s="1"/>
      <c r="C520" s="1"/>
      <c r="D520" s="1"/>
      <c r="E520" s="1"/>
      <c r="F520" s="1"/>
      <c r="Q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58"/>
    </row>
    <row r="521" ht="17.25" customHeight="1">
      <c r="A521" s="1"/>
      <c r="B521" s="1"/>
      <c r="C521" s="1"/>
      <c r="D521" s="1"/>
      <c r="E521" s="1"/>
      <c r="F521" s="1"/>
      <c r="Q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58"/>
    </row>
    <row r="522" ht="17.25" customHeight="1">
      <c r="A522" s="1"/>
      <c r="B522" s="1"/>
      <c r="C522" s="1"/>
      <c r="D522" s="1"/>
      <c r="E522" s="1"/>
      <c r="F522" s="1"/>
      <c r="Q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58"/>
    </row>
    <row r="523" ht="17.25" customHeight="1">
      <c r="A523" s="1"/>
      <c r="B523" s="1"/>
      <c r="C523" s="1"/>
      <c r="D523" s="1"/>
      <c r="E523" s="1"/>
      <c r="F523" s="1"/>
      <c r="Q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58"/>
    </row>
    <row r="524" ht="17.25" customHeight="1">
      <c r="A524" s="1"/>
      <c r="B524" s="1"/>
      <c r="C524" s="1"/>
      <c r="D524" s="1"/>
      <c r="E524" s="1"/>
      <c r="F524" s="1"/>
      <c r="Q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58"/>
    </row>
    <row r="525" ht="17.25" customHeight="1">
      <c r="A525" s="1"/>
      <c r="B525" s="1"/>
      <c r="C525" s="1"/>
      <c r="D525" s="1"/>
      <c r="E525" s="1"/>
      <c r="F525" s="1"/>
      <c r="Q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58"/>
    </row>
    <row r="526" ht="17.25" customHeight="1">
      <c r="A526" s="1"/>
      <c r="B526" s="1"/>
      <c r="C526" s="1"/>
      <c r="D526" s="1"/>
      <c r="E526" s="1"/>
      <c r="F526" s="1"/>
      <c r="Q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58"/>
    </row>
    <row r="527" ht="17.25" customHeight="1">
      <c r="A527" s="1"/>
      <c r="B527" s="1"/>
      <c r="C527" s="1"/>
      <c r="D527" s="1"/>
      <c r="E527" s="1"/>
      <c r="F527" s="1"/>
      <c r="Q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58"/>
    </row>
    <row r="528" ht="17.25" customHeight="1">
      <c r="A528" s="1"/>
      <c r="B528" s="1"/>
      <c r="C528" s="1"/>
      <c r="D528" s="1"/>
      <c r="E528" s="1"/>
      <c r="F528" s="1"/>
      <c r="Q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58"/>
    </row>
    <row r="529" ht="17.25" customHeight="1">
      <c r="A529" s="1"/>
      <c r="B529" s="1"/>
      <c r="C529" s="1"/>
      <c r="D529" s="1"/>
      <c r="E529" s="1"/>
      <c r="F529" s="1"/>
      <c r="Q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58"/>
    </row>
    <row r="530" ht="17.25" customHeight="1">
      <c r="A530" s="1"/>
      <c r="B530" s="1"/>
      <c r="C530" s="1"/>
      <c r="D530" s="1"/>
      <c r="E530" s="1"/>
      <c r="F530" s="1"/>
      <c r="Q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58"/>
    </row>
    <row r="531" ht="17.25" customHeight="1">
      <c r="A531" s="1"/>
      <c r="B531" s="1"/>
      <c r="C531" s="1"/>
      <c r="D531" s="1"/>
      <c r="E531" s="1"/>
      <c r="F531" s="1"/>
      <c r="Q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58"/>
    </row>
    <row r="532" ht="17.25" customHeight="1">
      <c r="A532" s="1"/>
      <c r="B532" s="1"/>
      <c r="C532" s="1"/>
      <c r="D532" s="1"/>
      <c r="E532" s="1"/>
      <c r="F532" s="1"/>
      <c r="Q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58"/>
    </row>
    <row r="533" ht="17.25" customHeight="1">
      <c r="A533" s="1"/>
      <c r="B533" s="1"/>
      <c r="C533" s="1"/>
      <c r="D533" s="1"/>
      <c r="E533" s="1"/>
      <c r="F533" s="1"/>
      <c r="Q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58"/>
    </row>
    <row r="534" ht="17.25" customHeight="1">
      <c r="A534" s="1"/>
      <c r="B534" s="1"/>
      <c r="C534" s="1"/>
      <c r="D534" s="1"/>
      <c r="E534" s="1"/>
      <c r="F534" s="1"/>
      <c r="Q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58"/>
    </row>
    <row r="535" ht="17.25" customHeight="1">
      <c r="A535" s="1"/>
      <c r="B535" s="1"/>
      <c r="C535" s="1"/>
      <c r="D535" s="1"/>
      <c r="E535" s="1"/>
      <c r="F535" s="1"/>
      <c r="Q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58"/>
    </row>
    <row r="536" ht="17.25" customHeight="1">
      <c r="A536" s="1"/>
      <c r="B536" s="1"/>
      <c r="C536" s="1"/>
      <c r="D536" s="1"/>
      <c r="E536" s="1"/>
      <c r="F536" s="1"/>
      <c r="Q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58"/>
    </row>
    <row r="537" ht="17.25" customHeight="1">
      <c r="A537" s="1"/>
      <c r="B537" s="1"/>
      <c r="C537" s="1"/>
      <c r="D537" s="1"/>
      <c r="E537" s="1"/>
      <c r="F537" s="1"/>
      <c r="Q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58"/>
    </row>
    <row r="538" ht="17.25" customHeight="1">
      <c r="A538" s="1"/>
      <c r="B538" s="1"/>
      <c r="C538" s="1"/>
      <c r="D538" s="1"/>
      <c r="E538" s="1"/>
      <c r="F538" s="1"/>
      <c r="Q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58"/>
    </row>
    <row r="539" ht="17.25" customHeight="1">
      <c r="A539" s="1"/>
      <c r="B539" s="1"/>
      <c r="C539" s="1"/>
      <c r="D539" s="1"/>
      <c r="E539" s="1"/>
      <c r="F539" s="1"/>
      <c r="Q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58"/>
    </row>
    <row r="540" ht="17.25" customHeight="1">
      <c r="A540" s="1"/>
      <c r="B540" s="1"/>
      <c r="C540" s="1"/>
      <c r="D540" s="1"/>
      <c r="E540" s="1"/>
      <c r="F540" s="1"/>
      <c r="Q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58"/>
    </row>
    <row r="541" ht="17.25" customHeight="1">
      <c r="A541" s="1"/>
      <c r="B541" s="1"/>
      <c r="C541" s="1"/>
      <c r="D541" s="1"/>
      <c r="E541" s="1"/>
      <c r="F541" s="1"/>
      <c r="Q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58"/>
    </row>
    <row r="542" ht="17.25" customHeight="1">
      <c r="A542" s="1"/>
      <c r="B542" s="1"/>
      <c r="C542" s="1"/>
      <c r="D542" s="1"/>
      <c r="E542" s="1"/>
      <c r="F542" s="1"/>
      <c r="Q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58"/>
    </row>
    <row r="543" ht="17.25" customHeight="1">
      <c r="A543" s="1"/>
      <c r="B543" s="1"/>
      <c r="C543" s="1"/>
      <c r="D543" s="1"/>
      <c r="E543" s="1"/>
      <c r="F543" s="1"/>
      <c r="Q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58"/>
    </row>
    <row r="544" ht="17.25" customHeight="1">
      <c r="A544" s="1"/>
      <c r="B544" s="1"/>
      <c r="C544" s="1"/>
      <c r="D544" s="1"/>
      <c r="E544" s="1"/>
      <c r="F544" s="1"/>
      <c r="Q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58"/>
    </row>
    <row r="545" ht="17.25" customHeight="1">
      <c r="A545" s="1"/>
      <c r="B545" s="1"/>
      <c r="C545" s="1"/>
      <c r="D545" s="1"/>
      <c r="E545" s="1"/>
      <c r="F545" s="1"/>
      <c r="Q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58"/>
    </row>
    <row r="546" ht="17.25" customHeight="1">
      <c r="A546" s="1"/>
      <c r="B546" s="1"/>
      <c r="C546" s="1"/>
      <c r="D546" s="1"/>
      <c r="E546" s="1"/>
      <c r="F546" s="1"/>
      <c r="Q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58"/>
    </row>
    <row r="547" ht="17.25" customHeight="1">
      <c r="A547" s="1"/>
      <c r="B547" s="1"/>
      <c r="C547" s="1"/>
      <c r="D547" s="1"/>
      <c r="E547" s="1"/>
      <c r="F547" s="1"/>
      <c r="Q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58"/>
    </row>
    <row r="548" ht="17.25" customHeight="1">
      <c r="A548" s="1"/>
      <c r="B548" s="1"/>
      <c r="C548" s="1"/>
      <c r="D548" s="1"/>
      <c r="E548" s="1"/>
      <c r="F548" s="1"/>
      <c r="Q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58"/>
    </row>
    <row r="549" ht="17.25" customHeight="1">
      <c r="A549" s="1"/>
      <c r="B549" s="1"/>
      <c r="C549" s="1"/>
      <c r="D549" s="1"/>
      <c r="E549" s="1"/>
      <c r="F549" s="1"/>
      <c r="Q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58"/>
    </row>
    <row r="550" ht="17.25" customHeight="1">
      <c r="A550" s="1"/>
      <c r="B550" s="1"/>
      <c r="C550" s="1"/>
      <c r="D550" s="1"/>
      <c r="E550" s="1"/>
      <c r="F550" s="1"/>
      <c r="Q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58"/>
    </row>
    <row r="551" ht="17.25" customHeight="1">
      <c r="A551" s="1"/>
      <c r="B551" s="1"/>
      <c r="C551" s="1"/>
      <c r="D551" s="1"/>
      <c r="E551" s="1"/>
      <c r="F551" s="1"/>
      <c r="Q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58"/>
    </row>
    <row r="552" ht="17.25" customHeight="1">
      <c r="A552" s="1"/>
      <c r="B552" s="1"/>
      <c r="C552" s="1"/>
      <c r="D552" s="1"/>
      <c r="E552" s="1"/>
      <c r="F552" s="1"/>
      <c r="Q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58"/>
    </row>
    <row r="553" ht="17.25" customHeight="1">
      <c r="A553" s="1"/>
      <c r="B553" s="1"/>
      <c r="C553" s="1"/>
      <c r="D553" s="1"/>
      <c r="E553" s="1"/>
      <c r="F553" s="1"/>
      <c r="Q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58"/>
    </row>
    <row r="554" ht="17.25" customHeight="1">
      <c r="A554" s="1"/>
      <c r="B554" s="1"/>
      <c r="C554" s="1"/>
      <c r="D554" s="1"/>
      <c r="E554" s="1"/>
      <c r="F554" s="1"/>
      <c r="Q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58"/>
    </row>
    <row r="555" ht="17.25" customHeight="1">
      <c r="A555" s="1"/>
      <c r="B555" s="1"/>
      <c r="C555" s="1"/>
      <c r="D555" s="1"/>
      <c r="E555" s="1"/>
      <c r="F555" s="1"/>
      <c r="Q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58"/>
    </row>
    <row r="556" ht="17.25" customHeight="1">
      <c r="A556" s="1"/>
      <c r="B556" s="1"/>
      <c r="C556" s="1"/>
      <c r="D556" s="1"/>
      <c r="E556" s="1"/>
      <c r="F556" s="1"/>
      <c r="Q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58"/>
    </row>
    <row r="557" ht="17.25" customHeight="1">
      <c r="A557" s="1"/>
      <c r="B557" s="1"/>
      <c r="C557" s="1"/>
      <c r="D557" s="1"/>
      <c r="E557" s="1"/>
      <c r="F557" s="1"/>
      <c r="Q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58"/>
    </row>
    <row r="558" ht="17.25" customHeight="1">
      <c r="A558" s="1"/>
      <c r="B558" s="1"/>
      <c r="C558" s="1"/>
      <c r="D558" s="1"/>
      <c r="E558" s="1"/>
      <c r="F558" s="1"/>
      <c r="Q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58"/>
    </row>
    <row r="559" ht="17.25" customHeight="1">
      <c r="A559" s="1"/>
      <c r="B559" s="1"/>
      <c r="C559" s="1"/>
      <c r="D559" s="1"/>
      <c r="E559" s="1"/>
      <c r="F559" s="1"/>
      <c r="Q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58"/>
    </row>
    <row r="560" ht="17.25" customHeight="1">
      <c r="A560" s="1"/>
      <c r="B560" s="1"/>
      <c r="C560" s="1"/>
      <c r="D560" s="1"/>
      <c r="E560" s="1"/>
      <c r="F560" s="1"/>
      <c r="Q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58"/>
    </row>
    <row r="561" ht="17.25" customHeight="1">
      <c r="A561" s="1"/>
      <c r="B561" s="1"/>
      <c r="C561" s="1"/>
      <c r="D561" s="1"/>
      <c r="E561" s="1"/>
      <c r="F561" s="1"/>
      <c r="Q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58"/>
    </row>
    <row r="562" ht="17.25" customHeight="1">
      <c r="A562" s="1"/>
      <c r="B562" s="1"/>
      <c r="C562" s="1"/>
      <c r="D562" s="1"/>
      <c r="E562" s="1"/>
      <c r="F562" s="1"/>
      <c r="Q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58"/>
    </row>
    <row r="563" ht="17.25" customHeight="1">
      <c r="A563" s="1"/>
      <c r="B563" s="1"/>
      <c r="C563" s="1"/>
      <c r="D563" s="1"/>
      <c r="E563" s="1"/>
      <c r="F563" s="1"/>
      <c r="Q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58"/>
    </row>
    <row r="564" ht="17.25" customHeight="1">
      <c r="A564" s="1"/>
      <c r="B564" s="1"/>
      <c r="C564" s="1"/>
      <c r="D564" s="1"/>
      <c r="E564" s="1"/>
      <c r="F564" s="1"/>
      <c r="Q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58"/>
    </row>
    <row r="565" ht="17.25" customHeight="1">
      <c r="A565" s="1"/>
      <c r="B565" s="1"/>
      <c r="C565" s="1"/>
      <c r="D565" s="1"/>
      <c r="E565" s="1"/>
      <c r="F565" s="1"/>
      <c r="Q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58"/>
    </row>
    <row r="566" ht="17.25" customHeight="1">
      <c r="A566" s="1"/>
      <c r="B566" s="1"/>
      <c r="C566" s="1"/>
      <c r="D566" s="1"/>
      <c r="E566" s="1"/>
      <c r="F566" s="1"/>
      <c r="Q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58"/>
    </row>
    <row r="567" ht="17.25" customHeight="1">
      <c r="A567" s="1"/>
      <c r="B567" s="1"/>
      <c r="C567" s="1"/>
      <c r="D567" s="1"/>
      <c r="E567" s="1"/>
      <c r="F567" s="1"/>
      <c r="Q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58"/>
    </row>
    <row r="568" ht="17.25" customHeight="1">
      <c r="A568" s="1"/>
      <c r="B568" s="1"/>
      <c r="C568" s="1"/>
      <c r="D568" s="1"/>
      <c r="E568" s="1"/>
      <c r="F568" s="1"/>
      <c r="Q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58"/>
    </row>
    <row r="569" ht="17.25" customHeight="1">
      <c r="A569" s="1"/>
      <c r="B569" s="1"/>
      <c r="C569" s="1"/>
      <c r="D569" s="1"/>
      <c r="E569" s="1"/>
      <c r="F569" s="1"/>
      <c r="Q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58"/>
    </row>
    <row r="570" ht="17.25" customHeight="1">
      <c r="A570" s="1"/>
      <c r="B570" s="1"/>
      <c r="C570" s="1"/>
      <c r="D570" s="1"/>
      <c r="E570" s="1"/>
      <c r="F570" s="1"/>
      <c r="Q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58"/>
    </row>
    <row r="571" ht="17.25" customHeight="1">
      <c r="A571" s="1"/>
      <c r="B571" s="1"/>
      <c r="C571" s="1"/>
      <c r="D571" s="1"/>
      <c r="E571" s="1"/>
      <c r="F571" s="1"/>
      <c r="Q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58"/>
    </row>
    <row r="572" ht="17.25" customHeight="1">
      <c r="A572" s="1"/>
      <c r="B572" s="1"/>
      <c r="C572" s="1"/>
      <c r="D572" s="1"/>
      <c r="E572" s="1"/>
      <c r="F572" s="1"/>
      <c r="Q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58"/>
    </row>
    <row r="573" ht="17.25" customHeight="1">
      <c r="A573" s="1"/>
      <c r="B573" s="1"/>
      <c r="C573" s="1"/>
      <c r="D573" s="1"/>
      <c r="E573" s="1"/>
      <c r="F573" s="1"/>
      <c r="Q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58"/>
    </row>
    <row r="574" ht="17.25" customHeight="1">
      <c r="A574" s="1"/>
      <c r="B574" s="1"/>
      <c r="C574" s="1"/>
      <c r="D574" s="1"/>
      <c r="E574" s="1"/>
      <c r="F574" s="1"/>
      <c r="Q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58"/>
    </row>
    <row r="575" ht="17.25" customHeight="1">
      <c r="A575" s="1"/>
      <c r="B575" s="1"/>
      <c r="C575" s="1"/>
      <c r="D575" s="1"/>
      <c r="E575" s="1"/>
      <c r="F575" s="1"/>
      <c r="Q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58"/>
    </row>
    <row r="576" ht="17.25" customHeight="1">
      <c r="A576" s="1"/>
      <c r="B576" s="1"/>
      <c r="C576" s="1"/>
      <c r="D576" s="1"/>
      <c r="E576" s="1"/>
      <c r="F576" s="1"/>
      <c r="Q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58"/>
    </row>
    <row r="577" ht="17.25" customHeight="1">
      <c r="A577" s="1"/>
      <c r="B577" s="1"/>
      <c r="C577" s="1"/>
      <c r="D577" s="1"/>
      <c r="E577" s="1"/>
      <c r="F577" s="1"/>
      <c r="Q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58"/>
    </row>
    <row r="578" ht="17.25" customHeight="1">
      <c r="A578" s="1"/>
      <c r="B578" s="1"/>
      <c r="C578" s="1"/>
      <c r="D578" s="1"/>
      <c r="E578" s="1"/>
      <c r="F578" s="1"/>
      <c r="Q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58"/>
    </row>
    <row r="579" ht="17.25" customHeight="1">
      <c r="A579" s="1"/>
      <c r="B579" s="1"/>
      <c r="C579" s="1"/>
      <c r="D579" s="1"/>
      <c r="E579" s="1"/>
      <c r="F579" s="1"/>
      <c r="Q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58"/>
    </row>
    <row r="580" ht="17.25" customHeight="1">
      <c r="A580" s="1"/>
      <c r="B580" s="1"/>
      <c r="C580" s="1"/>
      <c r="D580" s="1"/>
      <c r="E580" s="1"/>
      <c r="F580" s="1"/>
      <c r="Q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58"/>
    </row>
    <row r="581" ht="17.25" customHeight="1">
      <c r="A581" s="1"/>
      <c r="B581" s="1"/>
      <c r="C581" s="1"/>
      <c r="D581" s="1"/>
      <c r="E581" s="1"/>
      <c r="F581" s="1"/>
      <c r="Q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58"/>
    </row>
    <row r="582" ht="17.25" customHeight="1">
      <c r="A582" s="1"/>
      <c r="B582" s="1"/>
      <c r="C582" s="1"/>
      <c r="D582" s="1"/>
      <c r="E582" s="1"/>
      <c r="F582" s="1"/>
      <c r="Q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58"/>
    </row>
    <row r="583" ht="17.25" customHeight="1">
      <c r="A583" s="1"/>
      <c r="B583" s="1"/>
      <c r="C583" s="1"/>
      <c r="D583" s="1"/>
      <c r="E583" s="1"/>
      <c r="F583" s="1"/>
      <c r="Q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58"/>
    </row>
    <row r="584" ht="17.25" customHeight="1">
      <c r="A584" s="1"/>
      <c r="B584" s="1"/>
      <c r="C584" s="1"/>
      <c r="D584" s="1"/>
      <c r="E584" s="1"/>
      <c r="F584" s="1"/>
      <c r="Q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58"/>
    </row>
    <row r="585" ht="17.25" customHeight="1">
      <c r="A585" s="1"/>
      <c r="B585" s="1"/>
      <c r="C585" s="1"/>
      <c r="D585" s="1"/>
      <c r="E585" s="1"/>
      <c r="F585" s="1"/>
      <c r="Q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58"/>
    </row>
    <row r="586" ht="17.25" customHeight="1">
      <c r="A586" s="1"/>
      <c r="B586" s="1"/>
      <c r="C586" s="1"/>
      <c r="D586" s="1"/>
      <c r="E586" s="1"/>
      <c r="F586" s="1"/>
      <c r="Q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58"/>
    </row>
    <row r="587" ht="17.25" customHeight="1">
      <c r="A587" s="1"/>
      <c r="B587" s="1"/>
      <c r="C587" s="1"/>
      <c r="D587" s="1"/>
      <c r="E587" s="1"/>
      <c r="F587" s="1"/>
      <c r="Q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58"/>
    </row>
    <row r="588" ht="17.25" customHeight="1">
      <c r="A588" s="1"/>
      <c r="B588" s="1"/>
      <c r="C588" s="1"/>
      <c r="D588" s="1"/>
      <c r="E588" s="1"/>
      <c r="F588" s="1"/>
      <c r="Q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58"/>
    </row>
    <row r="589" ht="17.25" customHeight="1">
      <c r="A589" s="1"/>
      <c r="B589" s="1"/>
      <c r="C589" s="1"/>
      <c r="D589" s="1"/>
      <c r="E589" s="1"/>
      <c r="F589" s="1"/>
      <c r="Q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58"/>
    </row>
    <row r="590" ht="17.25" customHeight="1">
      <c r="A590" s="1"/>
      <c r="B590" s="1"/>
      <c r="C590" s="1"/>
      <c r="D590" s="1"/>
      <c r="E590" s="1"/>
      <c r="F590" s="1"/>
      <c r="Q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58"/>
    </row>
    <row r="591" ht="17.25" customHeight="1">
      <c r="A591" s="1"/>
      <c r="B591" s="1"/>
      <c r="C591" s="1"/>
      <c r="D591" s="1"/>
      <c r="E591" s="1"/>
      <c r="F591" s="1"/>
      <c r="Q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58"/>
    </row>
    <row r="592" ht="17.25" customHeight="1">
      <c r="A592" s="1"/>
      <c r="B592" s="1"/>
      <c r="C592" s="1"/>
      <c r="D592" s="1"/>
      <c r="E592" s="1"/>
      <c r="F592" s="1"/>
      <c r="Q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58"/>
    </row>
    <row r="593" ht="17.25" customHeight="1">
      <c r="A593" s="1"/>
      <c r="B593" s="1"/>
      <c r="C593" s="1"/>
      <c r="D593" s="1"/>
      <c r="E593" s="1"/>
      <c r="F593" s="1"/>
      <c r="Q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58"/>
    </row>
    <row r="594" ht="17.25" customHeight="1">
      <c r="A594" s="1"/>
      <c r="B594" s="1"/>
      <c r="C594" s="1"/>
      <c r="D594" s="1"/>
      <c r="E594" s="1"/>
      <c r="F594" s="1"/>
      <c r="Q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58"/>
    </row>
    <row r="595" ht="17.25" customHeight="1">
      <c r="A595" s="1"/>
      <c r="B595" s="1"/>
      <c r="C595" s="1"/>
      <c r="D595" s="1"/>
      <c r="E595" s="1"/>
      <c r="F595" s="1"/>
      <c r="Q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58"/>
    </row>
    <row r="596" ht="17.25" customHeight="1">
      <c r="A596" s="1"/>
      <c r="B596" s="1"/>
      <c r="C596" s="1"/>
      <c r="D596" s="1"/>
      <c r="E596" s="1"/>
      <c r="F596" s="1"/>
      <c r="Q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58"/>
    </row>
    <row r="597" ht="17.25" customHeight="1">
      <c r="A597" s="1"/>
      <c r="B597" s="1"/>
      <c r="C597" s="1"/>
      <c r="D597" s="1"/>
      <c r="E597" s="1"/>
      <c r="F597" s="1"/>
      <c r="Q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58"/>
    </row>
    <row r="598" ht="17.25" customHeight="1">
      <c r="A598" s="1"/>
      <c r="B598" s="1"/>
      <c r="C598" s="1"/>
      <c r="D598" s="1"/>
      <c r="E598" s="1"/>
      <c r="F598" s="1"/>
      <c r="Q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58"/>
    </row>
    <row r="599" ht="17.25" customHeight="1">
      <c r="A599" s="1"/>
      <c r="B599" s="1"/>
      <c r="C599" s="1"/>
      <c r="D599" s="1"/>
      <c r="E599" s="1"/>
      <c r="F599" s="1"/>
      <c r="Q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58"/>
    </row>
    <row r="600" ht="17.25" customHeight="1">
      <c r="A600" s="1"/>
      <c r="B600" s="1"/>
      <c r="C600" s="1"/>
      <c r="D600" s="1"/>
      <c r="E600" s="1"/>
      <c r="F600" s="1"/>
      <c r="Q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58"/>
    </row>
    <row r="601" ht="17.25" customHeight="1">
      <c r="A601" s="1"/>
      <c r="B601" s="1"/>
      <c r="C601" s="1"/>
      <c r="D601" s="1"/>
      <c r="E601" s="1"/>
      <c r="F601" s="1"/>
      <c r="Q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58"/>
    </row>
    <row r="602" ht="17.25" customHeight="1">
      <c r="A602" s="1"/>
      <c r="B602" s="1"/>
      <c r="C602" s="1"/>
      <c r="D602" s="1"/>
      <c r="E602" s="1"/>
      <c r="F602" s="1"/>
      <c r="Q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58"/>
    </row>
    <row r="603" ht="17.25" customHeight="1">
      <c r="A603" s="1"/>
      <c r="B603" s="1"/>
      <c r="C603" s="1"/>
      <c r="D603" s="1"/>
      <c r="E603" s="1"/>
      <c r="F603" s="1"/>
      <c r="Q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58"/>
    </row>
    <row r="604" ht="17.25" customHeight="1">
      <c r="A604" s="1"/>
      <c r="B604" s="1"/>
      <c r="C604" s="1"/>
      <c r="D604" s="1"/>
      <c r="E604" s="1"/>
      <c r="F604" s="1"/>
      <c r="Q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58"/>
    </row>
    <row r="605" ht="17.25" customHeight="1">
      <c r="A605" s="1"/>
      <c r="B605" s="1"/>
      <c r="C605" s="1"/>
      <c r="D605" s="1"/>
      <c r="E605" s="1"/>
      <c r="F605" s="1"/>
      <c r="Q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58"/>
    </row>
    <row r="606" ht="17.25" customHeight="1">
      <c r="A606" s="1"/>
      <c r="B606" s="1"/>
      <c r="C606" s="1"/>
      <c r="D606" s="1"/>
      <c r="E606" s="1"/>
      <c r="F606" s="1"/>
      <c r="Q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58"/>
    </row>
    <row r="607" ht="17.25" customHeight="1">
      <c r="A607" s="1"/>
      <c r="B607" s="1"/>
      <c r="C607" s="1"/>
      <c r="D607" s="1"/>
      <c r="E607" s="1"/>
      <c r="F607" s="1"/>
      <c r="Q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58"/>
    </row>
    <row r="608" ht="17.25" customHeight="1">
      <c r="A608" s="1"/>
      <c r="B608" s="1"/>
      <c r="C608" s="1"/>
      <c r="D608" s="1"/>
      <c r="E608" s="1"/>
      <c r="F608" s="1"/>
      <c r="Q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58"/>
    </row>
    <row r="609" ht="17.25" customHeight="1">
      <c r="A609" s="1"/>
      <c r="B609" s="1"/>
      <c r="C609" s="1"/>
      <c r="D609" s="1"/>
      <c r="E609" s="1"/>
      <c r="F609" s="1"/>
      <c r="Q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58"/>
    </row>
    <row r="610" ht="17.25" customHeight="1">
      <c r="A610" s="1"/>
      <c r="B610" s="1"/>
      <c r="C610" s="1"/>
      <c r="D610" s="1"/>
      <c r="E610" s="1"/>
      <c r="F610" s="1"/>
      <c r="Q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58"/>
    </row>
    <row r="611" ht="17.25" customHeight="1">
      <c r="A611" s="1"/>
      <c r="B611" s="1"/>
      <c r="C611" s="1"/>
      <c r="D611" s="1"/>
      <c r="E611" s="1"/>
      <c r="F611" s="1"/>
      <c r="Q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58"/>
    </row>
    <row r="612" ht="17.25" customHeight="1">
      <c r="A612" s="1"/>
      <c r="B612" s="1"/>
      <c r="C612" s="1"/>
      <c r="D612" s="1"/>
      <c r="E612" s="1"/>
      <c r="F612" s="1"/>
      <c r="Q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58"/>
    </row>
    <row r="613" ht="17.25" customHeight="1">
      <c r="A613" s="1"/>
      <c r="B613" s="1"/>
      <c r="C613" s="1"/>
      <c r="D613" s="1"/>
      <c r="E613" s="1"/>
      <c r="F613" s="1"/>
      <c r="Q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58"/>
    </row>
    <row r="614" ht="17.25" customHeight="1">
      <c r="A614" s="1"/>
      <c r="B614" s="1"/>
      <c r="C614" s="1"/>
      <c r="D614" s="1"/>
      <c r="E614" s="1"/>
      <c r="F614" s="1"/>
      <c r="Q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58"/>
    </row>
    <row r="615" ht="17.25" customHeight="1">
      <c r="A615" s="1"/>
      <c r="B615" s="1"/>
      <c r="C615" s="1"/>
      <c r="D615" s="1"/>
      <c r="E615" s="1"/>
      <c r="F615" s="1"/>
      <c r="Q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58"/>
    </row>
    <row r="616" ht="17.25" customHeight="1">
      <c r="A616" s="1"/>
      <c r="B616" s="1"/>
      <c r="C616" s="1"/>
      <c r="D616" s="1"/>
      <c r="E616" s="1"/>
      <c r="F616" s="1"/>
      <c r="Q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58"/>
    </row>
    <row r="617" ht="17.25" customHeight="1">
      <c r="A617" s="1"/>
      <c r="B617" s="1"/>
      <c r="C617" s="1"/>
      <c r="D617" s="1"/>
      <c r="E617" s="1"/>
      <c r="F617" s="1"/>
      <c r="Q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58"/>
    </row>
    <row r="618" ht="17.25" customHeight="1">
      <c r="A618" s="1"/>
      <c r="B618" s="1"/>
      <c r="C618" s="1"/>
      <c r="D618" s="1"/>
      <c r="E618" s="1"/>
      <c r="F618" s="1"/>
      <c r="Q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58"/>
    </row>
    <row r="619" ht="17.25" customHeight="1">
      <c r="A619" s="1"/>
      <c r="B619" s="1"/>
      <c r="C619" s="1"/>
      <c r="D619" s="1"/>
      <c r="E619" s="1"/>
      <c r="F619" s="1"/>
      <c r="Q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58"/>
    </row>
    <row r="620" ht="17.25" customHeight="1">
      <c r="A620" s="1"/>
      <c r="B620" s="1"/>
      <c r="C620" s="1"/>
      <c r="D620" s="1"/>
      <c r="E620" s="1"/>
      <c r="F620" s="1"/>
      <c r="Q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58"/>
    </row>
    <row r="621" ht="17.25" customHeight="1">
      <c r="A621" s="1"/>
      <c r="B621" s="1"/>
      <c r="C621" s="1"/>
      <c r="D621" s="1"/>
      <c r="E621" s="1"/>
      <c r="F621" s="1"/>
      <c r="Q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58"/>
    </row>
    <row r="622" ht="17.25" customHeight="1">
      <c r="A622" s="1"/>
      <c r="B622" s="1"/>
      <c r="C622" s="1"/>
      <c r="D622" s="1"/>
      <c r="E622" s="1"/>
      <c r="F622" s="1"/>
      <c r="Q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58"/>
    </row>
    <row r="623" ht="17.25" customHeight="1">
      <c r="A623" s="1"/>
      <c r="B623" s="1"/>
      <c r="C623" s="1"/>
      <c r="D623" s="1"/>
      <c r="E623" s="1"/>
      <c r="F623" s="1"/>
      <c r="Q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58"/>
    </row>
    <row r="624" ht="17.25" customHeight="1">
      <c r="A624" s="1"/>
      <c r="B624" s="1"/>
      <c r="C624" s="1"/>
      <c r="D624" s="1"/>
      <c r="E624" s="1"/>
      <c r="F624" s="1"/>
      <c r="Q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58"/>
    </row>
    <row r="625" ht="17.25" customHeight="1">
      <c r="A625" s="1"/>
      <c r="B625" s="1"/>
      <c r="C625" s="1"/>
      <c r="D625" s="1"/>
      <c r="E625" s="1"/>
      <c r="F625" s="1"/>
      <c r="Q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58"/>
    </row>
    <row r="626" ht="17.25" customHeight="1">
      <c r="A626" s="1"/>
      <c r="B626" s="1"/>
      <c r="C626" s="1"/>
      <c r="D626" s="1"/>
      <c r="E626" s="1"/>
      <c r="F626" s="1"/>
      <c r="Q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58"/>
    </row>
    <row r="627" ht="17.25" customHeight="1">
      <c r="A627" s="1"/>
      <c r="B627" s="1"/>
      <c r="C627" s="1"/>
      <c r="D627" s="1"/>
      <c r="E627" s="1"/>
      <c r="F627" s="1"/>
      <c r="Q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58"/>
    </row>
    <row r="628" ht="17.25" customHeight="1">
      <c r="A628" s="1"/>
      <c r="B628" s="1"/>
      <c r="C628" s="1"/>
      <c r="D628" s="1"/>
      <c r="E628" s="1"/>
      <c r="F628" s="1"/>
      <c r="Q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58"/>
    </row>
    <row r="629" ht="17.25" customHeight="1">
      <c r="A629" s="1"/>
      <c r="B629" s="1"/>
      <c r="C629" s="1"/>
      <c r="D629" s="1"/>
      <c r="E629" s="1"/>
      <c r="F629" s="1"/>
      <c r="Q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58"/>
    </row>
    <row r="630" ht="17.25" customHeight="1">
      <c r="A630" s="1"/>
      <c r="B630" s="1"/>
      <c r="C630" s="1"/>
      <c r="D630" s="1"/>
      <c r="E630" s="1"/>
      <c r="F630" s="1"/>
      <c r="Q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58"/>
    </row>
    <row r="631" ht="17.25" customHeight="1">
      <c r="A631" s="1"/>
      <c r="B631" s="1"/>
      <c r="C631" s="1"/>
      <c r="D631" s="1"/>
      <c r="E631" s="1"/>
      <c r="F631" s="1"/>
      <c r="Q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58"/>
    </row>
    <row r="632" ht="17.25" customHeight="1">
      <c r="A632" s="1"/>
      <c r="B632" s="1"/>
      <c r="C632" s="1"/>
      <c r="D632" s="1"/>
      <c r="E632" s="1"/>
      <c r="F632" s="1"/>
      <c r="Q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58"/>
    </row>
    <row r="633" ht="17.25" customHeight="1">
      <c r="A633" s="1"/>
      <c r="B633" s="1"/>
      <c r="C633" s="1"/>
      <c r="D633" s="1"/>
      <c r="E633" s="1"/>
      <c r="F633" s="1"/>
      <c r="Q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58"/>
    </row>
    <row r="634" ht="17.25" customHeight="1">
      <c r="A634" s="1"/>
      <c r="B634" s="1"/>
      <c r="C634" s="1"/>
      <c r="D634" s="1"/>
      <c r="E634" s="1"/>
      <c r="F634" s="1"/>
      <c r="Q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58"/>
    </row>
    <row r="635" ht="17.25" customHeight="1">
      <c r="A635" s="1"/>
      <c r="B635" s="1"/>
      <c r="C635" s="1"/>
      <c r="D635" s="1"/>
      <c r="E635" s="1"/>
      <c r="F635" s="1"/>
      <c r="Q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58"/>
    </row>
    <row r="636" ht="17.25" customHeight="1">
      <c r="A636" s="1"/>
      <c r="B636" s="1"/>
      <c r="C636" s="1"/>
      <c r="D636" s="1"/>
      <c r="E636" s="1"/>
      <c r="F636" s="1"/>
      <c r="Q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58"/>
    </row>
    <row r="637" ht="17.25" customHeight="1">
      <c r="A637" s="1"/>
      <c r="B637" s="1"/>
      <c r="C637" s="1"/>
      <c r="D637" s="1"/>
      <c r="E637" s="1"/>
      <c r="F637" s="1"/>
      <c r="Q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58"/>
    </row>
    <row r="638" ht="17.25" customHeight="1">
      <c r="A638" s="1"/>
      <c r="B638" s="1"/>
      <c r="C638" s="1"/>
      <c r="D638" s="1"/>
      <c r="E638" s="1"/>
      <c r="F638" s="1"/>
      <c r="Q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58"/>
    </row>
    <row r="639" ht="17.25" customHeight="1">
      <c r="A639" s="1"/>
      <c r="B639" s="1"/>
      <c r="C639" s="1"/>
      <c r="D639" s="1"/>
      <c r="E639" s="1"/>
      <c r="F639" s="1"/>
      <c r="Q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58"/>
    </row>
    <row r="640" ht="17.25" customHeight="1">
      <c r="A640" s="1"/>
      <c r="B640" s="1"/>
      <c r="C640" s="1"/>
      <c r="D640" s="1"/>
      <c r="E640" s="1"/>
      <c r="F640" s="1"/>
      <c r="Q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58"/>
    </row>
    <row r="641" ht="17.25" customHeight="1">
      <c r="A641" s="1"/>
      <c r="B641" s="1"/>
      <c r="C641" s="1"/>
      <c r="D641" s="1"/>
      <c r="E641" s="1"/>
      <c r="F641" s="1"/>
      <c r="Q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58"/>
    </row>
    <row r="642" ht="17.25" customHeight="1">
      <c r="A642" s="1"/>
      <c r="B642" s="1"/>
      <c r="C642" s="1"/>
      <c r="D642" s="1"/>
      <c r="E642" s="1"/>
      <c r="F642" s="1"/>
      <c r="Q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58"/>
    </row>
    <row r="643" ht="17.25" customHeight="1">
      <c r="A643" s="1"/>
      <c r="B643" s="1"/>
      <c r="C643" s="1"/>
      <c r="D643" s="1"/>
      <c r="E643" s="1"/>
      <c r="F643" s="1"/>
      <c r="Q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58"/>
    </row>
    <row r="644" ht="17.25" customHeight="1">
      <c r="A644" s="1"/>
      <c r="B644" s="1"/>
      <c r="C644" s="1"/>
      <c r="D644" s="1"/>
      <c r="E644" s="1"/>
      <c r="F644" s="1"/>
      <c r="Q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58"/>
    </row>
    <row r="645" ht="17.25" customHeight="1">
      <c r="A645" s="1"/>
      <c r="B645" s="1"/>
      <c r="C645" s="1"/>
      <c r="D645" s="1"/>
      <c r="E645" s="1"/>
      <c r="F645" s="1"/>
      <c r="Q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58"/>
    </row>
    <row r="646" ht="17.25" customHeight="1">
      <c r="A646" s="1"/>
      <c r="B646" s="1"/>
      <c r="C646" s="1"/>
      <c r="D646" s="1"/>
      <c r="E646" s="1"/>
      <c r="F646" s="1"/>
      <c r="Q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58"/>
    </row>
    <row r="647" ht="17.25" customHeight="1">
      <c r="A647" s="1"/>
      <c r="B647" s="1"/>
      <c r="C647" s="1"/>
      <c r="D647" s="1"/>
      <c r="E647" s="1"/>
      <c r="F647" s="1"/>
      <c r="Q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58"/>
    </row>
    <row r="648" ht="17.25" customHeight="1">
      <c r="A648" s="1"/>
      <c r="B648" s="1"/>
      <c r="C648" s="1"/>
      <c r="D648" s="1"/>
      <c r="E648" s="1"/>
      <c r="F648" s="1"/>
      <c r="Q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58"/>
    </row>
    <row r="649" ht="17.25" customHeight="1">
      <c r="A649" s="1"/>
      <c r="B649" s="1"/>
      <c r="C649" s="1"/>
      <c r="D649" s="1"/>
      <c r="E649" s="1"/>
      <c r="F649" s="1"/>
      <c r="Q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58"/>
    </row>
    <row r="650" ht="17.25" customHeight="1">
      <c r="A650" s="1"/>
      <c r="B650" s="1"/>
      <c r="C650" s="1"/>
      <c r="D650" s="1"/>
      <c r="E650" s="1"/>
      <c r="F650" s="1"/>
      <c r="Q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58"/>
    </row>
    <row r="651" ht="17.25" customHeight="1">
      <c r="A651" s="1"/>
      <c r="B651" s="1"/>
      <c r="C651" s="1"/>
      <c r="D651" s="1"/>
      <c r="E651" s="1"/>
      <c r="F651" s="1"/>
      <c r="Q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58"/>
    </row>
    <row r="652" ht="17.25" customHeight="1">
      <c r="A652" s="1"/>
      <c r="B652" s="1"/>
      <c r="C652" s="1"/>
      <c r="D652" s="1"/>
      <c r="E652" s="1"/>
      <c r="F652" s="1"/>
      <c r="Q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58"/>
    </row>
    <row r="653" ht="17.25" customHeight="1">
      <c r="A653" s="1"/>
      <c r="B653" s="1"/>
      <c r="C653" s="1"/>
      <c r="D653" s="1"/>
      <c r="E653" s="1"/>
      <c r="F653" s="1"/>
      <c r="Q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58"/>
    </row>
    <row r="654" ht="17.25" customHeight="1">
      <c r="A654" s="1"/>
      <c r="B654" s="1"/>
      <c r="C654" s="1"/>
      <c r="D654" s="1"/>
      <c r="E654" s="1"/>
      <c r="F654" s="1"/>
      <c r="Q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58"/>
    </row>
    <row r="655" ht="17.25" customHeight="1">
      <c r="A655" s="1"/>
      <c r="B655" s="1"/>
      <c r="C655" s="1"/>
      <c r="D655" s="1"/>
      <c r="E655" s="1"/>
      <c r="F655" s="1"/>
      <c r="Q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58"/>
    </row>
    <row r="656" ht="17.25" customHeight="1">
      <c r="A656" s="1"/>
      <c r="B656" s="1"/>
      <c r="C656" s="1"/>
      <c r="D656" s="1"/>
      <c r="E656" s="1"/>
      <c r="F656" s="1"/>
      <c r="Q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58"/>
    </row>
    <row r="657" ht="17.25" customHeight="1">
      <c r="A657" s="1"/>
      <c r="B657" s="1"/>
      <c r="C657" s="1"/>
      <c r="D657" s="1"/>
      <c r="E657" s="1"/>
      <c r="F657" s="1"/>
      <c r="Q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58"/>
    </row>
    <row r="658" ht="17.25" customHeight="1">
      <c r="A658" s="1"/>
      <c r="B658" s="1"/>
      <c r="C658" s="1"/>
      <c r="D658" s="1"/>
      <c r="E658" s="1"/>
      <c r="F658" s="1"/>
      <c r="Q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58"/>
    </row>
    <row r="659" ht="17.25" customHeight="1">
      <c r="A659" s="1"/>
      <c r="B659" s="1"/>
      <c r="C659" s="1"/>
      <c r="D659" s="1"/>
      <c r="E659" s="1"/>
      <c r="F659" s="1"/>
      <c r="Q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58"/>
    </row>
    <row r="660" ht="17.25" customHeight="1">
      <c r="A660" s="1"/>
      <c r="B660" s="1"/>
      <c r="C660" s="1"/>
      <c r="D660" s="1"/>
      <c r="E660" s="1"/>
      <c r="F660" s="1"/>
      <c r="Q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58"/>
    </row>
    <row r="661" ht="17.25" customHeight="1">
      <c r="A661" s="1"/>
      <c r="B661" s="1"/>
      <c r="C661" s="1"/>
      <c r="D661" s="1"/>
      <c r="E661" s="1"/>
      <c r="F661" s="1"/>
      <c r="Q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58"/>
    </row>
    <row r="662" ht="17.25" customHeight="1">
      <c r="A662" s="1"/>
      <c r="B662" s="1"/>
      <c r="C662" s="1"/>
      <c r="D662" s="1"/>
      <c r="E662" s="1"/>
      <c r="F662" s="1"/>
      <c r="Q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58"/>
    </row>
    <row r="663" ht="17.25" customHeight="1">
      <c r="A663" s="1"/>
      <c r="B663" s="1"/>
      <c r="C663" s="1"/>
      <c r="D663" s="1"/>
      <c r="E663" s="1"/>
      <c r="F663" s="1"/>
      <c r="Q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58"/>
    </row>
    <row r="664" ht="17.25" customHeight="1">
      <c r="A664" s="1"/>
      <c r="B664" s="1"/>
      <c r="C664" s="1"/>
      <c r="D664" s="1"/>
      <c r="E664" s="1"/>
      <c r="F664" s="1"/>
      <c r="Q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58"/>
    </row>
    <row r="665" ht="17.25" customHeight="1">
      <c r="A665" s="1"/>
      <c r="B665" s="1"/>
      <c r="C665" s="1"/>
      <c r="D665" s="1"/>
      <c r="E665" s="1"/>
      <c r="F665" s="1"/>
      <c r="Q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58"/>
    </row>
    <row r="666" ht="17.25" customHeight="1">
      <c r="A666" s="1"/>
      <c r="B666" s="1"/>
      <c r="C666" s="1"/>
      <c r="D666" s="1"/>
      <c r="E666" s="1"/>
      <c r="F666" s="1"/>
      <c r="Q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58"/>
    </row>
    <row r="667" ht="17.25" customHeight="1">
      <c r="A667" s="1"/>
      <c r="B667" s="1"/>
      <c r="C667" s="1"/>
      <c r="D667" s="1"/>
      <c r="E667" s="1"/>
      <c r="F667" s="1"/>
      <c r="Q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58"/>
    </row>
    <row r="668" ht="17.25" customHeight="1">
      <c r="A668" s="1"/>
      <c r="B668" s="1"/>
      <c r="C668" s="1"/>
      <c r="D668" s="1"/>
      <c r="E668" s="1"/>
      <c r="F668" s="1"/>
      <c r="Q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58"/>
    </row>
    <row r="669" ht="17.25" customHeight="1">
      <c r="A669" s="1"/>
      <c r="B669" s="1"/>
      <c r="C669" s="1"/>
      <c r="D669" s="1"/>
      <c r="E669" s="1"/>
      <c r="F669" s="1"/>
      <c r="Q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58"/>
    </row>
    <row r="670" ht="17.25" customHeight="1">
      <c r="A670" s="1"/>
      <c r="B670" s="1"/>
      <c r="C670" s="1"/>
      <c r="D670" s="1"/>
      <c r="E670" s="1"/>
      <c r="F670" s="1"/>
      <c r="Q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58"/>
    </row>
    <row r="671" ht="17.25" customHeight="1">
      <c r="A671" s="1"/>
      <c r="B671" s="1"/>
      <c r="C671" s="1"/>
      <c r="D671" s="1"/>
      <c r="E671" s="1"/>
      <c r="F671" s="1"/>
      <c r="Q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58"/>
    </row>
    <row r="672" ht="17.25" customHeight="1">
      <c r="A672" s="1"/>
      <c r="B672" s="1"/>
      <c r="C672" s="1"/>
      <c r="D672" s="1"/>
      <c r="E672" s="1"/>
      <c r="F672" s="1"/>
      <c r="Q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58"/>
    </row>
    <row r="673" ht="17.25" customHeight="1">
      <c r="A673" s="1"/>
      <c r="B673" s="1"/>
      <c r="C673" s="1"/>
      <c r="D673" s="1"/>
      <c r="E673" s="1"/>
      <c r="F673" s="1"/>
      <c r="Q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58"/>
    </row>
    <row r="674" ht="17.25" customHeight="1">
      <c r="A674" s="1"/>
      <c r="B674" s="1"/>
      <c r="C674" s="1"/>
      <c r="D674" s="1"/>
      <c r="E674" s="1"/>
      <c r="F674" s="1"/>
      <c r="Q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58"/>
    </row>
    <row r="675" ht="17.25" customHeight="1">
      <c r="A675" s="1"/>
      <c r="B675" s="1"/>
      <c r="C675" s="1"/>
      <c r="D675" s="1"/>
      <c r="E675" s="1"/>
      <c r="F675" s="1"/>
      <c r="Q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58"/>
    </row>
    <row r="676" ht="17.25" customHeight="1">
      <c r="A676" s="1"/>
      <c r="B676" s="1"/>
      <c r="C676" s="1"/>
      <c r="D676" s="1"/>
      <c r="E676" s="1"/>
      <c r="F676" s="1"/>
      <c r="Q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58"/>
    </row>
    <row r="677" ht="17.25" customHeight="1">
      <c r="A677" s="1"/>
      <c r="B677" s="1"/>
      <c r="C677" s="1"/>
      <c r="D677" s="1"/>
      <c r="E677" s="1"/>
      <c r="F677" s="1"/>
      <c r="Q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58"/>
    </row>
    <row r="678" ht="17.25" customHeight="1">
      <c r="A678" s="1"/>
      <c r="B678" s="1"/>
      <c r="C678" s="1"/>
      <c r="D678" s="1"/>
      <c r="E678" s="1"/>
      <c r="F678" s="1"/>
      <c r="Q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58"/>
    </row>
    <row r="679" ht="17.25" customHeight="1">
      <c r="A679" s="1"/>
      <c r="B679" s="1"/>
      <c r="C679" s="1"/>
      <c r="D679" s="1"/>
      <c r="E679" s="1"/>
      <c r="F679" s="1"/>
      <c r="Q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58"/>
    </row>
    <row r="680" ht="17.25" customHeight="1">
      <c r="A680" s="1"/>
      <c r="B680" s="1"/>
      <c r="C680" s="1"/>
      <c r="D680" s="1"/>
      <c r="E680" s="1"/>
      <c r="F680" s="1"/>
      <c r="Q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58"/>
    </row>
    <row r="681" ht="17.25" customHeight="1">
      <c r="A681" s="1"/>
      <c r="B681" s="1"/>
      <c r="C681" s="1"/>
      <c r="D681" s="1"/>
      <c r="E681" s="1"/>
      <c r="F681" s="1"/>
      <c r="Q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58"/>
    </row>
    <row r="682" ht="17.25" customHeight="1">
      <c r="A682" s="1"/>
      <c r="B682" s="1"/>
      <c r="C682" s="1"/>
      <c r="D682" s="1"/>
      <c r="E682" s="1"/>
      <c r="F682" s="1"/>
      <c r="Q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58"/>
    </row>
    <row r="683" ht="17.25" customHeight="1">
      <c r="A683" s="1"/>
      <c r="B683" s="1"/>
      <c r="C683" s="1"/>
      <c r="D683" s="1"/>
      <c r="E683" s="1"/>
      <c r="F683" s="1"/>
      <c r="Q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58"/>
    </row>
    <row r="684" ht="17.25" customHeight="1">
      <c r="A684" s="1"/>
      <c r="B684" s="1"/>
      <c r="C684" s="1"/>
      <c r="D684" s="1"/>
      <c r="E684" s="1"/>
      <c r="F684" s="1"/>
      <c r="Q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58"/>
    </row>
    <row r="685" ht="17.25" customHeight="1">
      <c r="A685" s="1"/>
      <c r="B685" s="1"/>
      <c r="C685" s="1"/>
      <c r="D685" s="1"/>
      <c r="E685" s="1"/>
      <c r="F685" s="1"/>
      <c r="Q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58"/>
    </row>
    <row r="686" ht="17.25" customHeight="1">
      <c r="A686" s="1"/>
      <c r="B686" s="1"/>
      <c r="C686" s="1"/>
      <c r="D686" s="1"/>
      <c r="E686" s="1"/>
      <c r="F686" s="1"/>
      <c r="Q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58"/>
    </row>
    <row r="687" ht="17.25" customHeight="1">
      <c r="A687" s="1"/>
      <c r="B687" s="1"/>
      <c r="C687" s="1"/>
      <c r="D687" s="1"/>
      <c r="E687" s="1"/>
      <c r="F687" s="1"/>
      <c r="Q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58"/>
    </row>
    <row r="688" ht="17.25" customHeight="1">
      <c r="A688" s="1"/>
      <c r="B688" s="1"/>
      <c r="C688" s="1"/>
      <c r="D688" s="1"/>
      <c r="E688" s="1"/>
      <c r="F688" s="1"/>
      <c r="Q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58"/>
    </row>
    <row r="689" ht="17.25" customHeight="1">
      <c r="A689" s="1"/>
      <c r="B689" s="1"/>
      <c r="C689" s="1"/>
      <c r="D689" s="1"/>
      <c r="E689" s="1"/>
      <c r="F689" s="1"/>
      <c r="Q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58"/>
    </row>
    <row r="690" ht="17.25" customHeight="1">
      <c r="A690" s="1"/>
      <c r="B690" s="1"/>
      <c r="C690" s="1"/>
      <c r="D690" s="1"/>
      <c r="E690" s="1"/>
      <c r="F690" s="1"/>
      <c r="Q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58"/>
    </row>
    <row r="691" ht="17.25" customHeight="1">
      <c r="A691" s="1"/>
      <c r="B691" s="1"/>
      <c r="C691" s="1"/>
      <c r="D691" s="1"/>
      <c r="E691" s="1"/>
      <c r="F691" s="1"/>
      <c r="Q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58"/>
    </row>
    <row r="692" ht="17.25" customHeight="1">
      <c r="A692" s="1"/>
      <c r="B692" s="1"/>
      <c r="C692" s="1"/>
      <c r="D692" s="1"/>
      <c r="E692" s="1"/>
      <c r="F692" s="1"/>
      <c r="Q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58"/>
    </row>
    <row r="693" ht="17.25" customHeight="1">
      <c r="A693" s="1"/>
      <c r="B693" s="1"/>
      <c r="C693" s="1"/>
      <c r="D693" s="1"/>
      <c r="E693" s="1"/>
      <c r="F693" s="1"/>
      <c r="Q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58"/>
    </row>
    <row r="694" ht="17.25" customHeight="1">
      <c r="A694" s="1"/>
      <c r="B694" s="1"/>
      <c r="C694" s="1"/>
      <c r="D694" s="1"/>
      <c r="E694" s="1"/>
      <c r="F694" s="1"/>
      <c r="Q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58"/>
    </row>
    <row r="695" ht="17.25" customHeight="1">
      <c r="A695" s="1"/>
      <c r="B695" s="1"/>
      <c r="C695" s="1"/>
      <c r="D695" s="1"/>
      <c r="E695" s="1"/>
      <c r="F695" s="1"/>
      <c r="Q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58"/>
    </row>
    <row r="696" ht="17.25" customHeight="1">
      <c r="A696" s="1"/>
      <c r="B696" s="1"/>
      <c r="C696" s="1"/>
      <c r="D696" s="1"/>
      <c r="E696" s="1"/>
      <c r="F696" s="1"/>
      <c r="Q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58"/>
    </row>
    <row r="697" ht="17.25" customHeight="1">
      <c r="A697" s="1"/>
      <c r="B697" s="1"/>
      <c r="C697" s="1"/>
      <c r="D697" s="1"/>
      <c r="E697" s="1"/>
      <c r="F697" s="1"/>
      <c r="Q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58"/>
    </row>
    <row r="698" ht="17.25" customHeight="1">
      <c r="A698" s="1"/>
      <c r="B698" s="1"/>
      <c r="C698" s="1"/>
      <c r="D698" s="1"/>
      <c r="E698" s="1"/>
      <c r="F698" s="1"/>
      <c r="Q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58"/>
    </row>
    <row r="699" ht="17.25" customHeight="1">
      <c r="A699" s="1"/>
      <c r="B699" s="1"/>
      <c r="C699" s="1"/>
      <c r="D699" s="1"/>
      <c r="E699" s="1"/>
      <c r="F699" s="1"/>
      <c r="Q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58"/>
    </row>
    <row r="700" ht="17.25" customHeight="1">
      <c r="A700" s="1"/>
      <c r="B700" s="1"/>
      <c r="C700" s="1"/>
      <c r="D700" s="1"/>
      <c r="E700" s="1"/>
      <c r="F700" s="1"/>
      <c r="Q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58"/>
    </row>
    <row r="701" ht="17.25" customHeight="1">
      <c r="A701" s="1"/>
      <c r="B701" s="1"/>
      <c r="C701" s="1"/>
      <c r="D701" s="1"/>
      <c r="E701" s="1"/>
      <c r="F701" s="1"/>
      <c r="Q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58"/>
    </row>
    <row r="702" ht="17.25" customHeight="1">
      <c r="A702" s="1"/>
      <c r="B702" s="1"/>
      <c r="C702" s="1"/>
      <c r="D702" s="1"/>
      <c r="E702" s="1"/>
      <c r="F702" s="1"/>
      <c r="Q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58"/>
    </row>
    <row r="703" ht="17.25" customHeight="1">
      <c r="A703" s="1"/>
      <c r="B703" s="1"/>
      <c r="C703" s="1"/>
      <c r="D703" s="1"/>
      <c r="E703" s="1"/>
      <c r="F703" s="1"/>
      <c r="Q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58"/>
    </row>
    <row r="704" ht="17.25" customHeight="1">
      <c r="A704" s="1"/>
      <c r="B704" s="1"/>
      <c r="C704" s="1"/>
      <c r="D704" s="1"/>
      <c r="E704" s="1"/>
      <c r="F704" s="1"/>
      <c r="Q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58"/>
    </row>
    <row r="705" ht="17.25" customHeight="1">
      <c r="A705" s="1"/>
      <c r="B705" s="1"/>
      <c r="C705" s="1"/>
      <c r="D705" s="1"/>
      <c r="E705" s="1"/>
      <c r="F705" s="1"/>
      <c r="Q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58"/>
    </row>
    <row r="706" ht="17.25" customHeight="1">
      <c r="A706" s="1"/>
      <c r="B706" s="1"/>
      <c r="C706" s="1"/>
      <c r="D706" s="1"/>
      <c r="E706" s="1"/>
      <c r="F706" s="1"/>
      <c r="Q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58"/>
    </row>
    <row r="707" ht="17.25" customHeight="1">
      <c r="A707" s="1"/>
      <c r="B707" s="1"/>
      <c r="C707" s="1"/>
      <c r="D707" s="1"/>
      <c r="E707" s="1"/>
      <c r="F707" s="1"/>
      <c r="Q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58"/>
    </row>
    <row r="708" ht="17.25" customHeight="1">
      <c r="A708" s="1"/>
      <c r="B708" s="1"/>
      <c r="C708" s="1"/>
      <c r="D708" s="1"/>
      <c r="E708" s="1"/>
      <c r="F708" s="1"/>
      <c r="Q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58"/>
    </row>
    <row r="709" ht="17.25" customHeight="1">
      <c r="A709" s="1"/>
      <c r="B709" s="1"/>
      <c r="C709" s="1"/>
      <c r="D709" s="1"/>
      <c r="E709" s="1"/>
      <c r="F709" s="1"/>
      <c r="Q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58"/>
    </row>
    <row r="710" ht="17.25" customHeight="1">
      <c r="A710" s="1"/>
      <c r="B710" s="1"/>
      <c r="C710" s="1"/>
      <c r="D710" s="1"/>
      <c r="E710" s="1"/>
      <c r="F710" s="1"/>
      <c r="Q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58"/>
    </row>
    <row r="711" ht="17.25" customHeight="1">
      <c r="A711" s="1"/>
      <c r="B711" s="1"/>
      <c r="C711" s="1"/>
      <c r="D711" s="1"/>
      <c r="E711" s="1"/>
      <c r="F711" s="1"/>
      <c r="Q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58"/>
    </row>
    <row r="712" ht="17.25" customHeight="1">
      <c r="A712" s="1"/>
      <c r="B712" s="1"/>
      <c r="C712" s="1"/>
      <c r="D712" s="1"/>
      <c r="E712" s="1"/>
      <c r="F712" s="1"/>
      <c r="Q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58"/>
    </row>
    <row r="713" ht="17.25" customHeight="1">
      <c r="A713" s="1"/>
      <c r="B713" s="1"/>
      <c r="C713" s="1"/>
      <c r="D713" s="1"/>
      <c r="E713" s="1"/>
      <c r="F713" s="1"/>
      <c r="Q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58"/>
    </row>
    <row r="714" ht="17.25" customHeight="1">
      <c r="A714" s="1"/>
      <c r="B714" s="1"/>
      <c r="C714" s="1"/>
      <c r="D714" s="1"/>
      <c r="E714" s="1"/>
      <c r="F714" s="1"/>
      <c r="Q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58"/>
    </row>
    <row r="715" ht="17.25" customHeight="1">
      <c r="A715" s="1"/>
      <c r="B715" s="1"/>
      <c r="C715" s="1"/>
      <c r="D715" s="1"/>
      <c r="E715" s="1"/>
      <c r="F715" s="1"/>
      <c r="Q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58"/>
    </row>
    <row r="716" ht="17.25" customHeight="1">
      <c r="A716" s="1"/>
      <c r="B716" s="1"/>
      <c r="C716" s="1"/>
      <c r="D716" s="1"/>
      <c r="E716" s="1"/>
      <c r="F716" s="1"/>
      <c r="Q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58"/>
    </row>
    <row r="717" ht="17.25" customHeight="1">
      <c r="A717" s="1"/>
      <c r="B717" s="1"/>
      <c r="C717" s="1"/>
      <c r="D717" s="1"/>
      <c r="E717" s="1"/>
      <c r="F717" s="1"/>
      <c r="Q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58"/>
    </row>
    <row r="718" ht="17.25" customHeight="1">
      <c r="A718" s="1"/>
      <c r="B718" s="1"/>
      <c r="C718" s="1"/>
      <c r="D718" s="1"/>
      <c r="E718" s="1"/>
      <c r="F718" s="1"/>
      <c r="Q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58"/>
    </row>
    <row r="719" ht="17.25" customHeight="1">
      <c r="A719" s="1"/>
      <c r="B719" s="1"/>
      <c r="C719" s="1"/>
      <c r="D719" s="1"/>
      <c r="E719" s="1"/>
      <c r="F719" s="1"/>
      <c r="Q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58"/>
    </row>
    <row r="720" ht="17.25" customHeight="1">
      <c r="A720" s="1"/>
      <c r="B720" s="1"/>
      <c r="C720" s="1"/>
      <c r="D720" s="1"/>
      <c r="E720" s="1"/>
      <c r="F720" s="1"/>
      <c r="Q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58"/>
    </row>
    <row r="721" ht="17.25" customHeight="1">
      <c r="A721" s="1"/>
      <c r="B721" s="1"/>
      <c r="C721" s="1"/>
      <c r="D721" s="1"/>
      <c r="E721" s="1"/>
      <c r="F721" s="1"/>
      <c r="Q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58"/>
    </row>
    <row r="722" ht="17.25" customHeight="1">
      <c r="A722" s="1"/>
      <c r="B722" s="1"/>
      <c r="C722" s="1"/>
      <c r="D722" s="1"/>
      <c r="E722" s="1"/>
      <c r="F722" s="1"/>
      <c r="Q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58"/>
    </row>
    <row r="723" ht="17.25" customHeight="1">
      <c r="A723" s="1"/>
      <c r="B723" s="1"/>
      <c r="C723" s="1"/>
      <c r="D723" s="1"/>
      <c r="E723" s="1"/>
      <c r="F723" s="1"/>
      <c r="Q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58"/>
    </row>
    <row r="724" ht="17.25" customHeight="1">
      <c r="A724" s="1"/>
      <c r="B724" s="1"/>
      <c r="C724" s="1"/>
      <c r="D724" s="1"/>
      <c r="E724" s="1"/>
      <c r="F724" s="1"/>
      <c r="Q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58"/>
    </row>
    <row r="725" ht="17.25" customHeight="1">
      <c r="A725" s="1"/>
      <c r="B725" s="1"/>
      <c r="C725" s="1"/>
      <c r="D725" s="1"/>
      <c r="E725" s="1"/>
      <c r="F725" s="1"/>
      <c r="Q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58"/>
    </row>
    <row r="726" ht="17.25" customHeight="1">
      <c r="A726" s="1"/>
      <c r="B726" s="1"/>
      <c r="C726" s="1"/>
      <c r="D726" s="1"/>
      <c r="E726" s="1"/>
      <c r="F726" s="1"/>
      <c r="Q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58"/>
    </row>
    <row r="727" ht="17.25" customHeight="1">
      <c r="A727" s="1"/>
      <c r="B727" s="1"/>
      <c r="C727" s="1"/>
      <c r="D727" s="1"/>
      <c r="E727" s="1"/>
      <c r="F727" s="1"/>
      <c r="Q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58"/>
    </row>
    <row r="728" ht="17.25" customHeight="1">
      <c r="A728" s="1"/>
      <c r="B728" s="1"/>
      <c r="C728" s="1"/>
      <c r="D728" s="1"/>
      <c r="E728" s="1"/>
      <c r="F728" s="1"/>
      <c r="Q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58"/>
    </row>
    <row r="729" ht="17.25" customHeight="1">
      <c r="A729" s="1"/>
      <c r="B729" s="1"/>
      <c r="C729" s="1"/>
      <c r="D729" s="1"/>
      <c r="E729" s="1"/>
      <c r="F729" s="1"/>
      <c r="Q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58"/>
    </row>
    <row r="730" ht="17.25" customHeight="1">
      <c r="A730" s="1"/>
      <c r="B730" s="1"/>
      <c r="C730" s="1"/>
      <c r="D730" s="1"/>
      <c r="E730" s="1"/>
      <c r="F730" s="1"/>
      <c r="Q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58"/>
    </row>
    <row r="731" ht="17.25" customHeight="1">
      <c r="A731" s="1"/>
      <c r="B731" s="1"/>
      <c r="C731" s="1"/>
      <c r="D731" s="1"/>
      <c r="E731" s="1"/>
      <c r="F731" s="1"/>
      <c r="Q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58"/>
    </row>
    <row r="732" ht="17.25" customHeight="1">
      <c r="A732" s="1"/>
      <c r="B732" s="1"/>
      <c r="C732" s="1"/>
      <c r="D732" s="1"/>
      <c r="E732" s="1"/>
      <c r="F732" s="1"/>
      <c r="Q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58"/>
    </row>
    <row r="733" ht="17.25" customHeight="1">
      <c r="A733" s="1"/>
      <c r="B733" s="1"/>
      <c r="C733" s="1"/>
      <c r="D733" s="1"/>
      <c r="E733" s="1"/>
      <c r="F733" s="1"/>
      <c r="Q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58"/>
    </row>
    <row r="734" ht="17.25" customHeight="1">
      <c r="A734" s="1"/>
      <c r="B734" s="1"/>
      <c r="C734" s="1"/>
      <c r="D734" s="1"/>
      <c r="E734" s="1"/>
      <c r="F734" s="1"/>
      <c r="Q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58"/>
    </row>
    <row r="735" ht="17.25" customHeight="1">
      <c r="A735" s="1"/>
      <c r="B735" s="1"/>
      <c r="C735" s="1"/>
      <c r="D735" s="1"/>
      <c r="E735" s="1"/>
      <c r="F735" s="1"/>
      <c r="Q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58"/>
    </row>
    <row r="736" ht="17.25" customHeight="1">
      <c r="A736" s="1"/>
      <c r="B736" s="1"/>
      <c r="C736" s="1"/>
      <c r="D736" s="1"/>
      <c r="E736" s="1"/>
      <c r="F736" s="1"/>
      <c r="Q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58"/>
    </row>
    <row r="737" ht="17.25" customHeight="1">
      <c r="A737" s="1"/>
      <c r="B737" s="1"/>
      <c r="C737" s="1"/>
      <c r="D737" s="1"/>
      <c r="E737" s="1"/>
      <c r="F737" s="1"/>
      <c r="Q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58"/>
    </row>
    <row r="738" ht="17.25" customHeight="1">
      <c r="A738" s="1"/>
      <c r="B738" s="1"/>
      <c r="C738" s="1"/>
      <c r="D738" s="1"/>
      <c r="E738" s="1"/>
      <c r="F738" s="1"/>
      <c r="Q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58"/>
    </row>
    <row r="739" ht="17.25" customHeight="1">
      <c r="A739" s="1"/>
      <c r="B739" s="1"/>
      <c r="C739" s="1"/>
      <c r="D739" s="1"/>
      <c r="E739" s="1"/>
      <c r="F739" s="1"/>
      <c r="Q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58"/>
    </row>
    <row r="740" ht="17.25" customHeight="1">
      <c r="A740" s="1"/>
      <c r="B740" s="1"/>
      <c r="C740" s="1"/>
      <c r="D740" s="1"/>
      <c r="E740" s="1"/>
      <c r="F740" s="1"/>
      <c r="Q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58"/>
    </row>
    <row r="741" ht="17.25" customHeight="1">
      <c r="A741" s="1"/>
      <c r="B741" s="1"/>
      <c r="C741" s="1"/>
      <c r="D741" s="1"/>
      <c r="E741" s="1"/>
      <c r="F741" s="1"/>
      <c r="Q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58"/>
    </row>
    <row r="742" ht="17.25" customHeight="1">
      <c r="A742" s="1"/>
      <c r="B742" s="1"/>
      <c r="C742" s="1"/>
      <c r="D742" s="1"/>
      <c r="E742" s="1"/>
      <c r="F742" s="1"/>
      <c r="Q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58"/>
    </row>
    <row r="743" ht="17.25" customHeight="1">
      <c r="A743" s="1"/>
      <c r="B743" s="1"/>
      <c r="C743" s="1"/>
      <c r="D743" s="1"/>
      <c r="E743" s="1"/>
      <c r="F743" s="1"/>
      <c r="Q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58"/>
    </row>
    <row r="744" ht="17.25" customHeight="1">
      <c r="A744" s="1"/>
      <c r="B744" s="1"/>
      <c r="C744" s="1"/>
      <c r="D744" s="1"/>
      <c r="E744" s="1"/>
      <c r="F744" s="1"/>
      <c r="Q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58"/>
    </row>
    <row r="745" ht="17.25" customHeight="1">
      <c r="A745" s="1"/>
      <c r="B745" s="1"/>
      <c r="C745" s="1"/>
      <c r="D745" s="1"/>
      <c r="E745" s="1"/>
      <c r="F745" s="1"/>
      <c r="Q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58"/>
    </row>
    <row r="746" ht="17.25" customHeight="1">
      <c r="A746" s="1"/>
      <c r="B746" s="1"/>
      <c r="C746" s="1"/>
      <c r="D746" s="1"/>
      <c r="E746" s="1"/>
      <c r="F746" s="1"/>
      <c r="Q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58"/>
    </row>
    <row r="747" ht="17.25" customHeight="1">
      <c r="A747" s="1"/>
      <c r="B747" s="1"/>
      <c r="C747" s="1"/>
      <c r="D747" s="1"/>
      <c r="E747" s="1"/>
      <c r="F747" s="1"/>
      <c r="Q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58"/>
    </row>
    <row r="748" ht="17.25" customHeight="1">
      <c r="A748" s="1"/>
      <c r="B748" s="1"/>
      <c r="C748" s="1"/>
      <c r="D748" s="1"/>
      <c r="E748" s="1"/>
      <c r="F748" s="1"/>
      <c r="Q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58"/>
    </row>
    <row r="749" ht="17.25" customHeight="1">
      <c r="A749" s="1"/>
      <c r="B749" s="1"/>
      <c r="C749" s="1"/>
      <c r="D749" s="1"/>
      <c r="E749" s="1"/>
      <c r="F749" s="1"/>
      <c r="Q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58"/>
    </row>
    <row r="750" ht="17.25" customHeight="1">
      <c r="A750" s="1"/>
      <c r="B750" s="1"/>
      <c r="C750" s="1"/>
      <c r="D750" s="1"/>
      <c r="E750" s="1"/>
      <c r="F750" s="1"/>
      <c r="Q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58"/>
    </row>
    <row r="751" ht="17.25" customHeight="1">
      <c r="A751" s="1"/>
      <c r="B751" s="1"/>
      <c r="C751" s="1"/>
      <c r="D751" s="1"/>
      <c r="E751" s="1"/>
      <c r="F751" s="1"/>
      <c r="Q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58"/>
    </row>
    <row r="752" ht="17.25" customHeight="1">
      <c r="A752" s="1"/>
      <c r="B752" s="1"/>
      <c r="C752" s="1"/>
      <c r="D752" s="1"/>
      <c r="E752" s="1"/>
      <c r="F752" s="1"/>
      <c r="Q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58"/>
    </row>
    <row r="753" ht="17.25" customHeight="1">
      <c r="A753" s="1"/>
      <c r="B753" s="1"/>
      <c r="C753" s="1"/>
      <c r="D753" s="1"/>
      <c r="E753" s="1"/>
      <c r="F753" s="1"/>
      <c r="Q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58"/>
    </row>
    <row r="754" ht="17.25" customHeight="1">
      <c r="A754" s="1"/>
      <c r="B754" s="1"/>
      <c r="C754" s="1"/>
      <c r="D754" s="1"/>
      <c r="E754" s="1"/>
      <c r="F754" s="1"/>
      <c r="Q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58"/>
    </row>
    <row r="755" ht="17.25" customHeight="1">
      <c r="A755" s="1"/>
      <c r="B755" s="1"/>
      <c r="C755" s="1"/>
      <c r="D755" s="1"/>
      <c r="E755" s="1"/>
      <c r="F755" s="1"/>
      <c r="Q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58"/>
    </row>
    <row r="756" ht="17.25" customHeight="1">
      <c r="A756" s="1"/>
      <c r="B756" s="1"/>
      <c r="C756" s="1"/>
      <c r="D756" s="1"/>
      <c r="E756" s="1"/>
      <c r="F756" s="1"/>
      <c r="Q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58"/>
    </row>
    <row r="757" ht="17.25" customHeight="1">
      <c r="A757" s="1"/>
      <c r="B757" s="1"/>
      <c r="C757" s="1"/>
      <c r="D757" s="1"/>
      <c r="E757" s="1"/>
      <c r="F757" s="1"/>
      <c r="Q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58"/>
    </row>
    <row r="758" ht="17.25" customHeight="1">
      <c r="A758" s="1"/>
      <c r="B758" s="1"/>
      <c r="C758" s="1"/>
      <c r="D758" s="1"/>
      <c r="E758" s="1"/>
      <c r="F758" s="1"/>
      <c r="Q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58"/>
    </row>
    <row r="759" ht="17.25" customHeight="1">
      <c r="A759" s="1"/>
      <c r="B759" s="1"/>
      <c r="C759" s="1"/>
      <c r="D759" s="1"/>
      <c r="E759" s="1"/>
      <c r="F759" s="1"/>
      <c r="Q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58"/>
    </row>
    <row r="760" ht="17.25" customHeight="1">
      <c r="A760" s="1"/>
      <c r="B760" s="1"/>
      <c r="C760" s="1"/>
      <c r="D760" s="1"/>
      <c r="E760" s="1"/>
      <c r="F760" s="1"/>
      <c r="Q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58"/>
    </row>
    <row r="761" ht="17.25" customHeight="1">
      <c r="A761" s="1"/>
      <c r="B761" s="1"/>
      <c r="C761" s="1"/>
      <c r="D761" s="1"/>
      <c r="E761" s="1"/>
      <c r="F761" s="1"/>
      <c r="Q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58"/>
    </row>
    <row r="762" ht="17.25" customHeight="1">
      <c r="A762" s="1"/>
      <c r="B762" s="1"/>
      <c r="C762" s="1"/>
      <c r="D762" s="1"/>
      <c r="E762" s="1"/>
      <c r="F762" s="1"/>
      <c r="Q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58"/>
    </row>
    <row r="763" ht="17.25" customHeight="1">
      <c r="A763" s="1"/>
      <c r="B763" s="1"/>
      <c r="C763" s="1"/>
      <c r="D763" s="1"/>
      <c r="E763" s="1"/>
      <c r="F763" s="1"/>
      <c r="Q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58"/>
    </row>
    <row r="764" ht="17.25" customHeight="1">
      <c r="A764" s="1"/>
      <c r="B764" s="1"/>
      <c r="C764" s="1"/>
      <c r="D764" s="1"/>
      <c r="E764" s="1"/>
      <c r="F764" s="1"/>
      <c r="Q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58"/>
    </row>
    <row r="765" ht="17.25" customHeight="1">
      <c r="A765" s="1"/>
      <c r="B765" s="1"/>
      <c r="C765" s="1"/>
      <c r="D765" s="1"/>
      <c r="E765" s="1"/>
      <c r="F765" s="1"/>
      <c r="Q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58"/>
    </row>
    <row r="766" ht="17.25" customHeight="1">
      <c r="A766" s="1"/>
      <c r="B766" s="1"/>
      <c r="C766" s="1"/>
      <c r="D766" s="1"/>
      <c r="E766" s="1"/>
      <c r="F766" s="1"/>
      <c r="Q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58"/>
    </row>
    <row r="767" ht="17.25" customHeight="1">
      <c r="A767" s="1"/>
      <c r="B767" s="1"/>
      <c r="C767" s="1"/>
      <c r="D767" s="1"/>
      <c r="E767" s="1"/>
      <c r="F767" s="1"/>
      <c r="Q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58"/>
    </row>
    <row r="768" ht="17.25" customHeight="1">
      <c r="A768" s="1"/>
      <c r="B768" s="1"/>
      <c r="C768" s="1"/>
      <c r="D768" s="1"/>
      <c r="E768" s="1"/>
      <c r="F768" s="1"/>
      <c r="Q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58"/>
    </row>
    <row r="769" ht="17.25" customHeight="1">
      <c r="A769" s="1"/>
      <c r="B769" s="1"/>
      <c r="C769" s="1"/>
      <c r="D769" s="1"/>
      <c r="E769" s="1"/>
      <c r="F769" s="1"/>
      <c r="Q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58"/>
    </row>
    <row r="770" ht="17.25" customHeight="1">
      <c r="A770" s="1"/>
      <c r="B770" s="1"/>
      <c r="C770" s="1"/>
      <c r="D770" s="1"/>
      <c r="E770" s="1"/>
      <c r="F770" s="1"/>
      <c r="Q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58"/>
    </row>
    <row r="771" ht="17.25" customHeight="1">
      <c r="A771" s="1"/>
      <c r="B771" s="1"/>
      <c r="C771" s="1"/>
      <c r="D771" s="1"/>
      <c r="E771" s="1"/>
      <c r="F771" s="1"/>
      <c r="Q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58"/>
    </row>
    <row r="772" ht="17.25" customHeight="1">
      <c r="A772" s="1"/>
      <c r="B772" s="1"/>
      <c r="C772" s="1"/>
      <c r="D772" s="1"/>
      <c r="E772" s="1"/>
      <c r="F772" s="1"/>
      <c r="Q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58"/>
    </row>
    <row r="773" ht="17.25" customHeight="1">
      <c r="A773" s="1"/>
      <c r="B773" s="1"/>
      <c r="C773" s="1"/>
      <c r="D773" s="1"/>
      <c r="E773" s="1"/>
      <c r="F773" s="1"/>
      <c r="Q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58"/>
    </row>
    <row r="774" ht="17.25" customHeight="1">
      <c r="A774" s="1"/>
      <c r="B774" s="1"/>
      <c r="C774" s="1"/>
      <c r="D774" s="1"/>
      <c r="E774" s="1"/>
      <c r="F774" s="1"/>
      <c r="Q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58"/>
    </row>
    <row r="775" ht="17.25" customHeight="1">
      <c r="A775" s="1"/>
      <c r="B775" s="1"/>
      <c r="C775" s="1"/>
      <c r="D775" s="1"/>
      <c r="E775" s="1"/>
      <c r="F775" s="1"/>
      <c r="Q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58"/>
    </row>
    <row r="776" ht="17.25" customHeight="1">
      <c r="A776" s="1"/>
      <c r="B776" s="1"/>
      <c r="C776" s="1"/>
      <c r="D776" s="1"/>
      <c r="E776" s="1"/>
      <c r="F776" s="1"/>
      <c r="Q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58"/>
    </row>
    <row r="777" ht="17.25" customHeight="1">
      <c r="A777" s="1"/>
      <c r="B777" s="1"/>
      <c r="C777" s="1"/>
      <c r="D777" s="1"/>
      <c r="E777" s="1"/>
      <c r="F777" s="1"/>
      <c r="Q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58"/>
    </row>
    <row r="778" ht="17.25" customHeight="1">
      <c r="A778" s="1"/>
      <c r="B778" s="1"/>
      <c r="C778" s="1"/>
      <c r="D778" s="1"/>
      <c r="E778" s="1"/>
      <c r="F778" s="1"/>
      <c r="Q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58"/>
    </row>
    <row r="779" ht="17.25" customHeight="1">
      <c r="A779" s="1"/>
      <c r="B779" s="1"/>
      <c r="C779" s="1"/>
      <c r="D779" s="1"/>
      <c r="E779" s="1"/>
      <c r="F779" s="1"/>
      <c r="Q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58"/>
    </row>
    <row r="780" ht="17.25" customHeight="1">
      <c r="A780" s="1"/>
      <c r="B780" s="1"/>
      <c r="C780" s="1"/>
      <c r="D780" s="1"/>
      <c r="E780" s="1"/>
      <c r="F780" s="1"/>
      <c r="Q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58"/>
    </row>
    <row r="781" ht="17.25" customHeight="1">
      <c r="A781" s="1"/>
      <c r="B781" s="1"/>
      <c r="C781" s="1"/>
      <c r="D781" s="1"/>
      <c r="E781" s="1"/>
      <c r="F781" s="1"/>
      <c r="Q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58"/>
    </row>
    <row r="782" ht="17.25" customHeight="1">
      <c r="A782" s="1"/>
      <c r="B782" s="1"/>
      <c r="C782" s="1"/>
      <c r="D782" s="1"/>
      <c r="E782" s="1"/>
      <c r="F782" s="1"/>
      <c r="Q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58"/>
    </row>
    <row r="783" ht="17.25" customHeight="1">
      <c r="A783" s="1"/>
      <c r="B783" s="1"/>
      <c r="C783" s="1"/>
      <c r="D783" s="1"/>
      <c r="E783" s="1"/>
      <c r="F783" s="1"/>
      <c r="Q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58"/>
    </row>
    <row r="784" ht="17.25" customHeight="1">
      <c r="A784" s="1"/>
      <c r="B784" s="1"/>
      <c r="C784" s="1"/>
      <c r="D784" s="1"/>
      <c r="E784" s="1"/>
      <c r="F784" s="1"/>
      <c r="Q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58"/>
    </row>
    <row r="785" ht="17.25" customHeight="1">
      <c r="A785" s="1"/>
      <c r="B785" s="1"/>
      <c r="C785" s="1"/>
      <c r="D785" s="1"/>
      <c r="E785" s="1"/>
      <c r="F785" s="1"/>
      <c r="Q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58"/>
    </row>
    <row r="786" ht="17.25" customHeight="1">
      <c r="A786" s="1"/>
      <c r="B786" s="1"/>
      <c r="C786" s="1"/>
      <c r="D786" s="1"/>
      <c r="E786" s="1"/>
      <c r="F786" s="1"/>
      <c r="Q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58"/>
    </row>
    <row r="787" ht="17.25" customHeight="1">
      <c r="A787" s="1"/>
      <c r="B787" s="1"/>
      <c r="C787" s="1"/>
      <c r="D787" s="1"/>
      <c r="E787" s="1"/>
      <c r="F787" s="1"/>
      <c r="Q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58"/>
    </row>
    <row r="788" ht="17.25" customHeight="1">
      <c r="A788" s="1"/>
      <c r="B788" s="1"/>
      <c r="C788" s="1"/>
      <c r="D788" s="1"/>
      <c r="E788" s="1"/>
      <c r="F788" s="1"/>
      <c r="Q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58"/>
    </row>
    <row r="789" ht="17.25" customHeight="1">
      <c r="A789" s="1"/>
      <c r="B789" s="1"/>
      <c r="C789" s="1"/>
      <c r="D789" s="1"/>
      <c r="E789" s="1"/>
      <c r="F789" s="1"/>
      <c r="Q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58"/>
    </row>
    <row r="790" ht="17.25" customHeight="1">
      <c r="A790" s="1"/>
      <c r="B790" s="1"/>
      <c r="C790" s="1"/>
      <c r="D790" s="1"/>
      <c r="E790" s="1"/>
      <c r="F790" s="1"/>
      <c r="Q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58"/>
    </row>
    <row r="791" ht="17.25" customHeight="1">
      <c r="A791" s="1"/>
      <c r="B791" s="1"/>
      <c r="C791" s="1"/>
      <c r="D791" s="1"/>
      <c r="E791" s="1"/>
      <c r="F791" s="1"/>
      <c r="Q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58"/>
    </row>
    <row r="792" ht="17.25" customHeight="1">
      <c r="A792" s="1"/>
      <c r="B792" s="1"/>
      <c r="C792" s="1"/>
      <c r="D792" s="1"/>
      <c r="E792" s="1"/>
      <c r="F792" s="1"/>
      <c r="Q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58"/>
    </row>
    <row r="793" ht="17.25" customHeight="1">
      <c r="A793" s="1"/>
      <c r="B793" s="1"/>
      <c r="C793" s="1"/>
      <c r="D793" s="1"/>
      <c r="E793" s="1"/>
      <c r="F793" s="1"/>
      <c r="Q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58"/>
    </row>
    <row r="794" ht="17.25" customHeight="1">
      <c r="A794" s="1"/>
      <c r="B794" s="1"/>
      <c r="C794" s="1"/>
      <c r="D794" s="1"/>
      <c r="E794" s="1"/>
      <c r="F794" s="1"/>
      <c r="Q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58"/>
    </row>
    <row r="795" ht="17.25" customHeight="1">
      <c r="A795" s="1"/>
      <c r="B795" s="1"/>
      <c r="C795" s="1"/>
      <c r="D795" s="1"/>
      <c r="E795" s="1"/>
      <c r="F795" s="1"/>
      <c r="Q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58"/>
    </row>
    <row r="796" ht="17.25" customHeight="1">
      <c r="A796" s="1"/>
      <c r="B796" s="1"/>
      <c r="C796" s="1"/>
      <c r="D796" s="1"/>
      <c r="E796" s="1"/>
      <c r="F796" s="1"/>
      <c r="Q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58"/>
    </row>
    <row r="797" ht="17.25" customHeight="1">
      <c r="A797" s="1"/>
      <c r="B797" s="1"/>
      <c r="C797" s="1"/>
      <c r="D797" s="1"/>
      <c r="E797" s="1"/>
      <c r="F797" s="1"/>
      <c r="Q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58"/>
    </row>
    <row r="798" ht="17.25" customHeight="1">
      <c r="A798" s="1"/>
      <c r="B798" s="1"/>
      <c r="C798" s="1"/>
      <c r="D798" s="1"/>
      <c r="E798" s="1"/>
      <c r="F798" s="1"/>
      <c r="Q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58"/>
    </row>
    <row r="799" ht="17.25" customHeight="1">
      <c r="A799" s="1"/>
      <c r="B799" s="1"/>
      <c r="C799" s="1"/>
      <c r="D799" s="1"/>
      <c r="E799" s="1"/>
      <c r="F799" s="1"/>
      <c r="Q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58"/>
    </row>
    <row r="800" ht="17.25" customHeight="1">
      <c r="A800" s="1"/>
      <c r="B800" s="1"/>
      <c r="C800" s="1"/>
      <c r="D800" s="1"/>
      <c r="E800" s="1"/>
      <c r="F800" s="1"/>
      <c r="Q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58"/>
    </row>
    <row r="801" ht="17.25" customHeight="1">
      <c r="A801" s="1"/>
      <c r="B801" s="1"/>
      <c r="C801" s="1"/>
      <c r="D801" s="1"/>
      <c r="E801" s="1"/>
      <c r="F801" s="1"/>
      <c r="Q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58"/>
    </row>
    <row r="802" ht="17.25" customHeight="1">
      <c r="A802" s="1"/>
      <c r="B802" s="1"/>
      <c r="C802" s="1"/>
      <c r="D802" s="1"/>
      <c r="E802" s="1"/>
      <c r="F802" s="1"/>
      <c r="Q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58"/>
    </row>
    <row r="803" ht="17.25" customHeight="1">
      <c r="A803" s="1"/>
      <c r="B803" s="1"/>
      <c r="C803" s="1"/>
      <c r="D803" s="1"/>
      <c r="E803" s="1"/>
      <c r="F803" s="1"/>
      <c r="Q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58"/>
    </row>
    <row r="804" ht="17.25" customHeight="1">
      <c r="A804" s="1"/>
      <c r="B804" s="1"/>
      <c r="C804" s="1"/>
      <c r="D804" s="1"/>
      <c r="E804" s="1"/>
      <c r="F804" s="1"/>
      <c r="Q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58"/>
    </row>
    <row r="805" ht="17.25" customHeight="1">
      <c r="A805" s="1"/>
      <c r="B805" s="1"/>
      <c r="C805" s="1"/>
      <c r="D805" s="1"/>
      <c r="E805" s="1"/>
      <c r="F805" s="1"/>
      <c r="Q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58"/>
    </row>
    <row r="806" ht="17.25" customHeight="1">
      <c r="A806" s="1"/>
      <c r="B806" s="1"/>
      <c r="C806" s="1"/>
      <c r="D806" s="1"/>
      <c r="E806" s="1"/>
      <c r="F806" s="1"/>
      <c r="Q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58"/>
    </row>
    <row r="807" ht="17.25" customHeight="1">
      <c r="A807" s="1"/>
      <c r="B807" s="1"/>
      <c r="C807" s="1"/>
      <c r="D807" s="1"/>
      <c r="E807" s="1"/>
      <c r="F807" s="1"/>
      <c r="Q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58"/>
    </row>
    <row r="808" ht="17.25" customHeight="1">
      <c r="A808" s="1"/>
      <c r="B808" s="1"/>
      <c r="C808" s="1"/>
      <c r="D808" s="1"/>
      <c r="E808" s="1"/>
      <c r="F808" s="1"/>
      <c r="Q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58"/>
    </row>
    <row r="809" ht="17.25" customHeight="1">
      <c r="A809" s="1"/>
      <c r="B809" s="1"/>
      <c r="C809" s="1"/>
      <c r="D809" s="1"/>
      <c r="E809" s="1"/>
      <c r="F809" s="1"/>
      <c r="Q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58"/>
    </row>
    <row r="810" ht="17.25" customHeight="1">
      <c r="A810" s="1"/>
      <c r="B810" s="1"/>
      <c r="C810" s="1"/>
      <c r="D810" s="1"/>
      <c r="E810" s="1"/>
      <c r="F810" s="1"/>
      <c r="Q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58"/>
    </row>
    <row r="811" ht="17.25" customHeight="1">
      <c r="A811" s="1"/>
      <c r="B811" s="1"/>
      <c r="C811" s="1"/>
      <c r="D811" s="1"/>
      <c r="E811" s="1"/>
      <c r="F811" s="1"/>
      <c r="Q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58"/>
    </row>
    <row r="812" ht="17.25" customHeight="1">
      <c r="A812" s="1"/>
      <c r="B812" s="1"/>
      <c r="C812" s="1"/>
      <c r="D812" s="1"/>
      <c r="E812" s="1"/>
      <c r="F812" s="1"/>
      <c r="Q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58"/>
    </row>
    <row r="813" ht="17.25" customHeight="1">
      <c r="A813" s="1"/>
      <c r="B813" s="1"/>
      <c r="C813" s="1"/>
      <c r="D813" s="1"/>
      <c r="E813" s="1"/>
      <c r="F813" s="1"/>
      <c r="Q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58"/>
    </row>
    <row r="814" ht="17.25" customHeight="1">
      <c r="A814" s="1"/>
      <c r="B814" s="1"/>
      <c r="C814" s="1"/>
      <c r="D814" s="1"/>
      <c r="E814" s="1"/>
      <c r="F814" s="1"/>
      <c r="Q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58"/>
    </row>
    <row r="815" ht="17.25" customHeight="1">
      <c r="A815" s="1"/>
      <c r="B815" s="1"/>
      <c r="C815" s="1"/>
      <c r="D815" s="1"/>
      <c r="E815" s="1"/>
      <c r="F815" s="1"/>
      <c r="Q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58"/>
    </row>
    <row r="816" ht="17.25" customHeight="1">
      <c r="A816" s="1"/>
      <c r="B816" s="1"/>
      <c r="C816" s="1"/>
      <c r="D816" s="1"/>
      <c r="E816" s="1"/>
      <c r="F816" s="1"/>
      <c r="Q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58"/>
    </row>
    <row r="817" ht="17.25" customHeight="1">
      <c r="A817" s="1"/>
      <c r="B817" s="1"/>
      <c r="C817" s="1"/>
      <c r="D817" s="1"/>
      <c r="E817" s="1"/>
      <c r="F817" s="1"/>
      <c r="Q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58"/>
    </row>
    <row r="818" ht="17.25" customHeight="1">
      <c r="A818" s="1"/>
      <c r="B818" s="1"/>
      <c r="C818" s="1"/>
      <c r="D818" s="1"/>
      <c r="E818" s="1"/>
      <c r="F818" s="1"/>
      <c r="Q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58"/>
    </row>
    <row r="819" ht="17.25" customHeight="1">
      <c r="A819" s="1"/>
      <c r="B819" s="1"/>
      <c r="C819" s="1"/>
      <c r="D819" s="1"/>
      <c r="E819" s="1"/>
      <c r="F819" s="1"/>
      <c r="Q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58"/>
    </row>
    <row r="820" ht="17.25" customHeight="1">
      <c r="A820" s="1"/>
      <c r="B820" s="1"/>
      <c r="C820" s="1"/>
      <c r="D820" s="1"/>
      <c r="E820" s="1"/>
      <c r="F820" s="1"/>
      <c r="Q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58"/>
    </row>
    <row r="821" ht="17.25" customHeight="1">
      <c r="A821" s="1"/>
      <c r="B821" s="1"/>
      <c r="C821" s="1"/>
      <c r="D821" s="1"/>
      <c r="E821" s="1"/>
      <c r="F821" s="1"/>
      <c r="Q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58"/>
    </row>
    <row r="822" ht="17.25" customHeight="1">
      <c r="A822" s="1"/>
      <c r="B822" s="1"/>
      <c r="C822" s="1"/>
      <c r="D822" s="1"/>
      <c r="E822" s="1"/>
      <c r="F822" s="1"/>
      <c r="Q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58"/>
    </row>
    <row r="823" ht="17.25" customHeight="1">
      <c r="A823" s="1"/>
      <c r="B823" s="1"/>
      <c r="C823" s="1"/>
      <c r="D823" s="1"/>
      <c r="E823" s="1"/>
      <c r="F823" s="1"/>
      <c r="Q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58"/>
    </row>
    <row r="824" ht="17.25" customHeight="1">
      <c r="A824" s="1"/>
      <c r="B824" s="1"/>
      <c r="C824" s="1"/>
      <c r="D824" s="1"/>
      <c r="E824" s="1"/>
      <c r="F824" s="1"/>
      <c r="Q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58"/>
    </row>
    <row r="825" ht="17.25" customHeight="1">
      <c r="A825" s="1"/>
      <c r="B825" s="1"/>
      <c r="C825" s="1"/>
      <c r="D825" s="1"/>
      <c r="E825" s="1"/>
      <c r="F825" s="1"/>
      <c r="Q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58"/>
    </row>
    <row r="826" ht="17.25" customHeight="1">
      <c r="A826" s="1"/>
      <c r="B826" s="1"/>
      <c r="C826" s="1"/>
      <c r="D826" s="1"/>
      <c r="E826" s="1"/>
      <c r="F826" s="1"/>
      <c r="Q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58"/>
    </row>
    <row r="827" ht="17.25" customHeight="1">
      <c r="A827" s="1"/>
      <c r="B827" s="1"/>
      <c r="C827" s="1"/>
      <c r="D827" s="1"/>
      <c r="E827" s="1"/>
      <c r="F827" s="1"/>
      <c r="Q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58"/>
    </row>
    <row r="828" ht="17.25" customHeight="1">
      <c r="A828" s="1"/>
      <c r="B828" s="1"/>
      <c r="C828" s="1"/>
      <c r="D828" s="1"/>
      <c r="E828" s="1"/>
      <c r="F828" s="1"/>
      <c r="Q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58"/>
    </row>
    <row r="829" ht="17.25" customHeight="1">
      <c r="A829" s="1"/>
      <c r="B829" s="1"/>
      <c r="C829" s="1"/>
      <c r="D829" s="1"/>
      <c r="E829" s="1"/>
      <c r="F829" s="1"/>
      <c r="Q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58"/>
    </row>
    <row r="830" ht="17.25" customHeight="1">
      <c r="A830" s="1"/>
      <c r="B830" s="1"/>
      <c r="C830" s="1"/>
      <c r="D830" s="1"/>
      <c r="E830" s="1"/>
      <c r="F830" s="1"/>
      <c r="Q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58"/>
    </row>
    <row r="831" ht="17.25" customHeight="1">
      <c r="A831" s="1"/>
      <c r="B831" s="1"/>
      <c r="C831" s="1"/>
      <c r="D831" s="1"/>
      <c r="E831" s="1"/>
      <c r="F831" s="1"/>
      <c r="Q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58"/>
    </row>
    <row r="832" ht="17.25" customHeight="1">
      <c r="A832" s="1"/>
      <c r="B832" s="1"/>
      <c r="C832" s="1"/>
      <c r="D832" s="1"/>
      <c r="E832" s="1"/>
      <c r="F832" s="1"/>
      <c r="Q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58"/>
    </row>
    <row r="833" ht="17.25" customHeight="1">
      <c r="A833" s="1"/>
      <c r="B833" s="1"/>
      <c r="C833" s="1"/>
      <c r="D833" s="1"/>
      <c r="E833" s="1"/>
      <c r="F833" s="1"/>
      <c r="Q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58"/>
    </row>
    <row r="834" ht="17.25" customHeight="1">
      <c r="A834" s="1"/>
      <c r="B834" s="1"/>
      <c r="C834" s="1"/>
      <c r="D834" s="1"/>
      <c r="E834" s="1"/>
      <c r="F834" s="1"/>
      <c r="Q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58"/>
    </row>
    <row r="835" ht="17.25" customHeight="1">
      <c r="A835" s="1"/>
      <c r="B835" s="1"/>
      <c r="C835" s="1"/>
      <c r="D835" s="1"/>
      <c r="E835" s="1"/>
      <c r="F835" s="1"/>
      <c r="Q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58"/>
    </row>
    <row r="836" ht="17.25" customHeight="1">
      <c r="A836" s="1"/>
      <c r="B836" s="1"/>
      <c r="C836" s="1"/>
      <c r="D836" s="1"/>
      <c r="E836" s="1"/>
      <c r="F836" s="1"/>
      <c r="Q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58"/>
    </row>
    <row r="837" ht="17.25" customHeight="1">
      <c r="A837" s="1"/>
      <c r="B837" s="1"/>
      <c r="C837" s="1"/>
      <c r="D837" s="1"/>
      <c r="E837" s="1"/>
      <c r="F837" s="1"/>
      <c r="Q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58"/>
    </row>
    <row r="838" ht="17.25" customHeight="1">
      <c r="A838" s="1"/>
      <c r="B838" s="1"/>
      <c r="C838" s="1"/>
      <c r="D838" s="1"/>
      <c r="E838" s="1"/>
      <c r="F838" s="1"/>
      <c r="Q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58"/>
    </row>
    <row r="839" ht="17.25" customHeight="1">
      <c r="A839" s="1"/>
      <c r="B839" s="1"/>
      <c r="C839" s="1"/>
      <c r="D839" s="1"/>
      <c r="E839" s="1"/>
      <c r="F839" s="1"/>
      <c r="Q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58"/>
    </row>
    <row r="840" ht="17.25" customHeight="1">
      <c r="A840" s="1"/>
      <c r="B840" s="1"/>
      <c r="C840" s="1"/>
      <c r="D840" s="1"/>
      <c r="E840" s="1"/>
      <c r="F840" s="1"/>
      <c r="Q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58"/>
    </row>
    <row r="841" ht="17.25" customHeight="1">
      <c r="A841" s="1"/>
      <c r="B841" s="1"/>
      <c r="C841" s="1"/>
      <c r="D841" s="1"/>
      <c r="E841" s="1"/>
      <c r="F841" s="1"/>
      <c r="Q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58"/>
    </row>
    <row r="842" ht="17.25" customHeight="1">
      <c r="A842" s="1"/>
      <c r="B842" s="1"/>
      <c r="C842" s="1"/>
      <c r="D842" s="1"/>
      <c r="E842" s="1"/>
      <c r="F842" s="1"/>
      <c r="Q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58"/>
    </row>
    <row r="843" ht="17.25" customHeight="1">
      <c r="A843" s="1"/>
      <c r="B843" s="1"/>
      <c r="C843" s="1"/>
      <c r="D843" s="1"/>
      <c r="E843" s="1"/>
      <c r="F843" s="1"/>
      <c r="Q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58"/>
    </row>
    <row r="844" ht="17.25" customHeight="1">
      <c r="A844" s="1"/>
      <c r="B844" s="1"/>
      <c r="C844" s="1"/>
      <c r="D844" s="1"/>
      <c r="E844" s="1"/>
      <c r="F844" s="1"/>
      <c r="Q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58"/>
    </row>
    <row r="845" ht="17.25" customHeight="1">
      <c r="A845" s="1"/>
      <c r="B845" s="1"/>
      <c r="C845" s="1"/>
      <c r="D845" s="1"/>
      <c r="E845" s="1"/>
      <c r="F845" s="1"/>
      <c r="Q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58"/>
    </row>
    <row r="846" ht="17.25" customHeight="1">
      <c r="A846" s="1"/>
      <c r="B846" s="1"/>
      <c r="C846" s="1"/>
      <c r="D846" s="1"/>
      <c r="E846" s="1"/>
      <c r="F846" s="1"/>
      <c r="Q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58"/>
    </row>
    <row r="847" ht="17.25" customHeight="1">
      <c r="A847" s="1"/>
      <c r="B847" s="1"/>
      <c r="C847" s="1"/>
      <c r="D847" s="1"/>
      <c r="E847" s="1"/>
      <c r="F847" s="1"/>
      <c r="Q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58"/>
    </row>
    <row r="848" ht="17.25" customHeight="1">
      <c r="A848" s="1"/>
      <c r="B848" s="1"/>
      <c r="C848" s="1"/>
      <c r="D848" s="1"/>
      <c r="E848" s="1"/>
      <c r="F848" s="1"/>
      <c r="Q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58"/>
    </row>
    <row r="849" ht="17.25" customHeight="1">
      <c r="A849" s="1"/>
      <c r="B849" s="1"/>
      <c r="C849" s="1"/>
      <c r="D849" s="1"/>
      <c r="E849" s="1"/>
      <c r="F849" s="1"/>
      <c r="Q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58"/>
    </row>
    <row r="850" ht="17.25" customHeight="1">
      <c r="A850" s="1"/>
      <c r="B850" s="1"/>
      <c r="C850" s="1"/>
      <c r="D850" s="1"/>
      <c r="E850" s="1"/>
      <c r="F850" s="1"/>
      <c r="Q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58"/>
    </row>
    <row r="851" ht="17.25" customHeight="1">
      <c r="A851" s="1"/>
      <c r="B851" s="1"/>
      <c r="C851" s="1"/>
      <c r="D851" s="1"/>
      <c r="E851" s="1"/>
      <c r="F851" s="1"/>
      <c r="Q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58"/>
    </row>
    <row r="852" ht="17.25" customHeight="1">
      <c r="A852" s="1"/>
      <c r="B852" s="1"/>
      <c r="C852" s="1"/>
      <c r="D852" s="1"/>
      <c r="E852" s="1"/>
      <c r="F852" s="1"/>
      <c r="Q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58"/>
    </row>
    <row r="853" ht="17.25" customHeight="1">
      <c r="A853" s="1"/>
      <c r="B853" s="1"/>
      <c r="C853" s="1"/>
      <c r="D853" s="1"/>
      <c r="E853" s="1"/>
      <c r="F853" s="1"/>
      <c r="Q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58"/>
    </row>
    <row r="854" ht="17.25" customHeight="1">
      <c r="A854" s="1"/>
      <c r="B854" s="1"/>
      <c r="C854" s="1"/>
      <c r="D854" s="1"/>
      <c r="E854" s="1"/>
      <c r="F854" s="1"/>
      <c r="Q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58"/>
    </row>
    <row r="855" ht="17.25" customHeight="1">
      <c r="A855" s="1"/>
      <c r="B855" s="1"/>
      <c r="C855" s="1"/>
      <c r="D855" s="1"/>
      <c r="E855" s="1"/>
      <c r="F855" s="1"/>
      <c r="Q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58"/>
    </row>
    <row r="856" ht="17.25" customHeight="1">
      <c r="A856" s="1"/>
      <c r="B856" s="1"/>
      <c r="C856" s="1"/>
      <c r="D856" s="1"/>
      <c r="E856" s="1"/>
      <c r="F856" s="1"/>
      <c r="Q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58"/>
    </row>
    <row r="857" ht="17.25" customHeight="1">
      <c r="A857" s="1"/>
      <c r="B857" s="1"/>
      <c r="C857" s="1"/>
      <c r="D857" s="1"/>
      <c r="E857" s="1"/>
      <c r="F857" s="1"/>
      <c r="Q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58"/>
    </row>
    <row r="858" ht="17.25" customHeight="1">
      <c r="A858" s="1"/>
      <c r="B858" s="1"/>
      <c r="C858" s="1"/>
      <c r="D858" s="1"/>
      <c r="E858" s="1"/>
      <c r="F858" s="1"/>
      <c r="Q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58"/>
    </row>
    <row r="859" ht="17.25" customHeight="1">
      <c r="A859" s="1"/>
      <c r="B859" s="1"/>
      <c r="C859" s="1"/>
      <c r="D859" s="1"/>
      <c r="E859" s="1"/>
      <c r="F859" s="1"/>
      <c r="Q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58"/>
    </row>
    <row r="860" ht="17.25" customHeight="1">
      <c r="A860" s="1"/>
      <c r="B860" s="1"/>
      <c r="C860" s="1"/>
      <c r="D860" s="1"/>
      <c r="E860" s="1"/>
      <c r="F860" s="1"/>
      <c r="Q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58"/>
    </row>
    <row r="861" ht="17.25" customHeight="1">
      <c r="A861" s="1"/>
      <c r="B861" s="1"/>
      <c r="C861" s="1"/>
      <c r="D861" s="1"/>
      <c r="E861" s="1"/>
      <c r="F861" s="1"/>
      <c r="Q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58"/>
    </row>
    <row r="862" ht="17.25" customHeight="1">
      <c r="A862" s="1"/>
      <c r="B862" s="1"/>
      <c r="C862" s="1"/>
      <c r="D862" s="1"/>
      <c r="E862" s="1"/>
      <c r="F862" s="1"/>
      <c r="Q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58"/>
    </row>
    <row r="863" ht="17.25" customHeight="1">
      <c r="A863" s="1"/>
      <c r="B863" s="1"/>
      <c r="C863" s="1"/>
      <c r="D863" s="1"/>
      <c r="E863" s="1"/>
      <c r="F863" s="1"/>
      <c r="Q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58"/>
    </row>
    <row r="864" ht="17.25" customHeight="1">
      <c r="A864" s="1"/>
      <c r="B864" s="1"/>
      <c r="C864" s="1"/>
      <c r="D864" s="1"/>
      <c r="E864" s="1"/>
      <c r="F864" s="1"/>
      <c r="Q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58"/>
    </row>
    <row r="865" ht="17.25" customHeight="1">
      <c r="A865" s="1"/>
      <c r="B865" s="1"/>
      <c r="C865" s="1"/>
      <c r="D865" s="1"/>
      <c r="E865" s="1"/>
      <c r="F865" s="1"/>
      <c r="Q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58"/>
    </row>
    <row r="866" ht="17.25" customHeight="1">
      <c r="A866" s="1"/>
      <c r="B866" s="1"/>
      <c r="C866" s="1"/>
      <c r="D866" s="1"/>
      <c r="E866" s="1"/>
      <c r="F866" s="1"/>
      <c r="Q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58"/>
    </row>
    <row r="867" ht="17.25" customHeight="1">
      <c r="A867" s="1"/>
      <c r="B867" s="1"/>
      <c r="C867" s="1"/>
      <c r="D867" s="1"/>
      <c r="E867" s="1"/>
      <c r="F867" s="1"/>
      <c r="Q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58"/>
    </row>
    <row r="868" ht="17.25" customHeight="1">
      <c r="A868" s="1"/>
      <c r="B868" s="1"/>
      <c r="C868" s="1"/>
      <c r="D868" s="1"/>
      <c r="E868" s="1"/>
      <c r="F868" s="1"/>
      <c r="Q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58"/>
    </row>
    <row r="869" ht="17.25" customHeight="1">
      <c r="A869" s="1"/>
      <c r="B869" s="1"/>
      <c r="C869" s="1"/>
      <c r="D869" s="1"/>
      <c r="E869" s="1"/>
      <c r="F869" s="1"/>
      <c r="Q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58"/>
    </row>
    <row r="870" ht="17.25" customHeight="1">
      <c r="A870" s="1"/>
      <c r="B870" s="1"/>
      <c r="C870" s="1"/>
      <c r="D870" s="1"/>
      <c r="E870" s="1"/>
      <c r="F870" s="1"/>
      <c r="Q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58"/>
    </row>
    <row r="871" ht="17.25" customHeight="1">
      <c r="A871" s="1"/>
      <c r="B871" s="1"/>
      <c r="C871" s="1"/>
      <c r="D871" s="1"/>
      <c r="E871" s="1"/>
      <c r="F871" s="1"/>
      <c r="Q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58"/>
    </row>
    <row r="872" ht="17.25" customHeight="1">
      <c r="A872" s="1"/>
      <c r="B872" s="1"/>
      <c r="C872" s="1"/>
      <c r="D872" s="1"/>
      <c r="E872" s="1"/>
      <c r="F872" s="1"/>
      <c r="Q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58"/>
    </row>
    <row r="873" ht="17.25" customHeight="1">
      <c r="A873" s="1"/>
      <c r="B873" s="1"/>
      <c r="C873" s="1"/>
      <c r="D873" s="1"/>
      <c r="E873" s="1"/>
      <c r="F873" s="1"/>
      <c r="Q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58"/>
    </row>
    <row r="874" ht="17.25" customHeight="1">
      <c r="A874" s="1"/>
      <c r="B874" s="1"/>
      <c r="C874" s="1"/>
      <c r="D874" s="1"/>
      <c r="E874" s="1"/>
      <c r="F874" s="1"/>
      <c r="Q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58"/>
    </row>
    <row r="875" ht="17.25" customHeight="1">
      <c r="A875" s="1"/>
      <c r="B875" s="1"/>
      <c r="C875" s="1"/>
      <c r="D875" s="1"/>
      <c r="E875" s="1"/>
      <c r="F875" s="1"/>
      <c r="Q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58"/>
    </row>
    <row r="876" ht="17.25" customHeight="1">
      <c r="A876" s="1"/>
      <c r="B876" s="1"/>
      <c r="C876" s="1"/>
      <c r="D876" s="1"/>
      <c r="E876" s="1"/>
      <c r="F876" s="1"/>
      <c r="Q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58"/>
    </row>
    <row r="877" ht="17.25" customHeight="1">
      <c r="A877" s="1"/>
      <c r="B877" s="1"/>
      <c r="C877" s="1"/>
      <c r="D877" s="1"/>
      <c r="E877" s="1"/>
      <c r="F877" s="1"/>
      <c r="Q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58"/>
    </row>
    <row r="878" ht="17.25" customHeight="1">
      <c r="A878" s="1"/>
      <c r="B878" s="1"/>
      <c r="C878" s="1"/>
      <c r="D878" s="1"/>
      <c r="E878" s="1"/>
      <c r="F878" s="1"/>
      <c r="Q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58"/>
    </row>
    <row r="879" ht="17.25" customHeight="1">
      <c r="A879" s="1"/>
      <c r="B879" s="1"/>
      <c r="C879" s="1"/>
      <c r="D879" s="1"/>
      <c r="E879" s="1"/>
      <c r="F879" s="1"/>
      <c r="Q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58"/>
    </row>
    <row r="880" ht="17.25" customHeight="1">
      <c r="A880" s="1"/>
      <c r="B880" s="1"/>
      <c r="C880" s="1"/>
      <c r="D880" s="1"/>
      <c r="E880" s="1"/>
      <c r="F880" s="1"/>
      <c r="Q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58"/>
    </row>
    <row r="881" ht="17.25" customHeight="1">
      <c r="A881" s="1"/>
      <c r="B881" s="1"/>
      <c r="C881" s="1"/>
      <c r="D881" s="1"/>
      <c r="E881" s="1"/>
      <c r="F881" s="1"/>
      <c r="Q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58"/>
    </row>
    <row r="882" ht="17.25" customHeight="1">
      <c r="A882" s="1"/>
      <c r="B882" s="1"/>
      <c r="C882" s="1"/>
      <c r="D882" s="1"/>
      <c r="E882" s="1"/>
      <c r="F882" s="1"/>
      <c r="Q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58"/>
    </row>
    <row r="883" ht="17.25" customHeight="1">
      <c r="A883" s="1"/>
      <c r="B883" s="1"/>
      <c r="C883" s="1"/>
      <c r="D883" s="1"/>
      <c r="E883" s="1"/>
      <c r="F883" s="1"/>
      <c r="Q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58"/>
    </row>
    <row r="884" ht="17.25" customHeight="1">
      <c r="A884" s="1"/>
      <c r="B884" s="1"/>
      <c r="C884" s="1"/>
      <c r="D884" s="1"/>
      <c r="E884" s="1"/>
      <c r="F884" s="1"/>
      <c r="Q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58"/>
    </row>
    <row r="885" ht="17.25" customHeight="1">
      <c r="A885" s="1"/>
      <c r="B885" s="1"/>
      <c r="C885" s="1"/>
      <c r="D885" s="1"/>
      <c r="E885" s="1"/>
      <c r="F885" s="1"/>
      <c r="Q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58"/>
    </row>
    <row r="886" ht="17.25" customHeight="1">
      <c r="A886" s="1"/>
      <c r="B886" s="1"/>
      <c r="C886" s="1"/>
      <c r="D886" s="1"/>
      <c r="E886" s="1"/>
      <c r="F886" s="1"/>
      <c r="Q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58"/>
    </row>
    <row r="887" ht="17.25" customHeight="1">
      <c r="A887" s="1"/>
      <c r="B887" s="1"/>
      <c r="C887" s="1"/>
      <c r="D887" s="1"/>
      <c r="E887" s="1"/>
      <c r="F887" s="1"/>
      <c r="Q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58"/>
    </row>
    <row r="888" ht="17.25" customHeight="1">
      <c r="A888" s="1"/>
      <c r="B888" s="1"/>
      <c r="C888" s="1"/>
      <c r="D888" s="1"/>
      <c r="E888" s="1"/>
      <c r="F888" s="1"/>
      <c r="Q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58"/>
    </row>
    <row r="889" ht="17.25" customHeight="1">
      <c r="A889" s="1"/>
      <c r="B889" s="1"/>
      <c r="C889" s="1"/>
      <c r="D889" s="1"/>
      <c r="E889" s="1"/>
      <c r="F889" s="1"/>
      <c r="Q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58"/>
    </row>
    <row r="890" ht="17.25" customHeight="1">
      <c r="A890" s="1"/>
      <c r="B890" s="1"/>
      <c r="C890" s="1"/>
      <c r="D890" s="1"/>
      <c r="E890" s="1"/>
      <c r="F890" s="1"/>
      <c r="Q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58"/>
    </row>
    <row r="891" ht="17.25" customHeight="1">
      <c r="A891" s="1"/>
      <c r="B891" s="1"/>
      <c r="C891" s="1"/>
      <c r="D891" s="1"/>
      <c r="E891" s="1"/>
      <c r="F891" s="1"/>
      <c r="Q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58"/>
    </row>
    <row r="892" ht="17.25" customHeight="1">
      <c r="A892" s="1"/>
      <c r="B892" s="1"/>
      <c r="C892" s="1"/>
      <c r="D892" s="1"/>
      <c r="E892" s="1"/>
      <c r="F892" s="1"/>
      <c r="Q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58"/>
    </row>
    <row r="893" ht="17.25" customHeight="1">
      <c r="A893" s="1"/>
      <c r="B893" s="1"/>
      <c r="C893" s="1"/>
      <c r="D893" s="1"/>
      <c r="E893" s="1"/>
      <c r="F893" s="1"/>
      <c r="Q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58"/>
    </row>
    <row r="894" ht="17.25" customHeight="1">
      <c r="A894" s="1"/>
      <c r="B894" s="1"/>
      <c r="C894" s="1"/>
      <c r="D894" s="1"/>
      <c r="E894" s="1"/>
      <c r="F894" s="1"/>
      <c r="Q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58"/>
    </row>
    <row r="895" ht="17.25" customHeight="1">
      <c r="A895" s="1"/>
      <c r="B895" s="1"/>
      <c r="C895" s="1"/>
      <c r="D895" s="1"/>
      <c r="E895" s="1"/>
      <c r="F895" s="1"/>
      <c r="Q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58"/>
    </row>
    <row r="896" ht="17.25" customHeight="1">
      <c r="A896" s="1"/>
      <c r="B896" s="1"/>
      <c r="C896" s="1"/>
      <c r="D896" s="1"/>
      <c r="E896" s="1"/>
      <c r="F896" s="1"/>
      <c r="Q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58"/>
    </row>
    <row r="897" ht="17.25" customHeight="1">
      <c r="A897" s="1"/>
      <c r="B897" s="1"/>
      <c r="C897" s="1"/>
      <c r="D897" s="1"/>
      <c r="E897" s="1"/>
      <c r="F897" s="1"/>
      <c r="Q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58"/>
    </row>
    <row r="898" ht="17.25" customHeight="1">
      <c r="A898" s="1"/>
      <c r="B898" s="1"/>
      <c r="C898" s="1"/>
      <c r="D898" s="1"/>
      <c r="E898" s="1"/>
      <c r="F898" s="1"/>
      <c r="Q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58"/>
    </row>
    <row r="899" ht="17.25" customHeight="1">
      <c r="A899" s="1"/>
      <c r="B899" s="1"/>
      <c r="C899" s="1"/>
      <c r="D899" s="1"/>
      <c r="E899" s="1"/>
      <c r="F899" s="1"/>
      <c r="Q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58"/>
    </row>
    <row r="900" ht="17.25" customHeight="1">
      <c r="A900" s="1"/>
      <c r="B900" s="1"/>
      <c r="C900" s="1"/>
      <c r="D900" s="1"/>
      <c r="E900" s="1"/>
      <c r="F900" s="1"/>
      <c r="Q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58"/>
    </row>
    <row r="901" ht="17.25" customHeight="1">
      <c r="A901" s="1"/>
      <c r="B901" s="1"/>
      <c r="C901" s="1"/>
      <c r="D901" s="1"/>
      <c r="E901" s="1"/>
      <c r="F901" s="1"/>
      <c r="Q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58"/>
    </row>
    <row r="902" ht="17.25" customHeight="1">
      <c r="A902" s="1"/>
      <c r="B902" s="1"/>
      <c r="C902" s="1"/>
      <c r="D902" s="1"/>
      <c r="E902" s="1"/>
      <c r="F902" s="1"/>
      <c r="Q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58"/>
    </row>
    <row r="903" ht="17.25" customHeight="1">
      <c r="A903" s="1"/>
      <c r="B903" s="1"/>
      <c r="C903" s="1"/>
      <c r="D903" s="1"/>
      <c r="E903" s="1"/>
      <c r="F903" s="1"/>
      <c r="Q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58"/>
    </row>
    <row r="904" ht="17.25" customHeight="1">
      <c r="A904" s="1"/>
      <c r="B904" s="1"/>
      <c r="C904" s="1"/>
      <c r="D904" s="1"/>
      <c r="E904" s="1"/>
      <c r="F904" s="1"/>
      <c r="Q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58"/>
    </row>
    <row r="905" ht="17.25" customHeight="1">
      <c r="A905" s="1"/>
      <c r="B905" s="1"/>
      <c r="C905" s="1"/>
      <c r="D905" s="1"/>
      <c r="E905" s="1"/>
      <c r="F905" s="1"/>
      <c r="Q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58"/>
    </row>
    <row r="906" ht="17.25" customHeight="1">
      <c r="A906" s="1"/>
      <c r="B906" s="1"/>
      <c r="C906" s="1"/>
      <c r="D906" s="1"/>
      <c r="E906" s="1"/>
      <c r="F906" s="1"/>
      <c r="Q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58"/>
    </row>
    <row r="907" ht="17.25" customHeight="1">
      <c r="A907" s="1"/>
      <c r="B907" s="1"/>
      <c r="C907" s="1"/>
      <c r="D907" s="1"/>
      <c r="E907" s="1"/>
      <c r="F907" s="1"/>
      <c r="Q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58"/>
    </row>
    <row r="908" ht="17.25" customHeight="1">
      <c r="A908" s="1"/>
      <c r="B908" s="1"/>
      <c r="C908" s="1"/>
      <c r="D908" s="1"/>
      <c r="E908" s="1"/>
      <c r="F908" s="1"/>
      <c r="Q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58"/>
    </row>
    <row r="909" ht="17.25" customHeight="1">
      <c r="A909" s="1"/>
      <c r="B909" s="1"/>
      <c r="C909" s="1"/>
      <c r="D909" s="1"/>
      <c r="E909" s="1"/>
      <c r="F909" s="1"/>
      <c r="Q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58"/>
    </row>
    <row r="910" ht="17.25" customHeight="1">
      <c r="A910" s="1"/>
      <c r="B910" s="1"/>
      <c r="C910" s="1"/>
      <c r="D910" s="1"/>
      <c r="E910" s="1"/>
      <c r="F910" s="1"/>
      <c r="Q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58"/>
    </row>
    <row r="911" ht="17.25" customHeight="1">
      <c r="A911" s="1"/>
      <c r="B911" s="1"/>
      <c r="C911" s="1"/>
      <c r="D911" s="1"/>
      <c r="E911" s="1"/>
      <c r="F911" s="1"/>
      <c r="Q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58"/>
    </row>
    <row r="912" ht="17.25" customHeight="1">
      <c r="A912" s="1"/>
      <c r="B912" s="1"/>
      <c r="C912" s="1"/>
      <c r="D912" s="1"/>
      <c r="E912" s="1"/>
      <c r="F912" s="1"/>
      <c r="Q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58"/>
    </row>
    <row r="913" ht="17.25" customHeight="1">
      <c r="A913" s="1"/>
      <c r="B913" s="1"/>
      <c r="C913" s="1"/>
      <c r="D913" s="1"/>
      <c r="E913" s="1"/>
      <c r="F913" s="1"/>
      <c r="Q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58"/>
    </row>
    <row r="914" ht="17.25" customHeight="1">
      <c r="A914" s="1"/>
      <c r="B914" s="1"/>
      <c r="C914" s="1"/>
      <c r="D914" s="1"/>
      <c r="E914" s="1"/>
      <c r="F914" s="1"/>
      <c r="Q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58"/>
    </row>
    <row r="915" ht="17.25" customHeight="1">
      <c r="A915" s="1"/>
      <c r="B915" s="1"/>
      <c r="C915" s="1"/>
      <c r="D915" s="1"/>
      <c r="E915" s="1"/>
      <c r="F915" s="1"/>
      <c r="Q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58"/>
    </row>
    <row r="916" ht="17.25" customHeight="1">
      <c r="A916" s="1"/>
      <c r="B916" s="1"/>
      <c r="C916" s="1"/>
      <c r="D916" s="1"/>
      <c r="E916" s="1"/>
      <c r="F916" s="1"/>
      <c r="Q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58"/>
    </row>
    <row r="917" ht="17.25" customHeight="1">
      <c r="A917" s="1"/>
      <c r="B917" s="1"/>
      <c r="C917" s="1"/>
      <c r="D917" s="1"/>
      <c r="E917" s="1"/>
      <c r="F917" s="1"/>
      <c r="Q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58"/>
    </row>
    <row r="918" ht="17.25" customHeight="1">
      <c r="A918" s="1"/>
      <c r="B918" s="1"/>
      <c r="C918" s="1"/>
      <c r="D918" s="1"/>
      <c r="E918" s="1"/>
      <c r="F918" s="1"/>
      <c r="Q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58"/>
    </row>
    <row r="919" ht="17.25" customHeight="1">
      <c r="A919" s="1"/>
      <c r="B919" s="1"/>
      <c r="C919" s="1"/>
      <c r="D919" s="1"/>
      <c r="E919" s="1"/>
      <c r="F919" s="1"/>
      <c r="Q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58"/>
    </row>
    <row r="920" ht="17.25" customHeight="1">
      <c r="A920" s="1"/>
      <c r="B920" s="1"/>
      <c r="C920" s="1"/>
      <c r="D920" s="1"/>
      <c r="E920" s="1"/>
      <c r="F920" s="1"/>
      <c r="Q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58"/>
    </row>
    <row r="921" ht="17.25" customHeight="1">
      <c r="A921" s="1"/>
      <c r="B921" s="1"/>
      <c r="C921" s="1"/>
      <c r="D921" s="1"/>
      <c r="E921" s="1"/>
      <c r="F921" s="1"/>
      <c r="Q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58"/>
    </row>
    <row r="922" ht="17.25" customHeight="1">
      <c r="A922" s="1"/>
      <c r="B922" s="1"/>
      <c r="C922" s="1"/>
      <c r="D922" s="1"/>
      <c r="E922" s="1"/>
      <c r="F922" s="1"/>
      <c r="Q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58"/>
    </row>
    <row r="923" ht="17.25" customHeight="1">
      <c r="A923" s="1"/>
      <c r="B923" s="1"/>
      <c r="C923" s="1"/>
      <c r="D923" s="1"/>
      <c r="E923" s="1"/>
      <c r="F923" s="1"/>
      <c r="Q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58"/>
    </row>
    <row r="924" ht="17.25" customHeight="1">
      <c r="A924" s="1"/>
      <c r="B924" s="1"/>
      <c r="C924" s="1"/>
      <c r="D924" s="1"/>
      <c r="E924" s="1"/>
      <c r="F924" s="1"/>
      <c r="Q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58"/>
    </row>
    <row r="925" ht="17.25" customHeight="1">
      <c r="A925" s="1"/>
      <c r="B925" s="1"/>
      <c r="C925" s="1"/>
      <c r="D925" s="1"/>
      <c r="E925" s="1"/>
      <c r="F925" s="1"/>
      <c r="Q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58"/>
    </row>
    <row r="926" ht="17.25" customHeight="1">
      <c r="A926" s="1"/>
      <c r="B926" s="1"/>
      <c r="C926" s="1"/>
      <c r="D926" s="1"/>
      <c r="E926" s="1"/>
      <c r="F926" s="1"/>
      <c r="Q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58"/>
    </row>
    <row r="927" ht="17.25" customHeight="1">
      <c r="A927" s="1"/>
      <c r="B927" s="1"/>
      <c r="C927" s="1"/>
      <c r="D927" s="1"/>
      <c r="E927" s="1"/>
      <c r="F927" s="1"/>
      <c r="Q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58"/>
    </row>
    <row r="928" ht="17.25" customHeight="1">
      <c r="A928" s="1"/>
      <c r="B928" s="1"/>
      <c r="C928" s="1"/>
      <c r="D928" s="1"/>
      <c r="E928" s="1"/>
      <c r="F928" s="1"/>
      <c r="Q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58"/>
    </row>
    <row r="929" ht="17.25" customHeight="1">
      <c r="A929" s="1"/>
      <c r="B929" s="1"/>
      <c r="C929" s="1"/>
      <c r="D929" s="1"/>
      <c r="E929" s="1"/>
      <c r="F929" s="1"/>
      <c r="Q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58"/>
    </row>
    <row r="930" ht="17.25" customHeight="1">
      <c r="A930" s="1"/>
      <c r="B930" s="1"/>
      <c r="C930" s="1"/>
      <c r="D930" s="1"/>
      <c r="E930" s="1"/>
      <c r="F930" s="1"/>
      <c r="Q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58"/>
    </row>
    <row r="931" ht="17.25" customHeight="1">
      <c r="A931" s="1"/>
      <c r="B931" s="1"/>
      <c r="C931" s="1"/>
      <c r="D931" s="1"/>
      <c r="E931" s="1"/>
      <c r="F931" s="1"/>
      <c r="Q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58"/>
    </row>
    <row r="932" ht="17.25" customHeight="1">
      <c r="A932" s="1"/>
      <c r="B932" s="1"/>
      <c r="C932" s="1"/>
      <c r="D932" s="1"/>
      <c r="E932" s="1"/>
      <c r="F932" s="1"/>
      <c r="Q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58"/>
    </row>
    <row r="933" ht="17.25" customHeight="1">
      <c r="A933" s="1"/>
      <c r="B933" s="1"/>
      <c r="C933" s="1"/>
      <c r="D933" s="1"/>
      <c r="E933" s="1"/>
      <c r="F933" s="1"/>
      <c r="Q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58"/>
    </row>
    <row r="934" ht="17.25" customHeight="1">
      <c r="A934" s="1"/>
      <c r="B934" s="1"/>
      <c r="C934" s="1"/>
      <c r="D934" s="1"/>
      <c r="E934" s="1"/>
      <c r="F934" s="1"/>
      <c r="Q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58"/>
    </row>
    <row r="935" ht="17.25" customHeight="1">
      <c r="A935" s="1"/>
      <c r="B935" s="1"/>
      <c r="C935" s="1"/>
      <c r="D935" s="1"/>
      <c r="E935" s="1"/>
      <c r="F935" s="1"/>
      <c r="Q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58"/>
    </row>
    <row r="936" ht="17.25" customHeight="1">
      <c r="A936" s="1"/>
      <c r="B936" s="1"/>
      <c r="C936" s="1"/>
      <c r="D936" s="1"/>
      <c r="E936" s="1"/>
      <c r="F936" s="1"/>
      <c r="Q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58"/>
    </row>
    <row r="937" ht="17.25" customHeight="1">
      <c r="A937" s="1"/>
      <c r="B937" s="1"/>
      <c r="C937" s="1"/>
      <c r="D937" s="1"/>
      <c r="E937" s="1"/>
      <c r="F937" s="1"/>
      <c r="Q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58"/>
    </row>
    <row r="938" ht="17.25" customHeight="1">
      <c r="A938" s="1"/>
      <c r="B938" s="1"/>
      <c r="C938" s="1"/>
      <c r="D938" s="1"/>
      <c r="E938" s="1"/>
      <c r="F938" s="1"/>
      <c r="Q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58"/>
    </row>
    <row r="939" ht="17.25" customHeight="1">
      <c r="A939" s="1"/>
      <c r="B939" s="1"/>
      <c r="C939" s="1"/>
      <c r="D939" s="1"/>
      <c r="E939" s="1"/>
      <c r="F939" s="1"/>
      <c r="Q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58"/>
    </row>
    <row r="940" ht="17.25" customHeight="1">
      <c r="A940" s="1"/>
      <c r="B940" s="1"/>
      <c r="C940" s="1"/>
      <c r="D940" s="1"/>
      <c r="E940" s="1"/>
      <c r="F940" s="1"/>
      <c r="Q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58"/>
    </row>
    <row r="941" ht="17.25" customHeight="1">
      <c r="A941" s="1"/>
      <c r="B941" s="1"/>
      <c r="C941" s="1"/>
      <c r="D941" s="1"/>
      <c r="E941" s="1"/>
      <c r="F941" s="1"/>
      <c r="Q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58"/>
    </row>
    <row r="942" ht="17.25" customHeight="1">
      <c r="A942" s="1"/>
      <c r="B942" s="1"/>
      <c r="C942" s="1"/>
      <c r="D942" s="1"/>
      <c r="E942" s="1"/>
      <c r="F942" s="1"/>
      <c r="Q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58"/>
    </row>
    <row r="943" ht="17.25" customHeight="1">
      <c r="A943" s="1"/>
      <c r="B943" s="1"/>
      <c r="C943" s="1"/>
      <c r="D943" s="1"/>
      <c r="E943" s="1"/>
      <c r="F943" s="1"/>
      <c r="Q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58"/>
    </row>
    <row r="944" ht="17.25" customHeight="1">
      <c r="A944" s="1"/>
      <c r="B944" s="1"/>
      <c r="C944" s="1"/>
      <c r="D944" s="1"/>
      <c r="E944" s="1"/>
      <c r="F944" s="1"/>
      <c r="Q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58"/>
    </row>
    <row r="945" ht="17.25" customHeight="1">
      <c r="A945" s="1"/>
      <c r="B945" s="1"/>
      <c r="C945" s="1"/>
      <c r="D945" s="1"/>
      <c r="E945" s="1"/>
      <c r="F945" s="1"/>
      <c r="Q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58"/>
    </row>
    <row r="946" ht="17.25" customHeight="1">
      <c r="A946" s="1"/>
      <c r="B946" s="1"/>
      <c r="C946" s="1"/>
      <c r="D946" s="1"/>
      <c r="E946" s="1"/>
      <c r="F946" s="1"/>
      <c r="Q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58"/>
    </row>
    <row r="947" ht="17.25" customHeight="1">
      <c r="A947" s="1"/>
      <c r="B947" s="1"/>
      <c r="C947" s="1"/>
      <c r="D947" s="1"/>
      <c r="E947" s="1"/>
      <c r="F947" s="1"/>
      <c r="Q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58"/>
    </row>
    <row r="948" ht="17.25" customHeight="1">
      <c r="A948" s="1"/>
      <c r="B948" s="1"/>
      <c r="C948" s="1"/>
      <c r="D948" s="1"/>
      <c r="E948" s="1"/>
      <c r="F948" s="1"/>
      <c r="Q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58"/>
    </row>
    <row r="949" ht="17.25" customHeight="1">
      <c r="A949" s="1"/>
      <c r="B949" s="1"/>
      <c r="C949" s="1"/>
      <c r="D949" s="1"/>
      <c r="E949" s="1"/>
      <c r="F949" s="1"/>
      <c r="Q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58"/>
    </row>
    <row r="950" ht="17.25" customHeight="1">
      <c r="A950" s="1"/>
      <c r="B950" s="1"/>
      <c r="C950" s="1"/>
      <c r="D950" s="1"/>
      <c r="E950" s="1"/>
      <c r="F950" s="1"/>
      <c r="Q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58"/>
    </row>
    <row r="951" ht="17.25" customHeight="1">
      <c r="A951" s="1"/>
      <c r="B951" s="1"/>
      <c r="C951" s="1"/>
      <c r="D951" s="1"/>
      <c r="E951" s="1"/>
      <c r="F951" s="1"/>
      <c r="Q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58"/>
    </row>
    <row r="952" ht="17.25" customHeight="1">
      <c r="A952" s="1"/>
      <c r="B952" s="1"/>
      <c r="C952" s="1"/>
      <c r="D952" s="1"/>
      <c r="E952" s="1"/>
      <c r="F952" s="1"/>
      <c r="Q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58"/>
    </row>
    <row r="953" ht="17.25" customHeight="1">
      <c r="A953" s="1"/>
      <c r="B953" s="1"/>
      <c r="C953" s="1"/>
      <c r="D953" s="1"/>
      <c r="E953" s="1"/>
      <c r="F953" s="1"/>
      <c r="Q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58"/>
    </row>
    <row r="954" ht="17.25" customHeight="1">
      <c r="A954" s="1"/>
      <c r="B954" s="1"/>
      <c r="C954" s="1"/>
      <c r="D954" s="1"/>
      <c r="E954" s="1"/>
      <c r="F954" s="1"/>
      <c r="Q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58"/>
    </row>
    <row r="955" ht="17.25" customHeight="1">
      <c r="A955" s="1"/>
      <c r="B955" s="1"/>
      <c r="C955" s="1"/>
      <c r="D955" s="1"/>
      <c r="E955" s="1"/>
      <c r="F955" s="1"/>
      <c r="Q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58"/>
    </row>
    <row r="956" ht="17.25" customHeight="1">
      <c r="A956" s="1"/>
      <c r="B956" s="1"/>
      <c r="C956" s="1"/>
      <c r="D956" s="1"/>
      <c r="E956" s="1"/>
      <c r="F956" s="1"/>
      <c r="Q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58"/>
    </row>
    <row r="957" ht="17.25" customHeight="1">
      <c r="A957" s="1"/>
      <c r="B957" s="1"/>
      <c r="C957" s="1"/>
      <c r="D957" s="1"/>
      <c r="E957" s="1"/>
      <c r="F957" s="1"/>
      <c r="Q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58"/>
    </row>
    <row r="958" ht="17.25" customHeight="1">
      <c r="A958" s="1"/>
      <c r="B958" s="1"/>
      <c r="C958" s="1"/>
      <c r="D958" s="1"/>
      <c r="E958" s="1"/>
      <c r="F958" s="1"/>
      <c r="Q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58"/>
    </row>
    <row r="959" ht="17.25" customHeight="1">
      <c r="A959" s="1"/>
      <c r="B959" s="1"/>
      <c r="C959" s="1"/>
      <c r="D959" s="1"/>
      <c r="E959" s="1"/>
      <c r="F959" s="1"/>
      <c r="Q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58"/>
    </row>
    <row r="960" ht="17.25" customHeight="1">
      <c r="A960" s="1"/>
      <c r="B960" s="1"/>
      <c r="C960" s="1"/>
      <c r="D960" s="1"/>
      <c r="E960" s="1"/>
      <c r="F960" s="1"/>
      <c r="Q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58"/>
    </row>
    <row r="961" ht="17.25" customHeight="1">
      <c r="A961" s="1"/>
      <c r="B961" s="1"/>
      <c r="C961" s="1"/>
      <c r="D961" s="1"/>
      <c r="E961" s="1"/>
      <c r="F961" s="1"/>
      <c r="Q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58"/>
    </row>
    <row r="962" ht="17.25" customHeight="1">
      <c r="A962" s="1"/>
      <c r="B962" s="1"/>
      <c r="C962" s="1"/>
      <c r="D962" s="1"/>
      <c r="E962" s="1"/>
      <c r="F962" s="1"/>
      <c r="Q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58"/>
    </row>
    <row r="963" ht="17.25" customHeight="1">
      <c r="A963" s="1"/>
      <c r="B963" s="1"/>
      <c r="C963" s="1"/>
      <c r="D963" s="1"/>
      <c r="E963" s="1"/>
      <c r="F963" s="1"/>
      <c r="Q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58"/>
    </row>
    <row r="964" ht="17.25" customHeight="1">
      <c r="A964" s="1"/>
      <c r="B964" s="1"/>
      <c r="C964" s="1"/>
      <c r="D964" s="1"/>
      <c r="E964" s="1"/>
      <c r="F964" s="1"/>
      <c r="Q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58"/>
    </row>
    <row r="965" ht="17.25" customHeight="1">
      <c r="A965" s="1"/>
      <c r="B965" s="1"/>
      <c r="C965" s="1"/>
      <c r="D965" s="1"/>
      <c r="E965" s="1"/>
      <c r="F965" s="1"/>
      <c r="Q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58"/>
    </row>
    <row r="966" ht="17.25" customHeight="1">
      <c r="A966" s="1"/>
      <c r="B966" s="1"/>
      <c r="C966" s="1"/>
      <c r="D966" s="1"/>
      <c r="E966" s="1"/>
      <c r="F966" s="1"/>
      <c r="Q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58"/>
    </row>
    <row r="967" ht="17.25" customHeight="1">
      <c r="A967" s="1"/>
      <c r="B967" s="1"/>
      <c r="C967" s="1"/>
      <c r="D967" s="1"/>
      <c r="E967" s="1"/>
      <c r="F967" s="1"/>
      <c r="Q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58"/>
    </row>
    <row r="968" ht="17.25" customHeight="1">
      <c r="A968" s="1"/>
      <c r="B968" s="1"/>
      <c r="C968" s="1"/>
      <c r="D968" s="1"/>
      <c r="E968" s="1"/>
      <c r="F968" s="1"/>
      <c r="Q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58"/>
    </row>
    <row r="969" ht="17.25" customHeight="1">
      <c r="A969" s="1"/>
      <c r="B969" s="1"/>
      <c r="C969" s="1"/>
      <c r="D969" s="1"/>
      <c r="E969" s="1"/>
      <c r="F969" s="1"/>
      <c r="Q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58"/>
    </row>
    <row r="970" ht="17.25" customHeight="1">
      <c r="A970" s="1"/>
      <c r="B970" s="1"/>
      <c r="C970" s="1"/>
      <c r="D970" s="1"/>
      <c r="E970" s="1"/>
      <c r="F970" s="1"/>
      <c r="Q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58"/>
    </row>
    <row r="971" ht="17.25" customHeight="1">
      <c r="A971" s="1"/>
      <c r="B971" s="1"/>
      <c r="C971" s="1"/>
      <c r="D971" s="1"/>
      <c r="E971" s="1"/>
      <c r="F971" s="1"/>
      <c r="Q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58"/>
    </row>
    <row r="972" ht="17.25" customHeight="1">
      <c r="A972" s="1"/>
      <c r="B972" s="1"/>
      <c r="C972" s="1"/>
      <c r="D972" s="1"/>
      <c r="E972" s="1"/>
      <c r="F972" s="1"/>
      <c r="Q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58"/>
    </row>
    <row r="973" ht="17.25" customHeight="1">
      <c r="A973" s="1"/>
      <c r="B973" s="1"/>
      <c r="C973" s="1"/>
      <c r="D973" s="1"/>
      <c r="E973" s="1"/>
      <c r="F973" s="1"/>
      <c r="Q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58"/>
    </row>
    <row r="974" ht="17.25" customHeight="1">
      <c r="A974" s="1"/>
      <c r="B974" s="1"/>
      <c r="C974" s="1"/>
      <c r="D974" s="1"/>
      <c r="E974" s="1"/>
      <c r="F974" s="1"/>
      <c r="Q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58"/>
    </row>
    <row r="975" ht="17.25" customHeight="1">
      <c r="A975" s="1"/>
      <c r="B975" s="1"/>
      <c r="C975" s="1"/>
      <c r="D975" s="1"/>
      <c r="E975" s="1"/>
      <c r="F975" s="1"/>
      <c r="Q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58"/>
    </row>
    <row r="976" ht="17.25" customHeight="1">
      <c r="A976" s="1"/>
      <c r="B976" s="1"/>
      <c r="C976" s="1"/>
      <c r="D976" s="1"/>
      <c r="E976" s="1"/>
      <c r="F976" s="1"/>
      <c r="Q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58"/>
    </row>
    <row r="977" ht="17.25" customHeight="1">
      <c r="A977" s="1"/>
      <c r="B977" s="1"/>
      <c r="C977" s="1"/>
      <c r="D977" s="1"/>
      <c r="E977" s="1"/>
      <c r="F977" s="1"/>
      <c r="Q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58"/>
    </row>
    <row r="978" ht="17.25" customHeight="1">
      <c r="A978" s="1"/>
      <c r="B978" s="1"/>
      <c r="C978" s="1"/>
      <c r="D978" s="1"/>
      <c r="E978" s="1"/>
      <c r="F978" s="1"/>
      <c r="Q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58"/>
    </row>
    <row r="979" ht="17.25" customHeight="1">
      <c r="A979" s="1"/>
      <c r="B979" s="1"/>
      <c r="C979" s="1"/>
      <c r="D979" s="1"/>
      <c r="E979" s="1"/>
      <c r="F979" s="1"/>
      <c r="Q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58"/>
    </row>
    <row r="980" ht="17.25" customHeight="1">
      <c r="A980" s="1"/>
      <c r="B980" s="1"/>
      <c r="C980" s="1"/>
      <c r="D980" s="1"/>
      <c r="E980" s="1"/>
      <c r="F980" s="1"/>
      <c r="Q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58"/>
    </row>
    <row r="981" ht="17.25" customHeight="1">
      <c r="A981" s="1"/>
      <c r="B981" s="1"/>
      <c r="C981" s="1"/>
      <c r="D981" s="1"/>
      <c r="E981" s="1"/>
      <c r="F981" s="1"/>
      <c r="Q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58"/>
    </row>
    <row r="982" ht="17.25" customHeight="1">
      <c r="A982" s="1"/>
      <c r="B982" s="1"/>
      <c r="C982" s="1"/>
      <c r="D982" s="1"/>
      <c r="E982" s="1"/>
      <c r="F982" s="1"/>
      <c r="Q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58"/>
    </row>
    <row r="983" ht="17.25" customHeight="1">
      <c r="A983" s="1"/>
      <c r="B983" s="1"/>
      <c r="C983" s="1"/>
      <c r="D983" s="1"/>
      <c r="E983" s="1"/>
      <c r="F983" s="1"/>
      <c r="Q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58"/>
    </row>
    <row r="984" ht="17.25" customHeight="1">
      <c r="A984" s="1"/>
      <c r="B984" s="1"/>
      <c r="C984" s="1"/>
      <c r="D984" s="1"/>
      <c r="E984" s="1"/>
      <c r="F984" s="1"/>
      <c r="Q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58"/>
    </row>
    <row r="985" ht="17.25" customHeight="1">
      <c r="A985" s="1"/>
      <c r="B985" s="1"/>
      <c r="C985" s="1"/>
      <c r="D985" s="1"/>
      <c r="E985" s="1"/>
      <c r="F985" s="1"/>
      <c r="Q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58"/>
    </row>
    <row r="986" ht="17.25" customHeight="1">
      <c r="A986" s="1"/>
      <c r="B986" s="1"/>
      <c r="C986" s="1"/>
      <c r="D986" s="1"/>
      <c r="E986" s="1"/>
      <c r="F986" s="1"/>
      <c r="Q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58"/>
    </row>
    <row r="987" ht="17.25" customHeight="1">
      <c r="A987" s="1"/>
      <c r="B987" s="1"/>
      <c r="C987" s="1"/>
      <c r="D987" s="1"/>
      <c r="E987" s="1"/>
      <c r="F987" s="1"/>
      <c r="Q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58"/>
    </row>
    <row r="988" ht="17.25" customHeight="1">
      <c r="A988" s="1"/>
      <c r="B988" s="1"/>
      <c r="C988" s="1"/>
      <c r="D988" s="1"/>
      <c r="E988" s="1"/>
      <c r="F988" s="1"/>
      <c r="Q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58"/>
    </row>
    <row r="989" ht="17.25" customHeight="1">
      <c r="A989" s="1"/>
      <c r="B989" s="1"/>
      <c r="C989" s="1"/>
      <c r="D989" s="1"/>
      <c r="E989" s="1"/>
      <c r="F989" s="1"/>
      <c r="Q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58"/>
    </row>
    <row r="990" ht="17.25" customHeight="1">
      <c r="A990" s="1"/>
      <c r="B990" s="1"/>
      <c r="C990" s="1"/>
      <c r="D990" s="1"/>
      <c r="E990" s="1"/>
      <c r="F990" s="1"/>
      <c r="Q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58"/>
    </row>
    <row r="991" ht="17.25" customHeight="1">
      <c r="A991" s="1"/>
      <c r="B991" s="1"/>
      <c r="C991" s="1"/>
      <c r="D991" s="1"/>
      <c r="E991" s="1"/>
      <c r="F991" s="1"/>
      <c r="Q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58"/>
    </row>
    <row r="992" ht="17.25" customHeight="1">
      <c r="A992" s="1"/>
      <c r="B992" s="1"/>
      <c r="C992" s="1"/>
      <c r="D992" s="1"/>
      <c r="E992" s="1"/>
      <c r="F992" s="1"/>
      <c r="Q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58"/>
    </row>
    <row r="993" ht="17.25" customHeight="1">
      <c r="A993" s="1"/>
      <c r="B993" s="1"/>
      <c r="C993" s="1"/>
      <c r="D993" s="1"/>
      <c r="E993" s="1"/>
      <c r="F993" s="1"/>
      <c r="Q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58"/>
    </row>
    <row r="994" ht="17.25" customHeight="1">
      <c r="A994" s="1"/>
      <c r="B994" s="1"/>
      <c r="C994" s="1"/>
      <c r="D994" s="1"/>
      <c r="E994" s="1"/>
      <c r="F994" s="1"/>
      <c r="Q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58"/>
    </row>
    <row r="995" ht="17.25" customHeight="1">
      <c r="A995" s="1"/>
      <c r="B995" s="1"/>
      <c r="C995" s="1"/>
      <c r="D995" s="1"/>
      <c r="E995" s="1"/>
      <c r="F995" s="1"/>
      <c r="Q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58"/>
    </row>
    <row r="996" ht="17.25" customHeight="1">
      <c r="A996" s="1"/>
      <c r="B996" s="1"/>
      <c r="C996" s="1"/>
      <c r="D996" s="1"/>
      <c r="E996" s="1"/>
      <c r="F996" s="1"/>
      <c r="Q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58"/>
    </row>
    <row r="997" ht="17.25" customHeight="1">
      <c r="A997" s="1"/>
      <c r="B997" s="1"/>
      <c r="C997" s="1"/>
      <c r="D997" s="1"/>
      <c r="E997" s="1"/>
      <c r="F997" s="1"/>
      <c r="Q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58"/>
    </row>
    <row r="998" ht="17.25" customHeight="1">
      <c r="A998" s="1"/>
      <c r="B998" s="1"/>
      <c r="C998" s="1"/>
      <c r="D998" s="1"/>
      <c r="E998" s="1"/>
      <c r="F998" s="1"/>
      <c r="Q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58"/>
    </row>
    <row r="999" ht="17.25" customHeight="1">
      <c r="A999" s="1"/>
      <c r="B999" s="1"/>
      <c r="C999" s="1"/>
      <c r="D999" s="1"/>
      <c r="E999" s="1"/>
      <c r="F999" s="1"/>
      <c r="Q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58"/>
    </row>
    <row r="1000" ht="17.25" customHeight="1">
      <c r="A1000" s="1"/>
      <c r="B1000" s="1"/>
      <c r="C1000" s="1"/>
      <c r="D1000" s="1"/>
      <c r="E1000" s="1"/>
      <c r="F1000" s="1"/>
      <c r="Q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58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5" footer="0.0" header="0.0" left="0.699999988079071" right="0.699999988079071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9.71"/>
  </cols>
  <sheetData>
    <row r="1" ht="12.0" customHeight="1">
      <c r="A1" s="1"/>
      <c r="B1" s="1"/>
      <c r="C1" s="1"/>
      <c r="D1" s="1"/>
      <c r="E1" s="1"/>
      <c r="F1" s="1"/>
      <c r="P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142"/>
    </row>
    <row r="2" ht="30.0" customHeight="1">
      <c r="A2" s="4" t="s">
        <v>27</v>
      </c>
      <c r="B2" s="5"/>
      <c r="C2" s="1"/>
      <c r="D2" s="1"/>
      <c r="E2" s="1"/>
      <c r="F2" s="1"/>
      <c r="P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142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289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14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9">
        <v>5542.0</v>
      </c>
      <c r="E4" s="20">
        <f t="shared" ref="E4:O4" si="1">D24</f>
        <v>5098</v>
      </c>
      <c r="F4" s="20">
        <f t="shared" si="1"/>
        <v>5258</v>
      </c>
      <c r="G4" s="20">
        <f t="shared" si="1"/>
        <v>4342</v>
      </c>
      <c r="H4" s="20">
        <f t="shared" si="1"/>
        <v>5193</v>
      </c>
      <c r="I4" s="20">
        <f t="shared" si="1"/>
        <v>4296</v>
      </c>
      <c r="J4" s="20">
        <f t="shared" si="1"/>
        <v>10868</v>
      </c>
      <c r="K4" s="20">
        <f t="shared" si="1"/>
        <v>8133</v>
      </c>
      <c r="L4" s="20">
        <f t="shared" si="1"/>
        <v>7174</v>
      </c>
      <c r="M4" s="20">
        <f t="shared" si="1"/>
        <v>6496</v>
      </c>
      <c r="N4" s="20">
        <f t="shared" si="1"/>
        <v>9187</v>
      </c>
      <c r="O4" s="21">
        <f t="shared" si="1"/>
        <v>9187</v>
      </c>
      <c r="P4" s="22">
        <v>9187.0</v>
      </c>
      <c r="Q4" s="264">
        <f t="shared" ref="Q4:AU4" si="2">+P24</f>
        <v>9187</v>
      </c>
      <c r="R4" s="265">
        <f t="shared" si="2"/>
        <v>9187</v>
      </c>
      <c r="S4" s="265">
        <f t="shared" si="2"/>
        <v>9187</v>
      </c>
      <c r="T4" s="265">
        <f t="shared" si="2"/>
        <v>9161</v>
      </c>
      <c r="U4" s="265">
        <f t="shared" si="2"/>
        <v>9137</v>
      </c>
      <c r="V4" s="265">
        <f t="shared" si="2"/>
        <v>9033</v>
      </c>
      <c r="W4" s="265">
        <f t="shared" si="2"/>
        <v>8133</v>
      </c>
      <c r="X4" s="265">
        <f t="shared" si="2"/>
        <v>7965</v>
      </c>
      <c r="Y4" s="265">
        <f t="shared" si="2"/>
        <v>7965</v>
      </c>
      <c r="Z4" s="265">
        <f t="shared" si="2"/>
        <v>7965</v>
      </c>
      <c r="AA4" s="265">
        <f t="shared" si="2"/>
        <v>7893</v>
      </c>
      <c r="AB4" s="265">
        <f t="shared" si="2"/>
        <v>7893</v>
      </c>
      <c r="AC4" s="265">
        <f t="shared" si="2"/>
        <v>7893</v>
      </c>
      <c r="AD4" s="265">
        <f t="shared" si="2"/>
        <v>7893</v>
      </c>
      <c r="AE4" s="265">
        <f t="shared" si="2"/>
        <v>7893</v>
      </c>
      <c r="AF4" s="265">
        <f t="shared" si="2"/>
        <v>7893</v>
      </c>
      <c r="AG4" s="265">
        <f t="shared" si="2"/>
        <v>7893</v>
      </c>
      <c r="AH4" s="265">
        <f t="shared" si="2"/>
        <v>7893</v>
      </c>
      <c r="AI4" s="265">
        <f t="shared" si="2"/>
        <v>7893</v>
      </c>
      <c r="AJ4" s="265">
        <f t="shared" si="2"/>
        <v>7893</v>
      </c>
      <c r="AK4" s="265">
        <f t="shared" si="2"/>
        <v>7893</v>
      </c>
      <c r="AL4" s="265">
        <f t="shared" si="2"/>
        <v>7893</v>
      </c>
      <c r="AM4" s="265">
        <f t="shared" si="2"/>
        <v>7893</v>
      </c>
      <c r="AN4" s="265">
        <f t="shared" si="2"/>
        <v>7893</v>
      </c>
      <c r="AO4" s="265">
        <f t="shared" si="2"/>
        <v>7893</v>
      </c>
      <c r="AP4" s="265">
        <f t="shared" si="2"/>
        <v>7893</v>
      </c>
      <c r="AQ4" s="265">
        <f t="shared" si="2"/>
        <v>7893</v>
      </c>
      <c r="AR4" s="265">
        <f t="shared" si="2"/>
        <v>7893</v>
      </c>
      <c r="AS4" s="265">
        <f t="shared" si="2"/>
        <v>7893</v>
      </c>
      <c r="AT4" s="265">
        <f t="shared" si="2"/>
        <v>7893</v>
      </c>
      <c r="AU4" s="265">
        <f t="shared" si="2"/>
        <v>7893</v>
      </c>
      <c r="AV4" s="159">
        <f t="shared" ref="AV4:AV8" si="5">P24</f>
        <v>9187</v>
      </c>
    </row>
    <row r="5" ht="18.0" customHeight="1">
      <c r="A5" s="28"/>
      <c r="B5" s="29"/>
      <c r="C5" s="100" t="s">
        <v>9</v>
      </c>
      <c r="D5" s="221">
        <v>81850.0</v>
      </c>
      <c r="E5" s="222">
        <f t="shared" ref="E5:O5" si="3">D25</f>
        <v>79706</v>
      </c>
      <c r="F5" s="222">
        <f t="shared" si="3"/>
        <v>88934</v>
      </c>
      <c r="G5" s="222">
        <f t="shared" si="3"/>
        <v>98004</v>
      </c>
      <c r="H5" s="222">
        <f t="shared" si="3"/>
        <v>82655</v>
      </c>
      <c r="I5" s="222">
        <f t="shared" si="3"/>
        <v>75977</v>
      </c>
      <c r="J5" s="222">
        <f t="shared" si="3"/>
        <v>80448</v>
      </c>
      <c r="K5" s="222">
        <f t="shared" si="3"/>
        <v>97250</v>
      </c>
      <c r="L5" s="222">
        <f t="shared" si="3"/>
        <v>96874</v>
      </c>
      <c r="M5" s="222">
        <f t="shared" si="3"/>
        <v>98402</v>
      </c>
      <c r="N5" s="222">
        <f t="shared" si="3"/>
        <v>77422</v>
      </c>
      <c r="O5" s="223">
        <f t="shared" si="3"/>
        <v>77422</v>
      </c>
      <c r="P5" s="153">
        <v>77422.0</v>
      </c>
      <c r="Q5" s="261">
        <f t="shared" ref="Q5:AU5" si="4">+P25</f>
        <v>77422</v>
      </c>
      <c r="R5" s="262">
        <f t="shared" si="4"/>
        <v>77422</v>
      </c>
      <c r="S5" s="262">
        <f t="shared" si="4"/>
        <v>77422</v>
      </c>
      <c r="T5" s="262">
        <f t="shared" si="4"/>
        <v>45452</v>
      </c>
      <c r="U5" s="262">
        <f t="shared" si="4"/>
        <v>43522</v>
      </c>
      <c r="V5" s="262">
        <f t="shared" si="4"/>
        <v>44932</v>
      </c>
      <c r="W5" s="262">
        <f t="shared" si="4"/>
        <v>44142</v>
      </c>
      <c r="X5" s="262">
        <f t="shared" si="4"/>
        <v>41364</v>
      </c>
      <c r="Y5" s="262">
        <f t="shared" si="4"/>
        <v>41364</v>
      </c>
      <c r="Z5" s="262">
        <f t="shared" si="4"/>
        <v>41364</v>
      </c>
      <c r="AA5" s="262">
        <f t="shared" si="4"/>
        <v>38152</v>
      </c>
      <c r="AB5" s="262">
        <f t="shared" si="4"/>
        <v>38152</v>
      </c>
      <c r="AC5" s="262">
        <f t="shared" si="4"/>
        <v>38152</v>
      </c>
      <c r="AD5" s="262">
        <f t="shared" si="4"/>
        <v>38152</v>
      </c>
      <c r="AE5" s="262">
        <f t="shared" si="4"/>
        <v>38152</v>
      </c>
      <c r="AF5" s="262">
        <f t="shared" si="4"/>
        <v>38152</v>
      </c>
      <c r="AG5" s="262">
        <f t="shared" si="4"/>
        <v>38152</v>
      </c>
      <c r="AH5" s="262">
        <f t="shared" si="4"/>
        <v>38152</v>
      </c>
      <c r="AI5" s="262">
        <f t="shared" si="4"/>
        <v>38152</v>
      </c>
      <c r="AJ5" s="262">
        <f t="shared" si="4"/>
        <v>38152</v>
      </c>
      <c r="AK5" s="262">
        <f t="shared" si="4"/>
        <v>38152</v>
      </c>
      <c r="AL5" s="262">
        <f t="shared" si="4"/>
        <v>38152</v>
      </c>
      <c r="AM5" s="262">
        <f t="shared" si="4"/>
        <v>38152</v>
      </c>
      <c r="AN5" s="262">
        <f t="shared" si="4"/>
        <v>38152</v>
      </c>
      <c r="AO5" s="262">
        <f t="shared" si="4"/>
        <v>38152</v>
      </c>
      <c r="AP5" s="262">
        <f t="shared" si="4"/>
        <v>38152</v>
      </c>
      <c r="AQ5" s="262">
        <f t="shared" si="4"/>
        <v>38152</v>
      </c>
      <c r="AR5" s="262">
        <f t="shared" si="4"/>
        <v>38152</v>
      </c>
      <c r="AS5" s="262">
        <f t="shared" si="4"/>
        <v>38152</v>
      </c>
      <c r="AT5" s="262">
        <f t="shared" si="4"/>
        <v>38152</v>
      </c>
      <c r="AU5" s="262">
        <f t="shared" si="4"/>
        <v>38152</v>
      </c>
      <c r="AV5" s="157">
        <f t="shared" si="5"/>
        <v>77422</v>
      </c>
    </row>
    <row r="6" ht="18.0" customHeight="1">
      <c r="A6" s="28"/>
      <c r="B6" s="38" t="s">
        <v>10</v>
      </c>
      <c r="C6" s="106" t="s">
        <v>8</v>
      </c>
      <c r="D6" s="19">
        <v>0.0</v>
      </c>
      <c r="E6" s="20">
        <f t="shared" ref="E6:O6" si="6">D26</f>
        <v>0</v>
      </c>
      <c r="F6" s="20">
        <f t="shared" si="6"/>
        <v>0</v>
      </c>
      <c r="G6" s="20">
        <f t="shared" si="6"/>
        <v>0</v>
      </c>
      <c r="H6" s="20">
        <f t="shared" si="6"/>
        <v>0</v>
      </c>
      <c r="I6" s="20">
        <f t="shared" si="6"/>
        <v>0</v>
      </c>
      <c r="J6" s="20">
        <f t="shared" si="6"/>
        <v>0</v>
      </c>
      <c r="K6" s="20">
        <f t="shared" si="6"/>
        <v>0</v>
      </c>
      <c r="L6" s="20">
        <f t="shared" si="6"/>
        <v>0</v>
      </c>
      <c r="M6" s="20">
        <f t="shared" si="6"/>
        <v>0</v>
      </c>
      <c r="N6" s="20">
        <f t="shared" si="6"/>
        <v>0</v>
      </c>
      <c r="O6" s="21">
        <f t="shared" si="6"/>
        <v>0</v>
      </c>
      <c r="P6" s="22">
        <v>0.0</v>
      </c>
      <c r="Q6" s="290">
        <f t="shared" ref="Q6:AU6" si="7">+P26</f>
        <v>0</v>
      </c>
      <c r="R6" s="291">
        <f t="shared" si="7"/>
        <v>0</v>
      </c>
      <c r="S6" s="291">
        <f t="shared" si="7"/>
        <v>0</v>
      </c>
      <c r="T6" s="291">
        <f t="shared" si="7"/>
        <v>0</v>
      </c>
      <c r="U6" s="291">
        <f t="shared" si="7"/>
        <v>0</v>
      </c>
      <c r="V6" s="291">
        <f t="shared" si="7"/>
        <v>0</v>
      </c>
      <c r="W6" s="291">
        <f t="shared" si="7"/>
        <v>0</v>
      </c>
      <c r="X6" s="291">
        <f t="shared" si="7"/>
        <v>0</v>
      </c>
      <c r="Y6" s="291">
        <f t="shared" si="7"/>
        <v>0</v>
      </c>
      <c r="Z6" s="291">
        <f t="shared" si="7"/>
        <v>0</v>
      </c>
      <c r="AA6" s="291">
        <f t="shared" si="7"/>
        <v>-76</v>
      </c>
      <c r="AB6" s="291">
        <f t="shared" si="7"/>
        <v>-76</v>
      </c>
      <c r="AC6" s="291">
        <f t="shared" si="7"/>
        <v>-76</v>
      </c>
      <c r="AD6" s="291">
        <f t="shared" si="7"/>
        <v>-76</v>
      </c>
      <c r="AE6" s="291">
        <f t="shared" si="7"/>
        <v>-76</v>
      </c>
      <c r="AF6" s="291">
        <f t="shared" si="7"/>
        <v>-76</v>
      </c>
      <c r="AG6" s="291">
        <f t="shared" si="7"/>
        <v>-76</v>
      </c>
      <c r="AH6" s="291">
        <f t="shared" si="7"/>
        <v>-76</v>
      </c>
      <c r="AI6" s="291">
        <f t="shared" si="7"/>
        <v>-76</v>
      </c>
      <c r="AJ6" s="291">
        <f t="shared" si="7"/>
        <v>-76</v>
      </c>
      <c r="AK6" s="291">
        <f t="shared" si="7"/>
        <v>-76</v>
      </c>
      <c r="AL6" s="291">
        <f t="shared" si="7"/>
        <v>-76</v>
      </c>
      <c r="AM6" s="291">
        <f t="shared" si="7"/>
        <v>-76</v>
      </c>
      <c r="AN6" s="291">
        <f t="shared" si="7"/>
        <v>-76</v>
      </c>
      <c r="AO6" s="291">
        <f t="shared" si="7"/>
        <v>-76</v>
      </c>
      <c r="AP6" s="291">
        <f t="shared" si="7"/>
        <v>-76</v>
      </c>
      <c r="AQ6" s="291">
        <f t="shared" si="7"/>
        <v>-76</v>
      </c>
      <c r="AR6" s="291">
        <f t="shared" si="7"/>
        <v>-76</v>
      </c>
      <c r="AS6" s="291">
        <f t="shared" si="7"/>
        <v>-76</v>
      </c>
      <c r="AT6" s="291">
        <f t="shared" si="7"/>
        <v>-76</v>
      </c>
      <c r="AU6" s="291">
        <f t="shared" si="7"/>
        <v>-76</v>
      </c>
      <c r="AV6" s="25">
        <f t="shared" si="5"/>
        <v>0</v>
      </c>
    </row>
    <row r="7" ht="18.0" customHeight="1">
      <c r="A7" s="28"/>
      <c r="B7" s="40"/>
      <c r="C7" s="209" t="s">
        <v>9</v>
      </c>
      <c r="D7" s="266">
        <v>940.0</v>
      </c>
      <c r="E7" s="267">
        <f t="shared" ref="E7:O7" si="8">D27</f>
        <v>600</v>
      </c>
      <c r="F7" s="267">
        <f t="shared" si="8"/>
        <v>500</v>
      </c>
      <c r="G7" s="267">
        <f t="shared" si="8"/>
        <v>780</v>
      </c>
      <c r="H7" s="267">
        <f t="shared" si="8"/>
        <v>1040</v>
      </c>
      <c r="I7" s="267">
        <f t="shared" si="8"/>
        <v>860</v>
      </c>
      <c r="J7" s="267">
        <f t="shared" si="8"/>
        <v>800</v>
      </c>
      <c r="K7" s="267">
        <f t="shared" si="8"/>
        <v>700</v>
      </c>
      <c r="L7" s="267">
        <f t="shared" si="8"/>
        <v>500</v>
      </c>
      <c r="M7" s="267">
        <f t="shared" si="8"/>
        <v>500</v>
      </c>
      <c r="N7" s="267">
        <f t="shared" si="8"/>
        <v>-16</v>
      </c>
      <c r="O7" s="268">
        <f t="shared" si="8"/>
        <v>-16</v>
      </c>
      <c r="P7" s="161">
        <v>-16.0</v>
      </c>
      <c r="Q7" s="154">
        <f t="shared" ref="Q7:AU7" si="9">+P27</f>
        <v>-16</v>
      </c>
      <c r="R7" s="155">
        <f t="shared" si="9"/>
        <v>-16</v>
      </c>
      <c r="S7" s="155">
        <f t="shared" si="9"/>
        <v>-16</v>
      </c>
      <c r="T7" s="155">
        <f t="shared" si="9"/>
        <v>-96</v>
      </c>
      <c r="U7" s="155">
        <f t="shared" si="9"/>
        <v>-96</v>
      </c>
      <c r="V7" s="155">
        <f t="shared" si="9"/>
        <v>-96</v>
      </c>
      <c r="W7" s="155">
        <f t="shared" si="9"/>
        <v>-156</v>
      </c>
      <c r="X7" s="155">
        <f t="shared" si="9"/>
        <v>-156</v>
      </c>
      <c r="Y7" s="155">
        <f t="shared" si="9"/>
        <v>-156</v>
      </c>
      <c r="Z7" s="155">
        <f t="shared" si="9"/>
        <v>-156</v>
      </c>
      <c r="AA7" s="155">
        <f t="shared" si="9"/>
        <v>-156</v>
      </c>
      <c r="AB7" s="155">
        <f t="shared" si="9"/>
        <v>-156</v>
      </c>
      <c r="AC7" s="155">
        <f t="shared" si="9"/>
        <v>-156</v>
      </c>
      <c r="AD7" s="155">
        <f t="shared" si="9"/>
        <v>-156</v>
      </c>
      <c r="AE7" s="155">
        <f t="shared" si="9"/>
        <v>-156</v>
      </c>
      <c r="AF7" s="155">
        <f t="shared" si="9"/>
        <v>-156</v>
      </c>
      <c r="AG7" s="155">
        <f t="shared" si="9"/>
        <v>-156</v>
      </c>
      <c r="AH7" s="155">
        <f t="shared" si="9"/>
        <v>-156</v>
      </c>
      <c r="AI7" s="155">
        <f t="shared" si="9"/>
        <v>-156</v>
      </c>
      <c r="AJ7" s="155">
        <f t="shared" si="9"/>
        <v>-156</v>
      </c>
      <c r="AK7" s="155">
        <f t="shared" si="9"/>
        <v>-156</v>
      </c>
      <c r="AL7" s="155">
        <f t="shared" si="9"/>
        <v>-156</v>
      </c>
      <c r="AM7" s="155">
        <f t="shared" si="9"/>
        <v>-156</v>
      </c>
      <c r="AN7" s="155">
        <f t="shared" si="9"/>
        <v>-156</v>
      </c>
      <c r="AO7" s="155">
        <f t="shared" si="9"/>
        <v>-156</v>
      </c>
      <c r="AP7" s="155">
        <f t="shared" si="9"/>
        <v>-156</v>
      </c>
      <c r="AQ7" s="155">
        <f t="shared" si="9"/>
        <v>-156</v>
      </c>
      <c r="AR7" s="155">
        <f t="shared" si="9"/>
        <v>-156</v>
      </c>
      <c r="AS7" s="155">
        <f t="shared" si="9"/>
        <v>-156</v>
      </c>
      <c r="AT7" s="155">
        <f t="shared" si="9"/>
        <v>-156</v>
      </c>
      <c r="AU7" s="155">
        <f t="shared" si="9"/>
        <v>-156</v>
      </c>
      <c r="AV7" s="263">
        <f t="shared" si="5"/>
        <v>-16</v>
      </c>
    </row>
    <row r="8" ht="18.0" customHeight="1">
      <c r="A8" s="29"/>
      <c r="B8" s="43" t="s">
        <v>11</v>
      </c>
      <c r="C8" s="213" t="s">
        <v>9</v>
      </c>
      <c r="D8" s="229">
        <v>0.0</v>
      </c>
      <c r="E8" s="230">
        <f t="shared" ref="E8:O8" si="10">D28</f>
        <v>0</v>
      </c>
      <c r="F8" s="230">
        <f t="shared" si="10"/>
        <v>0</v>
      </c>
      <c r="G8" s="230">
        <f t="shared" si="10"/>
        <v>0</v>
      </c>
      <c r="H8" s="230">
        <f t="shared" si="10"/>
        <v>0</v>
      </c>
      <c r="I8" s="230">
        <f t="shared" si="10"/>
        <v>0</v>
      </c>
      <c r="J8" s="230">
        <f t="shared" si="10"/>
        <v>0</v>
      </c>
      <c r="K8" s="230">
        <f t="shared" si="10"/>
        <v>0</v>
      </c>
      <c r="L8" s="230">
        <f t="shared" si="10"/>
        <v>0</v>
      </c>
      <c r="M8" s="230">
        <f t="shared" si="10"/>
        <v>0</v>
      </c>
      <c r="N8" s="230">
        <f t="shared" si="10"/>
        <v>0</v>
      </c>
      <c r="O8" s="231">
        <f t="shared" si="10"/>
        <v>0</v>
      </c>
      <c r="P8" s="42">
        <v>0.0</v>
      </c>
      <c r="Q8" s="292">
        <f t="shared" ref="Q8:AU8" si="11">+P28</f>
        <v>0</v>
      </c>
      <c r="R8" s="293">
        <f t="shared" si="11"/>
        <v>0</v>
      </c>
      <c r="S8" s="293">
        <f t="shared" si="11"/>
        <v>0</v>
      </c>
      <c r="T8" s="293">
        <f t="shared" si="11"/>
        <v>0</v>
      </c>
      <c r="U8" s="293">
        <f t="shared" si="11"/>
        <v>0</v>
      </c>
      <c r="V8" s="293">
        <f t="shared" si="11"/>
        <v>0</v>
      </c>
      <c r="W8" s="293">
        <f t="shared" si="11"/>
        <v>0</v>
      </c>
      <c r="X8" s="293">
        <f t="shared" si="11"/>
        <v>0</v>
      </c>
      <c r="Y8" s="293">
        <f t="shared" si="11"/>
        <v>0</v>
      </c>
      <c r="Z8" s="293">
        <f t="shared" si="11"/>
        <v>0</v>
      </c>
      <c r="AA8" s="293">
        <f t="shared" si="11"/>
        <v>0</v>
      </c>
      <c r="AB8" s="293">
        <f t="shared" si="11"/>
        <v>0</v>
      </c>
      <c r="AC8" s="293">
        <f t="shared" si="11"/>
        <v>0</v>
      </c>
      <c r="AD8" s="293">
        <f t="shared" si="11"/>
        <v>0</v>
      </c>
      <c r="AE8" s="293">
        <f t="shared" si="11"/>
        <v>0</v>
      </c>
      <c r="AF8" s="293">
        <f t="shared" si="11"/>
        <v>0</v>
      </c>
      <c r="AG8" s="293">
        <f t="shared" si="11"/>
        <v>0</v>
      </c>
      <c r="AH8" s="293">
        <f t="shared" si="11"/>
        <v>0</v>
      </c>
      <c r="AI8" s="293">
        <f t="shared" si="11"/>
        <v>0</v>
      </c>
      <c r="AJ8" s="293">
        <f t="shared" si="11"/>
        <v>0</v>
      </c>
      <c r="AK8" s="293">
        <f t="shared" si="11"/>
        <v>0</v>
      </c>
      <c r="AL8" s="293">
        <f t="shared" si="11"/>
        <v>0</v>
      </c>
      <c r="AM8" s="293">
        <f t="shared" si="11"/>
        <v>0</v>
      </c>
      <c r="AN8" s="293">
        <f t="shared" si="11"/>
        <v>0</v>
      </c>
      <c r="AO8" s="293">
        <f t="shared" si="11"/>
        <v>0</v>
      </c>
      <c r="AP8" s="293">
        <f t="shared" si="11"/>
        <v>0</v>
      </c>
      <c r="AQ8" s="293">
        <f t="shared" si="11"/>
        <v>0</v>
      </c>
      <c r="AR8" s="293">
        <f t="shared" si="11"/>
        <v>0</v>
      </c>
      <c r="AS8" s="293">
        <f t="shared" si="11"/>
        <v>0</v>
      </c>
      <c r="AT8" s="293">
        <f t="shared" si="11"/>
        <v>0</v>
      </c>
      <c r="AU8" s="293">
        <f t="shared" si="11"/>
        <v>0</v>
      </c>
      <c r="AV8" s="294">
        <f t="shared" si="5"/>
        <v>0</v>
      </c>
    </row>
    <row r="9" ht="18.0" customHeight="1">
      <c r="A9" s="169" t="s">
        <v>12</v>
      </c>
      <c r="B9" s="169" t="s">
        <v>7</v>
      </c>
      <c r="C9" s="170" t="s">
        <v>8</v>
      </c>
      <c r="D9" s="47">
        <v>1768.0</v>
      </c>
      <c r="E9" s="48">
        <v>2364.0</v>
      </c>
      <c r="F9" s="48">
        <v>1520.0</v>
      </c>
      <c r="G9" s="48">
        <v>3800.0</v>
      </c>
      <c r="H9" s="48">
        <v>4920.0</v>
      </c>
      <c r="I9" s="48">
        <v>10218.0</v>
      </c>
      <c r="J9" s="48">
        <v>2250.0</v>
      </c>
      <c r="K9" s="48">
        <v>2152.0</v>
      </c>
      <c r="L9" s="48">
        <v>7282.0</v>
      </c>
      <c r="M9" s="48">
        <v>7200.0</v>
      </c>
      <c r="N9" s="48"/>
      <c r="O9" s="49"/>
      <c r="P9" s="173"/>
      <c r="Q9" s="174">
        <v>0.0</v>
      </c>
      <c r="R9" s="174">
        <v>0.0</v>
      </c>
      <c r="S9" s="174">
        <v>600.0</v>
      </c>
      <c r="T9" s="174">
        <v>0.0</v>
      </c>
      <c r="U9" s="174">
        <v>0.0</v>
      </c>
      <c r="V9" s="174">
        <v>0.0</v>
      </c>
      <c r="W9" s="174">
        <v>0.0</v>
      </c>
      <c r="X9" s="174">
        <v>0.0</v>
      </c>
      <c r="Y9" s="174">
        <v>0.0</v>
      </c>
      <c r="Z9" s="174">
        <v>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78">
        <f t="shared" ref="AV9:AV23" si="12">SUM(Q9:AU9)</f>
        <v>600</v>
      </c>
    </row>
    <row r="10" ht="18.0" customHeight="1">
      <c r="A10" s="28"/>
      <c r="B10" s="29"/>
      <c r="C10" s="175" t="s">
        <v>9</v>
      </c>
      <c r="D10" s="295">
        <v>48680.0</v>
      </c>
      <c r="E10" s="296">
        <v>75532.0</v>
      </c>
      <c r="F10" s="296">
        <v>76672.0</v>
      </c>
      <c r="G10" s="296">
        <v>75080.0</v>
      </c>
      <c r="H10" s="296">
        <v>79376.0</v>
      </c>
      <c r="I10" s="296">
        <v>87464.0</v>
      </c>
      <c r="J10" s="296">
        <v>86996.0</v>
      </c>
      <c r="K10" s="296">
        <v>61612.0</v>
      </c>
      <c r="L10" s="297">
        <v>86688.0</v>
      </c>
      <c r="M10" s="297">
        <v>67828.0</v>
      </c>
      <c r="N10" s="297"/>
      <c r="O10" s="298"/>
      <c r="P10" s="299"/>
      <c r="Q10" s="181">
        <v>0.0</v>
      </c>
      <c r="R10" s="181">
        <v>0.0</v>
      </c>
      <c r="S10" s="181">
        <v>4520.0</v>
      </c>
      <c r="T10" s="181">
        <v>4240.0</v>
      </c>
      <c r="U10" s="181">
        <v>3704.0</v>
      </c>
      <c r="V10" s="181">
        <v>5944.0</v>
      </c>
      <c r="W10" s="181">
        <v>0.0</v>
      </c>
      <c r="X10" s="181">
        <v>0.0</v>
      </c>
      <c r="Y10" s="181">
        <v>0.0</v>
      </c>
      <c r="Z10" s="181">
        <v>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59">
        <f t="shared" si="12"/>
        <v>18408</v>
      </c>
    </row>
    <row r="11" ht="18.0" customHeight="1">
      <c r="A11" s="28"/>
      <c r="B11" s="182" t="s">
        <v>10</v>
      </c>
      <c r="C11" s="183" t="s">
        <v>8</v>
      </c>
      <c r="D11" s="53">
        <v>0.0</v>
      </c>
      <c r="E11" s="54">
        <v>0.0</v>
      </c>
      <c r="F11" s="54">
        <v>0.0</v>
      </c>
      <c r="G11" s="54">
        <v>0.0</v>
      </c>
      <c r="H11" s="54">
        <v>0.0</v>
      </c>
      <c r="I11" s="54">
        <v>0.0</v>
      </c>
      <c r="J11" s="54">
        <v>0.0</v>
      </c>
      <c r="K11" s="54">
        <v>0.0</v>
      </c>
      <c r="L11" s="54">
        <v>0.0</v>
      </c>
      <c r="M11" s="54">
        <v>0.0</v>
      </c>
      <c r="N11" s="54"/>
      <c r="O11" s="55"/>
      <c r="P11" s="187"/>
      <c r="Q11" s="174">
        <v>0.0</v>
      </c>
      <c r="R11" s="174">
        <v>0.0</v>
      </c>
      <c r="S11" s="174">
        <v>0.0</v>
      </c>
      <c r="T11" s="174">
        <v>0.0</v>
      </c>
      <c r="U11" s="174">
        <v>0.0</v>
      </c>
      <c r="V11" s="174">
        <v>0.0</v>
      </c>
      <c r="W11" s="174">
        <v>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52">
        <f t="shared" si="12"/>
        <v>0</v>
      </c>
    </row>
    <row r="12" ht="18.0" customHeight="1">
      <c r="A12" s="28"/>
      <c r="B12" s="40"/>
      <c r="C12" s="188" t="s">
        <v>9</v>
      </c>
      <c r="D12" s="295">
        <v>0.0</v>
      </c>
      <c r="E12" s="296">
        <v>0.0</v>
      </c>
      <c r="F12" s="296">
        <v>0.0</v>
      </c>
      <c r="G12" s="296">
        <v>840.0</v>
      </c>
      <c r="H12" s="296">
        <v>0.0</v>
      </c>
      <c r="I12" s="296">
        <v>0.0</v>
      </c>
      <c r="J12" s="296">
        <v>0.0</v>
      </c>
      <c r="K12" s="296">
        <v>0.0</v>
      </c>
      <c r="L12" s="297">
        <v>0.0</v>
      </c>
      <c r="M12" s="297">
        <v>0.0</v>
      </c>
      <c r="N12" s="297"/>
      <c r="O12" s="298"/>
      <c r="P12" s="299"/>
      <c r="Q12" s="181">
        <v>0.0</v>
      </c>
      <c r="R12" s="181">
        <v>0.0</v>
      </c>
      <c r="S12" s="181">
        <v>0.0</v>
      </c>
      <c r="T12" s="181">
        <v>0.0</v>
      </c>
      <c r="U12" s="181">
        <v>0.0</v>
      </c>
      <c r="V12" s="181">
        <v>0.0</v>
      </c>
      <c r="W12" s="181">
        <v>0.0</v>
      </c>
      <c r="X12" s="181">
        <v>0.0</v>
      </c>
      <c r="Y12" s="181">
        <v>0.0</v>
      </c>
      <c r="Z12" s="181">
        <v>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59">
        <f t="shared" si="12"/>
        <v>0</v>
      </c>
    </row>
    <row r="13" ht="18.0" customHeight="1">
      <c r="A13" s="29"/>
      <c r="B13" s="195" t="s">
        <v>11</v>
      </c>
      <c r="C13" s="196" t="s">
        <v>9</v>
      </c>
      <c r="D13" s="81">
        <v>0.0</v>
      </c>
      <c r="E13" s="70">
        <v>0.0</v>
      </c>
      <c r="F13" s="70">
        <v>0.0</v>
      </c>
      <c r="G13" s="70">
        <v>0.0</v>
      </c>
      <c r="H13" s="70">
        <v>0.0</v>
      </c>
      <c r="I13" s="70">
        <v>0.0</v>
      </c>
      <c r="J13" s="70">
        <v>0.0</v>
      </c>
      <c r="K13" s="70">
        <v>0.0</v>
      </c>
      <c r="L13" s="70">
        <v>0.0</v>
      </c>
      <c r="M13" s="70">
        <v>0.0</v>
      </c>
      <c r="N13" s="70"/>
      <c r="O13" s="300"/>
      <c r="P13" s="200"/>
      <c r="Q13" s="174">
        <v>0.0</v>
      </c>
      <c r="R13" s="174">
        <v>0.0</v>
      </c>
      <c r="S13" s="174">
        <v>0.0</v>
      </c>
      <c r="T13" s="174">
        <v>0.0</v>
      </c>
      <c r="U13" s="174">
        <v>0.0</v>
      </c>
      <c r="V13" s="174">
        <v>0.0</v>
      </c>
      <c r="W13" s="174">
        <v>0.0</v>
      </c>
      <c r="X13" s="174">
        <v>0.0</v>
      </c>
      <c r="Y13" s="174">
        <v>0.0</v>
      </c>
      <c r="Z13" s="174">
        <v>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63">
        <f t="shared" si="12"/>
        <v>0</v>
      </c>
    </row>
    <row r="14" ht="18.0" customHeight="1">
      <c r="A14" s="169" t="s">
        <v>13</v>
      </c>
      <c r="B14" s="169" t="s">
        <v>7</v>
      </c>
      <c r="C14" s="301" t="s">
        <v>8</v>
      </c>
      <c r="D14" s="47">
        <v>1638.0</v>
      </c>
      <c r="E14" s="48">
        <v>1754.0</v>
      </c>
      <c r="F14" s="48">
        <v>2334.0</v>
      </c>
      <c r="G14" s="48">
        <v>2332.0</v>
      </c>
      <c r="H14" s="48">
        <v>3361.0</v>
      </c>
      <c r="I14" s="48">
        <v>3767.0</v>
      </c>
      <c r="J14" s="48">
        <v>3418.0</v>
      </c>
      <c r="K14" s="48">
        <v>2198.0</v>
      </c>
      <c r="L14" s="48">
        <v>3794.0</v>
      </c>
      <c r="M14" s="48">
        <v>4318.0</v>
      </c>
      <c r="N14" s="48"/>
      <c r="O14" s="49"/>
      <c r="P14" s="173"/>
      <c r="Q14" s="174">
        <v>0.0</v>
      </c>
      <c r="R14" s="174">
        <v>0.0</v>
      </c>
      <c r="S14" s="174">
        <v>626.0</v>
      </c>
      <c r="T14" s="174">
        <v>24.0</v>
      </c>
      <c r="U14" s="174">
        <v>104.0</v>
      </c>
      <c r="V14" s="174">
        <v>900.0</v>
      </c>
      <c r="W14" s="174">
        <v>168.0</v>
      </c>
      <c r="X14" s="174">
        <v>0.0</v>
      </c>
      <c r="Y14" s="174">
        <v>0.0</v>
      </c>
      <c r="Z14" s="174">
        <v>72.0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1894</v>
      </c>
    </row>
    <row r="15" ht="18.0" customHeight="1">
      <c r="A15" s="28"/>
      <c r="B15" s="29"/>
      <c r="C15" s="302" t="s">
        <v>9</v>
      </c>
      <c r="D15" s="303">
        <v>71770.0</v>
      </c>
      <c r="E15" s="297">
        <v>96244.0</v>
      </c>
      <c r="F15" s="297">
        <v>106116.0</v>
      </c>
      <c r="G15" s="297">
        <v>118068.0</v>
      </c>
      <c r="H15" s="297">
        <v>114170.0</v>
      </c>
      <c r="I15" s="297">
        <v>111116.0</v>
      </c>
      <c r="J15" s="297">
        <v>98952.0</v>
      </c>
      <c r="K15" s="297">
        <v>90076.0</v>
      </c>
      <c r="L15" s="297">
        <v>115672.0</v>
      </c>
      <c r="M15" s="297">
        <v>116802.0</v>
      </c>
      <c r="N15" s="297"/>
      <c r="O15" s="298"/>
      <c r="P15" s="299"/>
      <c r="Q15" s="181">
        <v>0.0</v>
      </c>
      <c r="R15" s="181">
        <v>0.0</v>
      </c>
      <c r="S15" s="181">
        <v>36490.0</v>
      </c>
      <c r="T15" s="181">
        <v>6170.0</v>
      </c>
      <c r="U15" s="181">
        <v>2294.0</v>
      </c>
      <c r="V15" s="181">
        <v>6734.0</v>
      </c>
      <c r="W15" s="181">
        <v>2778.0</v>
      </c>
      <c r="X15" s="181">
        <v>0.0</v>
      </c>
      <c r="Y15" s="181">
        <v>0.0</v>
      </c>
      <c r="Z15" s="181">
        <v>3212.0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59">
        <f t="shared" si="12"/>
        <v>57678</v>
      </c>
    </row>
    <row r="16" ht="18.0" customHeight="1">
      <c r="A16" s="28"/>
      <c r="B16" s="182" t="s">
        <v>10</v>
      </c>
      <c r="C16" s="183" t="s">
        <v>8</v>
      </c>
      <c r="D16" s="47">
        <v>96.0</v>
      </c>
      <c r="E16" s="48">
        <v>56.0</v>
      </c>
      <c r="F16" s="48">
        <v>136.0</v>
      </c>
      <c r="G16" s="48">
        <v>0.0</v>
      </c>
      <c r="H16" s="48">
        <v>0.0</v>
      </c>
      <c r="I16" s="48">
        <v>20.0</v>
      </c>
      <c r="J16" s="48">
        <v>40.0</v>
      </c>
      <c r="K16" s="48">
        <v>57.0</v>
      </c>
      <c r="L16" s="48">
        <v>284.0</v>
      </c>
      <c r="M16" s="48">
        <v>60.0</v>
      </c>
      <c r="N16" s="48"/>
      <c r="O16" s="72"/>
      <c r="P16" s="173"/>
      <c r="Q16" s="174">
        <v>0.0</v>
      </c>
      <c r="R16" s="174">
        <v>0.0</v>
      </c>
      <c r="S16" s="174">
        <v>0.0</v>
      </c>
      <c r="T16" s="174">
        <v>0.0</v>
      </c>
      <c r="U16" s="174">
        <v>0.0</v>
      </c>
      <c r="V16" s="174">
        <v>0.0</v>
      </c>
      <c r="W16" s="174">
        <v>0.0</v>
      </c>
      <c r="X16" s="174">
        <v>0.0</v>
      </c>
      <c r="Y16" s="174">
        <v>0.0</v>
      </c>
      <c r="Z16" s="174">
        <v>76.0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76</v>
      </c>
    </row>
    <row r="17" ht="18.0" customHeight="1">
      <c r="A17" s="28"/>
      <c r="B17" s="40"/>
      <c r="C17" s="188" t="s">
        <v>9</v>
      </c>
      <c r="D17" s="303">
        <v>1040.0</v>
      </c>
      <c r="E17" s="297">
        <v>856.0</v>
      </c>
      <c r="F17" s="297">
        <v>4968.0</v>
      </c>
      <c r="G17" s="297">
        <v>524.0</v>
      </c>
      <c r="H17" s="297">
        <v>912.0</v>
      </c>
      <c r="I17" s="297">
        <v>4368.0</v>
      </c>
      <c r="J17" s="297">
        <v>4433.0</v>
      </c>
      <c r="K17" s="297">
        <v>5980.0</v>
      </c>
      <c r="L17" s="297">
        <v>5980.0</v>
      </c>
      <c r="M17" s="297">
        <v>5012.0</v>
      </c>
      <c r="N17" s="297"/>
      <c r="O17" s="298"/>
      <c r="P17" s="299"/>
      <c r="Q17" s="181">
        <v>0.0</v>
      </c>
      <c r="R17" s="181">
        <v>0.0</v>
      </c>
      <c r="S17" s="181">
        <v>80.0</v>
      </c>
      <c r="T17" s="181">
        <v>0.0</v>
      </c>
      <c r="U17" s="181">
        <v>0.0</v>
      </c>
      <c r="V17" s="181">
        <v>60.0</v>
      </c>
      <c r="W17" s="181">
        <v>0.0</v>
      </c>
      <c r="X17" s="181">
        <v>0.0</v>
      </c>
      <c r="Y17" s="181">
        <v>0.0</v>
      </c>
      <c r="Z17" s="181">
        <v>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194">
        <f t="shared" si="12"/>
        <v>140</v>
      </c>
    </row>
    <row r="18" ht="18.0" customHeight="1">
      <c r="A18" s="29"/>
      <c r="B18" s="195" t="s">
        <v>11</v>
      </c>
      <c r="C18" s="196" t="s">
        <v>9</v>
      </c>
      <c r="D18" s="81">
        <v>0.0</v>
      </c>
      <c r="E18" s="70">
        <v>0.0</v>
      </c>
      <c r="F18" s="70">
        <v>0.0</v>
      </c>
      <c r="G18" s="68">
        <v>0.0</v>
      </c>
      <c r="H18" s="68">
        <v>0.0</v>
      </c>
      <c r="I18" s="68">
        <v>0.0</v>
      </c>
      <c r="J18" s="70">
        <v>0.0</v>
      </c>
      <c r="K18" s="68">
        <v>0.0</v>
      </c>
      <c r="L18" s="68">
        <v>0.0</v>
      </c>
      <c r="M18" s="68">
        <v>0.0</v>
      </c>
      <c r="N18" s="68"/>
      <c r="O18" s="202"/>
      <c r="P18" s="200"/>
      <c r="Q18" s="202">
        <v>0.0</v>
      </c>
      <c r="R18" s="202">
        <v>0.0</v>
      </c>
      <c r="S18" s="202">
        <v>0.0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0.0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0</v>
      </c>
    </row>
    <row r="19" ht="18.0" customHeight="1">
      <c r="A19" s="17" t="s">
        <v>14</v>
      </c>
      <c r="B19" s="17" t="s">
        <v>7</v>
      </c>
      <c r="C19" s="94" t="s">
        <v>8</v>
      </c>
      <c r="D19" s="201">
        <v>574.0</v>
      </c>
      <c r="E19" s="171">
        <v>450.0</v>
      </c>
      <c r="F19" s="171">
        <v>102.0</v>
      </c>
      <c r="G19" s="120">
        <v>617.0</v>
      </c>
      <c r="H19" s="120">
        <v>2456.0</v>
      </c>
      <c r="I19" s="120">
        <v>-121.0</v>
      </c>
      <c r="J19" s="120">
        <v>1567.0</v>
      </c>
      <c r="K19" s="120">
        <v>913.0</v>
      </c>
      <c r="L19" s="120">
        <v>4166.0</v>
      </c>
      <c r="M19" s="120">
        <v>191.0</v>
      </c>
      <c r="N19" s="120"/>
      <c r="O19" s="1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176">
        <v>-20946.0</v>
      </c>
      <c r="E20" s="177">
        <v>-29940.0</v>
      </c>
      <c r="F20" s="177">
        <v>-38514.0</v>
      </c>
      <c r="G20" s="178">
        <v>-27639.0</v>
      </c>
      <c r="H20" s="178">
        <v>-28116.0</v>
      </c>
      <c r="I20" s="178">
        <v>-28123.0</v>
      </c>
      <c r="J20" s="178">
        <v>-28758.0</v>
      </c>
      <c r="K20" s="178">
        <v>-28088.0</v>
      </c>
      <c r="L20" s="178">
        <v>-30512.0</v>
      </c>
      <c r="M20" s="178">
        <v>-27994.0</v>
      </c>
      <c r="N20" s="178"/>
      <c r="O20" s="179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184">
        <v>-96.0</v>
      </c>
      <c r="E21" s="185">
        <v>-56.0</v>
      </c>
      <c r="F21" s="185">
        <v>-136.0</v>
      </c>
      <c r="G21" s="126">
        <v>0.0</v>
      </c>
      <c r="H21" s="126">
        <v>0.0</v>
      </c>
      <c r="I21" s="120">
        <v>-20.0</v>
      </c>
      <c r="J21" s="126">
        <v>-40.0</v>
      </c>
      <c r="K21" s="126">
        <v>-57.0</v>
      </c>
      <c r="L21" s="126">
        <v>-284.0</v>
      </c>
      <c r="M21" s="54">
        <v>-60.0</v>
      </c>
      <c r="N21" s="54"/>
      <c r="O21" s="55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189">
        <v>-700.0</v>
      </c>
      <c r="E22" s="190">
        <v>-756.0</v>
      </c>
      <c r="F22" s="190">
        <v>-5248.0</v>
      </c>
      <c r="G22" s="191">
        <v>56.0</v>
      </c>
      <c r="H22" s="191">
        <v>-732.0</v>
      </c>
      <c r="I22" s="126">
        <v>-4308.0</v>
      </c>
      <c r="J22" s="191">
        <v>-4333.0</v>
      </c>
      <c r="K22" s="191">
        <v>-5780.0</v>
      </c>
      <c r="L22" s="191">
        <v>-5980.0</v>
      </c>
      <c r="M22" s="178">
        <v>-4496.0</v>
      </c>
      <c r="N22" s="191"/>
      <c r="O22" s="280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197">
        <v>0.0</v>
      </c>
      <c r="E23" s="198">
        <v>0.0</v>
      </c>
      <c r="F23" s="198">
        <v>0.0</v>
      </c>
      <c r="G23" s="135">
        <v>0.0</v>
      </c>
      <c r="H23" s="135">
        <v>0.0</v>
      </c>
      <c r="I23" s="135">
        <v>0.0</v>
      </c>
      <c r="J23" s="135">
        <v>0.0</v>
      </c>
      <c r="K23" s="135">
        <v>0.0</v>
      </c>
      <c r="L23" s="135">
        <v>0.0</v>
      </c>
      <c r="M23" s="135">
        <v>0.0</v>
      </c>
      <c r="N23" s="214"/>
      <c r="O23" s="287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5098</v>
      </c>
      <c r="E24" s="20">
        <f t="shared" si="13"/>
        <v>5258</v>
      </c>
      <c r="F24" s="20">
        <f t="shared" si="13"/>
        <v>4342</v>
      </c>
      <c r="G24" s="20">
        <f t="shared" si="13"/>
        <v>5193</v>
      </c>
      <c r="H24" s="20">
        <f t="shared" si="13"/>
        <v>4296</v>
      </c>
      <c r="I24" s="20">
        <f t="shared" si="13"/>
        <v>10868</v>
      </c>
      <c r="J24" s="20">
        <f t="shared" si="13"/>
        <v>8133</v>
      </c>
      <c r="K24" s="20">
        <f t="shared" si="13"/>
        <v>7174</v>
      </c>
      <c r="L24" s="20">
        <f t="shared" si="13"/>
        <v>6496</v>
      </c>
      <c r="M24" s="20">
        <f t="shared" si="13"/>
        <v>9187</v>
      </c>
      <c r="N24" s="20">
        <f t="shared" si="13"/>
        <v>9187</v>
      </c>
      <c r="O24" s="21">
        <f t="shared" si="13"/>
        <v>9187</v>
      </c>
      <c r="P24" s="274">
        <f t="shared" si="13"/>
        <v>9187</v>
      </c>
      <c r="Q24" s="74">
        <f t="shared" si="13"/>
        <v>9187</v>
      </c>
      <c r="R24" s="66">
        <f t="shared" si="13"/>
        <v>9187</v>
      </c>
      <c r="S24" s="66">
        <f t="shared" si="13"/>
        <v>9161</v>
      </c>
      <c r="T24" s="66">
        <f t="shared" si="13"/>
        <v>9137</v>
      </c>
      <c r="U24" s="66">
        <f t="shared" si="13"/>
        <v>9033</v>
      </c>
      <c r="V24" s="66">
        <f t="shared" si="13"/>
        <v>8133</v>
      </c>
      <c r="W24" s="66">
        <f t="shared" si="13"/>
        <v>7965</v>
      </c>
      <c r="X24" s="66">
        <f t="shared" si="13"/>
        <v>7965</v>
      </c>
      <c r="Y24" s="66">
        <f t="shared" si="13"/>
        <v>7965</v>
      </c>
      <c r="Z24" s="66">
        <f t="shared" si="13"/>
        <v>7893</v>
      </c>
      <c r="AA24" s="66">
        <f t="shared" si="13"/>
        <v>7893</v>
      </c>
      <c r="AB24" s="66">
        <f t="shared" si="13"/>
        <v>7893</v>
      </c>
      <c r="AC24" s="66">
        <f t="shared" si="13"/>
        <v>7893</v>
      </c>
      <c r="AD24" s="66">
        <f t="shared" si="13"/>
        <v>7893</v>
      </c>
      <c r="AE24" s="66">
        <f t="shared" si="13"/>
        <v>7893</v>
      </c>
      <c r="AF24" s="66">
        <f t="shared" si="13"/>
        <v>7893</v>
      </c>
      <c r="AG24" s="66">
        <f t="shared" si="13"/>
        <v>7893</v>
      </c>
      <c r="AH24" s="66">
        <f t="shared" si="13"/>
        <v>7893</v>
      </c>
      <c r="AI24" s="66">
        <f t="shared" si="13"/>
        <v>7893</v>
      </c>
      <c r="AJ24" s="66">
        <f t="shared" si="13"/>
        <v>7893</v>
      </c>
      <c r="AK24" s="66">
        <f t="shared" si="13"/>
        <v>7893</v>
      </c>
      <c r="AL24" s="66">
        <f t="shared" si="13"/>
        <v>7893</v>
      </c>
      <c r="AM24" s="66">
        <f t="shared" si="13"/>
        <v>7893</v>
      </c>
      <c r="AN24" s="66">
        <f t="shared" si="13"/>
        <v>7893</v>
      </c>
      <c r="AO24" s="66">
        <f t="shared" si="13"/>
        <v>7893</v>
      </c>
      <c r="AP24" s="66">
        <f t="shared" si="13"/>
        <v>7893</v>
      </c>
      <c r="AQ24" s="66">
        <f t="shared" si="13"/>
        <v>7893</v>
      </c>
      <c r="AR24" s="66">
        <f t="shared" si="13"/>
        <v>7893</v>
      </c>
      <c r="AS24" s="66">
        <f t="shared" si="13"/>
        <v>7893</v>
      </c>
      <c r="AT24" s="66">
        <f t="shared" si="13"/>
        <v>7893</v>
      </c>
      <c r="AU24" s="66">
        <f t="shared" si="13"/>
        <v>7893</v>
      </c>
      <c r="AV24" s="220">
        <f t="shared" si="13"/>
        <v>7893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79706</v>
      </c>
      <c r="E25" s="222">
        <f t="shared" si="14"/>
        <v>88934</v>
      </c>
      <c r="F25" s="222">
        <f t="shared" si="14"/>
        <v>98004</v>
      </c>
      <c r="G25" s="222">
        <f t="shared" si="14"/>
        <v>82655</v>
      </c>
      <c r="H25" s="222">
        <f t="shared" si="14"/>
        <v>75977</v>
      </c>
      <c r="I25" s="222">
        <f t="shared" si="14"/>
        <v>80448</v>
      </c>
      <c r="J25" s="222">
        <f t="shared" si="14"/>
        <v>97250</v>
      </c>
      <c r="K25" s="222">
        <f t="shared" si="14"/>
        <v>96874</v>
      </c>
      <c r="L25" s="222">
        <f t="shared" si="14"/>
        <v>98402</v>
      </c>
      <c r="M25" s="222">
        <f t="shared" si="14"/>
        <v>77422</v>
      </c>
      <c r="N25" s="222">
        <f t="shared" si="14"/>
        <v>77422</v>
      </c>
      <c r="O25" s="223">
        <f t="shared" si="14"/>
        <v>77422</v>
      </c>
      <c r="P25" s="275">
        <f t="shared" si="14"/>
        <v>77422</v>
      </c>
      <c r="Q25" s="35">
        <f t="shared" si="14"/>
        <v>77422</v>
      </c>
      <c r="R25" s="36">
        <f t="shared" si="14"/>
        <v>77422</v>
      </c>
      <c r="S25" s="36">
        <f t="shared" si="14"/>
        <v>45452</v>
      </c>
      <c r="T25" s="36">
        <f t="shared" si="14"/>
        <v>43522</v>
      </c>
      <c r="U25" s="36">
        <f t="shared" si="14"/>
        <v>44932</v>
      </c>
      <c r="V25" s="36">
        <f t="shared" si="14"/>
        <v>44142</v>
      </c>
      <c r="W25" s="36">
        <f t="shared" si="14"/>
        <v>41364</v>
      </c>
      <c r="X25" s="36">
        <f t="shared" si="14"/>
        <v>41364</v>
      </c>
      <c r="Y25" s="36">
        <f t="shared" si="14"/>
        <v>41364</v>
      </c>
      <c r="Z25" s="36">
        <f t="shared" si="14"/>
        <v>38152</v>
      </c>
      <c r="AA25" s="36">
        <f t="shared" si="14"/>
        <v>38152</v>
      </c>
      <c r="AB25" s="36">
        <f t="shared" si="14"/>
        <v>38152</v>
      </c>
      <c r="AC25" s="36">
        <f t="shared" si="14"/>
        <v>38152</v>
      </c>
      <c r="AD25" s="36">
        <f t="shared" si="14"/>
        <v>38152</v>
      </c>
      <c r="AE25" s="36">
        <f t="shared" si="14"/>
        <v>38152</v>
      </c>
      <c r="AF25" s="36">
        <f t="shared" si="14"/>
        <v>38152</v>
      </c>
      <c r="AG25" s="36">
        <f t="shared" si="14"/>
        <v>38152</v>
      </c>
      <c r="AH25" s="36">
        <f t="shared" si="14"/>
        <v>38152</v>
      </c>
      <c r="AI25" s="36">
        <f t="shared" si="14"/>
        <v>38152</v>
      </c>
      <c r="AJ25" s="36">
        <f t="shared" si="14"/>
        <v>38152</v>
      </c>
      <c r="AK25" s="36">
        <f t="shared" si="14"/>
        <v>38152</v>
      </c>
      <c r="AL25" s="36">
        <f t="shared" si="14"/>
        <v>38152</v>
      </c>
      <c r="AM25" s="36">
        <f t="shared" si="14"/>
        <v>38152</v>
      </c>
      <c r="AN25" s="36">
        <f t="shared" si="14"/>
        <v>38152</v>
      </c>
      <c r="AO25" s="36">
        <f t="shared" si="14"/>
        <v>38152</v>
      </c>
      <c r="AP25" s="36">
        <f t="shared" si="14"/>
        <v>38152</v>
      </c>
      <c r="AQ25" s="36">
        <f t="shared" si="14"/>
        <v>38152</v>
      </c>
      <c r="AR25" s="36">
        <f t="shared" si="14"/>
        <v>38152</v>
      </c>
      <c r="AS25" s="36">
        <f t="shared" si="14"/>
        <v>38152</v>
      </c>
      <c r="AT25" s="36">
        <f t="shared" si="14"/>
        <v>38152</v>
      </c>
      <c r="AU25" s="36">
        <f t="shared" si="14"/>
        <v>38152</v>
      </c>
      <c r="AV25" s="225">
        <f t="shared" si="14"/>
        <v>38152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0</v>
      </c>
      <c r="E26" s="32">
        <f t="shared" si="15"/>
        <v>0</v>
      </c>
      <c r="F26" s="32">
        <f t="shared" si="15"/>
        <v>0</v>
      </c>
      <c r="G26" s="32">
        <f t="shared" si="15"/>
        <v>0</v>
      </c>
      <c r="H26" s="32">
        <f t="shared" si="15"/>
        <v>0</v>
      </c>
      <c r="I26" s="32">
        <f t="shared" si="15"/>
        <v>0</v>
      </c>
      <c r="J26" s="32">
        <f t="shared" si="15"/>
        <v>0</v>
      </c>
      <c r="K26" s="32">
        <f t="shared" si="15"/>
        <v>0</v>
      </c>
      <c r="L26" s="32">
        <f t="shared" si="15"/>
        <v>0</v>
      </c>
      <c r="M26" s="32">
        <f t="shared" si="15"/>
        <v>0</v>
      </c>
      <c r="N26" s="32">
        <f t="shared" si="15"/>
        <v>0</v>
      </c>
      <c r="O26" s="33">
        <f t="shared" si="15"/>
        <v>0</v>
      </c>
      <c r="P26" s="274">
        <f t="shared" si="15"/>
        <v>0</v>
      </c>
      <c r="Q26" s="74">
        <f t="shared" si="15"/>
        <v>0</v>
      </c>
      <c r="R26" s="66">
        <f t="shared" si="15"/>
        <v>0</v>
      </c>
      <c r="S26" s="66">
        <f t="shared" si="15"/>
        <v>0</v>
      </c>
      <c r="T26" s="66">
        <f t="shared" si="15"/>
        <v>0</v>
      </c>
      <c r="U26" s="66">
        <f t="shared" si="15"/>
        <v>0</v>
      </c>
      <c r="V26" s="66">
        <f t="shared" si="15"/>
        <v>0</v>
      </c>
      <c r="W26" s="66">
        <f t="shared" si="15"/>
        <v>0</v>
      </c>
      <c r="X26" s="66">
        <f t="shared" si="15"/>
        <v>0</v>
      </c>
      <c r="Y26" s="66">
        <f t="shared" si="15"/>
        <v>0</v>
      </c>
      <c r="Z26" s="66">
        <f t="shared" si="15"/>
        <v>-76</v>
      </c>
      <c r="AA26" s="66">
        <f t="shared" si="15"/>
        <v>-76</v>
      </c>
      <c r="AB26" s="66">
        <f t="shared" si="15"/>
        <v>-76</v>
      </c>
      <c r="AC26" s="66">
        <f t="shared" si="15"/>
        <v>-76</v>
      </c>
      <c r="AD26" s="66">
        <f t="shared" si="15"/>
        <v>-76</v>
      </c>
      <c r="AE26" s="66">
        <f t="shared" si="15"/>
        <v>-76</v>
      </c>
      <c r="AF26" s="66">
        <f t="shared" si="15"/>
        <v>-76</v>
      </c>
      <c r="AG26" s="66">
        <f t="shared" si="15"/>
        <v>-76</v>
      </c>
      <c r="AH26" s="66">
        <f t="shared" si="15"/>
        <v>-76</v>
      </c>
      <c r="AI26" s="66">
        <f t="shared" si="15"/>
        <v>-76</v>
      </c>
      <c r="AJ26" s="66">
        <f t="shared" si="15"/>
        <v>-76</v>
      </c>
      <c r="AK26" s="66">
        <f t="shared" si="15"/>
        <v>-76</v>
      </c>
      <c r="AL26" s="66">
        <f t="shared" si="15"/>
        <v>-76</v>
      </c>
      <c r="AM26" s="66">
        <f t="shared" si="15"/>
        <v>-76</v>
      </c>
      <c r="AN26" s="66">
        <f t="shared" si="15"/>
        <v>-76</v>
      </c>
      <c r="AO26" s="66">
        <f t="shared" si="15"/>
        <v>-76</v>
      </c>
      <c r="AP26" s="66">
        <f t="shared" si="15"/>
        <v>-76</v>
      </c>
      <c r="AQ26" s="66">
        <f t="shared" si="15"/>
        <v>-76</v>
      </c>
      <c r="AR26" s="66">
        <f t="shared" si="15"/>
        <v>-76</v>
      </c>
      <c r="AS26" s="66">
        <f t="shared" si="15"/>
        <v>-76</v>
      </c>
      <c r="AT26" s="66">
        <f t="shared" si="15"/>
        <v>-76</v>
      </c>
      <c r="AU26" s="66">
        <f t="shared" si="15"/>
        <v>-76</v>
      </c>
      <c r="AV26" s="67">
        <f t="shared" si="15"/>
        <v>-76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600</v>
      </c>
      <c r="E27" s="222">
        <f t="shared" si="16"/>
        <v>500</v>
      </c>
      <c r="F27" s="222">
        <f t="shared" si="16"/>
        <v>780</v>
      </c>
      <c r="G27" s="222">
        <f t="shared" si="16"/>
        <v>1040</v>
      </c>
      <c r="H27" s="222">
        <f t="shared" si="16"/>
        <v>860</v>
      </c>
      <c r="I27" s="222">
        <f t="shared" si="16"/>
        <v>800</v>
      </c>
      <c r="J27" s="222">
        <f t="shared" si="16"/>
        <v>700</v>
      </c>
      <c r="K27" s="222">
        <f t="shared" si="16"/>
        <v>500</v>
      </c>
      <c r="L27" s="222">
        <f t="shared" si="16"/>
        <v>500</v>
      </c>
      <c r="M27" s="222">
        <f t="shared" si="16"/>
        <v>-16</v>
      </c>
      <c r="N27" s="222">
        <f t="shared" si="16"/>
        <v>-16</v>
      </c>
      <c r="O27" s="223">
        <f t="shared" si="16"/>
        <v>-16</v>
      </c>
      <c r="P27" s="275">
        <f t="shared" si="16"/>
        <v>-16</v>
      </c>
      <c r="Q27" s="35">
        <f t="shared" si="16"/>
        <v>-16</v>
      </c>
      <c r="R27" s="36">
        <f t="shared" si="16"/>
        <v>-16</v>
      </c>
      <c r="S27" s="36">
        <f t="shared" si="16"/>
        <v>-96</v>
      </c>
      <c r="T27" s="36">
        <f t="shared" si="16"/>
        <v>-96</v>
      </c>
      <c r="U27" s="36">
        <f t="shared" si="16"/>
        <v>-96</v>
      </c>
      <c r="V27" s="36">
        <f t="shared" si="16"/>
        <v>-156</v>
      </c>
      <c r="W27" s="36">
        <f t="shared" si="16"/>
        <v>-156</v>
      </c>
      <c r="X27" s="36">
        <f t="shared" si="16"/>
        <v>-156</v>
      </c>
      <c r="Y27" s="36">
        <f t="shared" si="16"/>
        <v>-156</v>
      </c>
      <c r="Z27" s="36">
        <f t="shared" si="16"/>
        <v>-156</v>
      </c>
      <c r="AA27" s="36">
        <f t="shared" si="16"/>
        <v>-156</v>
      </c>
      <c r="AB27" s="36">
        <f t="shared" si="16"/>
        <v>-156</v>
      </c>
      <c r="AC27" s="36">
        <f t="shared" si="16"/>
        <v>-156</v>
      </c>
      <c r="AD27" s="36">
        <f t="shared" si="16"/>
        <v>-156</v>
      </c>
      <c r="AE27" s="36">
        <f t="shared" si="16"/>
        <v>-156</v>
      </c>
      <c r="AF27" s="36">
        <f t="shared" si="16"/>
        <v>-156</v>
      </c>
      <c r="AG27" s="36">
        <f t="shared" si="16"/>
        <v>-156</v>
      </c>
      <c r="AH27" s="36">
        <f t="shared" si="16"/>
        <v>-156</v>
      </c>
      <c r="AI27" s="36">
        <f t="shared" si="16"/>
        <v>-156</v>
      </c>
      <c r="AJ27" s="36">
        <f t="shared" si="16"/>
        <v>-156</v>
      </c>
      <c r="AK27" s="36">
        <f t="shared" si="16"/>
        <v>-156</v>
      </c>
      <c r="AL27" s="36">
        <f t="shared" si="16"/>
        <v>-156</v>
      </c>
      <c r="AM27" s="36">
        <f t="shared" si="16"/>
        <v>-156</v>
      </c>
      <c r="AN27" s="36">
        <f t="shared" si="16"/>
        <v>-156</v>
      </c>
      <c r="AO27" s="36">
        <f t="shared" si="16"/>
        <v>-156</v>
      </c>
      <c r="AP27" s="36">
        <f t="shared" si="16"/>
        <v>-156</v>
      </c>
      <c r="AQ27" s="36">
        <f t="shared" si="16"/>
        <v>-156</v>
      </c>
      <c r="AR27" s="36">
        <f t="shared" si="16"/>
        <v>-156</v>
      </c>
      <c r="AS27" s="36">
        <f t="shared" si="16"/>
        <v>-156</v>
      </c>
      <c r="AT27" s="36">
        <f t="shared" si="16"/>
        <v>-156</v>
      </c>
      <c r="AU27" s="36">
        <f t="shared" si="16"/>
        <v>-156</v>
      </c>
      <c r="AV27" s="63">
        <f t="shared" si="16"/>
        <v>-156</v>
      </c>
    </row>
    <row r="28" ht="18.0" customHeight="1">
      <c r="A28" s="29"/>
      <c r="B28" s="43" t="s">
        <v>11</v>
      </c>
      <c r="C28" s="213" t="s">
        <v>9</v>
      </c>
      <c r="D28" s="229">
        <f t="shared" ref="D28:AS28" si="17">+D8+D13-D18-D23</f>
        <v>0</v>
      </c>
      <c r="E28" s="230">
        <f t="shared" si="17"/>
        <v>0</v>
      </c>
      <c r="F28" s="230">
        <f t="shared" si="17"/>
        <v>0</v>
      </c>
      <c r="G28" s="230">
        <f t="shared" si="17"/>
        <v>0</v>
      </c>
      <c r="H28" s="230">
        <f t="shared" si="17"/>
        <v>0</v>
      </c>
      <c r="I28" s="230">
        <f t="shared" si="17"/>
        <v>0</v>
      </c>
      <c r="J28" s="230">
        <f t="shared" si="17"/>
        <v>0</v>
      </c>
      <c r="K28" s="230">
        <f t="shared" si="17"/>
        <v>0</v>
      </c>
      <c r="L28" s="230">
        <f t="shared" si="17"/>
        <v>0</v>
      </c>
      <c r="M28" s="230">
        <f t="shared" si="17"/>
        <v>0</v>
      </c>
      <c r="N28" s="230">
        <f t="shared" si="17"/>
        <v>0</v>
      </c>
      <c r="O28" s="231">
        <f t="shared" si="17"/>
        <v>0</v>
      </c>
      <c r="P28" s="288">
        <f t="shared" si="17"/>
        <v>0</v>
      </c>
      <c r="Q28" s="35">
        <f t="shared" si="17"/>
        <v>0</v>
      </c>
      <c r="R28" s="36">
        <f t="shared" si="17"/>
        <v>0</v>
      </c>
      <c r="S28" s="36">
        <f t="shared" si="17"/>
        <v>0</v>
      </c>
      <c r="T28" s="36">
        <f t="shared" si="17"/>
        <v>0</v>
      </c>
      <c r="U28" s="36">
        <f t="shared" si="17"/>
        <v>0</v>
      </c>
      <c r="V28" s="36">
        <f t="shared" si="17"/>
        <v>0</v>
      </c>
      <c r="W28" s="36">
        <f t="shared" si="17"/>
        <v>0</v>
      </c>
      <c r="X28" s="36">
        <f t="shared" si="17"/>
        <v>0</v>
      </c>
      <c r="Y28" s="36">
        <f t="shared" si="17"/>
        <v>0</v>
      </c>
      <c r="Z28" s="36">
        <f t="shared" si="17"/>
        <v>0</v>
      </c>
      <c r="AA28" s="36">
        <f t="shared" si="17"/>
        <v>0</v>
      </c>
      <c r="AB28" s="36">
        <f t="shared" si="17"/>
        <v>0</v>
      </c>
      <c r="AC28" s="36">
        <f t="shared" si="17"/>
        <v>0</v>
      </c>
      <c r="AD28" s="36">
        <f t="shared" si="17"/>
        <v>0</v>
      </c>
      <c r="AE28" s="36">
        <f t="shared" si="17"/>
        <v>0</v>
      </c>
      <c r="AF28" s="36">
        <f t="shared" si="17"/>
        <v>0</v>
      </c>
      <c r="AG28" s="36">
        <f t="shared" si="17"/>
        <v>0</v>
      </c>
      <c r="AH28" s="36">
        <f t="shared" si="17"/>
        <v>0</v>
      </c>
      <c r="AI28" s="36">
        <f t="shared" si="17"/>
        <v>0</v>
      </c>
      <c r="AJ28" s="36">
        <f t="shared" si="17"/>
        <v>0</v>
      </c>
      <c r="AK28" s="36">
        <f t="shared" si="17"/>
        <v>0</v>
      </c>
      <c r="AL28" s="36">
        <f t="shared" si="17"/>
        <v>0</v>
      </c>
      <c r="AM28" s="36">
        <f t="shared" si="17"/>
        <v>0</v>
      </c>
      <c r="AN28" s="36">
        <f t="shared" si="17"/>
        <v>0</v>
      </c>
      <c r="AO28" s="36">
        <f t="shared" si="17"/>
        <v>0</v>
      </c>
      <c r="AP28" s="36">
        <f t="shared" si="17"/>
        <v>0</v>
      </c>
      <c r="AQ28" s="36">
        <f t="shared" si="17"/>
        <v>0</v>
      </c>
      <c r="AR28" s="36">
        <f t="shared" si="17"/>
        <v>0</v>
      </c>
      <c r="AS28" s="36">
        <f t="shared" si="17"/>
        <v>0</v>
      </c>
      <c r="AT28" s="36">
        <v>0.0</v>
      </c>
      <c r="AU28" s="36">
        <f t="shared" ref="AU28:AV28" si="18">+AU8+AU13-AU18-AU23</f>
        <v>0</v>
      </c>
      <c r="AV28" s="63">
        <f t="shared" si="18"/>
        <v>0</v>
      </c>
    </row>
    <row r="29" ht="18.0" customHeight="1">
      <c r="A29" s="1"/>
      <c r="B29" s="1"/>
      <c r="C29" s="1"/>
      <c r="D29" s="27">
        <f t="shared" ref="D29:O29" si="19">SUM(D24:D28)</f>
        <v>85404</v>
      </c>
      <c r="E29" s="27">
        <f t="shared" si="19"/>
        <v>94692</v>
      </c>
      <c r="F29" s="27">
        <f t="shared" si="19"/>
        <v>103126</v>
      </c>
      <c r="G29" s="27">
        <f t="shared" si="19"/>
        <v>88888</v>
      </c>
      <c r="H29" s="27">
        <f t="shared" si="19"/>
        <v>81133</v>
      </c>
      <c r="I29" s="27">
        <f t="shared" si="19"/>
        <v>92116</v>
      </c>
      <c r="J29" s="27">
        <f t="shared" si="19"/>
        <v>106083</v>
      </c>
      <c r="K29" s="27">
        <f t="shared" si="19"/>
        <v>104548</v>
      </c>
      <c r="L29" s="27">
        <f t="shared" si="19"/>
        <v>105398</v>
      </c>
      <c r="M29" s="27">
        <f t="shared" si="19"/>
        <v>86593</v>
      </c>
      <c r="N29" s="27">
        <f t="shared" si="19"/>
        <v>86593</v>
      </c>
      <c r="O29" s="27">
        <f t="shared" si="19"/>
        <v>86593</v>
      </c>
      <c r="P29" s="27"/>
      <c r="Q29" s="27">
        <f t="shared" ref="Q29:AV29" si="20">SUM(Q24:Q28)</f>
        <v>86593</v>
      </c>
      <c r="R29" s="27">
        <f t="shared" si="20"/>
        <v>86593</v>
      </c>
      <c r="S29" s="27">
        <f t="shared" si="20"/>
        <v>54517</v>
      </c>
      <c r="T29" s="27">
        <f t="shared" si="20"/>
        <v>52563</v>
      </c>
      <c r="U29" s="27">
        <f t="shared" si="20"/>
        <v>53869</v>
      </c>
      <c r="V29" s="27">
        <f t="shared" si="20"/>
        <v>52119</v>
      </c>
      <c r="W29" s="27">
        <f t="shared" si="20"/>
        <v>49173</v>
      </c>
      <c r="X29" s="27">
        <f t="shared" si="20"/>
        <v>49173</v>
      </c>
      <c r="Y29" s="27">
        <f t="shared" si="20"/>
        <v>49173</v>
      </c>
      <c r="Z29" s="27">
        <f t="shared" si="20"/>
        <v>45813</v>
      </c>
      <c r="AA29" s="27">
        <f t="shared" si="20"/>
        <v>45813</v>
      </c>
      <c r="AB29" s="27">
        <f t="shared" si="20"/>
        <v>45813</v>
      </c>
      <c r="AC29" s="27">
        <f t="shared" si="20"/>
        <v>45813</v>
      </c>
      <c r="AD29" s="27">
        <f t="shared" si="20"/>
        <v>45813</v>
      </c>
      <c r="AE29" s="27">
        <f t="shared" si="20"/>
        <v>45813</v>
      </c>
      <c r="AF29" s="27">
        <f t="shared" si="20"/>
        <v>45813</v>
      </c>
      <c r="AG29" s="27">
        <f t="shared" si="20"/>
        <v>45813</v>
      </c>
      <c r="AH29" s="27">
        <f t="shared" si="20"/>
        <v>45813</v>
      </c>
      <c r="AI29" s="27">
        <f t="shared" si="20"/>
        <v>45813</v>
      </c>
      <c r="AJ29" s="27">
        <f t="shared" si="20"/>
        <v>45813</v>
      </c>
      <c r="AK29" s="27">
        <f t="shared" si="20"/>
        <v>45813</v>
      </c>
      <c r="AL29" s="27">
        <f t="shared" si="20"/>
        <v>45813</v>
      </c>
      <c r="AM29" s="27">
        <f t="shared" si="20"/>
        <v>45813</v>
      </c>
      <c r="AN29" s="27">
        <f t="shared" si="20"/>
        <v>45813</v>
      </c>
      <c r="AO29" s="27">
        <f t="shared" si="20"/>
        <v>45813</v>
      </c>
      <c r="AP29" s="27">
        <f t="shared" si="20"/>
        <v>45813</v>
      </c>
      <c r="AQ29" s="27">
        <f t="shared" si="20"/>
        <v>45813</v>
      </c>
      <c r="AR29" s="27">
        <f t="shared" si="20"/>
        <v>45813</v>
      </c>
      <c r="AS29" s="27">
        <f t="shared" si="20"/>
        <v>45813</v>
      </c>
      <c r="AT29" s="27">
        <f t="shared" si="20"/>
        <v>45813</v>
      </c>
      <c r="AU29" s="27">
        <f t="shared" si="20"/>
        <v>45813</v>
      </c>
      <c r="AV29" s="27">
        <f t="shared" si="20"/>
        <v>45813</v>
      </c>
    </row>
    <row r="30" ht="18.0" customHeight="1">
      <c r="A30" s="1"/>
      <c r="B30" s="1"/>
      <c r="C30" s="1"/>
      <c r="D30" s="1"/>
      <c r="E30" s="1"/>
      <c r="F30" s="1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142"/>
    </row>
    <row r="31" ht="18.0" customHeight="1">
      <c r="A31" s="93" t="s">
        <v>16</v>
      </c>
      <c r="B31" s="17" t="s">
        <v>7</v>
      </c>
      <c r="C31" s="94" t="s">
        <v>8</v>
      </c>
      <c r="D31" s="201">
        <v>28.0</v>
      </c>
      <c r="E31" s="171">
        <f t="shared" ref="E31:O31" si="21">ROUND(E24/200,0)</f>
        <v>26</v>
      </c>
      <c r="F31" s="171">
        <f t="shared" si="21"/>
        <v>22</v>
      </c>
      <c r="G31" s="171">
        <f t="shared" si="21"/>
        <v>26</v>
      </c>
      <c r="H31" s="171">
        <f t="shared" si="21"/>
        <v>21</v>
      </c>
      <c r="I31" s="171">
        <f t="shared" si="21"/>
        <v>54</v>
      </c>
      <c r="J31" s="171">
        <f t="shared" si="21"/>
        <v>41</v>
      </c>
      <c r="K31" s="171">
        <f t="shared" si="21"/>
        <v>36</v>
      </c>
      <c r="L31" s="171">
        <f t="shared" si="21"/>
        <v>32</v>
      </c>
      <c r="M31" s="171">
        <f t="shared" si="21"/>
        <v>46</v>
      </c>
      <c r="N31" s="171">
        <f t="shared" si="21"/>
        <v>46</v>
      </c>
      <c r="O31" s="171">
        <f t="shared" si="21"/>
        <v>46</v>
      </c>
      <c r="P31" s="201">
        <f t="shared" ref="P31:AV31" si="22">P24/200</f>
        <v>45.935</v>
      </c>
      <c r="Q31" s="201">
        <f t="shared" si="22"/>
        <v>45.935</v>
      </c>
      <c r="R31" s="171">
        <f t="shared" si="22"/>
        <v>45.935</v>
      </c>
      <c r="S31" s="171">
        <f t="shared" si="22"/>
        <v>45.805</v>
      </c>
      <c r="T31" s="171">
        <f t="shared" si="22"/>
        <v>45.685</v>
      </c>
      <c r="U31" s="171">
        <f t="shared" si="22"/>
        <v>45.165</v>
      </c>
      <c r="V31" s="171">
        <f t="shared" si="22"/>
        <v>40.665</v>
      </c>
      <c r="W31" s="171">
        <f t="shared" si="22"/>
        <v>39.825</v>
      </c>
      <c r="X31" s="171">
        <f t="shared" si="22"/>
        <v>39.825</v>
      </c>
      <c r="Y31" s="171">
        <f t="shared" si="22"/>
        <v>39.825</v>
      </c>
      <c r="Z31" s="171">
        <f t="shared" si="22"/>
        <v>39.465</v>
      </c>
      <c r="AA31" s="171">
        <f t="shared" si="22"/>
        <v>39.465</v>
      </c>
      <c r="AB31" s="171">
        <f t="shared" si="22"/>
        <v>39.465</v>
      </c>
      <c r="AC31" s="171">
        <f t="shared" si="22"/>
        <v>39.465</v>
      </c>
      <c r="AD31" s="171">
        <f t="shared" si="22"/>
        <v>39.465</v>
      </c>
      <c r="AE31" s="171">
        <f t="shared" si="22"/>
        <v>39.465</v>
      </c>
      <c r="AF31" s="171">
        <f t="shared" si="22"/>
        <v>39.465</v>
      </c>
      <c r="AG31" s="171">
        <f t="shared" si="22"/>
        <v>39.465</v>
      </c>
      <c r="AH31" s="171">
        <f t="shared" si="22"/>
        <v>39.465</v>
      </c>
      <c r="AI31" s="171">
        <f t="shared" si="22"/>
        <v>39.465</v>
      </c>
      <c r="AJ31" s="171">
        <f t="shared" si="22"/>
        <v>39.465</v>
      </c>
      <c r="AK31" s="171">
        <f t="shared" si="22"/>
        <v>39.465</v>
      </c>
      <c r="AL31" s="171">
        <f t="shared" si="22"/>
        <v>39.465</v>
      </c>
      <c r="AM31" s="171">
        <f t="shared" si="22"/>
        <v>39.465</v>
      </c>
      <c r="AN31" s="171">
        <f t="shared" si="22"/>
        <v>39.465</v>
      </c>
      <c r="AO31" s="171">
        <f t="shared" si="22"/>
        <v>39.465</v>
      </c>
      <c r="AP31" s="171">
        <f t="shared" si="22"/>
        <v>39.465</v>
      </c>
      <c r="AQ31" s="171">
        <f t="shared" si="22"/>
        <v>39.465</v>
      </c>
      <c r="AR31" s="171">
        <f t="shared" si="22"/>
        <v>39.465</v>
      </c>
      <c r="AS31" s="171">
        <f t="shared" si="22"/>
        <v>39.465</v>
      </c>
      <c r="AT31" s="171">
        <f t="shared" si="22"/>
        <v>39.465</v>
      </c>
      <c r="AU31" s="171">
        <f t="shared" si="22"/>
        <v>39.465</v>
      </c>
      <c r="AV31" s="201">
        <f t="shared" si="22"/>
        <v>39.465</v>
      </c>
    </row>
    <row r="32" ht="18.0" customHeight="1">
      <c r="A32" s="28"/>
      <c r="B32" s="29"/>
      <c r="C32" s="100" t="s">
        <v>9</v>
      </c>
      <c r="D32" s="176">
        <v>409.25</v>
      </c>
      <c r="E32" s="177">
        <f t="shared" ref="E32:AV32" si="23">E25/200</f>
        <v>444.67</v>
      </c>
      <c r="F32" s="177">
        <f t="shared" si="23"/>
        <v>490.02</v>
      </c>
      <c r="G32" s="177">
        <f t="shared" si="23"/>
        <v>413.275</v>
      </c>
      <c r="H32" s="177">
        <f t="shared" si="23"/>
        <v>379.885</v>
      </c>
      <c r="I32" s="177">
        <f t="shared" si="23"/>
        <v>402.24</v>
      </c>
      <c r="J32" s="177">
        <f t="shared" si="23"/>
        <v>486.25</v>
      </c>
      <c r="K32" s="177">
        <f t="shared" si="23"/>
        <v>484.37</v>
      </c>
      <c r="L32" s="177">
        <f t="shared" si="23"/>
        <v>492.01</v>
      </c>
      <c r="M32" s="177">
        <f t="shared" si="23"/>
        <v>387.11</v>
      </c>
      <c r="N32" s="177">
        <f t="shared" si="23"/>
        <v>387.11</v>
      </c>
      <c r="O32" s="177">
        <f t="shared" si="23"/>
        <v>387.11</v>
      </c>
      <c r="P32" s="176">
        <f t="shared" si="23"/>
        <v>387.11</v>
      </c>
      <c r="Q32" s="176">
        <f t="shared" si="23"/>
        <v>387.11</v>
      </c>
      <c r="R32" s="177">
        <f t="shared" si="23"/>
        <v>387.11</v>
      </c>
      <c r="S32" s="177">
        <f t="shared" si="23"/>
        <v>227.26</v>
      </c>
      <c r="T32" s="177">
        <f t="shared" si="23"/>
        <v>217.61</v>
      </c>
      <c r="U32" s="177">
        <f t="shared" si="23"/>
        <v>224.66</v>
      </c>
      <c r="V32" s="177">
        <f t="shared" si="23"/>
        <v>220.71</v>
      </c>
      <c r="W32" s="177">
        <f t="shared" si="23"/>
        <v>206.82</v>
      </c>
      <c r="X32" s="177">
        <f t="shared" si="23"/>
        <v>206.82</v>
      </c>
      <c r="Y32" s="177">
        <f t="shared" si="23"/>
        <v>206.82</v>
      </c>
      <c r="Z32" s="177">
        <f t="shared" si="23"/>
        <v>190.76</v>
      </c>
      <c r="AA32" s="177">
        <f t="shared" si="23"/>
        <v>190.76</v>
      </c>
      <c r="AB32" s="177">
        <f t="shared" si="23"/>
        <v>190.76</v>
      </c>
      <c r="AC32" s="177">
        <f t="shared" si="23"/>
        <v>190.76</v>
      </c>
      <c r="AD32" s="177">
        <f t="shared" si="23"/>
        <v>190.76</v>
      </c>
      <c r="AE32" s="177">
        <f t="shared" si="23"/>
        <v>190.76</v>
      </c>
      <c r="AF32" s="177">
        <f t="shared" si="23"/>
        <v>190.76</v>
      </c>
      <c r="AG32" s="177">
        <f t="shared" si="23"/>
        <v>190.76</v>
      </c>
      <c r="AH32" s="177">
        <f t="shared" si="23"/>
        <v>190.76</v>
      </c>
      <c r="AI32" s="177">
        <f t="shared" si="23"/>
        <v>190.76</v>
      </c>
      <c r="AJ32" s="177">
        <f t="shared" si="23"/>
        <v>190.76</v>
      </c>
      <c r="AK32" s="177">
        <f t="shared" si="23"/>
        <v>190.76</v>
      </c>
      <c r="AL32" s="177">
        <f t="shared" si="23"/>
        <v>190.76</v>
      </c>
      <c r="AM32" s="177">
        <f t="shared" si="23"/>
        <v>190.76</v>
      </c>
      <c r="AN32" s="177">
        <f t="shared" si="23"/>
        <v>190.76</v>
      </c>
      <c r="AO32" s="177">
        <f t="shared" si="23"/>
        <v>190.76</v>
      </c>
      <c r="AP32" s="177">
        <f t="shared" si="23"/>
        <v>190.76</v>
      </c>
      <c r="AQ32" s="177">
        <f t="shared" si="23"/>
        <v>190.76</v>
      </c>
      <c r="AR32" s="177">
        <f t="shared" si="23"/>
        <v>190.76</v>
      </c>
      <c r="AS32" s="177">
        <f t="shared" si="23"/>
        <v>190.76</v>
      </c>
      <c r="AT32" s="177">
        <f t="shared" si="23"/>
        <v>190.76</v>
      </c>
      <c r="AU32" s="177">
        <f t="shared" si="23"/>
        <v>190.76</v>
      </c>
      <c r="AV32" s="176">
        <f t="shared" si="23"/>
        <v>190.76</v>
      </c>
    </row>
    <row r="33" ht="18.0" customHeight="1">
      <c r="A33" s="28"/>
      <c r="B33" s="38" t="s">
        <v>10</v>
      </c>
      <c r="C33" s="106" t="s">
        <v>8</v>
      </c>
      <c r="D33" s="184">
        <v>0.0</v>
      </c>
      <c r="E33" s="185">
        <f t="shared" ref="E33:P33" si="24">ROUND(E26/200,0)</f>
        <v>0</v>
      </c>
      <c r="F33" s="185">
        <f t="shared" si="24"/>
        <v>0</v>
      </c>
      <c r="G33" s="185">
        <f t="shared" si="24"/>
        <v>0</v>
      </c>
      <c r="H33" s="185">
        <f t="shared" si="24"/>
        <v>0</v>
      </c>
      <c r="I33" s="185">
        <f t="shared" si="24"/>
        <v>0</v>
      </c>
      <c r="J33" s="185">
        <f t="shared" si="24"/>
        <v>0</v>
      </c>
      <c r="K33" s="185">
        <f t="shared" si="24"/>
        <v>0</v>
      </c>
      <c r="L33" s="185">
        <f t="shared" si="24"/>
        <v>0</v>
      </c>
      <c r="M33" s="185">
        <f t="shared" si="24"/>
        <v>0</v>
      </c>
      <c r="N33" s="185">
        <f t="shared" si="24"/>
        <v>0</v>
      </c>
      <c r="O33" s="185">
        <f t="shared" si="24"/>
        <v>0</v>
      </c>
      <c r="P33" s="184">
        <f t="shared" si="24"/>
        <v>0</v>
      </c>
      <c r="Q33" s="184">
        <f t="shared" ref="Q33:AV33" si="25">Q26/200</f>
        <v>0</v>
      </c>
      <c r="R33" s="185">
        <f t="shared" si="25"/>
        <v>0</v>
      </c>
      <c r="S33" s="185">
        <f t="shared" si="25"/>
        <v>0</v>
      </c>
      <c r="T33" s="185">
        <f t="shared" si="25"/>
        <v>0</v>
      </c>
      <c r="U33" s="185">
        <f t="shared" si="25"/>
        <v>0</v>
      </c>
      <c r="V33" s="185">
        <f t="shared" si="25"/>
        <v>0</v>
      </c>
      <c r="W33" s="185">
        <f t="shared" si="25"/>
        <v>0</v>
      </c>
      <c r="X33" s="185">
        <f t="shared" si="25"/>
        <v>0</v>
      </c>
      <c r="Y33" s="185">
        <f t="shared" si="25"/>
        <v>0</v>
      </c>
      <c r="Z33" s="185">
        <f t="shared" si="25"/>
        <v>-0.38</v>
      </c>
      <c r="AA33" s="185">
        <f t="shared" si="25"/>
        <v>-0.38</v>
      </c>
      <c r="AB33" s="185">
        <f t="shared" si="25"/>
        <v>-0.38</v>
      </c>
      <c r="AC33" s="185">
        <f t="shared" si="25"/>
        <v>-0.38</v>
      </c>
      <c r="AD33" s="185">
        <f t="shared" si="25"/>
        <v>-0.38</v>
      </c>
      <c r="AE33" s="185">
        <f t="shared" si="25"/>
        <v>-0.38</v>
      </c>
      <c r="AF33" s="185">
        <f t="shared" si="25"/>
        <v>-0.38</v>
      </c>
      <c r="AG33" s="185">
        <f t="shared" si="25"/>
        <v>-0.38</v>
      </c>
      <c r="AH33" s="185">
        <f t="shared" si="25"/>
        <v>-0.38</v>
      </c>
      <c r="AI33" s="185">
        <f t="shared" si="25"/>
        <v>-0.38</v>
      </c>
      <c r="AJ33" s="185">
        <f t="shared" si="25"/>
        <v>-0.38</v>
      </c>
      <c r="AK33" s="185">
        <f t="shared" si="25"/>
        <v>-0.38</v>
      </c>
      <c r="AL33" s="185">
        <f t="shared" si="25"/>
        <v>-0.38</v>
      </c>
      <c r="AM33" s="185">
        <f t="shared" si="25"/>
        <v>-0.38</v>
      </c>
      <c r="AN33" s="185">
        <f t="shared" si="25"/>
        <v>-0.38</v>
      </c>
      <c r="AO33" s="185">
        <f t="shared" si="25"/>
        <v>-0.38</v>
      </c>
      <c r="AP33" s="185">
        <f t="shared" si="25"/>
        <v>-0.38</v>
      </c>
      <c r="AQ33" s="185">
        <f t="shared" si="25"/>
        <v>-0.38</v>
      </c>
      <c r="AR33" s="185">
        <f t="shared" si="25"/>
        <v>-0.38</v>
      </c>
      <c r="AS33" s="185">
        <f t="shared" si="25"/>
        <v>-0.38</v>
      </c>
      <c r="AT33" s="185">
        <f t="shared" si="25"/>
        <v>-0.38</v>
      </c>
      <c r="AU33" s="185">
        <f t="shared" si="25"/>
        <v>-0.38</v>
      </c>
      <c r="AV33" s="184">
        <f t="shared" si="25"/>
        <v>-0.38</v>
      </c>
    </row>
    <row r="34" ht="18.0" customHeight="1">
      <c r="A34" s="28"/>
      <c r="B34" s="29"/>
      <c r="C34" s="100" t="s">
        <v>9</v>
      </c>
      <c r="D34" s="176">
        <v>4.7</v>
      </c>
      <c r="E34" s="177">
        <f t="shared" ref="E34:AV34" si="26">E27/200</f>
        <v>2.5</v>
      </c>
      <c r="F34" s="177">
        <f t="shared" si="26"/>
        <v>3.9</v>
      </c>
      <c r="G34" s="177">
        <f t="shared" si="26"/>
        <v>5.2</v>
      </c>
      <c r="H34" s="177">
        <f t="shared" si="26"/>
        <v>4.3</v>
      </c>
      <c r="I34" s="177">
        <f t="shared" si="26"/>
        <v>4</v>
      </c>
      <c r="J34" s="177">
        <f t="shared" si="26"/>
        <v>3.5</v>
      </c>
      <c r="K34" s="177">
        <f t="shared" si="26"/>
        <v>2.5</v>
      </c>
      <c r="L34" s="177">
        <f t="shared" si="26"/>
        <v>2.5</v>
      </c>
      <c r="M34" s="177">
        <f t="shared" si="26"/>
        <v>-0.08</v>
      </c>
      <c r="N34" s="177">
        <f t="shared" si="26"/>
        <v>-0.08</v>
      </c>
      <c r="O34" s="177">
        <f t="shared" si="26"/>
        <v>-0.08</v>
      </c>
      <c r="P34" s="176">
        <f t="shared" si="26"/>
        <v>-0.08</v>
      </c>
      <c r="Q34" s="176">
        <f t="shared" si="26"/>
        <v>-0.08</v>
      </c>
      <c r="R34" s="177">
        <f t="shared" si="26"/>
        <v>-0.08</v>
      </c>
      <c r="S34" s="177">
        <f t="shared" si="26"/>
        <v>-0.48</v>
      </c>
      <c r="T34" s="177">
        <f t="shared" si="26"/>
        <v>-0.48</v>
      </c>
      <c r="U34" s="177">
        <f t="shared" si="26"/>
        <v>-0.48</v>
      </c>
      <c r="V34" s="177">
        <f t="shared" si="26"/>
        <v>-0.78</v>
      </c>
      <c r="W34" s="177">
        <f t="shared" si="26"/>
        <v>-0.78</v>
      </c>
      <c r="X34" s="177">
        <f t="shared" si="26"/>
        <v>-0.78</v>
      </c>
      <c r="Y34" s="177">
        <f t="shared" si="26"/>
        <v>-0.78</v>
      </c>
      <c r="Z34" s="177">
        <f t="shared" si="26"/>
        <v>-0.78</v>
      </c>
      <c r="AA34" s="177">
        <f t="shared" si="26"/>
        <v>-0.78</v>
      </c>
      <c r="AB34" s="177">
        <f t="shared" si="26"/>
        <v>-0.78</v>
      </c>
      <c r="AC34" s="177">
        <f t="shared" si="26"/>
        <v>-0.78</v>
      </c>
      <c r="AD34" s="177">
        <f t="shared" si="26"/>
        <v>-0.78</v>
      </c>
      <c r="AE34" s="177">
        <f t="shared" si="26"/>
        <v>-0.78</v>
      </c>
      <c r="AF34" s="177">
        <f t="shared" si="26"/>
        <v>-0.78</v>
      </c>
      <c r="AG34" s="177">
        <f t="shared" si="26"/>
        <v>-0.78</v>
      </c>
      <c r="AH34" s="177">
        <f t="shared" si="26"/>
        <v>-0.78</v>
      </c>
      <c r="AI34" s="177">
        <f t="shared" si="26"/>
        <v>-0.78</v>
      </c>
      <c r="AJ34" s="177">
        <f t="shared" si="26"/>
        <v>-0.78</v>
      </c>
      <c r="AK34" s="177">
        <f t="shared" si="26"/>
        <v>-0.78</v>
      </c>
      <c r="AL34" s="177">
        <f t="shared" si="26"/>
        <v>-0.78</v>
      </c>
      <c r="AM34" s="177">
        <f t="shared" si="26"/>
        <v>-0.78</v>
      </c>
      <c r="AN34" s="177">
        <f t="shared" si="26"/>
        <v>-0.78</v>
      </c>
      <c r="AO34" s="177">
        <f t="shared" si="26"/>
        <v>-0.78</v>
      </c>
      <c r="AP34" s="177">
        <f t="shared" si="26"/>
        <v>-0.78</v>
      </c>
      <c r="AQ34" s="177">
        <f t="shared" si="26"/>
        <v>-0.78</v>
      </c>
      <c r="AR34" s="177">
        <f t="shared" si="26"/>
        <v>-0.78</v>
      </c>
      <c r="AS34" s="177">
        <f t="shared" si="26"/>
        <v>-0.78</v>
      </c>
      <c r="AT34" s="177">
        <f t="shared" si="26"/>
        <v>-0.78</v>
      </c>
      <c r="AU34" s="177">
        <f t="shared" si="26"/>
        <v>-0.78</v>
      </c>
      <c r="AV34" s="176">
        <f t="shared" si="26"/>
        <v>-0.78</v>
      </c>
    </row>
    <row r="35" ht="18.0" customHeight="1">
      <c r="A35" s="29"/>
      <c r="B35" s="43" t="s">
        <v>11</v>
      </c>
      <c r="C35" s="43" t="s">
        <v>9</v>
      </c>
      <c r="D35" s="197">
        <v>0.0</v>
      </c>
      <c r="E35" s="198">
        <f t="shared" ref="E35:AV35" si="27">E28/200</f>
        <v>0</v>
      </c>
      <c r="F35" s="198">
        <f t="shared" si="27"/>
        <v>0</v>
      </c>
      <c r="G35" s="198">
        <f t="shared" si="27"/>
        <v>0</v>
      </c>
      <c r="H35" s="198">
        <f t="shared" si="27"/>
        <v>0</v>
      </c>
      <c r="I35" s="198">
        <f t="shared" si="27"/>
        <v>0</v>
      </c>
      <c r="J35" s="198">
        <f t="shared" si="27"/>
        <v>0</v>
      </c>
      <c r="K35" s="198">
        <f t="shared" si="27"/>
        <v>0</v>
      </c>
      <c r="L35" s="198">
        <f t="shared" si="27"/>
        <v>0</v>
      </c>
      <c r="M35" s="198">
        <f t="shared" si="27"/>
        <v>0</v>
      </c>
      <c r="N35" s="198">
        <f t="shared" si="27"/>
        <v>0</v>
      </c>
      <c r="O35" s="198">
        <f t="shared" si="27"/>
        <v>0</v>
      </c>
      <c r="P35" s="197">
        <f t="shared" si="27"/>
        <v>0</v>
      </c>
      <c r="Q35" s="197">
        <f t="shared" si="27"/>
        <v>0</v>
      </c>
      <c r="R35" s="198">
        <f t="shared" si="27"/>
        <v>0</v>
      </c>
      <c r="S35" s="198">
        <f t="shared" si="27"/>
        <v>0</v>
      </c>
      <c r="T35" s="198">
        <f t="shared" si="27"/>
        <v>0</v>
      </c>
      <c r="U35" s="198">
        <f t="shared" si="27"/>
        <v>0</v>
      </c>
      <c r="V35" s="198">
        <f t="shared" si="27"/>
        <v>0</v>
      </c>
      <c r="W35" s="198">
        <f t="shared" si="27"/>
        <v>0</v>
      </c>
      <c r="X35" s="198">
        <f t="shared" si="27"/>
        <v>0</v>
      </c>
      <c r="Y35" s="198">
        <f t="shared" si="27"/>
        <v>0</v>
      </c>
      <c r="Z35" s="198">
        <f t="shared" si="27"/>
        <v>0</v>
      </c>
      <c r="AA35" s="198">
        <f t="shared" si="27"/>
        <v>0</v>
      </c>
      <c r="AB35" s="198">
        <f t="shared" si="27"/>
        <v>0</v>
      </c>
      <c r="AC35" s="198">
        <f t="shared" si="27"/>
        <v>0</v>
      </c>
      <c r="AD35" s="198">
        <f t="shared" si="27"/>
        <v>0</v>
      </c>
      <c r="AE35" s="198">
        <f t="shared" si="27"/>
        <v>0</v>
      </c>
      <c r="AF35" s="198">
        <f t="shared" si="27"/>
        <v>0</v>
      </c>
      <c r="AG35" s="198">
        <f t="shared" si="27"/>
        <v>0</v>
      </c>
      <c r="AH35" s="198">
        <f t="shared" si="27"/>
        <v>0</v>
      </c>
      <c r="AI35" s="198">
        <f t="shared" si="27"/>
        <v>0</v>
      </c>
      <c r="AJ35" s="198">
        <f t="shared" si="27"/>
        <v>0</v>
      </c>
      <c r="AK35" s="198">
        <f t="shared" si="27"/>
        <v>0</v>
      </c>
      <c r="AL35" s="198">
        <f t="shared" si="27"/>
        <v>0</v>
      </c>
      <c r="AM35" s="198">
        <f t="shared" si="27"/>
        <v>0</v>
      </c>
      <c r="AN35" s="198">
        <f t="shared" si="27"/>
        <v>0</v>
      </c>
      <c r="AO35" s="198">
        <f t="shared" si="27"/>
        <v>0</v>
      </c>
      <c r="AP35" s="198">
        <f t="shared" si="27"/>
        <v>0</v>
      </c>
      <c r="AQ35" s="198">
        <f t="shared" si="27"/>
        <v>0</v>
      </c>
      <c r="AR35" s="198">
        <f t="shared" si="27"/>
        <v>0</v>
      </c>
      <c r="AS35" s="198">
        <f t="shared" si="27"/>
        <v>0</v>
      </c>
      <c r="AT35" s="198">
        <f t="shared" si="27"/>
        <v>0</v>
      </c>
      <c r="AU35" s="198">
        <f t="shared" si="27"/>
        <v>0</v>
      </c>
      <c r="AV35" s="197">
        <f t="shared" si="27"/>
        <v>0</v>
      </c>
    </row>
    <row r="36" ht="17.25" customHeight="1">
      <c r="A36" s="1"/>
      <c r="B36" s="1"/>
      <c r="C36" s="1"/>
      <c r="D36" s="1"/>
      <c r="E36" s="1"/>
      <c r="F36" s="1"/>
      <c r="G36" s="118"/>
      <c r="H36" s="118"/>
      <c r="I36" s="118"/>
      <c r="J36" s="118"/>
      <c r="K36" s="118"/>
      <c r="L36" s="118"/>
      <c r="M36" s="118"/>
      <c r="N36" s="118"/>
      <c r="O36" s="118"/>
      <c r="P36" s="257"/>
      <c r="Q36" s="118"/>
      <c r="R36" s="118"/>
      <c r="S36" s="118"/>
      <c r="T36" s="257"/>
      <c r="U36" s="25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142"/>
    </row>
    <row r="37" ht="17.25" customHeight="1">
      <c r="A37" s="1"/>
      <c r="B37" s="1"/>
      <c r="C37" s="1"/>
      <c r="D37" s="1"/>
      <c r="E37" s="1"/>
      <c r="F37" s="1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142"/>
    </row>
    <row r="38" ht="17.25" customHeight="1">
      <c r="A38" s="1"/>
      <c r="B38" s="1"/>
      <c r="C38" s="1"/>
      <c r="D38" s="1"/>
      <c r="E38" s="1"/>
      <c r="F38" s="1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142"/>
    </row>
    <row r="39" ht="17.25" customHeight="1">
      <c r="A39" s="1"/>
      <c r="B39" s="1"/>
      <c r="C39" s="1"/>
      <c r="D39" s="1"/>
      <c r="E39" s="1"/>
      <c r="F39" s="1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P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7.25" customHeight="1">
      <c r="A41" s="1"/>
      <c r="B41" s="1"/>
      <c r="C41" s="1"/>
      <c r="D41" s="1"/>
      <c r="E41" s="1"/>
      <c r="F41" s="1"/>
      <c r="P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7.25" customHeight="1">
      <c r="A42" s="1"/>
      <c r="B42" s="1"/>
      <c r="C42" s="1"/>
      <c r="D42" s="1"/>
      <c r="E42" s="1"/>
      <c r="F42" s="1"/>
      <c r="P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7.25" customHeight="1">
      <c r="A43" s="1"/>
      <c r="B43" s="1"/>
      <c r="C43" s="1"/>
      <c r="D43" s="1"/>
      <c r="E43" s="1"/>
      <c r="F43" s="1"/>
      <c r="P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7.25" customHeight="1">
      <c r="A44" s="1"/>
      <c r="B44" s="1"/>
      <c r="C44" s="1"/>
      <c r="D44" s="1"/>
      <c r="E44" s="1"/>
      <c r="F44" s="1"/>
      <c r="P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142"/>
    </row>
    <row r="45" ht="17.25" customHeight="1">
      <c r="A45" s="1"/>
      <c r="B45" s="1"/>
      <c r="C45" s="1"/>
      <c r="D45" s="1"/>
      <c r="E45" s="1"/>
      <c r="F45" s="1"/>
      <c r="P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142"/>
    </row>
    <row r="46" ht="17.25" customHeight="1">
      <c r="A46" s="1"/>
      <c r="B46" s="1"/>
      <c r="C46" s="1"/>
      <c r="D46" s="1"/>
      <c r="E46" s="1"/>
      <c r="F46" s="1"/>
      <c r="P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142"/>
    </row>
    <row r="47" ht="17.25" customHeight="1">
      <c r="A47" s="1"/>
      <c r="B47" s="1"/>
      <c r="C47" s="1"/>
      <c r="D47" s="1"/>
      <c r="E47" s="1"/>
      <c r="F47" s="1"/>
      <c r="P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142"/>
    </row>
    <row r="48" ht="17.25" customHeight="1">
      <c r="A48" s="1"/>
      <c r="B48" s="1"/>
      <c r="C48" s="1"/>
      <c r="D48" s="1"/>
      <c r="E48" s="1"/>
      <c r="F48" s="1"/>
      <c r="P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142"/>
    </row>
    <row r="49" ht="17.25" customHeight="1">
      <c r="A49" s="1"/>
      <c r="B49" s="1"/>
      <c r="C49" s="1"/>
      <c r="D49" s="1"/>
      <c r="E49" s="1"/>
      <c r="F49" s="1"/>
      <c r="P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142"/>
    </row>
    <row r="50" ht="17.25" customHeight="1">
      <c r="A50" s="1"/>
      <c r="B50" s="1"/>
      <c r="C50" s="1"/>
      <c r="D50" s="1"/>
      <c r="E50" s="1"/>
      <c r="F50" s="1"/>
      <c r="P50" s="27"/>
    </row>
    <row r="51" ht="17.25" customHeight="1">
      <c r="A51" s="1"/>
      <c r="B51" s="1"/>
      <c r="C51" s="1"/>
      <c r="D51" s="1"/>
      <c r="E51" s="1"/>
      <c r="F51" s="1"/>
      <c r="P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142"/>
    </row>
    <row r="52" ht="17.25" customHeight="1">
      <c r="A52" s="1"/>
      <c r="B52" s="1"/>
      <c r="C52" s="1"/>
      <c r="D52" s="1"/>
      <c r="E52" s="1"/>
      <c r="F52" s="1"/>
      <c r="P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142"/>
    </row>
    <row r="53" ht="17.25" customHeight="1">
      <c r="A53" s="1"/>
      <c r="B53" s="1"/>
      <c r="C53" s="1"/>
      <c r="D53" s="1"/>
      <c r="E53" s="1"/>
      <c r="F53" s="1"/>
      <c r="P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142"/>
    </row>
    <row r="54" ht="17.25" customHeight="1">
      <c r="A54" s="1"/>
      <c r="B54" s="1"/>
      <c r="C54" s="1"/>
      <c r="D54" s="1"/>
      <c r="E54" s="1"/>
      <c r="F54" s="1"/>
      <c r="P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142"/>
    </row>
    <row r="55" ht="17.25" customHeight="1">
      <c r="A55" s="1"/>
      <c r="B55" s="1"/>
      <c r="C55" s="1"/>
      <c r="D55" s="1"/>
      <c r="E55" s="1"/>
      <c r="F55" s="1"/>
      <c r="P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142"/>
    </row>
    <row r="56" ht="17.25" customHeight="1">
      <c r="A56" s="1"/>
      <c r="B56" s="1"/>
      <c r="C56" s="1"/>
      <c r="D56" s="1"/>
      <c r="E56" s="1"/>
      <c r="F56" s="1"/>
      <c r="P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142"/>
    </row>
    <row r="57" ht="17.25" customHeight="1">
      <c r="A57" s="1"/>
      <c r="B57" s="1"/>
      <c r="C57" s="1"/>
      <c r="D57" s="1"/>
      <c r="E57" s="1"/>
      <c r="F57" s="1"/>
      <c r="P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142"/>
    </row>
    <row r="58" ht="17.25" customHeight="1">
      <c r="A58" s="1"/>
      <c r="B58" s="1"/>
      <c r="C58" s="1"/>
      <c r="D58" s="1"/>
      <c r="E58" s="1"/>
      <c r="F58" s="1"/>
      <c r="P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142"/>
    </row>
    <row r="59" ht="17.25" customHeight="1">
      <c r="A59" s="1"/>
      <c r="B59" s="1"/>
      <c r="C59" s="1"/>
      <c r="D59" s="1"/>
      <c r="E59" s="1"/>
      <c r="F59" s="1"/>
      <c r="P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142"/>
    </row>
    <row r="60" ht="17.25" customHeight="1">
      <c r="A60" s="1"/>
      <c r="B60" s="1"/>
      <c r="C60" s="1"/>
      <c r="D60" s="1"/>
      <c r="E60" s="1"/>
      <c r="F60" s="1"/>
      <c r="P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142"/>
    </row>
    <row r="61" ht="17.25" customHeight="1">
      <c r="A61" s="1"/>
      <c r="B61" s="1"/>
      <c r="C61" s="1"/>
      <c r="D61" s="1"/>
      <c r="E61" s="1"/>
      <c r="F61" s="1"/>
      <c r="P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142"/>
    </row>
    <row r="62" ht="17.25" customHeight="1">
      <c r="A62" s="1"/>
      <c r="B62" s="1"/>
      <c r="C62" s="1"/>
      <c r="D62" s="1"/>
      <c r="E62" s="1"/>
      <c r="F62" s="1"/>
      <c r="P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142"/>
    </row>
    <row r="63" ht="17.25" customHeight="1">
      <c r="A63" s="1"/>
      <c r="B63" s="1"/>
      <c r="C63" s="1"/>
      <c r="D63" s="1"/>
      <c r="E63" s="1"/>
      <c r="F63" s="1"/>
      <c r="P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142"/>
    </row>
    <row r="64" ht="17.25" customHeight="1">
      <c r="A64" s="1"/>
      <c r="B64" s="1"/>
      <c r="C64" s="1"/>
      <c r="D64" s="1"/>
      <c r="E64" s="1"/>
      <c r="F64" s="1"/>
      <c r="P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142"/>
    </row>
    <row r="65" ht="17.25" customHeight="1">
      <c r="A65" s="1"/>
      <c r="B65" s="1"/>
      <c r="C65" s="1"/>
      <c r="D65" s="1"/>
      <c r="E65" s="1"/>
      <c r="F65" s="1"/>
      <c r="P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142"/>
    </row>
    <row r="66" ht="17.25" customHeight="1">
      <c r="A66" s="1"/>
      <c r="B66" s="1"/>
      <c r="C66" s="1"/>
      <c r="D66" s="1"/>
      <c r="E66" s="1"/>
      <c r="F66" s="1"/>
      <c r="P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142"/>
    </row>
    <row r="67" ht="17.25" customHeight="1">
      <c r="A67" s="1"/>
      <c r="B67" s="1"/>
      <c r="C67" s="1"/>
      <c r="D67" s="1"/>
      <c r="E67" s="1"/>
      <c r="F67" s="1"/>
      <c r="P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142"/>
    </row>
    <row r="68" ht="17.25" customHeight="1">
      <c r="A68" s="1"/>
      <c r="B68" s="1"/>
      <c r="C68" s="1"/>
      <c r="D68" s="1"/>
      <c r="E68" s="1"/>
      <c r="F68" s="1"/>
      <c r="P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142"/>
    </row>
    <row r="69" ht="17.25" customHeight="1">
      <c r="A69" s="1"/>
      <c r="B69" s="1"/>
      <c r="C69" s="1"/>
      <c r="D69" s="1"/>
      <c r="E69" s="1"/>
      <c r="F69" s="1"/>
      <c r="P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142"/>
    </row>
    <row r="70" ht="17.25" customHeight="1">
      <c r="A70" s="1"/>
      <c r="B70" s="1"/>
      <c r="C70" s="1"/>
      <c r="D70" s="1"/>
      <c r="E70" s="1"/>
      <c r="F70" s="1"/>
      <c r="P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142"/>
    </row>
    <row r="71" ht="17.25" customHeight="1">
      <c r="A71" s="1"/>
      <c r="B71" s="1"/>
      <c r="C71" s="1"/>
      <c r="D71" s="1"/>
      <c r="E71" s="1"/>
      <c r="F71" s="1"/>
      <c r="P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142"/>
    </row>
    <row r="72" ht="17.25" customHeight="1">
      <c r="A72" s="1"/>
      <c r="B72" s="1"/>
      <c r="C72" s="1"/>
      <c r="D72" s="1"/>
      <c r="E72" s="1"/>
      <c r="F72" s="1"/>
      <c r="P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142"/>
    </row>
    <row r="73" ht="17.25" customHeight="1">
      <c r="A73" s="1"/>
      <c r="B73" s="1"/>
      <c r="C73" s="1"/>
      <c r="D73" s="1"/>
      <c r="E73" s="1"/>
      <c r="F73" s="1"/>
      <c r="P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142"/>
    </row>
    <row r="74" ht="17.25" customHeight="1">
      <c r="A74" s="1"/>
      <c r="B74" s="1"/>
      <c r="C74" s="1"/>
      <c r="D74" s="1"/>
      <c r="E74" s="1"/>
      <c r="F74" s="1"/>
      <c r="P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142"/>
    </row>
    <row r="75" ht="17.25" customHeight="1">
      <c r="A75" s="1"/>
      <c r="B75" s="1"/>
      <c r="C75" s="1"/>
      <c r="D75" s="1"/>
      <c r="E75" s="1"/>
      <c r="F75" s="1"/>
      <c r="P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142"/>
    </row>
    <row r="76" ht="17.25" customHeight="1">
      <c r="A76" s="1"/>
      <c r="B76" s="1"/>
      <c r="C76" s="1"/>
      <c r="D76" s="1"/>
      <c r="E76" s="1"/>
      <c r="F76" s="1"/>
      <c r="P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142"/>
    </row>
    <row r="77" ht="17.25" customHeight="1">
      <c r="A77" s="1"/>
      <c r="B77" s="1"/>
      <c r="C77" s="1"/>
      <c r="D77" s="1"/>
      <c r="E77" s="1"/>
      <c r="F77" s="1"/>
      <c r="P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142"/>
    </row>
    <row r="78" ht="17.25" customHeight="1">
      <c r="A78" s="1"/>
      <c r="B78" s="1"/>
      <c r="C78" s="1"/>
      <c r="D78" s="1"/>
      <c r="E78" s="1"/>
      <c r="F78" s="1"/>
      <c r="P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142"/>
    </row>
    <row r="79" ht="17.25" customHeight="1">
      <c r="A79" s="1"/>
      <c r="B79" s="1"/>
      <c r="C79" s="1"/>
      <c r="D79" s="1"/>
      <c r="E79" s="1"/>
      <c r="F79" s="1"/>
      <c r="P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142"/>
    </row>
    <row r="80" ht="17.25" customHeight="1">
      <c r="A80" s="1"/>
      <c r="B80" s="1"/>
      <c r="C80" s="1"/>
      <c r="D80" s="1"/>
      <c r="E80" s="1"/>
      <c r="F80" s="1"/>
      <c r="P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142"/>
    </row>
    <row r="81" ht="17.25" customHeight="1">
      <c r="A81" s="1"/>
      <c r="B81" s="1"/>
      <c r="C81" s="1"/>
      <c r="D81" s="1"/>
      <c r="E81" s="1"/>
      <c r="F81" s="1"/>
      <c r="P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142"/>
    </row>
    <row r="82" ht="17.25" customHeight="1">
      <c r="A82" s="1"/>
      <c r="B82" s="1"/>
      <c r="C82" s="1"/>
      <c r="D82" s="1"/>
      <c r="E82" s="1"/>
      <c r="F82" s="1"/>
      <c r="P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142"/>
    </row>
    <row r="83" ht="17.25" customHeight="1">
      <c r="A83" s="1"/>
      <c r="B83" s="1"/>
      <c r="C83" s="1"/>
      <c r="D83" s="1"/>
      <c r="E83" s="1"/>
      <c r="F83" s="1"/>
      <c r="P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142"/>
    </row>
    <row r="84" ht="17.25" customHeight="1">
      <c r="A84" s="1"/>
      <c r="B84" s="1"/>
      <c r="C84" s="1"/>
      <c r="D84" s="1"/>
      <c r="E84" s="1"/>
      <c r="F84" s="1"/>
      <c r="P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142"/>
    </row>
    <row r="85" ht="17.25" customHeight="1">
      <c r="A85" s="1"/>
      <c r="B85" s="1"/>
      <c r="C85" s="1"/>
      <c r="D85" s="1"/>
      <c r="E85" s="1"/>
      <c r="F85" s="1"/>
      <c r="P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142"/>
    </row>
    <row r="86" ht="17.25" customHeight="1">
      <c r="A86" s="1"/>
      <c r="B86" s="1"/>
      <c r="C86" s="1"/>
      <c r="D86" s="1"/>
      <c r="E86" s="1"/>
      <c r="F86" s="1"/>
      <c r="P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142"/>
    </row>
    <row r="87" ht="17.25" customHeight="1">
      <c r="A87" s="1"/>
      <c r="B87" s="1"/>
      <c r="C87" s="1"/>
      <c r="D87" s="1"/>
      <c r="E87" s="1"/>
      <c r="F87" s="1"/>
      <c r="P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142"/>
    </row>
    <row r="88" ht="17.25" customHeight="1">
      <c r="A88" s="1"/>
      <c r="B88" s="1"/>
      <c r="C88" s="1"/>
      <c r="D88" s="1"/>
      <c r="E88" s="1"/>
      <c r="F88" s="1"/>
      <c r="P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142"/>
    </row>
    <row r="89" ht="17.25" customHeight="1">
      <c r="A89" s="1"/>
      <c r="B89" s="1"/>
      <c r="C89" s="1"/>
      <c r="D89" s="1"/>
      <c r="E89" s="1"/>
      <c r="F89" s="1"/>
      <c r="P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142"/>
    </row>
    <row r="90" ht="17.25" customHeight="1">
      <c r="A90" s="1"/>
      <c r="B90" s="1"/>
      <c r="C90" s="1"/>
      <c r="D90" s="1"/>
      <c r="E90" s="1"/>
      <c r="F90" s="1"/>
      <c r="P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142"/>
    </row>
    <row r="91" ht="17.25" customHeight="1">
      <c r="A91" s="1"/>
      <c r="B91" s="1"/>
      <c r="C91" s="1"/>
      <c r="D91" s="1"/>
      <c r="E91" s="1"/>
      <c r="F91" s="1"/>
      <c r="P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142"/>
    </row>
    <row r="92" ht="17.25" customHeight="1">
      <c r="A92" s="1"/>
      <c r="B92" s="1"/>
      <c r="C92" s="1"/>
      <c r="D92" s="1"/>
      <c r="E92" s="1"/>
      <c r="F92" s="1"/>
      <c r="P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142"/>
    </row>
    <row r="93" ht="17.25" customHeight="1">
      <c r="A93" s="1"/>
      <c r="B93" s="1"/>
      <c r="C93" s="1"/>
      <c r="D93" s="1"/>
      <c r="E93" s="1"/>
      <c r="F93" s="1"/>
      <c r="P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142"/>
    </row>
    <row r="94" ht="17.25" customHeight="1">
      <c r="A94" s="1"/>
      <c r="B94" s="1"/>
      <c r="C94" s="1"/>
      <c r="D94" s="1"/>
      <c r="E94" s="1"/>
      <c r="F94" s="1"/>
      <c r="P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142"/>
    </row>
    <row r="95" ht="17.25" customHeight="1">
      <c r="A95" s="1"/>
      <c r="B95" s="1"/>
      <c r="C95" s="1"/>
      <c r="D95" s="1"/>
      <c r="E95" s="1"/>
      <c r="F95" s="1"/>
      <c r="P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142"/>
    </row>
    <row r="96" ht="17.25" customHeight="1">
      <c r="A96" s="1"/>
      <c r="B96" s="1"/>
      <c r="C96" s="1"/>
      <c r="D96" s="1"/>
      <c r="E96" s="1"/>
      <c r="F96" s="1"/>
      <c r="P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142"/>
    </row>
    <row r="97" ht="17.25" customHeight="1">
      <c r="A97" s="1"/>
      <c r="B97" s="1"/>
      <c r="C97" s="1"/>
      <c r="D97" s="1"/>
      <c r="E97" s="1"/>
      <c r="F97" s="1"/>
      <c r="P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142"/>
    </row>
    <row r="98" ht="17.25" customHeight="1">
      <c r="A98" s="1"/>
      <c r="B98" s="1"/>
      <c r="C98" s="1"/>
      <c r="D98" s="1"/>
      <c r="E98" s="1"/>
      <c r="F98" s="1"/>
      <c r="P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142"/>
    </row>
    <row r="99" ht="17.25" customHeight="1">
      <c r="A99" s="1"/>
      <c r="B99" s="1"/>
      <c r="C99" s="1"/>
      <c r="D99" s="1"/>
      <c r="E99" s="1"/>
      <c r="F99" s="1"/>
      <c r="P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142"/>
    </row>
    <row r="100" ht="17.25" customHeight="1">
      <c r="A100" s="1"/>
      <c r="B100" s="1"/>
      <c r="C100" s="1"/>
      <c r="D100" s="1"/>
      <c r="E100" s="1"/>
      <c r="F100" s="1"/>
      <c r="P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142"/>
    </row>
    <row r="101" ht="17.25" customHeight="1">
      <c r="A101" s="1"/>
      <c r="B101" s="1"/>
      <c r="C101" s="1"/>
      <c r="D101" s="1"/>
      <c r="E101" s="1"/>
      <c r="F101" s="1"/>
      <c r="P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142"/>
    </row>
    <row r="102" ht="17.25" customHeight="1">
      <c r="A102" s="1"/>
      <c r="B102" s="1"/>
      <c r="C102" s="1"/>
      <c r="D102" s="1"/>
      <c r="E102" s="1"/>
      <c r="F102" s="1"/>
      <c r="P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142"/>
    </row>
    <row r="103" ht="17.25" customHeight="1">
      <c r="A103" s="1"/>
      <c r="B103" s="1"/>
      <c r="C103" s="1"/>
      <c r="D103" s="1"/>
      <c r="E103" s="1"/>
      <c r="F103" s="1"/>
      <c r="P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142"/>
    </row>
    <row r="104" ht="17.25" customHeight="1">
      <c r="A104" s="1"/>
      <c r="B104" s="1"/>
      <c r="C104" s="1"/>
      <c r="D104" s="1"/>
      <c r="E104" s="1"/>
      <c r="F104" s="1"/>
      <c r="P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142"/>
    </row>
    <row r="105" ht="17.25" customHeight="1">
      <c r="A105" s="1"/>
      <c r="B105" s="1"/>
      <c r="C105" s="1"/>
      <c r="D105" s="1"/>
      <c r="E105" s="1"/>
      <c r="F105" s="1"/>
      <c r="P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142"/>
    </row>
    <row r="106" ht="17.25" customHeight="1">
      <c r="A106" s="1"/>
      <c r="B106" s="1"/>
      <c r="C106" s="1"/>
      <c r="D106" s="1"/>
      <c r="E106" s="1"/>
      <c r="F106" s="1"/>
      <c r="P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142"/>
    </row>
    <row r="107" ht="17.25" customHeight="1">
      <c r="A107" s="1"/>
      <c r="B107" s="1"/>
      <c r="C107" s="1"/>
      <c r="D107" s="1"/>
      <c r="E107" s="1"/>
      <c r="F107" s="1"/>
      <c r="P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142"/>
    </row>
    <row r="108" ht="17.25" customHeight="1">
      <c r="A108" s="1"/>
      <c r="B108" s="1"/>
      <c r="C108" s="1"/>
      <c r="D108" s="1"/>
      <c r="E108" s="1"/>
      <c r="F108" s="1"/>
      <c r="P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142"/>
    </row>
    <row r="109" ht="17.25" customHeight="1">
      <c r="A109" s="1"/>
      <c r="B109" s="1"/>
      <c r="C109" s="1"/>
      <c r="D109" s="1"/>
      <c r="E109" s="1"/>
      <c r="F109" s="1"/>
      <c r="P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142"/>
    </row>
    <row r="110" ht="17.25" customHeight="1">
      <c r="A110" s="1"/>
      <c r="B110" s="1"/>
      <c r="C110" s="1"/>
      <c r="D110" s="1"/>
      <c r="E110" s="1"/>
      <c r="F110" s="1"/>
      <c r="P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142"/>
    </row>
    <row r="111" ht="17.25" customHeight="1">
      <c r="A111" s="1"/>
      <c r="B111" s="1"/>
      <c r="C111" s="1"/>
      <c r="D111" s="1"/>
      <c r="E111" s="1"/>
      <c r="F111" s="1"/>
      <c r="P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142"/>
    </row>
    <row r="112" ht="17.25" customHeight="1">
      <c r="A112" s="1"/>
      <c r="B112" s="1"/>
      <c r="C112" s="1"/>
      <c r="D112" s="1"/>
      <c r="E112" s="1"/>
      <c r="F112" s="1"/>
      <c r="P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142"/>
    </row>
    <row r="113" ht="17.25" customHeight="1">
      <c r="A113" s="1"/>
      <c r="B113" s="1"/>
      <c r="C113" s="1"/>
      <c r="D113" s="1"/>
      <c r="E113" s="1"/>
      <c r="F113" s="1"/>
      <c r="P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142"/>
    </row>
    <row r="114" ht="17.25" customHeight="1">
      <c r="A114" s="1"/>
      <c r="B114" s="1"/>
      <c r="C114" s="1"/>
      <c r="D114" s="1"/>
      <c r="E114" s="1"/>
      <c r="F114" s="1"/>
      <c r="P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142"/>
    </row>
    <row r="115" ht="17.25" customHeight="1">
      <c r="A115" s="1"/>
      <c r="B115" s="1"/>
      <c r="C115" s="1"/>
      <c r="D115" s="1"/>
      <c r="E115" s="1"/>
      <c r="F115" s="1"/>
      <c r="P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142"/>
    </row>
    <row r="116" ht="17.25" customHeight="1">
      <c r="A116" s="1"/>
      <c r="B116" s="1"/>
      <c r="C116" s="1"/>
      <c r="D116" s="1"/>
      <c r="E116" s="1"/>
      <c r="F116" s="1"/>
      <c r="P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142"/>
    </row>
    <row r="117" ht="17.25" customHeight="1">
      <c r="A117" s="1"/>
      <c r="B117" s="1"/>
      <c r="C117" s="1"/>
      <c r="D117" s="1"/>
      <c r="E117" s="1"/>
      <c r="F117" s="1"/>
      <c r="P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142"/>
    </row>
    <row r="118" ht="17.25" customHeight="1">
      <c r="A118" s="1"/>
      <c r="B118" s="1"/>
      <c r="C118" s="1"/>
      <c r="D118" s="1"/>
      <c r="E118" s="1"/>
      <c r="F118" s="1"/>
      <c r="P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142"/>
    </row>
    <row r="119" ht="17.25" customHeight="1">
      <c r="A119" s="1"/>
      <c r="B119" s="1"/>
      <c r="C119" s="1"/>
      <c r="D119" s="1"/>
      <c r="E119" s="1"/>
      <c r="F119" s="1"/>
      <c r="P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142"/>
    </row>
    <row r="120" ht="17.25" customHeight="1">
      <c r="A120" s="1"/>
      <c r="B120" s="1"/>
      <c r="C120" s="1"/>
      <c r="D120" s="1"/>
      <c r="E120" s="1"/>
      <c r="F120" s="1"/>
      <c r="P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142"/>
    </row>
    <row r="121" ht="17.25" customHeight="1">
      <c r="A121" s="1"/>
      <c r="B121" s="1"/>
      <c r="C121" s="1"/>
      <c r="D121" s="1"/>
      <c r="E121" s="1"/>
      <c r="F121" s="1"/>
      <c r="P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142"/>
    </row>
    <row r="122" ht="17.25" customHeight="1">
      <c r="A122" s="1"/>
      <c r="B122" s="1"/>
      <c r="C122" s="1"/>
      <c r="D122" s="1"/>
      <c r="E122" s="1"/>
      <c r="F122" s="1"/>
      <c r="P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142"/>
    </row>
    <row r="123" ht="17.25" customHeight="1">
      <c r="A123" s="1"/>
      <c r="B123" s="1"/>
      <c r="C123" s="1"/>
      <c r="D123" s="1"/>
      <c r="E123" s="1"/>
      <c r="F123" s="1"/>
      <c r="P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142"/>
    </row>
    <row r="124" ht="17.25" customHeight="1">
      <c r="A124" s="1"/>
      <c r="B124" s="1"/>
      <c r="C124" s="1"/>
      <c r="D124" s="1"/>
      <c r="E124" s="1"/>
      <c r="F124" s="1"/>
      <c r="P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142"/>
    </row>
    <row r="125" ht="17.25" customHeight="1">
      <c r="A125" s="1"/>
      <c r="B125" s="1"/>
      <c r="C125" s="1"/>
      <c r="D125" s="1"/>
      <c r="E125" s="1"/>
      <c r="F125" s="1"/>
      <c r="P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142"/>
    </row>
    <row r="126" ht="17.25" customHeight="1">
      <c r="A126" s="1"/>
      <c r="B126" s="1"/>
      <c r="C126" s="1"/>
      <c r="D126" s="1"/>
      <c r="E126" s="1"/>
      <c r="F126" s="1"/>
      <c r="P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142"/>
    </row>
    <row r="127" ht="17.25" customHeight="1">
      <c r="A127" s="1"/>
      <c r="B127" s="1"/>
      <c r="C127" s="1"/>
      <c r="D127" s="1"/>
      <c r="E127" s="1"/>
      <c r="F127" s="1"/>
      <c r="P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142"/>
    </row>
    <row r="128" ht="17.25" customHeight="1">
      <c r="A128" s="1"/>
      <c r="B128" s="1"/>
      <c r="C128" s="1"/>
      <c r="D128" s="1"/>
      <c r="E128" s="1"/>
      <c r="F128" s="1"/>
      <c r="P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142"/>
    </row>
    <row r="129" ht="17.25" customHeight="1">
      <c r="A129" s="1"/>
      <c r="B129" s="1"/>
      <c r="C129" s="1"/>
      <c r="D129" s="1"/>
      <c r="E129" s="1"/>
      <c r="F129" s="1"/>
      <c r="P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142"/>
    </row>
    <row r="130" ht="17.25" customHeight="1">
      <c r="A130" s="1"/>
      <c r="B130" s="1"/>
      <c r="C130" s="1"/>
      <c r="D130" s="1"/>
      <c r="E130" s="1"/>
      <c r="F130" s="1"/>
      <c r="P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142"/>
    </row>
    <row r="131" ht="17.25" customHeight="1">
      <c r="A131" s="1"/>
      <c r="B131" s="1"/>
      <c r="C131" s="1"/>
      <c r="D131" s="1"/>
      <c r="E131" s="1"/>
      <c r="F131" s="1"/>
      <c r="P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142"/>
    </row>
    <row r="132" ht="17.25" customHeight="1">
      <c r="A132" s="1"/>
      <c r="B132" s="1"/>
      <c r="C132" s="1"/>
      <c r="D132" s="1"/>
      <c r="E132" s="1"/>
      <c r="F132" s="1"/>
      <c r="P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142"/>
    </row>
    <row r="133" ht="17.25" customHeight="1">
      <c r="A133" s="1"/>
      <c r="B133" s="1"/>
      <c r="C133" s="1"/>
      <c r="D133" s="1"/>
      <c r="E133" s="1"/>
      <c r="F133" s="1"/>
      <c r="P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142"/>
    </row>
    <row r="134" ht="17.25" customHeight="1">
      <c r="A134" s="1"/>
      <c r="B134" s="1"/>
      <c r="C134" s="1"/>
      <c r="D134" s="1"/>
      <c r="E134" s="1"/>
      <c r="F134" s="1"/>
      <c r="P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142"/>
    </row>
    <row r="135" ht="17.25" customHeight="1">
      <c r="A135" s="1"/>
      <c r="B135" s="1"/>
      <c r="C135" s="1"/>
      <c r="D135" s="1"/>
      <c r="E135" s="1"/>
      <c r="F135" s="1"/>
      <c r="P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142"/>
    </row>
    <row r="136" ht="17.25" customHeight="1">
      <c r="A136" s="1"/>
      <c r="B136" s="1"/>
      <c r="C136" s="1"/>
      <c r="D136" s="1"/>
      <c r="E136" s="1"/>
      <c r="F136" s="1"/>
      <c r="P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142"/>
    </row>
    <row r="137" ht="17.25" customHeight="1">
      <c r="A137" s="1"/>
      <c r="B137" s="1"/>
      <c r="C137" s="1"/>
      <c r="D137" s="1"/>
      <c r="E137" s="1"/>
      <c r="F137" s="1"/>
      <c r="P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142"/>
    </row>
    <row r="138" ht="17.25" customHeight="1">
      <c r="A138" s="1"/>
      <c r="B138" s="1"/>
      <c r="C138" s="1"/>
      <c r="D138" s="1"/>
      <c r="E138" s="1"/>
      <c r="F138" s="1"/>
      <c r="P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142"/>
    </row>
    <row r="139" ht="17.25" customHeight="1">
      <c r="A139" s="1"/>
      <c r="B139" s="1"/>
      <c r="C139" s="1"/>
      <c r="D139" s="1"/>
      <c r="E139" s="1"/>
      <c r="F139" s="1"/>
      <c r="P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142"/>
    </row>
    <row r="140" ht="17.25" customHeight="1">
      <c r="A140" s="1"/>
      <c r="B140" s="1"/>
      <c r="C140" s="1"/>
      <c r="D140" s="1"/>
      <c r="E140" s="1"/>
      <c r="F140" s="1"/>
      <c r="P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142"/>
    </row>
    <row r="141" ht="17.25" customHeight="1">
      <c r="A141" s="1"/>
      <c r="B141" s="1"/>
      <c r="C141" s="1"/>
      <c r="D141" s="1"/>
      <c r="E141" s="1"/>
      <c r="F141" s="1"/>
      <c r="P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142"/>
    </row>
    <row r="142" ht="17.25" customHeight="1">
      <c r="A142" s="1"/>
      <c r="B142" s="1"/>
      <c r="C142" s="1"/>
      <c r="D142" s="1"/>
      <c r="E142" s="1"/>
      <c r="F142" s="1"/>
      <c r="P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142"/>
    </row>
    <row r="143" ht="17.25" customHeight="1">
      <c r="A143" s="1"/>
      <c r="B143" s="1"/>
      <c r="C143" s="1"/>
      <c r="D143" s="1"/>
      <c r="E143" s="1"/>
      <c r="F143" s="1"/>
      <c r="P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142"/>
    </row>
    <row r="144" ht="17.25" customHeight="1">
      <c r="A144" s="1"/>
      <c r="B144" s="1"/>
      <c r="C144" s="1"/>
      <c r="D144" s="1"/>
      <c r="E144" s="1"/>
      <c r="F144" s="1"/>
      <c r="P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142"/>
    </row>
    <row r="145" ht="17.25" customHeight="1">
      <c r="A145" s="1"/>
      <c r="B145" s="1"/>
      <c r="C145" s="1"/>
      <c r="D145" s="1"/>
      <c r="E145" s="1"/>
      <c r="F145" s="1"/>
      <c r="P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142"/>
    </row>
    <row r="146" ht="17.25" customHeight="1">
      <c r="A146" s="1"/>
      <c r="B146" s="1"/>
      <c r="C146" s="1"/>
      <c r="D146" s="1"/>
      <c r="E146" s="1"/>
      <c r="F146" s="1"/>
      <c r="P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142"/>
    </row>
    <row r="147" ht="17.25" customHeight="1">
      <c r="A147" s="1"/>
      <c r="B147" s="1"/>
      <c r="C147" s="1"/>
      <c r="D147" s="1"/>
      <c r="E147" s="1"/>
      <c r="F147" s="1"/>
      <c r="P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142"/>
    </row>
    <row r="148" ht="17.25" customHeight="1">
      <c r="A148" s="1"/>
      <c r="B148" s="1"/>
      <c r="C148" s="1"/>
      <c r="D148" s="1"/>
      <c r="E148" s="1"/>
      <c r="F148" s="1"/>
      <c r="P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142"/>
    </row>
    <row r="149" ht="17.25" customHeight="1">
      <c r="A149" s="1"/>
      <c r="B149" s="1"/>
      <c r="C149" s="1"/>
      <c r="D149" s="1"/>
      <c r="E149" s="1"/>
      <c r="F149" s="1"/>
      <c r="P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142"/>
    </row>
    <row r="150" ht="17.25" customHeight="1">
      <c r="A150" s="1"/>
      <c r="B150" s="1"/>
      <c r="C150" s="1"/>
      <c r="D150" s="1"/>
      <c r="E150" s="1"/>
      <c r="F150" s="1"/>
      <c r="P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142"/>
    </row>
    <row r="151" ht="17.25" customHeight="1">
      <c r="A151" s="1"/>
      <c r="B151" s="1"/>
      <c r="C151" s="1"/>
      <c r="D151" s="1"/>
      <c r="E151" s="1"/>
      <c r="F151" s="1"/>
      <c r="P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142"/>
    </row>
    <row r="152" ht="17.25" customHeight="1">
      <c r="A152" s="1"/>
      <c r="B152" s="1"/>
      <c r="C152" s="1"/>
      <c r="D152" s="1"/>
      <c r="E152" s="1"/>
      <c r="F152" s="1"/>
      <c r="P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142"/>
    </row>
    <row r="153" ht="17.25" customHeight="1">
      <c r="A153" s="1"/>
      <c r="B153" s="1"/>
      <c r="C153" s="1"/>
      <c r="D153" s="1"/>
      <c r="E153" s="1"/>
      <c r="F153" s="1"/>
      <c r="P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142"/>
    </row>
    <row r="154" ht="17.25" customHeight="1">
      <c r="A154" s="1"/>
      <c r="B154" s="1"/>
      <c r="C154" s="1"/>
      <c r="D154" s="1"/>
      <c r="E154" s="1"/>
      <c r="F154" s="1"/>
      <c r="P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142"/>
    </row>
    <row r="155" ht="17.25" customHeight="1">
      <c r="A155" s="1"/>
      <c r="B155" s="1"/>
      <c r="C155" s="1"/>
      <c r="D155" s="1"/>
      <c r="E155" s="1"/>
      <c r="F155" s="1"/>
      <c r="P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142"/>
    </row>
    <row r="156" ht="17.25" customHeight="1">
      <c r="A156" s="1"/>
      <c r="B156" s="1"/>
      <c r="C156" s="1"/>
      <c r="D156" s="1"/>
      <c r="E156" s="1"/>
      <c r="F156" s="1"/>
      <c r="P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142"/>
    </row>
    <row r="157" ht="17.25" customHeight="1">
      <c r="A157" s="1"/>
      <c r="B157" s="1"/>
      <c r="C157" s="1"/>
      <c r="D157" s="1"/>
      <c r="E157" s="1"/>
      <c r="F157" s="1"/>
      <c r="P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142"/>
    </row>
    <row r="158" ht="17.25" customHeight="1">
      <c r="A158" s="1"/>
      <c r="B158" s="1"/>
      <c r="C158" s="1"/>
      <c r="D158" s="1"/>
      <c r="E158" s="1"/>
      <c r="F158" s="1"/>
      <c r="P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142"/>
    </row>
    <row r="159" ht="17.25" customHeight="1">
      <c r="A159" s="1"/>
      <c r="B159" s="1"/>
      <c r="C159" s="1"/>
      <c r="D159" s="1"/>
      <c r="E159" s="1"/>
      <c r="F159" s="1"/>
      <c r="P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142"/>
    </row>
    <row r="160" ht="17.25" customHeight="1">
      <c r="A160" s="1"/>
      <c r="B160" s="1"/>
      <c r="C160" s="1"/>
      <c r="D160" s="1"/>
      <c r="E160" s="1"/>
      <c r="F160" s="1"/>
      <c r="P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142"/>
    </row>
    <row r="161" ht="17.25" customHeight="1">
      <c r="A161" s="1"/>
      <c r="B161" s="1"/>
      <c r="C161" s="1"/>
      <c r="D161" s="1"/>
      <c r="E161" s="1"/>
      <c r="F161" s="1"/>
      <c r="P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142"/>
    </row>
    <row r="162" ht="17.25" customHeight="1">
      <c r="A162" s="1"/>
      <c r="B162" s="1"/>
      <c r="C162" s="1"/>
      <c r="D162" s="1"/>
      <c r="E162" s="1"/>
      <c r="F162" s="1"/>
      <c r="P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142"/>
    </row>
    <row r="163" ht="17.25" customHeight="1">
      <c r="A163" s="1"/>
      <c r="B163" s="1"/>
      <c r="C163" s="1"/>
      <c r="D163" s="1"/>
      <c r="E163" s="1"/>
      <c r="F163" s="1"/>
      <c r="P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142"/>
    </row>
    <row r="164" ht="17.25" customHeight="1">
      <c r="A164" s="1"/>
      <c r="B164" s="1"/>
      <c r="C164" s="1"/>
      <c r="D164" s="1"/>
      <c r="E164" s="1"/>
      <c r="F164" s="1"/>
      <c r="P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142"/>
    </row>
    <row r="165" ht="17.25" customHeight="1">
      <c r="A165" s="1"/>
      <c r="B165" s="1"/>
      <c r="C165" s="1"/>
      <c r="D165" s="1"/>
      <c r="E165" s="1"/>
      <c r="F165" s="1"/>
      <c r="P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142"/>
    </row>
    <row r="166" ht="17.25" customHeight="1">
      <c r="A166" s="1"/>
      <c r="B166" s="1"/>
      <c r="C166" s="1"/>
      <c r="D166" s="1"/>
      <c r="E166" s="1"/>
      <c r="F166" s="1"/>
      <c r="P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142"/>
    </row>
    <row r="167" ht="17.25" customHeight="1">
      <c r="A167" s="1"/>
      <c r="B167" s="1"/>
      <c r="C167" s="1"/>
      <c r="D167" s="1"/>
      <c r="E167" s="1"/>
      <c r="F167" s="1"/>
      <c r="P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142"/>
    </row>
    <row r="168" ht="17.25" customHeight="1">
      <c r="A168" s="1"/>
      <c r="B168" s="1"/>
      <c r="C168" s="1"/>
      <c r="D168" s="1"/>
      <c r="E168" s="1"/>
      <c r="F168" s="1"/>
      <c r="P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142"/>
    </row>
    <row r="169" ht="17.25" customHeight="1">
      <c r="A169" s="1"/>
      <c r="B169" s="1"/>
      <c r="C169" s="1"/>
      <c r="D169" s="1"/>
      <c r="E169" s="1"/>
      <c r="F169" s="1"/>
      <c r="P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142"/>
    </row>
    <row r="170" ht="17.25" customHeight="1">
      <c r="A170" s="1"/>
      <c r="B170" s="1"/>
      <c r="C170" s="1"/>
      <c r="D170" s="1"/>
      <c r="E170" s="1"/>
      <c r="F170" s="1"/>
      <c r="P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142"/>
    </row>
    <row r="171" ht="17.25" customHeight="1">
      <c r="A171" s="1"/>
      <c r="B171" s="1"/>
      <c r="C171" s="1"/>
      <c r="D171" s="1"/>
      <c r="E171" s="1"/>
      <c r="F171" s="1"/>
      <c r="P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142"/>
    </row>
    <row r="172" ht="17.25" customHeight="1">
      <c r="A172" s="1"/>
      <c r="B172" s="1"/>
      <c r="C172" s="1"/>
      <c r="D172" s="1"/>
      <c r="E172" s="1"/>
      <c r="F172" s="1"/>
      <c r="P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142"/>
    </row>
    <row r="173" ht="17.25" customHeight="1">
      <c r="A173" s="1"/>
      <c r="B173" s="1"/>
      <c r="C173" s="1"/>
      <c r="D173" s="1"/>
      <c r="E173" s="1"/>
      <c r="F173" s="1"/>
      <c r="P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142"/>
    </row>
    <row r="174" ht="17.25" customHeight="1">
      <c r="A174" s="1"/>
      <c r="B174" s="1"/>
      <c r="C174" s="1"/>
      <c r="D174" s="1"/>
      <c r="E174" s="1"/>
      <c r="F174" s="1"/>
      <c r="P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142"/>
    </row>
    <row r="175" ht="17.25" customHeight="1">
      <c r="A175" s="1"/>
      <c r="B175" s="1"/>
      <c r="C175" s="1"/>
      <c r="D175" s="1"/>
      <c r="E175" s="1"/>
      <c r="F175" s="1"/>
      <c r="P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142"/>
    </row>
    <row r="176" ht="17.25" customHeight="1">
      <c r="A176" s="1"/>
      <c r="B176" s="1"/>
      <c r="C176" s="1"/>
      <c r="D176" s="1"/>
      <c r="E176" s="1"/>
      <c r="F176" s="1"/>
      <c r="P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142"/>
    </row>
    <row r="177" ht="17.25" customHeight="1">
      <c r="A177" s="1"/>
      <c r="B177" s="1"/>
      <c r="C177" s="1"/>
      <c r="D177" s="1"/>
      <c r="E177" s="1"/>
      <c r="F177" s="1"/>
      <c r="P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142"/>
    </row>
    <row r="178" ht="17.25" customHeight="1">
      <c r="A178" s="1"/>
      <c r="B178" s="1"/>
      <c r="C178" s="1"/>
      <c r="D178" s="1"/>
      <c r="E178" s="1"/>
      <c r="F178" s="1"/>
      <c r="P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142"/>
    </row>
    <row r="179" ht="17.25" customHeight="1">
      <c r="A179" s="1"/>
      <c r="B179" s="1"/>
      <c r="C179" s="1"/>
      <c r="D179" s="1"/>
      <c r="E179" s="1"/>
      <c r="F179" s="1"/>
      <c r="P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142"/>
    </row>
    <row r="180" ht="17.25" customHeight="1">
      <c r="A180" s="1"/>
      <c r="B180" s="1"/>
      <c r="C180" s="1"/>
      <c r="D180" s="1"/>
      <c r="E180" s="1"/>
      <c r="F180" s="1"/>
      <c r="P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142"/>
    </row>
    <row r="181" ht="17.25" customHeight="1">
      <c r="A181" s="1"/>
      <c r="B181" s="1"/>
      <c r="C181" s="1"/>
      <c r="D181" s="1"/>
      <c r="E181" s="1"/>
      <c r="F181" s="1"/>
      <c r="P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142"/>
    </row>
    <row r="182" ht="17.25" customHeight="1">
      <c r="A182" s="1"/>
      <c r="B182" s="1"/>
      <c r="C182" s="1"/>
      <c r="D182" s="1"/>
      <c r="E182" s="1"/>
      <c r="F182" s="1"/>
      <c r="P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142"/>
    </row>
    <row r="183" ht="17.25" customHeight="1">
      <c r="A183" s="1"/>
      <c r="B183" s="1"/>
      <c r="C183" s="1"/>
      <c r="D183" s="1"/>
      <c r="E183" s="1"/>
      <c r="F183" s="1"/>
      <c r="P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142"/>
    </row>
    <row r="184" ht="17.25" customHeight="1">
      <c r="A184" s="1"/>
      <c r="B184" s="1"/>
      <c r="C184" s="1"/>
      <c r="D184" s="1"/>
      <c r="E184" s="1"/>
      <c r="F184" s="1"/>
      <c r="P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142"/>
    </row>
    <row r="185" ht="17.25" customHeight="1">
      <c r="A185" s="1"/>
      <c r="B185" s="1"/>
      <c r="C185" s="1"/>
      <c r="D185" s="1"/>
      <c r="E185" s="1"/>
      <c r="F185" s="1"/>
      <c r="P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142"/>
    </row>
    <row r="186" ht="17.25" customHeight="1">
      <c r="A186" s="1"/>
      <c r="B186" s="1"/>
      <c r="C186" s="1"/>
      <c r="D186" s="1"/>
      <c r="E186" s="1"/>
      <c r="F186" s="1"/>
      <c r="P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142"/>
    </row>
    <row r="187" ht="17.25" customHeight="1">
      <c r="A187" s="1"/>
      <c r="B187" s="1"/>
      <c r="C187" s="1"/>
      <c r="D187" s="1"/>
      <c r="E187" s="1"/>
      <c r="F187" s="1"/>
      <c r="P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142"/>
    </row>
    <row r="188" ht="17.25" customHeight="1">
      <c r="A188" s="1"/>
      <c r="B188" s="1"/>
      <c r="C188" s="1"/>
      <c r="D188" s="1"/>
      <c r="E188" s="1"/>
      <c r="F188" s="1"/>
      <c r="P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142"/>
    </row>
    <row r="189" ht="17.25" customHeight="1">
      <c r="A189" s="1"/>
      <c r="B189" s="1"/>
      <c r="C189" s="1"/>
      <c r="D189" s="1"/>
      <c r="E189" s="1"/>
      <c r="F189" s="1"/>
      <c r="P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142"/>
    </row>
    <row r="190" ht="17.25" customHeight="1">
      <c r="A190" s="1"/>
      <c r="B190" s="1"/>
      <c r="C190" s="1"/>
      <c r="D190" s="1"/>
      <c r="E190" s="1"/>
      <c r="F190" s="1"/>
      <c r="P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142"/>
    </row>
    <row r="191" ht="17.25" customHeight="1">
      <c r="A191" s="1"/>
      <c r="B191" s="1"/>
      <c r="C191" s="1"/>
      <c r="D191" s="1"/>
      <c r="E191" s="1"/>
      <c r="F191" s="1"/>
      <c r="P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142"/>
    </row>
    <row r="192" ht="17.25" customHeight="1">
      <c r="A192" s="1"/>
      <c r="B192" s="1"/>
      <c r="C192" s="1"/>
      <c r="D192" s="1"/>
      <c r="E192" s="1"/>
      <c r="F192" s="1"/>
      <c r="P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142"/>
    </row>
    <row r="193" ht="17.25" customHeight="1">
      <c r="A193" s="1"/>
      <c r="B193" s="1"/>
      <c r="C193" s="1"/>
      <c r="D193" s="1"/>
      <c r="E193" s="1"/>
      <c r="F193" s="1"/>
      <c r="P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142"/>
    </row>
    <row r="194" ht="17.25" customHeight="1">
      <c r="A194" s="1"/>
      <c r="B194" s="1"/>
      <c r="C194" s="1"/>
      <c r="D194" s="1"/>
      <c r="E194" s="1"/>
      <c r="F194" s="1"/>
      <c r="P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142"/>
    </row>
    <row r="195" ht="17.25" customHeight="1">
      <c r="A195" s="1"/>
      <c r="B195" s="1"/>
      <c r="C195" s="1"/>
      <c r="D195" s="1"/>
      <c r="E195" s="1"/>
      <c r="F195" s="1"/>
      <c r="P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142"/>
    </row>
    <row r="196" ht="17.25" customHeight="1">
      <c r="A196" s="1"/>
      <c r="B196" s="1"/>
      <c r="C196" s="1"/>
      <c r="D196" s="1"/>
      <c r="E196" s="1"/>
      <c r="F196" s="1"/>
      <c r="P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142"/>
    </row>
    <row r="197" ht="17.25" customHeight="1">
      <c r="A197" s="1"/>
      <c r="B197" s="1"/>
      <c r="C197" s="1"/>
      <c r="D197" s="1"/>
      <c r="E197" s="1"/>
      <c r="F197" s="1"/>
      <c r="P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142"/>
    </row>
    <row r="198" ht="17.25" customHeight="1">
      <c r="A198" s="1"/>
      <c r="B198" s="1"/>
      <c r="C198" s="1"/>
      <c r="D198" s="1"/>
      <c r="E198" s="1"/>
      <c r="F198" s="1"/>
      <c r="P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142"/>
    </row>
    <row r="199" ht="17.25" customHeight="1">
      <c r="A199" s="1"/>
      <c r="B199" s="1"/>
      <c r="C199" s="1"/>
      <c r="D199" s="1"/>
      <c r="E199" s="1"/>
      <c r="F199" s="1"/>
      <c r="P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142"/>
    </row>
    <row r="200" ht="17.25" customHeight="1">
      <c r="A200" s="1"/>
      <c r="B200" s="1"/>
      <c r="C200" s="1"/>
      <c r="D200" s="1"/>
      <c r="E200" s="1"/>
      <c r="F200" s="1"/>
      <c r="P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142"/>
    </row>
    <row r="201" ht="17.25" customHeight="1">
      <c r="A201" s="1"/>
      <c r="B201" s="1"/>
      <c r="C201" s="1"/>
      <c r="D201" s="1"/>
      <c r="E201" s="1"/>
      <c r="F201" s="1"/>
      <c r="P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142"/>
    </row>
    <row r="202" ht="17.25" customHeight="1">
      <c r="A202" s="1"/>
      <c r="B202" s="1"/>
      <c r="C202" s="1"/>
      <c r="D202" s="1"/>
      <c r="E202" s="1"/>
      <c r="F202" s="1"/>
      <c r="P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142"/>
    </row>
    <row r="203" ht="17.25" customHeight="1">
      <c r="A203" s="1"/>
      <c r="B203" s="1"/>
      <c r="C203" s="1"/>
      <c r="D203" s="1"/>
      <c r="E203" s="1"/>
      <c r="F203" s="1"/>
      <c r="P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142"/>
    </row>
    <row r="204" ht="17.25" customHeight="1">
      <c r="A204" s="1"/>
      <c r="B204" s="1"/>
      <c r="C204" s="1"/>
      <c r="D204" s="1"/>
      <c r="E204" s="1"/>
      <c r="F204" s="1"/>
      <c r="P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142"/>
    </row>
    <row r="205" ht="17.25" customHeight="1">
      <c r="A205" s="1"/>
      <c r="B205" s="1"/>
      <c r="C205" s="1"/>
      <c r="D205" s="1"/>
      <c r="E205" s="1"/>
      <c r="F205" s="1"/>
      <c r="P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142"/>
    </row>
    <row r="206" ht="17.25" customHeight="1">
      <c r="A206" s="1"/>
      <c r="B206" s="1"/>
      <c r="C206" s="1"/>
      <c r="D206" s="1"/>
      <c r="E206" s="1"/>
      <c r="F206" s="1"/>
      <c r="P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142"/>
    </row>
    <row r="207" ht="17.25" customHeight="1">
      <c r="A207" s="1"/>
      <c r="B207" s="1"/>
      <c r="C207" s="1"/>
      <c r="D207" s="1"/>
      <c r="E207" s="1"/>
      <c r="F207" s="1"/>
      <c r="P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142"/>
    </row>
    <row r="208" ht="17.25" customHeight="1">
      <c r="A208" s="1"/>
      <c r="B208" s="1"/>
      <c r="C208" s="1"/>
      <c r="D208" s="1"/>
      <c r="E208" s="1"/>
      <c r="F208" s="1"/>
      <c r="P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142"/>
    </row>
    <row r="209" ht="17.25" customHeight="1">
      <c r="A209" s="1"/>
      <c r="B209" s="1"/>
      <c r="C209" s="1"/>
      <c r="D209" s="1"/>
      <c r="E209" s="1"/>
      <c r="F209" s="1"/>
      <c r="P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142"/>
    </row>
    <row r="210" ht="17.25" customHeight="1">
      <c r="A210" s="1"/>
      <c r="B210" s="1"/>
      <c r="C210" s="1"/>
      <c r="D210" s="1"/>
      <c r="E210" s="1"/>
      <c r="F210" s="1"/>
      <c r="P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142"/>
    </row>
    <row r="211" ht="17.25" customHeight="1">
      <c r="A211" s="1"/>
      <c r="B211" s="1"/>
      <c r="C211" s="1"/>
      <c r="D211" s="1"/>
      <c r="E211" s="1"/>
      <c r="F211" s="1"/>
      <c r="P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142"/>
    </row>
    <row r="212" ht="17.25" customHeight="1">
      <c r="A212" s="1"/>
      <c r="B212" s="1"/>
      <c r="C212" s="1"/>
      <c r="D212" s="1"/>
      <c r="E212" s="1"/>
      <c r="F212" s="1"/>
      <c r="P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142"/>
    </row>
    <row r="213" ht="17.25" customHeight="1">
      <c r="A213" s="1"/>
      <c r="B213" s="1"/>
      <c r="C213" s="1"/>
      <c r="D213" s="1"/>
      <c r="E213" s="1"/>
      <c r="F213" s="1"/>
      <c r="P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142"/>
    </row>
    <row r="214" ht="17.25" customHeight="1">
      <c r="A214" s="1"/>
      <c r="B214" s="1"/>
      <c r="C214" s="1"/>
      <c r="D214" s="1"/>
      <c r="E214" s="1"/>
      <c r="F214" s="1"/>
      <c r="P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142"/>
    </row>
    <row r="215" ht="17.25" customHeight="1">
      <c r="A215" s="1"/>
      <c r="B215" s="1"/>
      <c r="C215" s="1"/>
      <c r="D215" s="1"/>
      <c r="E215" s="1"/>
      <c r="F215" s="1"/>
      <c r="P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142"/>
    </row>
    <row r="216" ht="17.25" customHeight="1">
      <c r="A216" s="1"/>
      <c r="B216" s="1"/>
      <c r="C216" s="1"/>
      <c r="D216" s="1"/>
      <c r="E216" s="1"/>
      <c r="F216" s="1"/>
      <c r="P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142"/>
    </row>
    <row r="217" ht="17.25" customHeight="1">
      <c r="A217" s="1"/>
      <c r="B217" s="1"/>
      <c r="C217" s="1"/>
      <c r="D217" s="1"/>
      <c r="E217" s="1"/>
      <c r="F217" s="1"/>
      <c r="P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142"/>
    </row>
    <row r="218" ht="17.25" customHeight="1">
      <c r="A218" s="1"/>
      <c r="B218" s="1"/>
      <c r="C218" s="1"/>
      <c r="D218" s="1"/>
      <c r="E218" s="1"/>
      <c r="F218" s="1"/>
      <c r="P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142"/>
    </row>
    <row r="219" ht="17.25" customHeight="1">
      <c r="A219" s="1"/>
      <c r="B219" s="1"/>
      <c r="C219" s="1"/>
      <c r="D219" s="1"/>
      <c r="E219" s="1"/>
      <c r="F219" s="1"/>
      <c r="P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142"/>
    </row>
    <row r="220" ht="17.25" customHeight="1">
      <c r="A220" s="1"/>
      <c r="B220" s="1"/>
      <c r="C220" s="1"/>
      <c r="D220" s="1"/>
      <c r="E220" s="1"/>
      <c r="F220" s="1"/>
      <c r="P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142"/>
    </row>
    <row r="221" ht="17.25" customHeight="1">
      <c r="A221" s="1"/>
      <c r="B221" s="1"/>
      <c r="C221" s="1"/>
      <c r="D221" s="1"/>
      <c r="E221" s="1"/>
      <c r="F221" s="1"/>
      <c r="P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142"/>
    </row>
    <row r="222" ht="17.25" customHeight="1">
      <c r="A222" s="1"/>
      <c r="B222" s="1"/>
      <c r="C222" s="1"/>
      <c r="D222" s="1"/>
      <c r="E222" s="1"/>
      <c r="F222" s="1"/>
      <c r="P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142"/>
    </row>
    <row r="223" ht="17.25" customHeight="1">
      <c r="A223" s="1"/>
      <c r="B223" s="1"/>
      <c r="C223" s="1"/>
      <c r="D223" s="1"/>
      <c r="E223" s="1"/>
      <c r="F223" s="1"/>
      <c r="P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142"/>
    </row>
    <row r="224" ht="17.25" customHeight="1">
      <c r="A224" s="1"/>
      <c r="B224" s="1"/>
      <c r="C224" s="1"/>
      <c r="D224" s="1"/>
      <c r="E224" s="1"/>
      <c r="F224" s="1"/>
      <c r="P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142"/>
    </row>
    <row r="225" ht="17.25" customHeight="1">
      <c r="A225" s="1"/>
      <c r="B225" s="1"/>
      <c r="C225" s="1"/>
      <c r="D225" s="1"/>
      <c r="E225" s="1"/>
      <c r="F225" s="1"/>
      <c r="P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142"/>
    </row>
    <row r="226" ht="17.25" customHeight="1">
      <c r="A226" s="1"/>
      <c r="B226" s="1"/>
      <c r="C226" s="1"/>
      <c r="D226" s="1"/>
      <c r="E226" s="1"/>
      <c r="F226" s="1"/>
      <c r="P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142"/>
    </row>
    <row r="227" ht="17.25" customHeight="1">
      <c r="A227" s="1"/>
      <c r="B227" s="1"/>
      <c r="C227" s="1"/>
      <c r="D227" s="1"/>
      <c r="E227" s="1"/>
      <c r="F227" s="1"/>
      <c r="P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142"/>
    </row>
    <row r="228" ht="17.25" customHeight="1">
      <c r="A228" s="1"/>
      <c r="B228" s="1"/>
      <c r="C228" s="1"/>
      <c r="D228" s="1"/>
      <c r="E228" s="1"/>
      <c r="F228" s="1"/>
      <c r="P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142"/>
    </row>
    <row r="229" ht="17.25" customHeight="1">
      <c r="A229" s="1"/>
      <c r="B229" s="1"/>
      <c r="C229" s="1"/>
      <c r="D229" s="1"/>
      <c r="E229" s="1"/>
      <c r="F229" s="1"/>
      <c r="P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142"/>
    </row>
    <row r="230" ht="17.25" customHeight="1">
      <c r="A230" s="1"/>
      <c r="B230" s="1"/>
      <c r="C230" s="1"/>
      <c r="D230" s="1"/>
      <c r="E230" s="1"/>
      <c r="F230" s="1"/>
      <c r="P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142"/>
    </row>
    <row r="231" ht="17.25" customHeight="1">
      <c r="A231" s="1"/>
      <c r="B231" s="1"/>
      <c r="C231" s="1"/>
      <c r="D231" s="1"/>
      <c r="E231" s="1"/>
      <c r="F231" s="1"/>
      <c r="P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142"/>
    </row>
    <row r="232" ht="17.25" customHeight="1">
      <c r="A232" s="1"/>
      <c r="B232" s="1"/>
      <c r="C232" s="1"/>
      <c r="D232" s="1"/>
      <c r="E232" s="1"/>
      <c r="F232" s="1"/>
      <c r="P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142"/>
    </row>
    <row r="233" ht="17.25" customHeight="1">
      <c r="A233" s="1"/>
      <c r="B233" s="1"/>
      <c r="C233" s="1"/>
      <c r="D233" s="1"/>
      <c r="E233" s="1"/>
      <c r="F233" s="1"/>
      <c r="P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142"/>
    </row>
    <row r="234" ht="17.25" customHeight="1">
      <c r="A234" s="1"/>
      <c r="B234" s="1"/>
      <c r="C234" s="1"/>
      <c r="D234" s="1"/>
      <c r="E234" s="1"/>
      <c r="F234" s="1"/>
      <c r="P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142"/>
    </row>
    <row r="235" ht="17.25" customHeight="1">
      <c r="A235" s="1"/>
      <c r="B235" s="1"/>
      <c r="C235" s="1"/>
      <c r="D235" s="1"/>
      <c r="E235" s="1"/>
      <c r="F235" s="1"/>
      <c r="P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142"/>
    </row>
    <row r="236" ht="17.25" customHeight="1">
      <c r="A236" s="1"/>
      <c r="B236" s="1"/>
      <c r="C236" s="1"/>
      <c r="D236" s="1"/>
      <c r="E236" s="1"/>
      <c r="F236" s="1"/>
      <c r="P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142"/>
    </row>
    <row r="237" ht="17.25" customHeight="1">
      <c r="A237" s="1"/>
      <c r="B237" s="1"/>
      <c r="C237" s="1"/>
      <c r="D237" s="1"/>
      <c r="E237" s="1"/>
      <c r="F237" s="1"/>
      <c r="P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142"/>
    </row>
    <row r="238" ht="17.25" customHeight="1">
      <c r="A238" s="1"/>
      <c r="B238" s="1"/>
      <c r="C238" s="1"/>
      <c r="D238" s="1"/>
      <c r="E238" s="1"/>
      <c r="F238" s="1"/>
      <c r="P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142"/>
    </row>
    <row r="239" ht="17.25" customHeight="1">
      <c r="A239" s="1"/>
      <c r="B239" s="1"/>
      <c r="C239" s="1"/>
      <c r="D239" s="1"/>
      <c r="E239" s="1"/>
      <c r="F239" s="1"/>
      <c r="P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142"/>
    </row>
    <row r="240" ht="17.25" customHeight="1">
      <c r="A240" s="1"/>
      <c r="B240" s="1"/>
      <c r="C240" s="1"/>
      <c r="D240" s="1"/>
      <c r="E240" s="1"/>
      <c r="F240" s="1"/>
      <c r="P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142"/>
    </row>
    <row r="241" ht="17.25" customHeight="1">
      <c r="A241" s="1"/>
      <c r="B241" s="1"/>
      <c r="C241" s="1"/>
      <c r="D241" s="1"/>
      <c r="E241" s="1"/>
      <c r="F241" s="1"/>
      <c r="P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142"/>
    </row>
    <row r="242" ht="17.25" customHeight="1">
      <c r="A242" s="1"/>
      <c r="B242" s="1"/>
      <c r="C242" s="1"/>
      <c r="D242" s="1"/>
      <c r="E242" s="1"/>
      <c r="F242" s="1"/>
      <c r="P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142"/>
    </row>
    <row r="243" ht="17.25" customHeight="1">
      <c r="A243" s="1"/>
      <c r="B243" s="1"/>
      <c r="C243" s="1"/>
      <c r="D243" s="1"/>
      <c r="E243" s="1"/>
      <c r="F243" s="1"/>
      <c r="P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142"/>
    </row>
    <row r="244" ht="17.25" customHeight="1">
      <c r="A244" s="1"/>
      <c r="B244" s="1"/>
      <c r="C244" s="1"/>
      <c r="D244" s="1"/>
      <c r="E244" s="1"/>
      <c r="F244" s="1"/>
      <c r="P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142"/>
    </row>
    <row r="245" ht="17.25" customHeight="1">
      <c r="A245" s="1"/>
      <c r="B245" s="1"/>
      <c r="C245" s="1"/>
      <c r="D245" s="1"/>
      <c r="E245" s="1"/>
      <c r="F245" s="1"/>
      <c r="P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142"/>
    </row>
    <row r="246" ht="17.25" customHeight="1">
      <c r="A246" s="1"/>
      <c r="B246" s="1"/>
      <c r="C246" s="1"/>
      <c r="D246" s="1"/>
      <c r="E246" s="1"/>
      <c r="F246" s="1"/>
      <c r="P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142"/>
    </row>
    <row r="247" ht="17.25" customHeight="1">
      <c r="A247" s="1"/>
      <c r="B247" s="1"/>
      <c r="C247" s="1"/>
      <c r="D247" s="1"/>
      <c r="E247" s="1"/>
      <c r="F247" s="1"/>
      <c r="P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142"/>
    </row>
    <row r="248" ht="17.25" customHeight="1">
      <c r="A248" s="1"/>
      <c r="B248" s="1"/>
      <c r="C248" s="1"/>
      <c r="D248" s="1"/>
      <c r="E248" s="1"/>
      <c r="F248" s="1"/>
      <c r="P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142"/>
    </row>
    <row r="249" ht="17.25" customHeight="1">
      <c r="A249" s="1"/>
      <c r="B249" s="1"/>
      <c r="C249" s="1"/>
      <c r="D249" s="1"/>
      <c r="E249" s="1"/>
      <c r="F249" s="1"/>
      <c r="P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142"/>
    </row>
    <row r="250" ht="17.25" customHeight="1">
      <c r="A250" s="1"/>
      <c r="B250" s="1"/>
      <c r="C250" s="1"/>
      <c r="D250" s="1"/>
      <c r="E250" s="1"/>
      <c r="F250" s="1"/>
      <c r="P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142"/>
    </row>
    <row r="251" ht="17.25" customHeight="1">
      <c r="A251" s="1"/>
      <c r="B251" s="1"/>
      <c r="C251" s="1"/>
      <c r="D251" s="1"/>
      <c r="E251" s="1"/>
      <c r="F251" s="1"/>
      <c r="P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142"/>
    </row>
    <row r="252" ht="17.25" customHeight="1">
      <c r="A252" s="1"/>
      <c r="B252" s="1"/>
      <c r="C252" s="1"/>
      <c r="D252" s="1"/>
      <c r="E252" s="1"/>
      <c r="F252" s="1"/>
      <c r="P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142"/>
    </row>
    <row r="253" ht="17.25" customHeight="1">
      <c r="A253" s="1"/>
      <c r="B253" s="1"/>
      <c r="C253" s="1"/>
      <c r="D253" s="1"/>
      <c r="E253" s="1"/>
      <c r="F253" s="1"/>
      <c r="P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142"/>
    </row>
    <row r="254" ht="17.25" customHeight="1">
      <c r="A254" s="1"/>
      <c r="B254" s="1"/>
      <c r="C254" s="1"/>
      <c r="D254" s="1"/>
      <c r="E254" s="1"/>
      <c r="F254" s="1"/>
      <c r="P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142"/>
    </row>
    <row r="255" ht="17.25" customHeight="1">
      <c r="A255" s="1"/>
      <c r="B255" s="1"/>
      <c r="C255" s="1"/>
      <c r="D255" s="1"/>
      <c r="E255" s="1"/>
      <c r="F255" s="1"/>
      <c r="P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142"/>
    </row>
    <row r="256" ht="17.25" customHeight="1">
      <c r="A256" s="1"/>
      <c r="B256" s="1"/>
      <c r="C256" s="1"/>
      <c r="D256" s="1"/>
      <c r="E256" s="1"/>
      <c r="F256" s="1"/>
      <c r="P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142"/>
    </row>
    <row r="257" ht="17.25" customHeight="1">
      <c r="A257" s="1"/>
      <c r="B257" s="1"/>
      <c r="C257" s="1"/>
      <c r="D257" s="1"/>
      <c r="E257" s="1"/>
      <c r="F257" s="1"/>
      <c r="P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142"/>
    </row>
    <row r="258" ht="17.25" customHeight="1">
      <c r="A258" s="1"/>
      <c r="B258" s="1"/>
      <c r="C258" s="1"/>
      <c r="D258" s="1"/>
      <c r="E258" s="1"/>
      <c r="F258" s="1"/>
      <c r="P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142"/>
    </row>
    <row r="259" ht="17.25" customHeight="1">
      <c r="A259" s="1"/>
      <c r="B259" s="1"/>
      <c r="C259" s="1"/>
      <c r="D259" s="1"/>
      <c r="E259" s="1"/>
      <c r="F259" s="1"/>
      <c r="P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142"/>
    </row>
    <row r="260" ht="17.25" customHeight="1">
      <c r="A260" s="1"/>
      <c r="B260" s="1"/>
      <c r="C260" s="1"/>
      <c r="D260" s="1"/>
      <c r="E260" s="1"/>
      <c r="F260" s="1"/>
      <c r="P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142"/>
    </row>
    <row r="261" ht="17.25" customHeight="1">
      <c r="A261" s="1"/>
      <c r="B261" s="1"/>
      <c r="C261" s="1"/>
      <c r="D261" s="1"/>
      <c r="E261" s="1"/>
      <c r="F261" s="1"/>
      <c r="P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142"/>
    </row>
    <row r="262" ht="17.25" customHeight="1">
      <c r="A262" s="1"/>
      <c r="B262" s="1"/>
      <c r="C262" s="1"/>
      <c r="D262" s="1"/>
      <c r="E262" s="1"/>
      <c r="F262" s="1"/>
      <c r="P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142"/>
    </row>
    <row r="263" ht="17.25" customHeight="1">
      <c r="A263" s="1"/>
      <c r="B263" s="1"/>
      <c r="C263" s="1"/>
      <c r="D263" s="1"/>
      <c r="E263" s="1"/>
      <c r="F263" s="1"/>
      <c r="P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142"/>
    </row>
    <row r="264" ht="17.25" customHeight="1">
      <c r="A264" s="1"/>
      <c r="B264" s="1"/>
      <c r="C264" s="1"/>
      <c r="D264" s="1"/>
      <c r="E264" s="1"/>
      <c r="F264" s="1"/>
      <c r="P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142"/>
    </row>
    <row r="265" ht="17.25" customHeight="1">
      <c r="A265" s="1"/>
      <c r="B265" s="1"/>
      <c r="C265" s="1"/>
      <c r="D265" s="1"/>
      <c r="E265" s="1"/>
      <c r="F265" s="1"/>
      <c r="P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142"/>
    </row>
    <row r="266" ht="17.25" customHeight="1">
      <c r="A266" s="1"/>
      <c r="B266" s="1"/>
      <c r="C266" s="1"/>
      <c r="D266" s="1"/>
      <c r="E266" s="1"/>
      <c r="F266" s="1"/>
      <c r="P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142"/>
    </row>
    <row r="267" ht="17.25" customHeight="1">
      <c r="A267" s="1"/>
      <c r="B267" s="1"/>
      <c r="C267" s="1"/>
      <c r="D267" s="1"/>
      <c r="E267" s="1"/>
      <c r="F267" s="1"/>
      <c r="P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142"/>
    </row>
    <row r="268" ht="17.25" customHeight="1">
      <c r="A268" s="1"/>
      <c r="B268" s="1"/>
      <c r="C268" s="1"/>
      <c r="D268" s="1"/>
      <c r="E268" s="1"/>
      <c r="F268" s="1"/>
      <c r="P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142"/>
    </row>
    <row r="269" ht="17.25" customHeight="1">
      <c r="A269" s="1"/>
      <c r="B269" s="1"/>
      <c r="C269" s="1"/>
      <c r="D269" s="1"/>
      <c r="E269" s="1"/>
      <c r="F269" s="1"/>
      <c r="P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142"/>
    </row>
    <row r="270" ht="17.25" customHeight="1">
      <c r="A270" s="1"/>
      <c r="B270" s="1"/>
      <c r="C270" s="1"/>
      <c r="D270" s="1"/>
      <c r="E270" s="1"/>
      <c r="F270" s="1"/>
      <c r="P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142"/>
    </row>
    <row r="271" ht="17.25" customHeight="1">
      <c r="A271" s="1"/>
      <c r="B271" s="1"/>
      <c r="C271" s="1"/>
      <c r="D271" s="1"/>
      <c r="E271" s="1"/>
      <c r="F271" s="1"/>
      <c r="P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142"/>
    </row>
    <row r="272" ht="17.25" customHeight="1">
      <c r="A272" s="1"/>
      <c r="B272" s="1"/>
      <c r="C272" s="1"/>
      <c r="D272" s="1"/>
      <c r="E272" s="1"/>
      <c r="F272" s="1"/>
      <c r="P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142"/>
    </row>
    <row r="273" ht="17.25" customHeight="1">
      <c r="A273" s="1"/>
      <c r="B273" s="1"/>
      <c r="C273" s="1"/>
      <c r="D273" s="1"/>
      <c r="E273" s="1"/>
      <c r="F273" s="1"/>
      <c r="P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142"/>
    </row>
    <row r="274" ht="17.25" customHeight="1">
      <c r="A274" s="1"/>
      <c r="B274" s="1"/>
      <c r="C274" s="1"/>
      <c r="D274" s="1"/>
      <c r="E274" s="1"/>
      <c r="F274" s="1"/>
      <c r="P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142"/>
    </row>
    <row r="275" ht="17.25" customHeight="1">
      <c r="A275" s="1"/>
      <c r="B275" s="1"/>
      <c r="C275" s="1"/>
      <c r="D275" s="1"/>
      <c r="E275" s="1"/>
      <c r="F275" s="1"/>
      <c r="P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142"/>
    </row>
    <row r="276" ht="17.25" customHeight="1">
      <c r="A276" s="1"/>
      <c r="B276" s="1"/>
      <c r="C276" s="1"/>
      <c r="D276" s="1"/>
      <c r="E276" s="1"/>
      <c r="F276" s="1"/>
      <c r="P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142"/>
    </row>
    <row r="277" ht="17.25" customHeight="1">
      <c r="A277" s="1"/>
      <c r="B277" s="1"/>
      <c r="C277" s="1"/>
      <c r="D277" s="1"/>
      <c r="E277" s="1"/>
      <c r="F277" s="1"/>
      <c r="P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142"/>
    </row>
    <row r="278" ht="17.25" customHeight="1">
      <c r="A278" s="1"/>
      <c r="B278" s="1"/>
      <c r="C278" s="1"/>
      <c r="D278" s="1"/>
      <c r="E278" s="1"/>
      <c r="F278" s="1"/>
      <c r="P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142"/>
    </row>
    <row r="279" ht="17.25" customHeight="1">
      <c r="A279" s="1"/>
      <c r="B279" s="1"/>
      <c r="C279" s="1"/>
      <c r="D279" s="1"/>
      <c r="E279" s="1"/>
      <c r="F279" s="1"/>
      <c r="P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142"/>
    </row>
    <row r="280" ht="17.25" customHeight="1">
      <c r="A280" s="1"/>
      <c r="B280" s="1"/>
      <c r="C280" s="1"/>
      <c r="D280" s="1"/>
      <c r="E280" s="1"/>
      <c r="F280" s="1"/>
      <c r="P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142"/>
    </row>
    <row r="281" ht="17.25" customHeight="1">
      <c r="A281" s="1"/>
      <c r="B281" s="1"/>
      <c r="C281" s="1"/>
      <c r="D281" s="1"/>
      <c r="E281" s="1"/>
      <c r="F281" s="1"/>
      <c r="P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142"/>
    </row>
    <row r="282" ht="17.25" customHeight="1">
      <c r="A282" s="1"/>
      <c r="B282" s="1"/>
      <c r="C282" s="1"/>
      <c r="D282" s="1"/>
      <c r="E282" s="1"/>
      <c r="F282" s="1"/>
      <c r="P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142"/>
    </row>
    <row r="283" ht="17.25" customHeight="1">
      <c r="A283" s="1"/>
      <c r="B283" s="1"/>
      <c r="C283" s="1"/>
      <c r="D283" s="1"/>
      <c r="E283" s="1"/>
      <c r="F283" s="1"/>
      <c r="P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142"/>
    </row>
    <row r="284" ht="17.25" customHeight="1">
      <c r="A284" s="1"/>
      <c r="B284" s="1"/>
      <c r="C284" s="1"/>
      <c r="D284" s="1"/>
      <c r="E284" s="1"/>
      <c r="F284" s="1"/>
      <c r="P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142"/>
    </row>
    <row r="285" ht="17.25" customHeight="1">
      <c r="A285" s="1"/>
      <c r="B285" s="1"/>
      <c r="C285" s="1"/>
      <c r="D285" s="1"/>
      <c r="E285" s="1"/>
      <c r="F285" s="1"/>
      <c r="P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142"/>
    </row>
    <row r="286" ht="17.25" customHeight="1">
      <c r="A286" s="1"/>
      <c r="B286" s="1"/>
      <c r="C286" s="1"/>
      <c r="D286" s="1"/>
      <c r="E286" s="1"/>
      <c r="F286" s="1"/>
      <c r="P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142"/>
    </row>
    <row r="287" ht="17.25" customHeight="1">
      <c r="A287" s="1"/>
      <c r="B287" s="1"/>
      <c r="C287" s="1"/>
      <c r="D287" s="1"/>
      <c r="E287" s="1"/>
      <c r="F287" s="1"/>
      <c r="P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142"/>
    </row>
    <row r="288" ht="17.25" customHeight="1">
      <c r="A288" s="1"/>
      <c r="B288" s="1"/>
      <c r="C288" s="1"/>
      <c r="D288" s="1"/>
      <c r="E288" s="1"/>
      <c r="F288" s="1"/>
      <c r="P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142"/>
    </row>
    <row r="289" ht="17.25" customHeight="1">
      <c r="A289" s="1"/>
      <c r="B289" s="1"/>
      <c r="C289" s="1"/>
      <c r="D289" s="1"/>
      <c r="E289" s="1"/>
      <c r="F289" s="1"/>
      <c r="P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142"/>
    </row>
    <row r="290" ht="17.25" customHeight="1">
      <c r="A290" s="1"/>
      <c r="B290" s="1"/>
      <c r="C290" s="1"/>
      <c r="D290" s="1"/>
      <c r="E290" s="1"/>
      <c r="F290" s="1"/>
      <c r="P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142"/>
    </row>
    <row r="291" ht="17.25" customHeight="1">
      <c r="A291" s="1"/>
      <c r="B291" s="1"/>
      <c r="C291" s="1"/>
      <c r="D291" s="1"/>
      <c r="E291" s="1"/>
      <c r="F291" s="1"/>
      <c r="P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142"/>
    </row>
    <row r="292" ht="17.25" customHeight="1">
      <c r="A292" s="1"/>
      <c r="B292" s="1"/>
      <c r="C292" s="1"/>
      <c r="D292" s="1"/>
      <c r="E292" s="1"/>
      <c r="F292" s="1"/>
      <c r="P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142"/>
    </row>
    <row r="293" ht="17.25" customHeight="1">
      <c r="A293" s="1"/>
      <c r="B293" s="1"/>
      <c r="C293" s="1"/>
      <c r="D293" s="1"/>
      <c r="E293" s="1"/>
      <c r="F293" s="1"/>
      <c r="P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142"/>
    </row>
    <row r="294" ht="17.25" customHeight="1">
      <c r="A294" s="1"/>
      <c r="B294" s="1"/>
      <c r="C294" s="1"/>
      <c r="D294" s="1"/>
      <c r="E294" s="1"/>
      <c r="F294" s="1"/>
      <c r="P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142"/>
    </row>
    <row r="295" ht="17.25" customHeight="1">
      <c r="A295" s="1"/>
      <c r="B295" s="1"/>
      <c r="C295" s="1"/>
      <c r="D295" s="1"/>
      <c r="E295" s="1"/>
      <c r="F295" s="1"/>
      <c r="P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142"/>
    </row>
    <row r="296" ht="17.25" customHeight="1">
      <c r="A296" s="1"/>
      <c r="B296" s="1"/>
      <c r="C296" s="1"/>
      <c r="D296" s="1"/>
      <c r="E296" s="1"/>
      <c r="F296" s="1"/>
      <c r="P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142"/>
    </row>
    <row r="297" ht="17.25" customHeight="1">
      <c r="A297" s="1"/>
      <c r="B297" s="1"/>
      <c r="C297" s="1"/>
      <c r="D297" s="1"/>
      <c r="E297" s="1"/>
      <c r="F297" s="1"/>
      <c r="P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142"/>
    </row>
    <row r="298" ht="17.25" customHeight="1">
      <c r="A298" s="1"/>
      <c r="B298" s="1"/>
      <c r="C298" s="1"/>
      <c r="D298" s="1"/>
      <c r="E298" s="1"/>
      <c r="F298" s="1"/>
      <c r="P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142"/>
    </row>
    <row r="299" ht="17.25" customHeight="1">
      <c r="A299" s="1"/>
      <c r="B299" s="1"/>
      <c r="C299" s="1"/>
      <c r="D299" s="1"/>
      <c r="E299" s="1"/>
      <c r="F299" s="1"/>
      <c r="P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142"/>
    </row>
    <row r="300" ht="17.25" customHeight="1">
      <c r="A300" s="1"/>
      <c r="B300" s="1"/>
      <c r="C300" s="1"/>
      <c r="D300" s="1"/>
      <c r="E300" s="1"/>
      <c r="F300" s="1"/>
      <c r="P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142"/>
    </row>
    <row r="301" ht="17.25" customHeight="1">
      <c r="A301" s="1"/>
      <c r="B301" s="1"/>
      <c r="C301" s="1"/>
      <c r="D301" s="1"/>
      <c r="E301" s="1"/>
      <c r="F301" s="1"/>
      <c r="P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142"/>
    </row>
    <row r="302" ht="17.25" customHeight="1">
      <c r="A302" s="1"/>
      <c r="B302" s="1"/>
      <c r="C302" s="1"/>
      <c r="D302" s="1"/>
      <c r="E302" s="1"/>
      <c r="F302" s="1"/>
      <c r="P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142"/>
    </row>
    <row r="303" ht="17.25" customHeight="1">
      <c r="A303" s="1"/>
      <c r="B303" s="1"/>
      <c r="C303" s="1"/>
      <c r="D303" s="1"/>
      <c r="E303" s="1"/>
      <c r="F303" s="1"/>
      <c r="P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142"/>
    </row>
    <row r="304" ht="17.25" customHeight="1">
      <c r="A304" s="1"/>
      <c r="B304" s="1"/>
      <c r="C304" s="1"/>
      <c r="D304" s="1"/>
      <c r="E304" s="1"/>
      <c r="F304" s="1"/>
      <c r="P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142"/>
    </row>
    <row r="305" ht="17.25" customHeight="1">
      <c r="A305" s="1"/>
      <c r="B305" s="1"/>
      <c r="C305" s="1"/>
      <c r="D305" s="1"/>
      <c r="E305" s="1"/>
      <c r="F305" s="1"/>
      <c r="P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142"/>
    </row>
    <row r="306" ht="17.25" customHeight="1">
      <c r="A306" s="1"/>
      <c r="B306" s="1"/>
      <c r="C306" s="1"/>
      <c r="D306" s="1"/>
      <c r="E306" s="1"/>
      <c r="F306" s="1"/>
      <c r="P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142"/>
    </row>
    <row r="307" ht="17.25" customHeight="1">
      <c r="A307" s="1"/>
      <c r="B307" s="1"/>
      <c r="C307" s="1"/>
      <c r="D307" s="1"/>
      <c r="E307" s="1"/>
      <c r="F307" s="1"/>
      <c r="P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142"/>
    </row>
    <row r="308" ht="17.25" customHeight="1">
      <c r="A308" s="1"/>
      <c r="B308" s="1"/>
      <c r="C308" s="1"/>
      <c r="D308" s="1"/>
      <c r="E308" s="1"/>
      <c r="F308" s="1"/>
      <c r="P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142"/>
    </row>
    <row r="309" ht="17.25" customHeight="1">
      <c r="A309" s="1"/>
      <c r="B309" s="1"/>
      <c r="C309" s="1"/>
      <c r="D309" s="1"/>
      <c r="E309" s="1"/>
      <c r="F309" s="1"/>
      <c r="P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142"/>
    </row>
    <row r="310" ht="17.25" customHeight="1">
      <c r="A310" s="1"/>
      <c r="B310" s="1"/>
      <c r="C310" s="1"/>
      <c r="D310" s="1"/>
      <c r="E310" s="1"/>
      <c r="F310" s="1"/>
      <c r="P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142"/>
    </row>
    <row r="311" ht="17.25" customHeight="1">
      <c r="A311" s="1"/>
      <c r="B311" s="1"/>
      <c r="C311" s="1"/>
      <c r="D311" s="1"/>
      <c r="E311" s="1"/>
      <c r="F311" s="1"/>
      <c r="P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142"/>
    </row>
    <row r="312" ht="17.25" customHeight="1">
      <c r="A312" s="1"/>
      <c r="B312" s="1"/>
      <c r="C312" s="1"/>
      <c r="D312" s="1"/>
      <c r="E312" s="1"/>
      <c r="F312" s="1"/>
      <c r="P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142"/>
    </row>
    <row r="313" ht="17.25" customHeight="1">
      <c r="A313" s="1"/>
      <c r="B313" s="1"/>
      <c r="C313" s="1"/>
      <c r="D313" s="1"/>
      <c r="E313" s="1"/>
      <c r="F313" s="1"/>
      <c r="P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142"/>
    </row>
    <row r="314" ht="17.25" customHeight="1">
      <c r="A314" s="1"/>
      <c r="B314" s="1"/>
      <c r="C314" s="1"/>
      <c r="D314" s="1"/>
      <c r="E314" s="1"/>
      <c r="F314" s="1"/>
      <c r="P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142"/>
    </row>
    <row r="315" ht="17.25" customHeight="1">
      <c r="A315" s="1"/>
      <c r="B315" s="1"/>
      <c r="C315" s="1"/>
      <c r="D315" s="1"/>
      <c r="E315" s="1"/>
      <c r="F315" s="1"/>
      <c r="P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142"/>
    </row>
    <row r="316" ht="17.25" customHeight="1">
      <c r="A316" s="1"/>
      <c r="B316" s="1"/>
      <c r="C316" s="1"/>
      <c r="D316" s="1"/>
      <c r="E316" s="1"/>
      <c r="F316" s="1"/>
      <c r="P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142"/>
    </row>
    <row r="317" ht="17.25" customHeight="1">
      <c r="A317" s="1"/>
      <c r="B317" s="1"/>
      <c r="C317" s="1"/>
      <c r="D317" s="1"/>
      <c r="E317" s="1"/>
      <c r="F317" s="1"/>
      <c r="P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142"/>
    </row>
    <row r="318" ht="17.25" customHeight="1">
      <c r="A318" s="1"/>
      <c r="B318" s="1"/>
      <c r="C318" s="1"/>
      <c r="D318" s="1"/>
      <c r="E318" s="1"/>
      <c r="F318" s="1"/>
      <c r="P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142"/>
    </row>
    <row r="319" ht="17.25" customHeight="1">
      <c r="A319" s="1"/>
      <c r="B319" s="1"/>
      <c r="C319" s="1"/>
      <c r="D319" s="1"/>
      <c r="E319" s="1"/>
      <c r="F319" s="1"/>
      <c r="P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142"/>
    </row>
    <row r="320" ht="17.25" customHeight="1">
      <c r="A320" s="1"/>
      <c r="B320" s="1"/>
      <c r="C320" s="1"/>
      <c r="D320" s="1"/>
      <c r="E320" s="1"/>
      <c r="F320" s="1"/>
      <c r="P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142"/>
    </row>
    <row r="321" ht="17.25" customHeight="1">
      <c r="A321" s="1"/>
      <c r="B321" s="1"/>
      <c r="C321" s="1"/>
      <c r="D321" s="1"/>
      <c r="E321" s="1"/>
      <c r="F321" s="1"/>
      <c r="P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142"/>
    </row>
    <row r="322" ht="17.25" customHeight="1">
      <c r="A322" s="1"/>
      <c r="B322" s="1"/>
      <c r="C322" s="1"/>
      <c r="D322" s="1"/>
      <c r="E322" s="1"/>
      <c r="F322" s="1"/>
      <c r="P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142"/>
    </row>
    <row r="323" ht="17.25" customHeight="1">
      <c r="A323" s="1"/>
      <c r="B323" s="1"/>
      <c r="C323" s="1"/>
      <c r="D323" s="1"/>
      <c r="E323" s="1"/>
      <c r="F323" s="1"/>
      <c r="P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142"/>
    </row>
    <row r="324" ht="17.25" customHeight="1">
      <c r="A324" s="1"/>
      <c r="B324" s="1"/>
      <c r="C324" s="1"/>
      <c r="D324" s="1"/>
      <c r="E324" s="1"/>
      <c r="F324" s="1"/>
      <c r="P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142"/>
    </row>
    <row r="325" ht="17.25" customHeight="1">
      <c r="A325" s="1"/>
      <c r="B325" s="1"/>
      <c r="C325" s="1"/>
      <c r="D325" s="1"/>
      <c r="E325" s="1"/>
      <c r="F325" s="1"/>
      <c r="P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142"/>
    </row>
    <row r="326" ht="17.25" customHeight="1">
      <c r="A326" s="1"/>
      <c r="B326" s="1"/>
      <c r="C326" s="1"/>
      <c r="D326" s="1"/>
      <c r="E326" s="1"/>
      <c r="F326" s="1"/>
      <c r="P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142"/>
    </row>
    <row r="327" ht="17.25" customHeight="1">
      <c r="A327" s="1"/>
      <c r="B327" s="1"/>
      <c r="C327" s="1"/>
      <c r="D327" s="1"/>
      <c r="E327" s="1"/>
      <c r="F327" s="1"/>
      <c r="P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142"/>
    </row>
    <row r="328" ht="17.25" customHeight="1">
      <c r="A328" s="1"/>
      <c r="B328" s="1"/>
      <c r="C328" s="1"/>
      <c r="D328" s="1"/>
      <c r="E328" s="1"/>
      <c r="F328" s="1"/>
      <c r="P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142"/>
    </row>
    <row r="329" ht="17.25" customHeight="1">
      <c r="A329" s="1"/>
      <c r="B329" s="1"/>
      <c r="C329" s="1"/>
      <c r="D329" s="1"/>
      <c r="E329" s="1"/>
      <c r="F329" s="1"/>
      <c r="P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142"/>
    </row>
    <row r="330" ht="17.25" customHeight="1">
      <c r="A330" s="1"/>
      <c r="B330" s="1"/>
      <c r="C330" s="1"/>
      <c r="D330" s="1"/>
      <c r="E330" s="1"/>
      <c r="F330" s="1"/>
      <c r="P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142"/>
    </row>
    <row r="331" ht="17.25" customHeight="1">
      <c r="A331" s="1"/>
      <c r="B331" s="1"/>
      <c r="C331" s="1"/>
      <c r="D331" s="1"/>
      <c r="E331" s="1"/>
      <c r="F331" s="1"/>
      <c r="P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142"/>
    </row>
    <row r="332" ht="17.25" customHeight="1">
      <c r="A332" s="1"/>
      <c r="B332" s="1"/>
      <c r="C332" s="1"/>
      <c r="D332" s="1"/>
      <c r="E332" s="1"/>
      <c r="F332" s="1"/>
      <c r="P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142"/>
    </row>
    <row r="333" ht="17.25" customHeight="1">
      <c r="A333" s="1"/>
      <c r="B333" s="1"/>
      <c r="C333" s="1"/>
      <c r="D333" s="1"/>
      <c r="E333" s="1"/>
      <c r="F333" s="1"/>
      <c r="P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142"/>
    </row>
    <row r="334" ht="17.25" customHeight="1">
      <c r="A334" s="1"/>
      <c r="B334" s="1"/>
      <c r="C334" s="1"/>
      <c r="D334" s="1"/>
      <c r="E334" s="1"/>
      <c r="F334" s="1"/>
      <c r="P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142"/>
    </row>
    <row r="335" ht="17.25" customHeight="1">
      <c r="A335" s="1"/>
      <c r="B335" s="1"/>
      <c r="C335" s="1"/>
      <c r="D335" s="1"/>
      <c r="E335" s="1"/>
      <c r="F335" s="1"/>
      <c r="P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142"/>
    </row>
    <row r="336" ht="17.25" customHeight="1">
      <c r="A336" s="1"/>
      <c r="B336" s="1"/>
      <c r="C336" s="1"/>
      <c r="D336" s="1"/>
      <c r="E336" s="1"/>
      <c r="F336" s="1"/>
      <c r="P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142"/>
    </row>
    <row r="337" ht="17.25" customHeight="1">
      <c r="A337" s="1"/>
      <c r="B337" s="1"/>
      <c r="C337" s="1"/>
      <c r="D337" s="1"/>
      <c r="E337" s="1"/>
      <c r="F337" s="1"/>
      <c r="P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142"/>
    </row>
    <row r="338" ht="17.25" customHeight="1">
      <c r="A338" s="1"/>
      <c r="B338" s="1"/>
      <c r="C338" s="1"/>
      <c r="D338" s="1"/>
      <c r="E338" s="1"/>
      <c r="F338" s="1"/>
      <c r="P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142"/>
    </row>
    <row r="339" ht="17.25" customHeight="1">
      <c r="A339" s="1"/>
      <c r="B339" s="1"/>
      <c r="C339" s="1"/>
      <c r="D339" s="1"/>
      <c r="E339" s="1"/>
      <c r="F339" s="1"/>
      <c r="P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142"/>
    </row>
    <row r="340" ht="17.25" customHeight="1">
      <c r="A340" s="1"/>
      <c r="B340" s="1"/>
      <c r="C340" s="1"/>
      <c r="D340" s="1"/>
      <c r="E340" s="1"/>
      <c r="F340" s="1"/>
      <c r="P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142"/>
    </row>
    <row r="341" ht="17.25" customHeight="1">
      <c r="A341" s="1"/>
      <c r="B341" s="1"/>
      <c r="C341" s="1"/>
      <c r="D341" s="1"/>
      <c r="E341" s="1"/>
      <c r="F341" s="1"/>
      <c r="P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142"/>
    </row>
    <row r="342" ht="17.25" customHeight="1">
      <c r="A342" s="1"/>
      <c r="B342" s="1"/>
      <c r="C342" s="1"/>
      <c r="D342" s="1"/>
      <c r="E342" s="1"/>
      <c r="F342" s="1"/>
      <c r="P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142"/>
    </row>
    <row r="343" ht="17.25" customHeight="1">
      <c r="A343" s="1"/>
      <c r="B343" s="1"/>
      <c r="C343" s="1"/>
      <c r="D343" s="1"/>
      <c r="E343" s="1"/>
      <c r="F343" s="1"/>
      <c r="P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142"/>
    </row>
    <row r="344" ht="17.25" customHeight="1">
      <c r="A344" s="1"/>
      <c r="B344" s="1"/>
      <c r="C344" s="1"/>
      <c r="D344" s="1"/>
      <c r="E344" s="1"/>
      <c r="F344" s="1"/>
      <c r="P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142"/>
    </row>
    <row r="345" ht="17.25" customHeight="1">
      <c r="A345" s="1"/>
      <c r="B345" s="1"/>
      <c r="C345" s="1"/>
      <c r="D345" s="1"/>
      <c r="E345" s="1"/>
      <c r="F345" s="1"/>
      <c r="P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142"/>
    </row>
    <row r="346" ht="17.25" customHeight="1">
      <c r="A346" s="1"/>
      <c r="B346" s="1"/>
      <c r="C346" s="1"/>
      <c r="D346" s="1"/>
      <c r="E346" s="1"/>
      <c r="F346" s="1"/>
      <c r="P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142"/>
    </row>
    <row r="347" ht="17.25" customHeight="1">
      <c r="A347" s="1"/>
      <c r="B347" s="1"/>
      <c r="C347" s="1"/>
      <c r="D347" s="1"/>
      <c r="E347" s="1"/>
      <c r="F347" s="1"/>
      <c r="P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142"/>
    </row>
    <row r="348" ht="17.25" customHeight="1">
      <c r="A348" s="1"/>
      <c r="B348" s="1"/>
      <c r="C348" s="1"/>
      <c r="D348" s="1"/>
      <c r="E348" s="1"/>
      <c r="F348" s="1"/>
      <c r="P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142"/>
    </row>
    <row r="349" ht="17.25" customHeight="1">
      <c r="A349" s="1"/>
      <c r="B349" s="1"/>
      <c r="C349" s="1"/>
      <c r="D349" s="1"/>
      <c r="E349" s="1"/>
      <c r="F349" s="1"/>
      <c r="P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142"/>
    </row>
    <row r="350" ht="17.25" customHeight="1">
      <c r="A350" s="1"/>
      <c r="B350" s="1"/>
      <c r="C350" s="1"/>
      <c r="D350" s="1"/>
      <c r="E350" s="1"/>
      <c r="F350" s="1"/>
      <c r="P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142"/>
    </row>
    <row r="351" ht="17.25" customHeight="1">
      <c r="A351" s="1"/>
      <c r="B351" s="1"/>
      <c r="C351" s="1"/>
      <c r="D351" s="1"/>
      <c r="E351" s="1"/>
      <c r="F351" s="1"/>
      <c r="P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142"/>
    </row>
    <row r="352" ht="17.25" customHeight="1">
      <c r="A352" s="1"/>
      <c r="B352" s="1"/>
      <c r="C352" s="1"/>
      <c r="D352" s="1"/>
      <c r="E352" s="1"/>
      <c r="F352" s="1"/>
      <c r="P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142"/>
    </row>
    <row r="353" ht="17.25" customHeight="1">
      <c r="A353" s="1"/>
      <c r="B353" s="1"/>
      <c r="C353" s="1"/>
      <c r="D353" s="1"/>
      <c r="E353" s="1"/>
      <c r="F353" s="1"/>
      <c r="P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142"/>
    </row>
    <row r="354" ht="17.25" customHeight="1">
      <c r="A354" s="1"/>
      <c r="B354" s="1"/>
      <c r="C354" s="1"/>
      <c r="D354" s="1"/>
      <c r="E354" s="1"/>
      <c r="F354" s="1"/>
      <c r="P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142"/>
    </row>
    <row r="355" ht="17.25" customHeight="1">
      <c r="A355" s="1"/>
      <c r="B355" s="1"/>
      <c r="C355" s="1"/>
      <c r="D355" s="1"/>
      <c r="E355" s="1"/>
      <c r="F355" s="1"/>
      <c r="P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142"/>
    </row>
    <row r="356" ht="17.25" customHeight="1">
      <c r="A356" s="1"/>
      <c r="B356" s="1"/>
      <c r="C356" s="1"/>
      <c r="D356" s="1"/>
      <c r="E356" s="1"/>
      <c r="F356" s="1"/>
      <c r="P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142"/>
    </row>
    <row r="357" ht="17.25" customHeight="1">
      <c r="A357" s="1"/>
      <c r="B357" s="1"/>
      <c r="C357" s="1"/>
      <c r="D357" s="1"/>
      <c r="E357" s="1"/>
      <c r="F357" s="1"/>
      <c r="P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142"/>
    </row>
    <row r="358" ht="17.25" customHeight="1">
      <c r="A358" s="1"/>
      <c r="B358" s="1"/>
      <c r="C358" s="1"/>
      <c r="D358" s="1"/>
      <c r="E358" s="1"/>
      <c r="F358" s="1"/>
      <c r="P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142"/>
    </row>
    <row r="359" ht="17.25" customHeight="1">
      <c r="A359" s="1"/>
      <c r="B359" s="1"/>
      <c r="C359" s="1"/>
      <c r="D359" s="1"/>
      <c r="E359" s="1"/>
      <c r="F359" s="1"/>
      <c r="P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142"/>
    </row>
    <row r="360" ht="17.25" customHeight="1">
      <c r="A360" s="1"/>
      <c r="B360" s="1"/>
      <c r="C360" s="1"/>
      <c r="D360" s="1"/>
      <c r="E360" s="1"/>
      <c r="F360" s="1"/>
      <c r="P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142"/>
    </row>
    <row r="361" ht="17.25" customHeight="1">
      <c r="A361" s="1"/>
      <c r="B361" s="1"/>
      <c r="C361" s="1"/>
      <c r="D361" s="1"/>
      <c r="E361" s="1"/>
      <c r="F361" s="1"/>
      <c r="P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142"/>
    </row>
    <row r="362" ht="17.25" customHeight="1">
      <c r="A362" s="1"/>
      <c r="B362" s="1"/>
      <c r="C362" s="1"/>
      <c r="D362" s="1"/>
      <c r="E362" s="1"/>
      <c r="F362" s="1"/>
      <c r="P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142"/>
    </row>
    <row r="363" ht="17.25" customHeight="1">
      <c r="A363" s="1"/>
      <c r="B363" s="1"/>
      <c r="C363" s="1"/>
      <c r="D363" s="1"/>
      <c r="E363" s="1"/>
      <c r="F363" s="1"/>
      <c r="P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142"/>
    </row>
    <row r="364" ht="17.25" customHeight="1">
      <c r="A364" s="1"/>
      <c r="B364" s="1"/>
      <c r="C364" s="1"/>
      <c r="D364" s="1"/>
      <c r="E364" s="1"/>
      <c r="F364" s="1"/>
      <c r="P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142"/>
    </row>
    <row r="365" ht="17.25" customHeight="1">
      <c r="A365" s="1"/>
      <c r="B365" s="1"/>
      <c r="C365" s="1"/>
      <c r="D365" s="1"/>
      <c r="E365" s="1"/>
      <c r="F365" s="1"/>
      <c r="P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142"/>
    </row>
    <row r="366" ht="17.25" customHeight="1">
      <c r="A366" s="1"/>
      <c r="B366" s="1"/>
      <c r="C366" s="1"/>
      <c r="D366" s="1"/>
      <c r="E366" s="1"/>
      <c r="F366" s="1"/>
      <c r="P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142"/>
    </row>
    <row r="367" ht="17.25" customHeight="1">
      <c r="A367" s="1"/>
      <c r="B367" s="1"/>
      <c r="C367" s="1"/>
      <c r="D367" s="1"/>
      <c r="E367" s="1"/>
      <c r="F367" s="1"/>
      <c r="P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142"/>
    </row>
    <row r="368" ht="17.25" customHeight="1">
      <c r="A368" s="1"/>
      <c r="B368" s="1"/>
      <c r="C368" s="1"/>
      <c r="D368" s="1"/>
      <c r="E368" s="1"/>
      <c r="F368" s="1"/>
      <c r="P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142"/>
    </row>
    <row r="369" ht="17.25" customHeight="1">
      <c r="A369" s="1"/>
      <c r="B369" s="1"/>
      <c r="C369" s="1"/>
      <c r="D369" s="1"/>
      <c r="E369" s="1"/>
      <c r="F369" s="1"/>
      <c r="P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142"/>
    </row>
    <row r="370" ht="17.25" customHeight="1">
      <c r="A370" s="1"/>
      <c r="B370" s="1"/>
      <c r="C370" s="1"/>
      <c r="D370" s="1"/>
      <c r="E370" s="1"/>
      <c r="F370" s="1"/>
      <c r="P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142"/>
    </row>
    <row r="371" ht="17.25" customHeight="1">
      <c r="A371" s="1"/>
      <c r="B371" s="1"/>
      <c r="C371" s="1"/>
      <c r="D371" s="1"/>
      <c r="E371" s="1"/>
      <c r="F371" s="1"/>
      <c r="P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142"/>
    </row>
    <row r="372" ht="17.25" customHeight="1">
      <c r="A372" s="1"/>
      <c r="B372" s="1"/>
      <c r="C372" s="1"/>
      <c r="D372" s="1"/>
      <c r="E372" s="1"/>
      <c r="F372" s="1"/>
      <c r="P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142"/>
    </row>
    <row r="373" ht="17.25" customHeight="1">
      <c r="A373" s="1"/>
      <c r="B373" s="1"/>
      <c r="C373" s="1"/>
      <c r="D373" s="1"/>
      <c r="E373" s="1"/>
      <c r="F373" s="1"/>
      <c r="P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142"/>
    </row>
    <row r="374" ht="17.25" customHeight="1">
      <c r="A374" s="1"/>
      <c r="B374" s="1"/>
      <c r="C374" s="1"/>
      <c r="D374" s="1"/>
      <c r="E374" s="1"/>
      <c r="F374" s="1"/>
      <c r="P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142"/>
    </row>
    <row r="375" ht="17.25" customHeight="1">
      <c r="A375" s="1"/>
      <c r="B375" s="1"/>
      <c r="C375" s="1"/>
      <c r="D375" s="1"/>
      <c r="E375" s="1"/>
      <c r="F375" s="1"/>
      <c r="P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142"/>
    </row>
    <row r="376" ht="17.25" customHeight="1">
      <c r="A376" s="1"/>
      <c r="B376" s="1"/>
      <c r="C376" s="1"/>
      <c r="D376" s="1"/>
      <c r="E376" s="1"/>
      <c r="F376" s="1"/>
      <c r="P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142"/>
    </row>
    <row r="377" ht="17.25" customHeight="1">
      <c r="A377" s="1"/>
      <c r="B377" s="1"/>
      <c r="C377" s="1"/>
      <c r="D377" s="1"/>
      <c r="E377" s="1"/>
      <c r="F377" s="1"/>
      <c r="P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142"/>
    </row>
    <row r="378" ht="17.25" customHeight="1">
      <c r="A378" s="1"/>
      <c r="B378" s="1"/>
      <c r="C378" s="1"/>
      <c r="D378" s="1"/>
      <c r="E378" s="1"/>
      <c r="F378" s="1"/>
      <c r="P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142"/>
    </row>
    <row r="379" ht="17.25" customHeight="1">
      <c r="A379" s="1"/>
      <c r="B379" s="1"/>
      <c r="C379" s="1"/>
      <c r="D379" s="1"/>
      <c r="E379" s="1"/>
      <c r="F379" s="1"/>
      <c r="P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142"/>
    </row>
    <row r="380" ht="17.25" customHeight="1">
      <c r="A380" s="1"/>
      <c r="B380" s="1"/>
      <c r="C380" s="1"/>
      <c r="D380" s="1"/>
      <c r="E380" s="1"/>
      <c r="F380" s="1"/>
      <c r="P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142"/>
    </row>
    <row r="381" ht="17.25" customHeight="1">
      <c r="A381" s="1"/>
      <c r="B381" s="1"/>
      <c r="C381" s="1"/>
      <c r="D381" s="1"/>
      <c r="E381" s="1"/>
      <c r="F381" s="1"/>
      <c r="P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142"/>
    </row>
    <row r="382" ht="17.25" customHeight="1">
      <c r="A382" s="1"/>
      <c r="B382" s="1"/>
      <c r="C382" s="1"/>
      <c r="D382" s="1"/>
      <c r="E382" s="1"/>
      <c r="F382" s="1"/>
      <c r="P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142"/>
    </row>
    <row r="383" ht="17.25" customHeight="1">
      <c r="A383" s="1"/>
      <c r="B383" s="1"/>
      <c r="C383" s="1"/>
      <c r="D383" s="1"/>
      <c r="E383" s="1"/>
      <c r="F383" s="1"/>
      <c r="P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142"/>
    </row>
    <row r="384" ht="17.25" customHeight="1">
      <c r="A384" s="1"/>
      <c r="B384" s="1"/>
      <c r="C384" s="1"/>
      <c r="D384" s="1"/>
      <c r="E384" s="1"/>
      <c r="F384" s="1"/>
      <c r="P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142"/>
    </row>
    <row r="385" ht="17.25" customHeight="1">
      <c r="A385" s="1"/>
      <c r="B385" s="1"/>
      <c r="C385" s="1"/>
      <c r="D385" s="1"/>
      <c r="E385" s="1"/>
      <c r="F385" s="1"/>
      <c r="P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142"/>
    </row>
    <row r="386" ht="17.25" customHeight="1">
      <c r="A386" s="1"/>
      <c r="B386" s="1"/>
      <c r="C386" s="1"/>
      <c r="D386" s="1"/>
      <c r="E386" s="1"/>
      <c r="F386" s="1"/>
      <c r="P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142"/>
    </row>
    <row r="387" ht="17.25" customHeight="1">
      <c r="A387" s="1"/>
      <c r="B387" s="1"/>
      <c r="C387" s="1"/>
      <c r="D387" s="1"/>
      <c r="E387" s="1"/>
      <c r="F387" s="1"/>
      <c r="P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142"/>
    </row>
    <row r="388" ht="17.25" customHeight="1">
      <c r="A388" s="1"/>
      <c r="B388" s="1"/>
      <c r="C388" s="1"/>
      <c r="D388" s="1"/>
      <c r="E388" s="1"/>
      <c r="F388" s="1"/>
      <c r="P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142"/>
    </row>
    <row r="389" ht="17.25" customHeight="1">
      <c r="A389" s="1"/>
      <c r="B389" s="1"/>
      <c r="C389" s="1"/>
      <c r="D389" s="1"/>
      <c r="E389" s="1"/>
      <c r="F389" s="1"/>
      <c r="P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142"/>
    </row>
    <row r="390" ht="17.25" customHeight="1">
      <c r="A390" s="1"/>
      <c r="B390" s="1"/>
      <c r="C390" s="1"/>
      <c r="D390" s="1"/>
      <c r="E390" s="1"/>
      <c r="F390" s="1"/>
      <c r="P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142"/>
    </row>
    <row r="391" ht="17.25" customHeight="1">
      <c r="A391" s="1"/>
      <c r="B391" s="1"/>
      <c r="C391" s="1"/>
      <c r="D391" s="1"/>
      <c r="E391" s="1"/>
      <c r="F391" s="1"/>
      <c r="P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142"/>
    </row>
    <row r="392" ht="17.25" customHeight="1">
      <c r="A392" s="1"/>
      <c r="B392" s="1"/>
      <c r="C392" s="1"/>
      <c r="D392" s="1"/>
      <c r="E392" s="1"/>
      <c r="F392" s="1"/>
      <c r="P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142"/>
    </row>
    <row r="393" ht="17.25" customHeight="1">
      <c r="A393" s="1"/>
      <c r="B393" s="1"/>
      <c r="C393" s="1"/>
      <c r="D393" s="1"/>
      <c r="E393" s="1"/>
      <c r="F393" s="1"/>
      <c r="P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142"/>
    </row>
    <row r="394" ht="17.25" customHeight="1">
      <c r="A394" s="1"/>
      <c r="B394" s="1"/>
      <c r="C394" s="1"/>
      <c r="D394" s="1"/>
      <c r="E394" s="1"/>
      <c r="F394" s="1"/>
      <c r="P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142"/>
    </row>
    <row r="395" ht="17.25" customHeight="1">
      <c r="A395" s="1"/>
      <c r="B395" s="1"/>
      <c r="C395" s="1"/>
      <c r="D395" s="1"/>
      <c r="E395" s="1"/>
      <c r="F395" s="1"/>
      <c r="P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142"/>
    </row>
    <row r="396" ht="17.25" customHeight="1">
      <c r="A396" s="1"/>
      <c r="B396" s="1"/>
      <c r="C396" s="1"/>
      <c r="D396" s="1"/>
      <c r="E396" s="1"/>
      <c r="F396" s="1"/>
      <c r="P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142"/>
    </row>
    <row r="397" ht="17.25" customHeight="1">
      <c r="A397" s="1"/>
      <c r="B397" s="1"/>
      <c r="C397" s="1"/>
      <c r="D397" s="1"/>
      <c r="E397" s="1"/>
      <c r="F397" s="1"/>
      <c r="P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142"/>
    </row>
    <row r="398" ht="17.25" customHeight="1">
      <c r="A398" s="1"/>
      <c r="B398" s="1"/>
      <c r="C398" s="1"/>
      <c r="D398" s="1"/>
      <c r="E398" s="1"/>
      <c r="F398" s="1"/>
      <c r="P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142"/>
    </row>
    <row r="399" ht="17.25" customHeight="1">
      <c r="A399" s="1"/>
      <c r="B399" s="1"/>
      <c r="C399" s="1"/>
      <c r="D399" s="1"/>
      <c r="E399" s="1"/>
      <c r="F399" s="1"/>
      <c r="P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142"/>
    </row>
    <row r="400" ht="17.25" customHeight="1">
      <c r="A400" s="1"/>
      <c r="B400" s="1"/>
      <c r="C400" s="1"/>
      <c r="D400" s="1"/>
      <c r="E400" s="1"/>
      <c r="F400" s="1"/>
      <c r="P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142"/>
    </row>
    <row r="401" ht="17.25" customHeight="1">
      <c r="A401" s="1"/>
      <c r="B401" s="1"/>
      <c r="C401" s="1"/>
      <c r="D401" s="1"/>
      <c r="E401" s="1"/>
      <c r="F401" s="1"/>
      <c r="P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142"/>
    </row>
    <row r="402" ht="17.25" customHeight="1">
      <c r="A402" s="1"/>
      <c r="B402" s="1"/>
      <c r="C402" s="1"/>
      <c r="D402" s="1"/>
      <c r="E402" s="1"/>
      <c r="F402" s="1"/>
      <c r="P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142"/>
    </row>
    <row r="403" ht="17.25" customHeight="1">
      <c r="A403" s="1"/>
      <c r="B403" s="1"/>
      <c r="C403" s="1"/>
      <c r="D403" s="1"/>
      <c r="E403" s="1"/>
      <c r="F403" s="1"/>
      <c r="P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142"/>
    </row>
    <row r="404" ht="17.25" customHeight="1">
      <c r="A404" s="1"/>
      <c r="B404" s="1"/>
      <c r="C404" s="1"/>
      <c r="D404" s="1"/>
      <c r="E404" s="1"/>
      <c r="F404" s="1"/>
      <c r="P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142"/>
    </row>
    <row r="405" ht="17.25" customHeight="1">
      <c r="A405" s="1"/>
      <c r="B405" s="1"/>
      <c r="C405" s="1"/>
      <c r="D405" s="1"/>
      <c r="E405" s="1"/>
      <c r="F405" s="1"/>
      <c r="P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142"/>
    </row>
    <row r="406" ht="17.25" customHeight="1">
      <c r="A406" s="1"/>
      <c r="B406" s="1"/>
      <c r="C406" s="1"/>
      <c r="D406" s="1"/>
      <c r="E406" s="1"/>
      <c r="F406" s="1"/>
      <c r="P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142"/>
    </row>
    <row r="407" ht="17.25" customHeight="1">
      <c r="A407" s="1"/>
      <c r="B407" s="1"/>
      <c r="C407" s="1"/>
      <c r="D407" s="1"/>
      <c r="E407" s="1"/>
      <c r="F407" s="1"/>
      <c r="P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142"/>
    </row>
    <row r="408" ht="17.25" customHeight="1">
      <c r="A408" s="1"/>
      <c r="B408" s="1"/>
      <c r="C408" s="1"/>
      <c r="D408" s="1"/>
      <c r="E408" s="1"/>
      <c r="F408" s="1"/>
      <c r="P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142"/>
    </row>
    <row r="409" ht="17.25" customHeight="1">
      <c r="A409" s="1"/>
      <c r="B409" s="1"/>
      <c r="C409" s="1"/>
      <c r="D409" s="1"/>
      <c r="E409" s="1"/>
      <c r="F409" s="1"/>
      <c r="P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142"/>
    </row>
    <row r="410" ht="17.25" customHeight="1">
      <c r="A410" s="1"/>
      <c r="B410" s="1"/>
      <c r="C410" s="1"/>
      <c r="D410" s="1"/>
      <c r="E410" s="1"/>
      <c r="F410" s="1"/>
      <c r="P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142"/>
    </row>
    <row r="411" ht="17.25" customHeight="1">
      <c r="A411" s="1"/>
      <c r="B411" s="1"/>
      <c r="C411" s="1"/>
      <c r="D411" s="1"/>
      <c r="E411" s="1"/>
      <c r="F411" s="1"/>
      <c r="P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142"/>
    </row>
    <row r="412" ht="17.25" customHeight="1">
      <c r="A412" s="1"/>
      <c r="B412" s="1"/>
      <c r="C412" s="1"/>
      <c r="D412" s="1"/>
      <c r="E412" s="1"/>
      <c r="F412" s="1"/>
      <c r="P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142"/>
    </row>
    <row r="413" ht="17.25" customHeight="1">
      <c r="A413" s="1"/>
      <c r="B413" s="1"/>
      <c r="C413" s="1"/>
      <c r="D413" s="1"/>
      <c r="E413" s="1"/>
      <c r="F413" s="1"/>
      <c r="P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142"/>
    </row>
    <row r="414" ht="17.25" customHeight="1">
      <c r="A414" s="1"/>
      <c r="B414" s="1"/>
      <c r="C414" s="1"/>
      <c r="D414" s="1"/>
      <c r="E414" s="1"/>
      <c r="F414" s="1"/>
      <c r="P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142"/>
    </row>
    <row r="415" ht="17.25" customHeight="1">
      <c r="A415" s="1"/>
      <c r="B415" s="1"/>
      <c r="C415" s="1"/>
      <c r="D415" s="1"/>
      <c r="E415" s="1"/>
      <c r="F415" s="1"/>
      <c r="P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142"/>
    </row>
    <row r="416" ht="17.25" customHeight="1">
      <c r="A416" s="1"/>
      <c r="B416" s="1"/>
      <c r="C416" s="1"/>
      <c r="D416" s="1"/>
      <c r="E416" s="1"/>
      <c r="F416" s="1"/>
      <c r="P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142"/>
    </row>
    <row r="417" ht="17.25" customHeight="1">
      <c r="A417" s="1"/>
      <c r="B417" s="1"/>
      <c r="C417" s="1"/>
      <c r="D417" s="1"/>
      <c r="E417" s="1"/>
      <c r="F417" s="1"/>
      <c r="P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142"/>
    </row>
    <row r="418" ht="17.25" customHeight="1">
      <c r="A418" s="1"/>
      <c r="B418" s="1"/>
      <c r="C418" s="1"/>
      <c r="D418" s="1"/>
      <c r="E418" s="1"/>
      <c r="F418" s="1"/>
      <c r="P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142"/>
    </row>
    <row r="419" ht="17.25" customHeight="1">
      <c r="A419" s="1"/>
      <c r="B419" s="1"/>
      <c r="C419" s="1"/>
      <c r="D419" s="1"/>
      <c r="E419" s="1"/>
      <c r="F419" s="1"/>
      <c r="P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142"/>
    </row>
    <row r="420" ht="17.25" customHeight="1">
      <c r="A420" s="1"/>
      <c r="B420" s="1"/>
      <c r="C420" s="1"/>
      <c r="D420" s="1"/>
      <c r="E420" s="1"/>
      <c r="F420" s="1"/>
      <c r="P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142"/>
    </row>
    <row r="421" ht="17.25" customHeight="1">
      <c r="A421" s="1"/>
      <c r="B421" s="1"/>
      <c r="C421" s="1"/>
      <c r="D421" s="1"/>
      <c r="E421" s="1"/>
      <c r="F421" s="1"/>
      <c r="P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142"/>
    </row>
    <row r="422" ht="17.25" customHeight="1">
      <c r="A422" s="1"/>
      <c r="B422" s="1"/>
      <c r="C422" s="1"/>
      <c r="D422" s="1"/>
      <c r="E422" s="1"/>
      <c r="F422" s="1"/>
      <c r="P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142"/>
    </row>
    <row r="423" ht="17.25" customHeight="1">
      <c r="A423" s="1"/>
      <c r="B423" s="1"/>
      <c r="C423" s="1"/>
      <c r="D423" s="1"/>
      <c r="E423" s="1"/>
      <c r="F423" s="1"/>
      <c r="P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142"/>
    </row>
    <row r="424" ht="17.25" customHeight="1">
      <c r="A424" s="1"/>
      <c r="B424" s="1"/>
      <c r="C424" s="1"/>
      <c r="D424" s="1"/>
      <c r="E424" s="1"/>
      <c r="F424" s="1"/>
      <c r="P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142"/>
    </row>
    <row r="425" ht="17.25" customHeight="1">
      <c r="A425" s="1"/>
      <c r="B425" s="1"/>
      <c r="C425" s="1"/>
      <c r="D425" s="1"/>
      <c r="E425" s="1"/>
      <c r="F425" s="1"/>
      <c r="P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142"/>
    </row>
    <row r="426" ht="17.25" customHeight="1">
      <c r="A426" s="1"/>
      <c r="B426" s="1"/>
      <c r="C426" s="1"/>
      <c r="D426" s="1"/>
      <c r="E426" s="1"/>
      <c r="F426" s="1"/>
      <c r="P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142"/>
    </row>
    <row r="427" ht="17.25" customHeight="1">
      <c r="A427" s="1"/>
      <c r="B427" s="1"/>
      <c r="C427" s="1"/>
      <c r="D427" s="1"/>
      <c r="E427" s="1"/>
      <c r="F427" s="1"/>
      <c r="P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142"/>
    </row>
    <row r="428" ht="17.25" customHeight="1">
      <c r="A428" s="1"/>
      <c r="B428" s="1"/>
      <c r="C428" s="1"/>
      <c r="D428" s="1"/>
      <c r="E428" s="1"/>
      <c r="F428" s="1"/>
      <c r="P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142"/>
    </row>
    <row r="429" ht="17.25" customHeight="1">
      <c r="A429" s="1"/>
      <c r="B429" s="1"/>
      <c r="C429" s="1"/>
      <c r="D429" s="1"/>
      <c r="E429" s="1"/>
      <c r="F429" s="1"/>
      <c r="P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142"/>
    </row>
    <row r="430" ht="17.25" customHeight="1">
      <c r="A430" s="1"/>
      <c r="B430" s="1"/>
      <c r="C430" s="1"/>
      <c r="D430" s="1"/>
      <c r="E430" s="1"/>
      <c r="F430" s="1"/>
      <c r="P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142"/>
    </row>
    <row r="431" ht="17.25" customHeight="1">
      <c r="A431" s="1"/>
      <c r="B431" s="1"/>
      <c r="C431" s="1"/>
      <c r="D431" s="1"/>
      <c r="E431" s="1"/>
      <c r="F431" s="1"/>
      <c r="P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142"/>
    </row>
    <row r="432" ht="17.25" customHeight="1">
      <c r="A432" s="1"/>
      <c r="B432" s="1"/>
      <c r="C432" s="1"/>
      <c r="D432" s="1"/>
      <c r="E432" s="1"/>
      <c r="F432" s="1"/>
      <c r="P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142"/>
    </row>
    <row r="433" ht="17.25" customHeight="1">
      <c r="A433" s="1"/>
      <c r="B433" s="1"/>
      <c r="C433" s="1"/>
      <c r="D433" s="1"/>
      <c r="E433" s="1"/>
      <c r="F433" s="1"/>
      <c r="P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142"/>
    </row>
    <row r="434" ht="17.25" customHeight="1">
      <c r="A434" s="1"/>
      <c r="B434" s="1"/>
      <c r="C434" s="1"/>
      <c r="D434" s="1"/>
      <c r="E434" s="1"/>
      <c r="F434" s="1"/>
      <c r="P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142"/>
    </row>
    <row r="435" ht="17.25" customHeight="1">
      <c r="A435" s="1"/>
      <c r="B435" s="1"/>
      <c r="C435" s="1"/>
      <c r="D435" s="1"/>
      <c r="E435" s="1"/>
      <c r="F435" s="1"/>
      <c r="P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142"/>
    </row>
    <row r="436" ht="17.25" customHeight="1">
      <c r="A436" s="1"/>
      <c r="B436" s="1"/>
      <c r="C436" s="1"/>
      <c r="D436" s="1"/>
      <c r="E436" s="1"/>
      <c r="F436" s="1"/>
      <c r="P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142"/>
    </row>
    <row r="437" ht="17.25" customHeight="1">
      <c r="A437" s="1"/>
      <c r="B437" s="1"/>
      <c r="C437" s="1"/>
      <c r="D437" s="1"/>
      <c r="E437" s="1"/>
      <c r="F437" s="1"/>
      <c r="P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142"/>
    </row>
    <row r="438" ht="17.25" customHeight="1">
      <c r="A438" s="1"/>
      <c r="B438" s="1"/>
      <c r="C438" s="1"/>
      <c r="D438" s="1"/>
      <c r="E438" s="1"/>
      <c r="F438" s="1"/>
      <c r="P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142"/>
    </row>
    <row r="439" ht="17.25" customHeight="1">
      <c r="A439" s="1"/>
      <c r="B439" s="1"/>
      <c r="C439" s="1"/>
      <c r="D439" s="1"/>
      <c r="E439" s="1"/>
      <c r="F439" s="1"/>
      <c r="P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142"/>
    </row>
    <row r="440" ht="17.25" customHeight="1">
      <c r="A440" s="1"/>
      <c r="B440" s="1"/>
      <c r="C440" s="1"/>
      <c r="D440" s="1"/>
      <c r="E440" s="1"/>
      <c r="F440" s="1"/>
      <c r="P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142"/>
    </row>
    <row r="441" ht="17.25" customHeight="1">
      <c r="A441" s="1"/>
      <c r="B441" s="1"/>
      <c r="C441" s="1"/>
      <c r="D441" s="1"/>
      <c r="E441" s="1"/>
      <c r="F441" s="1"/>
      <c r="P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142"/>
    </row>
    <row r="442" ht="17.25" customHeight="1">
      <c r="A442" s="1"/>
      <c r="B442" s="1"/>
      <c r="C442" s="1"/>
      <c r="D442" s="1"/>
      <c r="E442" s="1"/>
      <c r="F442" s="1"/>
      <c r="P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142"/>
    </row>
    <row r="443" ht="17.25" customHeight="1">
      <c r="A443" s="1"/>
      <c r="B443" s="1"/>
      <c r="C443" s="1"/>
      <c r="D443" s="1"/>
      <c r="E443" s="1"/>
      <c r="F443" s="1"/>
      <c r="P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142"/>
    </row>
    <row r="444" ht="17.25" customHeight="1">
      <c r="A444" s="1"/>
      <c r="B444" s="1"/>
      <c r="C444" s="1"/>
      <c r="D444" s="1"/>
      <c r="E444" s="1"/>
      <c r="F444" s="1"/>
      <c r="P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142"/>
    </row>
    <row r="445" ht="17.25" customHeight="1">
      <c r="A445" s="1"/>
      <c r="B445" s="1"/>
      <c r="C445" s="1"/>
      <c r="D445" s="1"/>
      <c r="E445" s="1"/>
      <c r="F445" s="1"/>
      <c r="P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142"/>
    </row>
    <row r="446" ht="17.25" customHeight="1">
      <c r="A446" s="1"/>
      <c r="B446" s="1"/>
      <c r="C446" s="1"/>
      <c r="D446" s="1"/>
      <c r="E446" s="1"/>
      <c r="F446" s="1"/>
      <c r="P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142"/>
    </row>
    <row r="447" ht="17.25" customHeight="1">
      <c r="A447" s="1"/>
      <c r="B447" s="1"/>
      <c r="C447" s="1"/>
      <c r="D447" s="1"/>
      <c r="E447" s="1"/>
      <c r="F447" s="1"/>
      <c r="P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142"/>
    </row>
    <row r="448" ht="17.25" customHeight="1">
      <c r="A448" s="1"/>
      <c r="B448" s="1"/>
      <c r="C448" s="1"/>
      <c r="D448" s="1"/>
      <c r="E448" s="1"/>
      <c r="F448" s="1"/>
      <c r="P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142"/>
    </row>
    <row r="449" ht="17.25" customHeight="1">
      <c r="A449" s="1"/>
      <c r="B449" s="1"/>
      <c r="C449" s="1"/>
      <c r="D449" s="1"/>
      <c r="E449" s="1"/>
      <c r="F449" s="1"/>
      <c r="P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142"/>
    </row>
    <row r="450" ht="17.25" customHeight="1">
      <c r="A450" s="1"/>
      <c r="B450" s="1"/>
      <c r="C450" s="1"/>
      <c r="D450" s="1"/>
      <c r="E450" s="1"/>
      <c r="F450" s="1"/>
      <c r="P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142"/>
    </row>
    <row r="451" ht="17.25" customHeight="1">
      <c r="A451" s="1"/>
      <c r="B451" s="1"/>
      <c r="C451" s="1"/>
      <c r="D451" s="1"/>
      <c r="E451" s="1"/>
      <c r="F451" s="1"/>
      <c r="P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142"/>
    </row>
    <row r="452" ht="17.25" customHeight="1">
      <c r="A452" s="1"/>
      <c r="B452" s="1"/>
      <c r="C452" s="1"/>
      <c r="D452" s="1"/>
      <c r="E452" s="1"/>
      <c r="F452" s="1"/>
      <c r="P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142"/>
    </row>
    <row r="453" ht="17.25" customHeight="1">
      <c r="A453" s="1"/>
      <c r="B453" s="1"/>
      <c r="C453" s="1"/>
      <c r="D453" s="1"/>
      <c r="E453" s="1"/>
      <c r="F453" s="1"/>
      <c r="P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142"/>
    </row>
    <row r="454" ht="17.25" customHeight="1">
      <c r="A454" s="1"/>
      <c r="B454" s="1"/>
      <c r="C454" s="1"/>
      <c r="D454" s="1"/>
      <c r="E454" s="1"/>
      <c r="F454" s="1"/>
      <c r="P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142"/>
    </row>
    <row r="455" ht="17.25" customHeight="1">
      <c r="A455" s="1"/>
      <c r="B455" s="1"/>
      <c r="C455" s="1"/>
      <c r="D455" s="1"/>
      <c r="E455" s="1"/>
      <c r="F455" s="1"/>
      <c r="P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142"/>
    </row>
    <row r="456" ht="17.25" customHeight="1">
      <c r="A456" s="1"/>
      <c r="B456" s="1"/>
      <c r="C456" s="1"/>
      <c r="D456" s="1"/>
      <c r="E456" s="1"/>
      <c r="F456" s="1"/>
      <c r="P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142"/>
    </row>
    <row r="457" ht="17.25" customHeight="1">
      <c r="A457" s="1"/>
      <c r="B457" s="1"/>
      <c r="C457" s="1"/>
      <c r="D457" s="1"/>
      <c r="E457" s="1"/>
      <c r="F457" s="1"/>
      <c r="P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142"/>
    </row>
    <row r="458" ht="17.25" customHeight="1">
      <c r="A458" s="1"/>
      <c r="B458" s="1"/>
      <c r="C458" s="1"/>
      <c r="D458" s="1"/>
      <c r="E458" s="1"/>
      <c r="F458" s="1"/>
      <c r="P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142"/>
    </row>
    <row r="459" ht="17.25" customHeight="1">
      <c r="A459" s="1"/>
      <c r="B459" s="1"/>
      <c r="C459" s="1"/>
      <c r="D459" s="1"/>
      <c r="E459" s="1"/>
      <c r="F459" s="1"/>
      <c r="P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142"/>
    </row>
    <row r="460" ht="17.25" customHeight="1">
      <c r="A460" s="1"/>
      <c r="B460" s="1"/>
      <c r="C460" s="1"/>
      <c r="D460" s="1"/>
      <c r="E460" s="1"/>
      <c r="F460" s="1"/>
      <c r="P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142"/>
    </row>
    <row r="461" ht="17.25" customHeight="1">
      <c r="A461" s="1"/>
      <c r="B461" s="1"/>
      <c r="C461" s="1"/>
      <c r="D461" s="1"/>
      <c r="E461" s="1"/>
      <c r="F461" s="1"/>
      <c r="P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142"/>
    </row>
    <row r="462" ht="17.25" customHeight="1">
      <c r="A462" s="1"/>
      <c r="B462" s="1"/>
      <c r="C462" s="1"/>
      <c r="D462" s="1"/>
      <c r="E462" s="1"/>
      <c r="F462" s="1"/>
      <c r="P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142"/>
    </row>
    <row r="463" ht="17.25" customHeight="1">
      <c r="A463" s="1"/>
      <c r="B463" s="1"/>
      <c r="C463" s="1"/>
      <c r="D463" s="1"/>
      <c r="E463" s="1"/>
      <c r="F463" s="1"/>
      <c r="P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142"/>
    </row>
    <row r="464" ht="17.25" customHeight="1">
      <c r="A464" s="1"/>
      <c r="B464" s="1"/>
      <c r="C464" s="1"/>
      <c r="D464" s="1"/>
      <c r="E464" s="1"/>
      <c r="F464" s="1"/>
      <c r="P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142"/>
    </row>
    <row r="465" ht="17.25" customHeight="1">
      <c r="A465" s="1"/>
      <c r="B465" s="1"/>
      <c r="C465" s="1"/>
      <c r="D465" s="1"/>
      <c r="E465" s="1"/>
      <c r="F465" s="1"/>
      <c r="P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142"/>
    </row>
    <row r="466" ht="17.25" customHeight="1">
      <c r="A466" s="1"/>
      <c r="B466" s="1"/>
      <c r="C466" s="1"/>
      <c r="D466" s="1"/>
      <c r="E466" s="1"/>
      <c r="F466" s="1"/>
      <c r="P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142"/>
    </row>
    <row r="467" ht="17.25" customHeight="1">
      <c r="A467" s="1"/>
      <c r="B467" s="1"/>
      <c r="C467" s="1"/>
      <c r="D467" s="1"/>
      <c r="E467" s="1"/>
      <c r="F467" s="1"/>
      <c r="P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142"/>
    </row>
    <row r="468" ht="17.25" customHeight="1">
      <c r="A468" s="1"/>
      <c r="B468" s="1"/>
      <c r="C468" s="1"/>
      <c r="D468" s="1"/>
      <c r="E468" s="1"/>
      <c r="F468" s="1"/>
      <c r="P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142"/>
    </row>
    <row r="469" ht="17.25" customHeight="1">
      <c r="A469" s="1"/>
      <c r="B469" s="1"/>
      <c r="C469" s="1"/>
      <c r="D469" s="1"/>
      <c r="E469" s="1"/>
      <c r="F469" s="1"/>
      <c r="P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142"/>
    </row>
    <row r="470" ht="17.25" customHeight="1">
      <c r="A470" s="1"/>
      <c r="B470" s="1"/>
      <c r="C470" s="1"/>
      <c r="D470" s="1"/>
      <c r="E470" s="1"/>
      <c r="F470" s="1"/>
      <c r="P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142"/>
    </row>
    <row r="471" ht="17.25" customHeight="1">
      <c r="A471" s="1"/>
      <c r="B471" s="1"/>
      <c r="C471" s="1"/>
      <c r="D471" s="1"/>
      <c r="E471" s="1"/>
      <c r="F471" s="1"/>
      <c r="P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142"/>
    </row>
    <row r="472" ht="17.25" customHeight="1">
      <c r="A472" s="1"/>
      <c r="B472" s="1"/>
      <c r="C472" s="1"/>
      <c r="D472" s="1"/>
      <c r="E472" s="1"/>
      <c r="F472" s="1"/>
      <c r="P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142"/>
    </row>
    <row r="473" ht="17.25" customHeight="1">
      <c r="A473" s="1"/>
      <c r="B473" s="1"/>
      <c r="C473" s="1"/>
      <c r="D473" s="1"/>
      <c r="E473" s="1"/>
      <c r="F473" s="1"/>
      <c r="P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142"/>
    </row>
    <row r="474" ht="17.25" customHeight="1">
      <c r="A474" s="1"/>
      <c r="B474" s="1"/>
      <c r="C474" s="1"/>
      <c r="D474" s="1"/>
      <c r="E474" s="1"/>
      <c r="F474" s="1"/>
      <c r="P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142"/>
    </row>
    <row r="475" ht="17.25" customHeight="1">
      <c r="A475" s="1"/>
      <c r="B475" s="1"/>
      <c r="C475" s="1"/>
      <c r="D475" s="1"/>
      <c r="E475" s="1"/>
      <c r="F475" s="1"/>
      <c r="P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142"/>
    </row>
    <row r="476" ht="17.25" customHeight="1">
      <c r="A476" s="1"/>
      <c r="B476" s="1"/>
      <c r="C476" s="1"/>
      <c r="D476" s="1"/>
      <c r="E476" s="1"/>
      <c r="F476" s="1"/>
      <c r="P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142"/>
    </row>
    <row r="477" ht="17.25" customHeight="1">
      <c r="A477" s="1"/>
      <c r="B477" s="1"/>
      <c r="C477" s="1"/>
      <c r="D477" s="1"/>
      <c r="E477" s="1"/>
      <c r="F477" s="1"/>
      <c r="P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142"/>
    </row>
    <row r="478" ht="17.25" customHeight="1">
      <c r="A478" s="1"/>
      <c r="B478" s="1"/>
      <c r="C478" s="1"/>
      <c r="D478" s="1"/>
      <c r="E478" s="1"/>
      <c r="F478" s="1"/>
      <c r="P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142"/>
    </row>
    <row r="479" ht="17.25" customHeight="1">
      <c r="A479" s="1"/>
      <c r="B479" s="1"/>
      <c r="C479" s="1"/>
      <c r="D479" s="1"/>
      <c r="E479" s="1"/>
      <c r="F479" s="1"/>
      <c r="P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142"/>
    </row>
    <row r="480" ht="17.25" customHeight="1">
      <c r="A480" s="1"/>
      <c r="B480" s="1"/>
      <c r="C480" s="1"/>
      <c r="D480" s="1"/>
      <c r="E480" s="1"/>
      <c r="F480" s="1"/>
      <c r="P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142"/>
    </row>
    <row r="481" ht="17.25" customHeight="1">
      <c r="A481" s="1"/>
      <c r="B481" s="1"/>
      <c r="C481" s="1"/>
      <c r="D481" s="1"/>
      <c r="E481" s="1"/>
      <c r="F481" s="1"/>
      <c r="P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142"/>
    </row>
    <row r="482" ht="17.25" customHeight="1">
      <c r="A482" s="1"/>
      <c r="B482" s="1"/>
      <c r="C482" s="1"/>
      <c r="D482" s="1"/>
      <c r="E482" s="1"/>
      <c r="F482" s="1"/>
      <c r="P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142"/>
    </row>
    <row r="483" ht="17.25" customHeight="1">
      <c r="A483" s="1"/>
      <c r="B483" s="1"/>
      <c r="C483" s="1"/>
      <c r="D483" s="1"/>
      <c r="E483" s="1"/>
      <c r="F483" s="1"/>
      <c r="P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142"/>
    </row>
    <row r="484" ht="17.25" customHeight="1">
      <c r="A484" s="1"/>
      <c r="B484" s="1"/>
      <c r="C484" s="1"/>
      <c r="D484" s="1"/>
      <c r="E484" s="1"/>
      <c r="F484" s="1"/>
      <c r="P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142"/>
    </row>
    <row r="485" ht="17.25" customHeight="1">
      <c r="A485" s="1"/>
      <c r="B485" s="1"/>
      <c r="C485" s="1"/>
      <c r="D485" s="1"/>
      <c r="E485" s="1"/>
      <c r="F485" s="1"/>
      <c r="P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142"/>
    </row>
    <row r="486" ht="17.25" customHeight="1">
      <c r="A486" s="1"/>
      <c r="B486" s="1"/>
      <c r="C486" s="1"/>
      <c r="D486" s="1"/>
      <c r="E486" s="1"/>
      <c r="F486" s="1"/>
      <c r="P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142"/>
    </row>
    <row r="487" ht="17.25" customHeight="1">
      <c r="A487" s="1"/>
      <c r="B487" s="1"/>
      <c r="C487" s="1"/>
      <c r="D487" s="1"/>
      <c r="E487" s="1"/>
      <c r="F487" s="1"/>
      <c r="P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142"/>
    </row>
    <row r="488" ht="17.25" customHeight="1">
      <c r="A488" s="1"/>
      <c r="B488" s="1"/>
      <c r="C488" s="1"/>
      <c r="D488" s="1"/>
      <c r="E488" s="1"/>
      <c r="F488" s="1"/>
      <c r="P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142"/>
    </row>
    <row r="489" ht="17.25" customHeight="1">
      <c r="A489" s="1"/>
      <c r="B489" s="1"/>
      <c r="C489" s="1"/>
      <c r="D489" s="1"/>
      <c r="E489" s="1"/>
      <c r="F489" s="1"/>
      <c r="P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142"/>
    </row>
    <row r="490" ht="17.25" customHeight="1">
      <c r="A490" s="1"/>
      <c r="B490" s="1"/>
      <c r="C490" s="1"/>
      <c r="D490" s="1"/>
      <c r="E490" s="1"/>
      <c r="F490" s="1"/>
      <c r="P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142"/>
    </row>
    <row r="491" ht="17.25" customHeight="1">
      <c r="A491" s="1"/>
      <c r="B491" s="1"/>
      <c r="C491" s="1"/>
      <c r="D491" s="1"/>
      <c r="E491" s="1"/>
      <c r="F491" s="1"/>
      <c r="P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142"/>
    </row>
    <row r="492" ht="17.25" customHeight="1">
      <c r="A492" s="1"/>
      <c r="B492" s="1"/>
      <c r="C492" s="1"/>
      <c r="D492" s="1"/>
      <c r="E492" s="1"/>
      <c r="F492" s="1"/>
      <c r="P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142"/>
    </row>
    <row r="493" ht="17.25" customHeight="1">
      <c r="A493" s="1"/>
      <c r="B493" s="1"/>
      <c r="C493" s="1"/>
      <c r="D493" s="1"/>
      <c r="E493" s="1"/>
      <c r="F493" s="1"/>
      <c r="P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142"/>
    </row>
    <row r="494" ht="17.25" customHeight="1">
      <c r="A494" s="1"/>
      <c r="B494" s="1"/>
      <c r="C494" s="1"/>
      <c r="D494" s="1"/>
      <c r="E494" s="1"/>
      <c r="F494" s="1"/>
      <c r="P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142"/>
    </row>
    <row r="495" ht="17.25" customHeight="1">
      <c r="A495" s="1"/>
      <c r="B495" s="1"/>
      <c r="C495" s="1"/>
      <c r="D495" s="1"/>
      <c r="E495" s="1"/>
      <c r="F495" s="1"/>
      <c r="P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142"/>
    </row>
    <row r="496" ht="17.25" customHeight="1">
      <c r="A496" s="1"/>
      <c r="B496" s="1"/>
      <c r="C496" s="1"/>
      <c r="D496" s="1"/>
      <c r="E496" s="1"/>
      <c r="F496" s="1"/>
      <c r="P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142"/>
    </row>
    <row r="497" ht="17.25" customHeight="1">
      <c r="A497" s="1"/>
      <c r="B497" s="1"/>
      <c r="C497" s="1"/>
      <c r="D497" s="1"/>
      <c r="E497" s="1"/>
      <c r="F497" s="1"/>
      <c r="P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142"/>
    </row>
    <row r="498" ht="17.25" customHeight="1">
      <c r="A498" s="1"/>
      <c r="B498" s="1"/>
      <c r="C498" s="1"/>
      <c r="D498" s="1"/>
      <c r="E498" s="1"/>
      <c r="F498" s="1"/>
      <c r="P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142"/>
    </row>
    <row r="499" ht="17.25" customHeight="1">
      <c r="A499" s="1"/>
      <c r="B499" s="1"/>
      <c r="C499" s="1"/>
      <c r="D499" s="1"/>
      <c r="E499" s="1"/>
      <c r="F499" s="1"/>
      <c r="P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142"/>
    </row>
    <row r="500" ht="17.25" customHeight="1">
      <c r="A500" s="1"/>
      <c r="B500" s="1"/>
      <c r="C500" s="1"/>
      <c r="D500" s="1"/>
      <c r="E500" s="1"/>
      <c r="F500" s="1"/>
      <c r="P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142"/>
    </row>
    <row r="501" ht="17.25" customHeight="1">
      <c r="A501" s="1"/>
      <c r="B501" s="1"/>
      <c r="C501" s="1"/>
      <c r="D501" s="1"/>
      <c r="E501" s="1"/>
      <c r="F501" s="1"/>
      <c r="P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142"/>
    </row>
    <row r="502" ht="17.25" customHeight="1">
      <c r="A502" s="1"/>
      <c r="B502" s="1"/>
      <c r="C502" s="1"/>
      <c r="D502" s="1"/>
      <c r="E502" s="1"/>
      <c r="F502" s="1"/>
      <c r="P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142"/>
    </row>
    <row r="503" ht="17.25" customHeight="1">
      <c r="A503" s="1"/>
      <c r="B503" s="1"/>
      <c r="C503" s="1"/>
      <c r="D503" s="1"/>
      <c r="E503" s="1"/>
      <c r="F503" s="1"/>
      <c r="P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142"/>
    </row>
    <row r="504" ht="17.25" customHeight="1">
      <c r="A504" s="1"/>
      <c r="B504" s="1"/>
      <c r="C504" s="1"/>
      <c r="D504" s="1"/>
      <c r="E504" s="1"/>
      <c r="F504" s="1"/>
      <c r="P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142"/>
    </row>
    <row r="505" ht="17.25" customHeight="1">
      <c r="A505" s="1"/>
      <c r="B505" s="1"/>
      <c r="C505" s="1"/>
      <c r="D505" s="1"/>
      <c r="E505" s="1"/>
      <c r="F505" s="1"/>
      <c r="P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142"/>
    </row>
    <row r="506" ht="17.25" customHeight="1">
      <c r="A506" s="1"/>
      <c r="B506" s="1"/>
      <c r="C506" s="1"/>
      <c r="D506" s="1"/>
      <c r="E506" s="1"/>
      <c r="F506" s="1"/>
      <c r="P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142"/>
    </row>
    <row r="507" ht="17.25" customHeight="1">
      <c r="A507" s="1"/>
      <c r="B507" s="1"/>
      <c r="C507" s="1"/>
      <c r="D507" s="1"/>
      <c r="E507" s="1"/>
      <c r="F507" s="1"/>
      <c r="P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142"/>
    </row>
    <row r="508" ht="17.25" customHeight="1">
      <c r="A508" s="1"/>
      <c r="B508" s="1"/>
      <c r="C508" s="1"/>
      <c r="D508" s="1"/>
      <c r="E508" s="1"/>
      <c r="F508" s="1"/>
      <c r="P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142"/>
    </row>
    <row r="509" ht="17.25" customHeight="1">
      <c r="A509" s="1"/>
      <c r="B509" s="1"/>
      <c r="C509" s="1"/>
      <c r="D509" s="1"/>
      <c r="E509" s="1"/>
      <c r="F509" s="1"/>
      <c r="P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142"/>
    </row>
    <row r="510" ht="17.25" customHeight="1">
      <c r="A510" s="1"/>
      <c r="B510" s="1"/>
      <c r="C510" s="1"/>
      <c r="D510" s="1"/>
      <c r="E510" s="1"/>
      <c r="F510" s="1"/>
      <c r="P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142"/>
    </row>
    <row r="511" ht="17.25" customHeight="1">
      <c r="A511" s="1"/>
      <c r="B511" s="1"/>
      <c r="C511" s="1"/>
      <c r="D511" s="1"/>
      <c r="E511" s="1"/>
      <c r="F511" s="1"/>
      <c r="P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142"/>
    </row>
    <row r="512" ht="17.25" customHeight="1">
      <c r="A512" s="1"/>
      <c r="B512" s="1"/>
      <c r="C512" s="1"/>
      <c r="D512" s="1"/>
      <c r="E512" s="1"/>
      <c r="F512" s="1"/>
      <c r="P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142"/>
    </row>
    <row r="513" ht="17.25" customHeight="1">
      <c r="A513" s="1"/>
      <c r="B513" s="1"/>
      <c r="C513" s="1"/>
      <c r="D513" s="1"/>
      <c r="E513" s="1"/>
      <c r="F513" s="1"/>
      <c r="P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142"/>
    </row>
    <row r="514" ht="17.25" customHeight="1">
      <c r="A514" s="1"/>
      <c r="B514" s="1"/>
      <c r="C514" s="1"/>
      <c r="D514" s="1"/>
      <c r="E514" s="1"/>
      <c r="F514" s="1"/>
      <c r="P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142"/>
    </row>
    <row r="515" ht="17.25" customHeight="1">
      <c r="A515" s="1"/>
      <c r="B515" s="1"/>
      <c r="C515" s="1"/>
      <c r="D515" s="1"/>
      <c r="E515" s="1"/>
      <c r="F515" s="1"/>
      <c r="P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142"/>
    </row>
    <row r="516" ht="17.25" customHeight="1">
      <c r="A516" s="1"/>
      <c r="B516" s="1"/>
      <c r="C516" s="1"/>
      <c r="D516" s="1"/>
      <c r="E516" s="1"/>
      <c r="F516" s="1"/>
      <c r="P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142"/>
    </row>
    <row r="517" ht="17.25" customHeight="1">
      <c r="A517" s="1"/>
      <c r="B517" s="1"/>
      <c r="C517" s="1"/>
      <c r="D517" s="1"/>
      <c r="E517" s="1"/>
      <c r="F517" s="1"/>
      <c r="P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142"/>
    </row>
    <row r="518" ht="17.25" customHeight="1">
      <c r="A518" s="1"/>
      <c r="B518" s="1"/>
      <c r="C518" s="1"/>
      <c r="D518" s="1"/>
      <c r="E518" s="1"/>
      <c r="F518" s="1"/>
      <c r="P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142"/>
    </row>
    <row r="519" ht="17.25" customHeight="1">
      <c r="A519" s="1"/>
      <c r="B519" s="1"/>
      <c r="C519" s="1"/>
      <c r="D519" s="1"/>
      <c r="E519" s="1"/>
      <c r="F519" s="1"/>
      <c r="P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142"/>
    </row>
    <row r="520" ht="17.25" customHeight="1">
      <c r="A520" s="1"/>
      <c r="B520" s="1"/>
      <c r="C520" s="1"/>
      <c r="D520" s="1"/>
      <c r="E520" s="1"/>
      <c r="F520" s="1"/>
      <c r="P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142"/>
    </row>
    <row r="521" ht="17.25" customHeight="1">
      <c r="A521" s="1"/>
      <c r="B521" s="1"/>
      <c r="C521" s="1"/>
      <c r="D521" s="1"/>
      <c r="E521" s="1"/>
      <c r="F521" s="1"/>
      <c r="P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142"/>
    </row>
    <row r="522" ht="17.25" customHeight="1">
      <c r="A522" s="1"/>
      <c r="B522" s="1"/>
      <c r="C522" s="1"/>
      <c r="D522" s="1"/>
      <c r="E522" s="1"/>
      <c r="F522" s="1"/>
      <c r="P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142"/>
    </row>
    <row r="523" ht="17.25" customHeight="1">
      <c r="A523" s="1"/>
      <c r="B523" s="1"/>
      <c r="C523" s="1"/>
      <c r="D523" s="1"/>
      <c r="E523" s="1"/>
      <c r="F523" s="1"/>
      <c r="P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142"/>
    </row>
    <row r="524" ht="17.25" customHeight="1">
      <c r="A524" s="1"/>
      <c r="B524" s="1"/>
      <c r="C524" s="1"/>
      <c r="D524" s="1"/>
      <c r="E524" s="1"/>
      <c r="F524" s="1"/>
      <c r="P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142"/>
    </row>
    <row r="525" ht="17.25" customHeight="1">
      <c r="A525" s="1"/>
      <c r="B525" s="1"/>
      <c r="C525" s="1"/>
      <c r="D525" s="1"/>
      <c r="E525" s="1"/>
      <c r="F525" s="1"/>
      <c r="P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142"/>
    </row>
    <row r="526" ht="17.25" customHeight="1">
      <c r="A526" s="1"/>
      <c r="B526" s="1"/>
      <c r="C526" s="1"/>
      <c r="D526" s="1"/>
      <c r="E526" s="1"/>
      <c r="F526" s="1"/>
      <c r="P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142"/>
    </row>
    <row r="527" ht="17.25" customHeight="1">
      <c r="A527" s="1"/>
      <c r="B527" s="1"/>
      <c r="C527" s="1"/>
      <c r="D527" s="1"/>
      <c r="E527" s="1"/>
      <c r="F527" s="1"/>
      <c r="P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142"/>
    </row>
    <row r="528" ht="17.25" customHeight="1">
      <c r="A528" s="1"/>
      <c r="B528" s="1"/>
      <c r="C528" s="1"/>
      <c r="D528" s="1"/>
      <c r="E528" s="1"/>
      <c r="F528" s="1"/>
      <c r="P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142"/>
    </row>
    <row r="529" ht="17.25" customHeight="1">
      <c r="A529" s="1"/>
      <c r="B529" s="1"/>
      <c r="C529" s="1"/>
      <c r="D529" s="1"/>
      <c r="E529" s="1"/>
      <c r="F529" s="1"/>
      <c r="P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142"/>
    </row>
    <row r="530" ht="17.25" customHeight="1">
      <c r="A530" s="1"/>
      <c r="B530" s="1"/>
      <c r="C530" s="1"/>
      <c r="D530" s="1"/>
      <c r="E530" s="1"/>
      <c r="F530" s="1"/>
      <c r="P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142"/>
    </row>
    <row r="531" ht="17.25" customHeight="1">
      <c r="A531" s="1"/>
      <c r="B531" s="1"/>
      <c r="C531" s="1"/>
      <c r="D531" s="1"/>
      <c r="E531" s="1"/>
      <c r="F531" s="1"/>
      <c r="P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142"/>
    </row>
    <row r="532" ht="17.25" customHeight="1">
      <c r="A532" s="1"/>
      <c r="B532" s="1"/>
      <c r="C532" s="1"/>
      <c r="D532" s="1"/>
      <c r="E532" s="1"/>
      <c r="F532" s="1"/>
      <c r="P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142"/>
    </row>
    <row r="533" ht="17.25" customHeight="1">
      <c r="A533" s="1"/>
      <c r="B533" s="1"/>
      <c r="C533" s="1"/>
      <c r="D533" s="1"/>
      <c r="E533" s="1"/>
      <c r="F533" s="1"/>
      <c r="P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142"/>
    </row>
    <row r="534" ht="17.25" customHeight="1">
      <c r="A534" s="1"/>
      <c r="B534" s="1"/>
      <c r="C534" s="1"/>
      <c r="D534" s="1"/>
      <c r="E534" s="1"/>
      <c r="F534" s="1"/>
      <c r="P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142"/>
    </row>
    <row r="535" ht="17.25" customHeight="1">
      <c r="A535" s="1"/>
      <c r="B535" s="1"/>
      <c r="C535" s="1"/>
      <c r="D535" s="1"/>
      <c r="E535" s="1"/>
      <c r="F535" s="1"/>
      <c r="P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142"/>
    </row>
    <row r="536" ht="17.25" customHeight="1">
      <c r="A536" s="1"/>
      <c r="B536" s="1"/>
      <c r="C536" s="1"/>
      <c r="D536" s="1"/>
      <c r="E536" s="1"/>
      <c r="F536" s="1"/>
      <c r="P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142"/>
    </row>
    <row r="537" ht="17.25" customHeight="1">
      <c r="A537" s="1"/>
      <c r="B537" s="1"/>
      <c r="C537" s="1"/>
      <c r="D537" s="1"/>
      <c r="E537" s="1"/>
      <c r="F537" s="1"/>
      <c r="P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142"/>
    </row>
    <row r="538" ht="17.25" customHeight="1">
      <c r="A538" s="1"/>
      <c r="B538" s="1"/>
      <c r="C538" s="1"/>
      <c r="D538" s="1"/>
      <c r="E538" s="1"/>
      <c r="F538" s="1"/>
      <c r="P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142"/>
    </row>
    <row r="539" ht="17.25" customHeight="1">
      <c r="A539" s="1"/>
      <c r="B539" s="1"/>
      <c r="C539" s="1"/>
      <c r="D539" s="1"/>
      <c r="E539" s="1"/>
      <c r="F539" s="1"/>
      <c r="P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142"/>
    </row>
    <row r="540" ht="17.25" customHeight="1">
      <c r="A540" s="1"/>
      <c r="B540" s="1"/>
      <c r="C540" s="1"/>
      <c r="D540" s="1"/>
      <c r="E540" s="1"/>
      <c r="F540" s="1"/>
      <c r="P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142"/>
    </row>
    <row r="541" ht="17.25" customHeight="1">
      <c r="A541" s="1"/>
      <c r="B541" s="1"/>
      <c r="C541" s="1"/>
      <c r="D541" s="1"/>
      <c r="E541" s="1"/>
      <c r="F541" s="1"/>
      <c r="P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142"/>
    </row>
    <row r="542" ht="17.25" customHeight="1">
      <c r="A542" s="1"/>
      <c r="B542" s="1"/>
      <c r="C542" s="1"/>
      <c r="D542" s="1"/>
      <c r="E542" s="1"/>
      <c r="F542" s="1"/>
      <c r="P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142"/>
    </row>
    <row r="543" ht="17.25" customHeight="1">
      <c r="A543" s="1"/>
      <c r="B543" s="1"/>
      <c r="C543" s="1"/>
      <c r="D543" s="1"/>
      <c r="E543" s="1"/>
      <c r="F543" s="1"/>
      <c r="P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142"/>
    </row>
    <row r="544" ht="17.25" customHeight="1">
      <c r="A544" s="1"/>
      <c r="B544" s="1"/>
      <c r="C544" s="1"/>
      <c r="D544" s="1"/>
      <c r="E544" s="1"/>
      <c r="F544" s="1"/>
      <c r="P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142"/>
    </row>
    <row r="545" ht="17.25" customHeight="1">
      <c r="A545" s="1"/>
      <c r="B545" s="1"/>
      <c r="C545" s="1"/>
      <c r="D545" s="1"/>
      <c r="E545" s="1"/>
      <c r="F545" s="1"/>
      <c r="P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142"/>
    </row>
    <row r="546" ht="17.25" customHeight="1">
      <c r="A546" s="1"/>
      <c r="B546" s="1"/>
      <c r="C546" s="1"/>
      <c r="D546" s="1"/>
      <c r="E546" s="1"/>
      <c r="F546" s="1"/>
      <c r="P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142"/>
    </row>
    <row r="547" ht="17.25" customHeight="1">
      <c r="A547" s="1"/>
      <c r="B547" s="1"/>
      <c r="C547" s="1"/>
      <c r="D547" s="1"/>
      <c r="E547" s="1"/>
      <c r="F547" s="1"/>
      <c r="P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142"/>
    </row>
    <row r="548" ht="17.25" customHeight="1">
      <c r="A548" s="1"/>
      <c r="B548" s="1"/>
      <c r="C548" s="1"/>
      <c r="D548" s="1"/>
      <c r="E548" s="1"/>
      <c r="F548" s="1"/>
      <c r="P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142"/>
    </row>
    <row r="549" ht="17.25" customHeight="1">
      <c r="A549" s="1"/>
      <c r="B549" s="1"/>
      <c r="C549" s="1"/>
      <c r="D549" s="1"/>
      <c r="E549" s="1"/>
      <c r="F549" s="1"/>
      <c r="P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142"/>
    </row>
    <row r="550" ht="17.25" customHeight="1">
      <c r="A550" s="1"/>
      <c r="B550" s="1"/>
      <c r="C550" s="1"/>
      <c r="D550" s="1"/>
      <c r="E550" s="1"/>
      <c r="F550" s="1"/>
      <c r="P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142"/>
    </row>
    <row r="551" ht="17.25" customHeight="1">
      <c r="A551" s="1"/>
      <c r="B551" s="1"/>
      <c r="C551" s="1"/>
      <c r="D551" s="1"/>
      <c r="E551" s="1"/>
      <c r="F551" s="1"/>
      <c r="P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142"/>
    </row>
    <row r="552" ht="17.25" customHeight="1">
      <c r="A552" s="1"/>
      <c r="B552" s="1"/>
      <c r="C552" s="1"/>
      <c r="D552" s="1"/>
      <c r="E552" s="1"/>
      <c r="F552" s="1"/>
      <c r="P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142"/>
    </row>
    <row r="553" ht="17.25" customHeight="1">
      <c r="A553" s="1"/>
      <c r="B553" s="1"/>
      <c r="C553" s="1"/>
      <c r="D553" s="1"/>
      <c r="E553" s="1"/>
      <c r="F553" s="1"/>
      <c r="P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142"/>
    </row>
    <row r="554" ht="17.25" customHeight="1">
      <c r="A554" s="1"/>
      <c r="B554" s="1"/>
      <c r="C554" s="1"/>
      <c r="D554" s="1"/>
      <c r="E554" s="1"/>
      <c r="F554" s="1"/>
      <c r="P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142"/>
    </row>
    <row r="555" ht="17.25" customHeight="1">
      <c r="A555" s="1"/>
      <c r="B555" s="1"/>
      <c r="C555" s="1"/>
      <c r="D555" s="1"/>
      <c r="E555" s="1"/>
      <c r="F555" s="1"/>
      <c r="P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142"/>
    </row>
    <row r="556" ht="17.25" customHeight="1">
      <c r="A556" s="1"/>
      <c r="B556" s="1"/>
      <c r="C556" s="1"/>
      <c r="D556" s="1"/>
      <c r="E556" s="1"/>
      <c r="F556" s="1"/>
      <c r="P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142"/>
    </row>
    <row r="557" ht="17.25" customHeight="1">
      <c r="A557" s="1"/>
      <c r="B557" s="1"/>
      <c r="C557" s="1"/>
      <c r="D557" s="1"/>
      <c r="E557" s="1"/>
      <c r="F557" s="1"/>
      <c r="P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142"/>
    </row>
    <row r="558" ht="17.25" customHeight="1">
      <c r="A558" s="1"/>
      <c r="B558" s="1"/>
      <c r="C558" s="1"/>
      <c r="D558" s="1"/>
      <c r="E558" s="1"/>
      <c r="F558" s="1"/>
      <c r="P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142"/>
    </row>
    <row r="559" ht="17.25" customHeight="1">
      <c r="A559" s="1"/>
      <c r="B559" s="1"/>
      <c r="C559" s="1"/>
      <c r="D559" s="1"/>
      <c r="E559" s="1"/>
      <c r="F559" s="1"/>
      <c r="P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142"/>
    </row>
    <row r="560" ht="17.25" customHeight="1">
      <c r="A560" s="1"/>
      <c r="B560" s="1"/>
      <c r="C560" s="1"/>
      <c r="D560" s="1"/>
      <c r="E560" s="1"/>
      <c r="F560" s="1"/>
      <c r="P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142"/>
    </row>
    <row r="561" ht="17.25" customHeight="1">
      <c r="A561" s="1"/>
      <c r="B561" s="1"/>
      <c r="C561" s="1"/>
      <c r="D561" s="1"/>
      <c r="E561" s="1"/>
      <c r="F561" s="1"/>
      <c r="P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142"/>
    </row>
    <row r="562" ht="17.25" customHeight="1">
      <c r="A562" s="1"/>
      <c r="B562" s="1"/>
      <c r="C562" s="1"/>
      <c r="D562" s="1"/>
      <c r="E562" s="1"/>
      <c r="F562" s="1"/>
      <c r="P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142"/>
    </row>
    <row r="563" ht="17.25" customHeight="1">
      <c r="A563" s="1"/>
      <c r="B563" s="1"/>
      <c r="C563" s="1"/>
      <c r="D563" s="1"/>
      <c r="E563" s="1"/>
      <c r="F563" s="1"/>
      <c r="P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142"/>
    </row>
    <row r="564" ht="17.25" customHeight="1">
      <c r="A564" s="1"/>
      <c r="B564" s="1"/>
      <c r="C564" s="1"/>
      <c r="D564" s="1"/>
      <c r="E564" s="1"/>
      <c r="F564" s="1"/>
      <c r="P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142"/>
    </row>
    <row r="565" ht="17.25" customHeight="1">
      <c r="A565" s="1"/>
      <c r="B565" s="1"/>
      <c r="C565" s="1"/>
      <c r="D565" s="1"/>
      <c r="E565" s="1"/>
      <c r="F565" s="1"/>
      <c r="P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142"/>
    </row>
    <row r="566" ht="17.25" customHeight="1">
      <c r="A566" s="1"/>
      <c r="B566" s="1"/>
      <c r="C566" s="1"/>
      <c r="D566" s="1"/>
      <c r="E566" s="1"/>
      <c r="F566" s="1"/>
      <c r="P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142"/>
    </row>
    <row r="567" ht="17.25" customHeight="1">
      <c r="A567" s="1"/>
      <c r="B567" s="1"/>
      <c r="C567" s="1"/>
      <c r="D567" s="1"/>
      <c r="E567" s="1"/>
      <c r="F567" s="1"/>
      <c r="P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142"/>
    </row>
    <row r="568" ht="17.25" customHeight="1">
      <c r="A568" s="1"/>
      <c r="B568" s="1"/>
      <c r="C568" s="1"/>
      <c r="D568" s="1"/>
      <c r="E568" s="1"/>
      <c r="F568" s="1"/>
      <c r="P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142"/>
    </row>
    <row r="569" ht="17.25" customHeight="1">
      <c r="A569" s="1"/>
      <c r="B569" s="1"/>
      <c r="C569" s="1"/>
      <c r="D569" s="1"/>
      <c r="E569" s="1"/>
      <c r="F569" s="1"/>
      <c r="P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142"/>
    </row>
    <row r="570" ht="17.25" customHeight="1">
      <c r="A570" s="1"/>
      <c r="B570" s="1"/>
      <c r="C570" s="1"/>
      <c r="D570" s="1"/>
      <c r="E570" s="1"/>
      <c r="F570" s="1"/>
      <c r="P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142"/>
    </row>
    <row r="571" ht="17.25" customHeight="1">
      <c r="A571" s="1"/>
      <c r="B571" s="1"/>
      <c r="C571" s="1"/>
      <c r="D571" s="1"/>
      <c r="E571" s="1"/>
      <c r="F571" s="1"/>
      <c r="P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142"/>
    </row>
    <row r="572" ht="17.25" customHeight="1">
      <c r="A572" s="1"/>
      <c r="B572" s="1"/>
      <c r="C572" s="1"/>
      <c r="D572" s="1"/>
      <c r="E572" s="1"/>
      <c r="F572" s="1"/>
      <c r="P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142"/>
    </row>
    <row r="573" ht="17.25" customHeight="1">
      <c r="A573" s="1"/>
      <c r="B573" s="1"/>
      <c r="C573" s="1"/>
      <c r="D573" s="1"/>
      <c r="E573" s="1"/>
      <c r="F573" s="1"/>
      <c r="P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142"/>
    </row>
    <row r="574" ht="17.25" customHeight="1">
      <c r="A574" s="1"/>
      <c r="B574" s="1"/>
      <c r="C574" s="1"/>
      <c r="D574" s="1"/>
      <c r="E574" s="1"/>
      <c r="F574" s="1"/>
      <c r="P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142"/>
    </row>
    <row r="575" ht="17.25" customHeight="1">
      <c r="A575" s="1"/>
      <c r="B575" s="1"/>
      <c r="C575" s="1"/>
      <c r="D575" s="1"/>
      <c r="E575" s="1"/>
      <c r="F575" s="1"/>
      <c r="P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142"/>
    </row>
    <row r="576" ht="17.25" customHeight="1">
      <c r="A576" s="1"/>
      <c r="B576" s="1"/>
      <c r="C576" s="1"/>
      <c r="D576" s="1"/>
      <c r="E576" s="1"/>
      <c r="F576" s="1"/>
      <c r="P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142"/>
    </row>
    <row r="577" ht="17.25" customHeight="1">
      <c r="A577" s="1"/>
      <c r="B577" s="1"/>
      <c r="C577" s="1"/>
      <c r="D577" s="1"/>
      <c r="E577" s="1"/>
      <c r="F577" s="1"/>
      <c r="P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142"/>
    </row>
    <row r="578" ht="17.25" customHeight="1">
      <c r="A578" s="1"/>
      <c r="B578" s="1"/>
      <c r="C578" s="1"/>
      <c r="D578" s="1"/>
      <c r="E578" s="1"/>
      <c r="F578" s="1"/>
      <c r="P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142"/>
    </row>
    <row r="579" ht="17.25" customHeight="1">
      <c r="A579" s="1"/>
      <c r="B579" s="1"/>
      <c r="C579" s="1"/>
      <c r="D579" s="1"/>
      <c r="E579" s="1"/>
      <c r="F579" s="1"/>
      <c r="P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142"/>
    </row>
    <row r="580" ht="17.25" customHeight="1">
      <c r="A580" s="1"/>
      <c r="B580" s="1"/>
      <c r="C580" s="1"/>
      <c r="D580" s="1"/>
      <c r="E580" s="1"/>
      <c r="F580" s="1"/>
      <c r="P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142"/>
    </row>
    <row r="581" ht="17.25" customHeight="1">
      <c r="A581" s="1"/>
      <c r="B581" s="1"/>
      <c r="C581" s="1"/>
      <c r="D581" s="1"/>
      <c r="E581" s="1"/>
      <c r="F581" s="1"/>
      <c r="P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142"/>
    </row>
    <row r="582" ht="17.25" customHeight="1">
      <c r="A582" s="1"/>
      <c r="B582" s="1"/>
      <c r="C582" s="1"/>
      <c r="D582" s="1"/>
      <c r="E582" s="1"/>
      <c r="F582" s="1"/>
      <c r="P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142"/>
    </row>
    <row r="583" ht="17.25" customHeight="1">
      <c r="A583" s="1"/>
      <c r="B583" s="1"/>
      <c r="C583" s="1"/>
      <c r="D583" s="1"/>
      <c r="E583" s="1"/>
      <c r="F583" s="1"/>
      <c r="P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142"/>
    </row>
    <row r="584" ht="17.25" customHeight="1">
      <c r="A584" s="1"/>
      <c r="B584" s="1"/>
      <c r="C584" s="1"/>
      <c r="D584" s="1"/>
      <c r="E584" s="1"/>
      <c r="F584" s="1"/>
      <c r="P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142"/>
    </row>
    <row r="585" ht="17.25" customHeight="1">
      <c r="A585" s="1"/>
      <c r="B585" s="1"/>
      <c r="C585" s="1"/>
      <c r="D585" s="1"/>
      <c r="E585" s="1"/>
      <c r="F585" s="1"/>
      <c r="P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142"/>
    </row>
    <row r="586" ht="17.25" customHeight="1">
      <c r="A586" s="1"/>
      <c r="B586" s="1"/>
      <c r="C586" s="1"/>
      <c r="D586" s="1"/>
      <c r="E586" s="1"/>
      <c r="F586" s="1"/>
      <c r="P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142"/>
    </row>
    <row r="587" ht="17.25" customHeight="1">
      <c r="A587" s="1"/>
      <c r="B587" s="1"/>
      <c r="C587" s="1"/>
      <c r="D587" s="1"/>
      <c r="E587" s="1"/>
      <c r="F587" s="1"/>
      <c r="P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142"/>
    </row>
    <row r="588" ht="17.25" customHeight="1">
      <c r="A588" s="1"/>
      <c r="B588" s="1"/>
      <c r="C588" s="1"/>
      <c r="D588" s="1"/>
      <c r="E588" s="1"/>
      <c r="F588" s="1"/>
      <c r="P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142"/>
    </row>
    <row r="589" ht="17.25" customHeight="1">
      <c r="A589" s="1"/>
      <c r="B589" s="1"/>
      <c r="C589" s="1"/>
      <c r="D589" s="1"/>
      <c r="E589" s="1"/>
      <c r="F589" s="1"/>
      <c r="P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142"/>
    </row>
    <row r="590" ht="17.25" customHeight="1">
      <c r="A590" s="1"/>
      <c r="B590" s="1"/>
      <c r="C590" s="1"/>
      <c r="D590" s="1"/>
      <c r="E590" s="1"/>
      <c r="F590" s="1"/>
      <c r="P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142"/>
    </row>
    <row r="591" ht="17.25" customHeight="1">
      <c r="A591" s="1"/>
      <c r="B591" s="1"/>
      <c r="C591" s="1"/>
      <c r="D591" s="1"/>
      <c r="E591" s="1"/>
      <c r="F591" s="1"/>
      <c r="P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142"/>
    </row>
    <row r="592" ht="17.25" customHeight="1">
      <c r="A592" s="1"/>
      <c r="B592" s="1"/>
      <c r="C592" s="1"/>
      <c r="D592" s="1"/>
      <c r="E592" s="1"/>
      <c r="F592" s="1"/>
      <c r="P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142"/>
    </row>
    <row r="593" ht="17.25" customHeight="1">
      <c r="A593" s="1"/>
      <c r="B593" s="1"/>
      <c r="C593" s="1"/>
      <c r="D593" s="1"/>
      <c r="E593" s="1"/>
      <c r="F593" s="1"/>
      <c r="P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142"/>
    </row>
    <row r="594" ht="17.25" customHeight="1">
      <c r="A594" s="1"/>
      <c r="B594" s="1"/>
      <c r="C594" s="1"/>
      <c r="D594" s="1"/>
      <c r="E594" s="1"/>
      <c r="F594" s="1"/>
      <c r="P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142"/>
    </row>
    <row r="595" ht="17.25" customHeight="1">
      <c r="A595" s="1"/>
      <c r="B595" s="1"/>
      <c r="C595" s="1"/>
      <c r="D595" s="1"/>
      <c r="E595" s="1"/>
      <c r="F595" s="1"/>
      <c r="P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142"/>
    </row>
    <row r="596" ht="17.25" customHeight="1">
      <c r="A596" s="1"/>
      <c r="B596" s="1"/>
      <c r="C596" s="1"/>
      <c r="D596" s="1"/>
      <c r="E596" s="1"/>
      <c r="F596" s="1"/>
      <c r="P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142"/>
    </row>
    <row r="597" ht="17.25" customHeight="1">
      <c r="A597" s="1"/>
      <c r="B597" s="1"/>
      <c r="C597" s="1"/>
      <c r="D597" s="1"/>
      <c r="E597" s="1"/>
      <c r="F597" s="1"/>
      <c r="P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142"/>
    </row>
    <row r="598" ht="17.25" customHeight="1">
      <c r="A598" s="1"/>
      <c r="B598" s="1"/>
      <c r="C598" s="1"/>
      <c r="D598" s="1"/>
      <c r="E598" s="1"/>
      <c r="F598" s="1"/>
      <c r="P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142"/>
    </row>
    <row r="599" ht="17.25" customHeight="1">
      <c r="A599" s="1"/>
      <c r="B599" s="1"/>
      <c r="C599" s="1"/>
      <c r="D599" s="1"/>
      <c r="E599" s="1"/>
      <c r="F599" s="1"/>
      <c r="P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142"/>
    </row>
    <row r="600" ht="17.25" customHeight="1">
      <c r="A600" s="1"/>
      <c r="B600" s="1"/>
      <c r="C600" s="1"/>
      <c r="D600" s="1"/>
      <c r="E600" s="1"/>
      <c r="F600" s="1"/>
      <c r="P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142"/>
    </row>
    <row r="601" ht="17.25" customHeight="1">
      <c r="A601" s="1"/>
      <c r="B601" s="1"/>
      <c r="C601" s="1"/>
      <c r="D601" s="1"/>
      <c r="E601" s="1"/>
      <c r="F601" s="1"/>
      <c r="P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142"/>
    </row>
    <row r="602" ht="17.25" customHeight="1">
      <c r="A602" s="1"/>
      <c r="B602" s="1"/>
      <c r="C602" s="1"/>
      <c r="D602" s="1"/>
      <c r="E602" s="1"/>
      <c r="F602" s="1"/>
      <c r="P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142"/>
    </row>
    <row r="603" ht="17.25" customHeight="1">
      <c r="A603" s="1"/>
      <c r="B603" s="1"/>
      <c r="C603" s="1"/>
      <c r="D603" s="1"/>
      <c r="E603" s="1"/>
      <c r="F603" s="1"/>
      <c r="P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142"/>
    </row>
    <row r="604" ht="17.25" customHeight="1">
      <c r="A604" s="1"/>
      <c r="B604" s="1"/>
      <c r="C604" s="1"/>
      <c r="D604" s="1"/>
      <c r="E604" s="1"/>
      <c r="F604" s="1"/>
      <c r="P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142"/>
    </row>
    <row r="605" ht="17.25" customHeight="1">
      <c r="A605" s="1"/>
      <c r="B605" s="1"/>
      <c r="C605" s="1"/>
      <c r="D605" s="1"/>
      <c r="E605" s="1"/>
      <c r="F605" s="1"/>
      <c r="P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142"/>
    </row>
    <row r="606" ht="17.25" customHeight="1">
      <c r="A606" s="1"/>
      <c r="B606" s="1"/>
      <c r="C606" s="1"/>
      <c r="D606" s="1"/>
      <c r="E606" s="1"/>
      <c r="F606" s="1"/>
      <c r="P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142"/>
    </row>
    <row r="607" ht="17.25" customHeight="1">
      <c r="A607" s="1"/>
      <c r="B607" s="1"/>
      <c r="C607" s="1"/>
      <c r="D607" s="1"/>
      <c r="E607" s="1"/>
      <c r="F607" s="1"/>
      <c r="P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142"/>
    </row>
    <row r="608" ht="17.25" customHeight="1">
      <c r="A608" s="1"/>
      <c r="B608" s="1"/>
      <c r="C608" s="1"/>
      <c r="D608" s="1"/>
      <c r="E608" s="1"/>
      <c r="F608" s="1"/>
      <c r="P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142"/>
    </row>
    <row r="609" ht="17.25" customHeight="1">
      <c r="A609" s="1"/>
      <c r="B609" s="1"/>
      <c r="C609" s="1"/>
      <c r="D609" s="1"/>
      <c r="E609" s="1"/>
      <c r="F609" s="1"/>
      <c r="P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142"/>
    </row>
    <row r="610" ht="17.25" customHeight="1">
      <c r="A610" s="1"/>
      <c r="B610" s="1"/>
      <c r="C610" s="1"/>
      <c r="D610" s="1"/>
      <c r="E610" s="1"/>
      <c r="F610" s="1"/>
      <c r="P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142"/>
    </row>
    <row r="611" ht="17.25" customHeight="1">
      <c r="A611" s="1"/>
      <c r="B611" s="1"/>
      <c r="C611" s="1"/>
      <c r="D611" s="1"/>
      <c r="E611" s="1"/>
      <c r="F611" s="1"/>
      <c r="P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142"/>
    </row>
    <row r="612" ht="17.25" customHeight="1">
      <c r="A612" s="1"/>
      <c r="B612" s="1"/>
      <c r="C612" s="1"/>
      <c r="D612" s="1"/>
      <c r="E612" s="1"/>
      <c r="F612" s="1"/>
      <c r="P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142"/>
    </row>
    <row r="613" ht="17.25" customHeight="1">
      <c r="A613" s="1"/>
      <c r="B613" s="1"/>
      <c r="C613" s="1"/>
      <c r="D613" s="1"/>
      <c r="E613" s="1"/>
      <c r="F613" s="1"/>
      <c r="P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142"/>
    </row>
    <row r="614" ht="17.25" customHeight="1">
      <c r="A614" s="1"/>
      <c r="B614" s="1"/>
      <c r="C614" s="1"/>
      <c r="D614" s="1"/>
      <c r="E614" s="1"/>
      <c r="F614" s="1"/>
      <c r="P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142"/>
    </row>
    <row r="615" ht="17.25" customHeight="1">
      <c r="A615" s="1"/>
      <c r="B615" s="1"/>
      <c r="C615" s="1"/>
      <c r="D615" s="1"/>
      <c r="E615" s="1"/>
      <c r="F615" s="1"/>
      <c r="P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142"/>
    </row>
    <row r="616" ht="17.25" customHeight="1">
      <c r="A616" s="1"/>
      <c r="B616" s="1"/>
      <c r="C616" s="1"/>
      <c r="D616" s="1"/>
      <c r="E616" s="1"/>
      <c r="F616" s="1"/>
      <c r="P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142"/>
    </row>
    <row r="617" ht="17.25" customHeight="1">
      <c r="A617" s="1"/>
      <c r="B617" s="1"/>
      <c r="C617" s="1"/>
      <c r="D617" s="1"/>
      <c r="E617" s="1"/>
      <c r="F617" s="1"/>
      <c r="P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142"/>
    </row>
    <row r="618" ht="17.25" customHeight="1">
      <c r="A618" s="1"/>
      <c r="B618" s="1"/>
      <c r="C618" s="1"/>
      <c r="D618" s="1"/>
      <c r="E618" s="1"/>
      <c r="F618" s="1"/>
      <c r="P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142"/>
    </row>
    <row r="619" ht="17.25" customHeight="1">
      <c r="A619" s="1"/>
      <c r="B619" s="1"/>
      <c r="C619" s="1"/>
      <c r="D619" s="1"/>
      <c r="E619" s="1"/>
      <c r="F619" s="1"/>
      <c r="P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142"/>
    </row>
    <row r="620" ht="17.25" customHeight="1">
      <c r="A620" s="1"/>
      <c r="B620" s="1"/>
      <c r="C620" s="1"/>
      <c r="D620" s="1"/>
      <c r="E620" s="1"/>
      <c r="F620" s="1"/>
      <c r="P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142"/>
    </row>
    <row r="621" ht="17.25" customHeight="1">
      <c r="A621" s="1"/>
      <c r="B621" s="1"/>
      <c r="C621" s="1"/>
      <c r="D621" s="1"/>
      <c r="E621" s="1"/>
      <c r="F621" s="1"/>
      <c r="P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142"/>
    </row>
    <row r="622" ht="17.25" customHeight="1">
      <c r="A622" s="1"/>
      <c r="B622" s="1"/>
      <c r="C622" s="1"/>
      <c r="D622" s="1"/>
      <c r="E622" s="1"/>
      <c r="F622" s="1"/>
      <c r="P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142"/>
    </row>
    <row r="623" ht="17.25" customHeight="1">
      <c r="A623" s="1"/>
      <c r="B623" s="1"/>
      <c r="C623" s="1"/>
      <c r="D623" s="1"/>
      <c r="E623" s="1"/>
      <c r="F623" s="1"/>
      <c r="P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142"/>
    </row>
    <row r="624" ht="17.25" customHeight="1">
      <c r="A624" s="1"/>
      <c r="B624" s="1"/>
      <c r="C624" s="1"/>
      <c r="D624" s="1"/>
      <c r="E624" s="1"/>
      <c r="F624" s="1"/>
      <c r="P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142"/>
    </row>
    <row r="625" ht="17.25" customHeight="1">
      <c r="A625" s="1"/>
      <c r="B625" s="1"/>
      <c r="C625" s="1"/>
      <c r="D625" s="1"/>
      <c r="E625" s="1"/>
      <c r="F625" s="1"/>
      <c r="P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142"/>
    </row>
    <row r="626" ht="17.25" customHeight="1">
      <c r="A626" s="1"/>
      <c r="B626" s="1"/>
      <c r="C626" s="1"/>
      <c r="D626" s="1"/>
      <c r="E626" s="1"/>
      <c r="F626" s="1"/>
      <c r="P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142"/>
    </row>
    <row r="627" ht="17.25" customHeight="1">
      <c r="A627" s="1"/>
      <c r="B627" s="1"/>
      <c r="C627" s="1"/>
      <c r="D627" s="1"/>
      <c r="E627" s="1"/>
      <c r="F627" s="1"/>
      <c r="P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142"/>
    </row>
    <row r="628" ht="17.25" customHeight="1">
      <c r="A628" s="1"/>
      <c r="B628" s="1"/>
      <c r="C628" s="1"/>
      <c r="D628" s="1"/>
      <c r="E628" s="1"/>
      <c r="F628" s="1"/>
      <c r="P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142"/>
    </row>
    <row r="629" ht="17.25" customHeight="1">
      <c r="A629" s="1"/>
      <c r="B629" s="1"/>
      <c r="C629" s="1"/>
      <c r="D629" s="1"/>
      <c r="E629" s="1"/>
      <c r="F629" s="1"/>
      <c r="P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142"/>
    </row>
    <row r="630" ht="17.25" customHeight="1">
      <c r="A630" s="1"/>
      <c r="B630" s="1"/>
      <c r="C630" s="1"/>
      <c r="D630" s="1"/>
      <c r="E630" s="1"/>
      <c r="F630" s="1"/>
      <c r="P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142"/>
    </row>
    <row r="631" ht="17.25" customHeight="1">
      <c r="A631" s="1"/>
      <c r="B631" s="1"/>
      <c r="C631" s="1"/>
      <c r="D631" s="1"/>
      <c r="E631" s="1"/>
      <c r="F631" s="1"/>
      <c r="P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142"/>
    </row>
    <row r="632" ht="17.25" customHeight="1">
      <c r="A632" s="1"/>
      <c r="B632" s="1"/>
      <c r="C632" s="1"/>
      <c r="D632" s="1"/>
      <c r="E632" s="1"/>
      <c r="F632" s="1"/>
      <c r="P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142"/>
    </row>
    <row r="633" ht="17.25" customHeight="1">
      <c r="A633" s="1"/>
      <c r="B633" s="1"/>
      <c r="C633" s="1"/>
      <c r="D633" s="1"/>
      <c r="E633" s="1"/>
      <c r="F633" s="1"/>
      <c r="P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142"/>
    </row>
    <row r="634" ht="17.25" customHeight="1">
      <c r="A634" s="1"/>
      <c r="B634" s="1"/>
      <c r="C634" s="1"/>
      <c r="D634" s="1"/>
      <c r="E634" s="1"/>
      <c r="F634" s="1"/>
      <c r="P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142"/>
    </row>
    <row r="635" ht="17.25" customHeight="1">
      <c r="A635" s="1"/>
      <c r="B635" s="1"/>
      <c r="C635" s="1"/>
      <c r="D635" s="1"/>
      <c r="E635" s="1"/>
      <c r="F635" s="1"/>
      <c r="P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142"/>
    </row>
    <row r="636" ht="17.25" customHeight="1">
      <c r="A636" s="1"/>
      <c r="B636" s="1"/>
      <c r="C636" s="1"/>
      <c r="D636" s="1"/>
      <c r="E636" s="1"/>
      <c r="F636" s="1"/>
      <c r="P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142"/>
    </row>
    <row r="637" ht="17.25" customHeight="1">
      <c r="A637" s="1"/>
      <c r="B637" s="1"/>
      <c r="C637" s="1"/>
      <c r="D637" s="1"/>
      <c r="E637" s="1"/>
      <c r="F637" s="1"/>
      <c r="P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142"/>
    </row>
    <row r="638" ht="17.25" customHeight="1">
      <c r="A638" s="1"/>
      <c r="B638" s="1"/>
      <c r="C638" s="1"/>
      <c r="D638" s="1"/>
      <c r="E638" s="1"/>
      <c r="F638" s="1"/>
      <c r="P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142"/>
    </row>
    <row r="639" ht="17.25" customHeight="1">
      <c r="A639" s="1"/>
      <c r="B639" s="1"/>
      <c r="C639" s="1"/>
      <c r="D639" s="1"/>
      <c r="E639" s="1"/>
      <c r="F639" s="1"/>
      <c r="P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142"/>
    </row>
    <row r="640" ht="17.25" customHeight="1">
      <c r="A640" s="1"/>
      <c r="B640" s="1"/>
      <c r="C640" s="1"/>
      <c r="D640" s="1"/>
      <c r="E640" s="1"/>
      <c r="F640" s="1"/>
      <c r="P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142"/>
    </row>
    <row r="641" ht="17.25" customHeight="1">
      <c r="A641" s="1"/>
      <c r="B641" s="1"/>
      <c r="C641" s="1"/>
      <c r="D641" s="1"/>
      <c r="E641" s="1"/>
      <c r="F641" s="1"/>
      <c r="P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142"/>
    </row>
    <row r="642" ht="17.25" customHeight="1">
      <c r="A642" s="1"/>
      <c r="B642" s="1"/>
      <c r="C642" s="1"/>
      <c r="D642" s="1"/>
      <c r="E642" s="1"/>
      <c r="F642" s="1"/>
      <c r="P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142"/>
    </row>
    <row r="643" ht="17.25" customHeight="1">
      <c r="A643" s="1"/>
      <c r="B643" s="1"/>
      <c r="C643" s="1"/>
      <c r="D643" s="1"/>
      <c r="E643" s="1"/>
      <c r="F643" s="1"/>
      <c r="P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142"/>
    </row>
    <row r="644" ht="17.25" customHeight="1">
      <c r="A644" s="1"/>
      <c r="B644" s="1"/>
      <c r="C644" s="1"/>
      <c r="D644" s="1"/>
      <c r="E644" s="1"/>
      <c r="F644" s="1"/>
      <c r="P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142"/>
    </row>
    <row r="645" ht="17.25" customHeight="1">
      <c r="A645" s="1"/>
      <c r="B645" s="1"/>
      <c r="C645" s="1"/>
      <c r="D645" s="1"/>
      <c r="E645" s="1"/>
      <c r="F645" s="1"/>
      <c r="P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142"/>
    </row>
    <row r="646" ht="17.25" customHeight="1">
      <c r="A646" s="1"/>
      <c r="B646" s="1"/>
      <c r="C646" s="1"/>
      <c r="D646" s="1"/>
      <c r="E646" s="1"/>
      <c r="F646" s="1"/>
      <c r="P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142"/>
    </row>
    <row r="647" ht="17.25" customHeight="1">
      <c r="A647" s="1"/>
      <c r="B647" s="1"/>
      <c r="C647" s="1"/>
      <c r="D647" s="1"/>
      <c r="E647" s="1"/>
      <c r="F647" s="1"/>
      <c r="P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142"/>
    </row>
    <row r="648" ht="17.25" customHeight="1">
      <c r="A648" s="1"/>
      <c r="B648" s="1"/>
      <c r="C648" s="1"/>
      <c r="D648" s="1"/>
      <c r="E648" s="1"/>
      <c r="F648" s="1"/>
      <c r="P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142"/>
    </row>
    <row r="649" ht="17.25" customHeight="1">
      <c r="A649" s="1"/>
      <c r="B649" s="1"/>
      <c r="C649" s="1"/>
      <c r="D649" s="1"/>
      <c r="E649" s="1"/>
      <c r="F649" s="1"/>
      <c r="P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142"/>
    </row>
    <row r="650" ht="17.25" customHeight="1">
      <c r="A650" s="1"/>
      <c r="B650" s="1"/>
      <c r="C650" s="1"/>
      <c r="D650" s="1"/>
      <c r="E650" s="1"/>
      <c r="F650" s="1"/>
      <c r="P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142"/>
    </row>
    <row r="651" ht="17.25" customHeight="1">
      <c r="A651" s="1"/>
      <c r="B651" s="1"/>
      <c r="C651" s="1"/>
      <c r="D651" s="1"/>
      <c r="E651" s="1"/>
      <c r="F651" s="1"/>
      <c r="P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142"/>
    </row>
    <row r="652" ht="17.25" customHeight="1">
      <c r="A652" s="1"/>
      <c r="B652" s="1"/>
      <c r="C652" s="1"/>
      <c r="D652" s="1"/>
      <c r="E652" s="1"/>
      <c r="F652" s="1"/>
      <c r="P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142"/>
    </row>
    <row r="653" ht="17.25" customHeight="1">
      <c r="A653" s="1"/>
      <c r="B653" s="1"/>
      <c r="C653" s="1"/>
      <c r="D653" s="1"/>
      <c r="E653" s="1"/>
      <c r="F653" s="1"/>
      <c r="P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142"/>
    </row>
    <row r="654" ht="17.25" customHeight="1">
      <c r="A654" s="1"/>
      <c r="B654" s="1"/>
      <c r="C654" s="1"/>
      <c r="D654" s="1"/>
      <c r="E654" s="1"/>
      <c r="F654" s="1"/>
      <c r="P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142"/>
    </row>
    <row r="655" ht="17.25" customHeight="1">
      <c r="A655" s="1"/>
      <c r="B655" s="1"/>
      <c r="C655" s="1"/>
      <c r="D655" s="1"/>
      <c r="E655" s="1"/>
      <c r="F655" s="1"/>
      <c r="P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142"/>
    </row>
    <row r="656" ht="17.25" customHeight="1">
      <c r="A656" s="1"/>
      <c r="B656" s="1"/>
      <c r="C656" s="1"/>
      <c r="D656" s="1"/>
      <c r="E656" s="1"/>
      <c r="F656" s="1"/>
      <c r="P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142"/>
    </row>
    <row r="657" ht="17.25" customHeight="1">
      <c r="A657" s="1"/>
      <c r="B657" s="1"/>
      <c r="C657" s="1"/>
      <c r="D657" s="1"/>
      <c r="E657" s="1"/>
      <c r="F657" s="1"/>
      <c r="P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142"/>
    </row>
    <row r="658" ht="17.25" customHeight="1">
      <c r="A658" s="1"/>
      <c r="B658" s="1"/>
      <c r="C658" s="1"/>
      <c r="D658" s="1"/>
      <c r="E658" s="1"/>
      <c r="F658" s="1"/>
      <c r="P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142"/>
    </row>
    <row r="659" ht="17.25" customHeight="1">
      <c r="A659" s="1"/>
      <c r="B659" s="1"/>
      <c r="C659" s="1"/>
      <c r="D659" s="1"/>
      <c r="E659" s="1"/>
      <c r="F659" s="1"/>
      <c r="P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142"/>
    </row>
    <row r="660" ht="17.25" customHeight="1">
      <c r="A660" s="1"/>
      <c r="B660" s="1"/>
      <c r="C660" s="1"/>
      <c r="D660" s="1"/>
      <c r="E660" s="1"/>
      <c r="F660" s="1"/>
      <c r="P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142"/>
    </row>
    <row r="661" ht="17.25" customHeight="1">
      <c r="A661" s="1"/>
      <c r="B661" s="1"/>
      <c r="C661" s="1"/>
      <c r="D661" s="1"/>
      <c r="E661" s="1"/>
      <c r="F661" s="1"/>
      <c r="P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142"/>
    </row>
    <row r="662" ht="17.25" customHeight="1">
      <c r="A662" s="1"/>
      <c r="B662" s="1"/>
      <c r="C662" s="1"/>
      <c r="D662" s="1"/>
      <c r="E662" s="1"/>
      <c r="F662" s="1"/>
      <c r="P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142"/>
    </row>
    <row r="663" ht="17.25" customHeight="1">
      <c r="A663" s="1"/>
      <c r="B663" s="1"/>
      <c r="C663" s="1"/>
      <c r="D663" s="1"/>
      <c r="E663" s="1"/>
      <c r="F663" s="1"/>
      <c r="P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142"/>
    </row>
    <row r="664" ht="17.25" customHeight="1">
      <c r="A664" s="1"/>
      <c r="B664" s="1"/>
      <c r="C664" s="1"/>
      <c r="D664" s="1"/>
      <c r="E664" s="1"/>
      <c r="F664" s="1"/>
      <c r="P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142"/>
    </row>
    <row r="665" ht="17.25" customHeight="1">
      <c r="A665" s="1"/>
      <c r="B665" s="1"/>
      <c r="C665" s="1"/>
      <c r="D665" s="1"/>
      <c r="E665" s="1"/>
      <c r="F665" s="1"/>
      <c r="P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142"/>
    </row>
    <row r="666" ht="17.25" customHeight="1">
      <c r="A666" s="1"/>
      <c r="B666" s="1"/>
      <c r="C666" s="1"/>
      <c r="D666" s="1"/>
      <c r="E666" s="1"/>
      <c r="F666" s="1"/>
      <c r="P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142"/>
    </row>
    <row r="667" ht="17.25" customHeight="1">
      <c r="A667" s="1"/>
      <c r="B667" s="1"/>
      <c r="C667" s="1"/>
      <c r="D667" s="1"/>
      <c r="E667" s="1"/>
      <c r="F667" s="1"/>
      <c r="P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142"/>
    </row>
    <row r="668" ht="17.25" customHeight="1">
      <c r="A668" s="1"/>
      <c r="B668" s="1"/>
      <c r="C668" s="1"/>
      <c r="D668" s="1"/>
      <c r="E668" s="1"/>
      <c r="F668" s="1"/>
      <c r="P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142"/>
    </row>
    <row r="669" ht="17.25" customHeight="1">
      <c r="A669" s="1"/>
      <c r="B669" s="1"/>
      <c r="C669" s="1"/>
      <c r="D669" s="1"/>
      <c r="E669" s="1"/>
      <c r="F669" s="1"/>
      <c r="P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142"/>
    </row>
    <row r="670" ht="17.25" customHeight="1">
      <c r="A670" s="1"/>
      <c r="B670" s="1"/>
      <c r="C670" s="1"/>
      <c r="D670" s="1"/>
      <c r="E670" s="1"/>
      <c r="F670" s="1"/>
      <c r="P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142"/>
    </row>
    <row r="671" ht="17.25" customHeight="1">
      <c r="A671" s="1"/>
      <c r="B671" s="1"/>
      <c r="C671" s="1"/>
      <c r="D671" s="1"/>
      <c r="E671" s="1"/>
      <c r="F671" s="1"/>
      <c r="P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142"/>
    </row>
    <row r="672" ht="17.25" customHeight="1">
      <c r="A672" s="1"/>
      <c r="B672" s="1"/>
      <c r="C672" s="1"/>
      <c r="D672" s="1"/>
      <c r="E672" s="1"/>
      <c r="F672" s="1"/>
      <c r="P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142"/>
    </row>
    <row r="673" ht="17.25" customHeight="1">
      <c r="A673" s="1"/>
      <c r="B673" s="1"/>
      <c r="C673" s="1"/>
      <c r="D673" s="1"/>
      <c r="E673" s="1"/>
      <c r="F673" s="1"/>
      <c r="P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142"/>
    </row>
    <row r="674" ht="17.25" customHeight="1">
      <c r="A674" s="1"/>
      <c r="B674" s="1"/>
      <c r="C674" s="1"/>
      <c r="D674" s="1"/>
      <c r="E674" s="1"/>
      <c r="F674" s="1"/>
      <c r="P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142"/>
    </row>
    <row r="675" ht="17.25" customHeight="1">
      <c r="A675" s="1"/>
      <c r="B675" s="1"/>
      <c r="C675" s="1"/>
      <c r="D675" s="1"/>
      <c r="E675" s="1"/>
      <c r="F675" s="1"/>
      <c r="P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142"/>
    </row>
    <row r="676" ht="17.25" customHeight="1">
      <c r="A676" s="1"/>
      <c r="B676" s="1"/>
      <c r="C676" s="1"/>
      <c r="D676" s="1"/>
      <c r="E676" s="1"/>
      <c r="F676" s="1"/>
      <c r="P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142"/>
    </row>
    <row r="677" ht="17.25" customHeight="1">
      <c r="A677" s="1"/>
      <c r="B677" s="1"/>
      <c r="C677" s="1"/>
      <c r="D677" s="1"/>
      <c r="E677" s="1"/>
      <c r="F677" s="1"/>
      <c r="P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142"/>
    </row>
    <row r="678" ht="17.25" customHeight="1">
      <c r="A678" s="1"/>
      <c r="B678" s="1"/>
      <c r="C678" s="1"/>
      <c r="D678" s="1"/>
      <c r="E678" s="1"/>
      <c r="F678" s="1"/>
      <c r="P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142"/>
    </row>
    <row r="679" ht="17.25" customHeight="1">
      <c r="A679" s="1"/>
      <c r="B679" s="1"/>
      <c r="C679" s="1"/>
      <c r="D679" s="1"/>
      <c r="E679" s="1"/>
      <c r="F679" s="1"/>
      <c r="P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142"/>
    </row>
    <row r="680" ht="17.25" customHeight="1">
      <c r="A680" s="1"/>
      <c r="B680" s="1"/>
      <c r="C680" s="1"/>
      <c r="D680" s="1"/>
      <c r="E680" s="1"/>
      <c r="F680" s="1"/>
      <c r="P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142"/>
    </row>
    <row r="681" ht="17.25" customHeight="1">
      <c r="A681" s="1"/>
      <c r="B681" s="1"/>
      <c r="C681" s="1"/>
      <c r="D681" s="1"/>
      <c r="E681" s="1"/>
      <c r="F681" s="1"/>
      <c r="P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142"/>
    </row>
    <row r="682" ht="17.25" customHeight="1">
      <c r="A682" s="1"/>
      <c r="B682" s="1"/>
      <c r="C682" s="1"/>
      <c r="D682" s="1"/>
      <c r="E682" s="1"/>
      <c r="F682" s="1"/>
      <c r="P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142"/>
    </row>
    <row r="683" ht="17.25" customHeight="1">
      <c r="A683" s="1"/>
      <c r="B683" s="1"/>
      <c r="C683" s="1"/>
      <c r="D683" s="1"/>
      <c r="E683" s="1"/>
      <c r="F683" s="1"/>
      <c r="P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142"/>
    </row>
    <row r="684" ht="17.25" customHeight="1">
      <c r="A684" s="1"/>
      <c r="B684" s="1"/>
      <c r="C684" s="1"/>
      <c r="D684" s="1"/>
      <c r="E684" s="1"/>
      <c r="F684" s="1"/>
      <c r="P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142"/>
    </row>
    <row r="685" ht="17.25" customHeight="1">
      <c r="A685" s="1"/>
      <c r="B685" s="1"/>
      <c r="C685" s="1"/>
      <c r="D685" s="1"/>
      <c r="E685" s="1"/>
      <c r="F685" s="1"/>
      <c r="P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142"/>
    </row>
    <row r="686" ht="17.25" customHeight="1">
      <c r="A686" s="1"/>
      <c r="B686" s="1"/>
      <c r="C686" s="1"/>
      <c r="D686" s="1"/>
      <c r="E686" s="1"/>
      <c r="F686" s="1"/>
      <c r="P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142"/>
    </row>
    <row r="687" ht="17.25" customHeight="1">
      <c r="A687" s="1"/>
      <c r="B687" s="1"/>
      <c r="C687" s="1"/>
      <c r="D687" s="1"/>
      <c r="E687" s="1"/>
      <c r="F687" s="1"/>
      <c r="P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142"/>
    </row>
    <row r="688" ht="17.25" customHeight="1">
      <c r="A688" s="1"/>
      <c r="B688" s="1"/>
      <c r="C688" s="1"/>
      <c r="D688" s="1"/>
      <c r="E688" s="1"/>
      <c r="F688" s="1"/>
      <c r="P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142"/>
    </row>
    <row r="689" ht="17.25" customHeight="1">
      <c r="A689" s="1"/>
      <c r="B689" s="1"/>
      <c r="C689" s="1"/>
      <c r="D689" s="1"/>
      <c r="E689" s="1"/>
      <c r="F689" s="1"/>
      <c r="P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142"/>
    </row>
    <row r="690" ht="17.25" customHeight="1">
      <c r="A690" s="1"/>
      <c r="B690" s="1"/>
      <c r="C690" s="1"/>
      <c r="D690" s="1"/>
      <c r="E690" s="1"/>
      <c r="F690" s="1"/>
      <c r="P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142"/>
    </row>
    <row r="691" ht="17.25" customHeight="1">
      <c r="A691" s="1"/>
      <c r="B691" s="1"/>
      <c r="C691" s="1"/>
      <c r="D691" s="1"/>
      <c r="E691" s="1"/>
      <c r="F691" s="1"/>
      <c r="P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142"/>
    </row>
    <row r="692" ht="17.25" customHeight="1">
      <c r="A692" s="1"/>
      <c r="B692" s="1"/>
      <c r="C692" s="1"/>
      <c r="D692" s="1"/>
      <c r="E692" s="1"/>
      <c r="F692" s="1"/>
      <c r="P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142"/>
    </row>
    <row r="693" ht="17.25" customHeight="1">
      <c r="A693" s="1"/>
      <c r="B693" s="1"/>
      <c r="C693" s="1"/>
      <c r="D693" s="1"/>
      <c r="E693" s="1"/>
      <c r="F693" s="1"/>
      <c r="P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142"/>
    </row>
    <row r="694" ht="17.25" customHeight="1">
      <c r="A694" s="1"/>
      <c r="B694" s="1"/>
      <c r="C694" s="1"/>
      <c r="D694" s="1"/>
      <c r="E694" s="1"/>
      <c r="F694" s="1"/>
      <c r="P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142"/>
    </row>
    <row r="695" ht="17.25" customHeight="1">
      <c r="A695" s="1"/>
      <c r="B695" s="1"/>
      <c r="C695" s="1"/>
      <c r="D695" s="1"/>
      <c r="E695" s="1"/>
      <c r="F695" s="1"/>
      <c r="P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142"/>
    </row>
    <row r="696" ht="17.25" customHeight="1">
      <c r="A696" s="1"/>
      <c r="B696" s="1"/>
      <c r="C696" s="1"/>
      <c r="D696" s="1"/>
      <c r="E696" s="1"/>
      <c r="F696" s="1"/>
      <c r="P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142"/>
    </row>
    <row r="697" ht="17.25" customHeight="1">
      <c r="A697" s="1"/>
      <c r="B697" s="1"/>
      <c r="C697" s="1"/>
      <c r="D697" s="1"/>
      <c r="E697" s="1"/>
      <c r="F697" s="1"/>
      <c r="P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142"/>
    </row>
    <row r="698" ht="17.25" customHeight="1">
      <c r="A698" s="1"/>
      <c r="B698" s="1"/>
      <c r="C698" s="1"/>
      <c r="D698" s="1"/>
      <c r="E698" s="1"/>
      <c r="F698" s="1"/>
      <c r="P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142"/>
    </row>
    <row r="699" ht="17.25" customHeight="1">
      <c r="A699" s="1"/>
      <c r="B699" s="1"/>
      <c r="C699" s="1"/>
      <c r="D699" s="1"/>
      <c r="E699" s="1"/>
      <c r="F699" s="1"/>
      <c r="P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142"/>
    </row>
    <row r="700" ht="17.25" customHeight="1">
      <c r="A700" s="1"/>
      <c r="B700" s="1"/>
      <c r="C700" s="1"/>
      <c r="D700" s="1"/>
      <c r="E700" s="1"/>
      <c r="F700" s="1"/>
      <c r="P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142"/>
    </row>
    <row r="701" ht="17.25" customHeight="1">
      <c r="A701" s="1"/>
      <c r="B701" s="1"/>
      <c r="C701" s="1"/>
      <c r="D701" s="1"/>
      <c r="E701" s="1"/>
      <c r="F701" s="1"/>
      <c r="P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142"/>
    </row>
    <row r="702" ht="17.25" customHeight="1">
      <c r="A702" s="1"/>
      <c r="B702" s="1"/>
      <c r="C702" s="1"/>
      <c r="D702" s="1"/>
      <c r="E702" s="1"/>
      <c r="F702" s="1"/>
      <c r="P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142"/>
    </row>
    <row r="703" ht="17.25" customHeight="1">
      <c r="A703" s="1"/>
      <c r="B703" s="1"/>
      <c r="C703" s="1"/>
      <c r="D703" s="1"/>
      <c r="E703" s="1"/>
      <c r="F703" s="1"/>
      <c r="P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142"/>
    </row>
    <row r="704" ht="17.25" customHeight="1">
      <c r="A704" s="1"/>
      <c r="B704" s="1"/>
      <c r="C704" s="1"/>
      <c r="D704" s="1"/>
      <c r="E704" s="1"/>
      <c r="F704" s="1"/>
      <c r="P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142"/>
    </row>
    <row r="705" ht="17.25" customHeight="1">
      <c r="A705" s="1"/>
      <c r="B705" s="1"/>
      <c r="C705" s="1"/>
      <c r="D705" s="1"/>
      <c r="E705" s="1"/>
      <c r="F705" s="1"/>
      <c r="P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142"/>
    </row>
    <row r="706" ht="17.25" customHeight="1">
      <c r="A706" s="1"/>
      <c r="B706" s="1"/>
      <c r="C706" s="1"/>
      <c r="D706" s="1"/>
      <c r="E706" s="1"/>
      <c r="F706" s="1"/>
      <c r="P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142"/>
    </row>
    <row r="707" ht="17.25" customHeight="1">
      <c r="A707" s="1"/>
      <c r="B707" s="1"/>
      <c r="C707" s="1"/>
      <c r="D707" s="1"/>
      <c r="E707" s="1"/>
      <c r="F707" s="1"/>
      <c r="P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142"/>
    </row>
    <row r="708" ht="17.25" customHeight="1">
      <c r="A708" s="1"/>
      <c r="B708" s="1"/>
      <c r="C708" s="1"/>
      <c r="D708" s="1"/>
      <c r="E708" s="1"/>
      <c r="F708" s="1"/>
      <c r="P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142"/>
    </row>
    <row r="709" ht="17.25" customHeight="1">
      <c r="A709" s="1"/>
      <c r="B709" s="1"/>
      <c r="C709" s="1"/>
      <c r="D709" s="1"/>
      <c r="E709" s="1"/>
      <c r="F709" s="1"/>
      <c r="P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142"/>
    </row>
    <row r="710" ht="17.25" customHeight="1">
      <c r="A710" s="1"/>
      <c r="B710" s="1"/>
      <c r="C710" s="1"/>
      <c r="D710" s="1"/>
      <c r="E710" s="1"/>
      <c r="F710" s="1"/>
      <c r="P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142"/>
    </row>
    <row r="711" ht="17.25" customHeight="1">
      <c r="A711" s="1"/>
      <c r="B711" s="1"/>
      <c r="C711" s="1"/>
      <c r="D711" s="1"/>
      <c r="E711" s="1"/>
      <c r="F711" s="1"/>
      <c r="P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142"/>
    </row>
    <row r="712" ht="17.25" customHeight="1">
      <c r="A712" s="1"/>
      <c r="B712" s="1"/>
      <c r="C712" s="1"/>
      <c r="D712" s="1"/>
      <c r="E712" s="1"/>
      <c r="F712" s="1"/>
      <c r="P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142"/>
    </row>
    <row r="713" ht="17.25" customHeight="1">
      <c r="A713" s="1"/>
      <c r="B713" s="1"/>
      <c r="C713" s="1"/>
      <c r="D713" s="1"/>
      <c r="E713" s="1"/>
      <c r="F713" s="1"/>
      <c r="P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142"/>
    </row>
    <row r="714" ht="17.25" customHeight="1">
      <c r="A714" s="1"/>
      <c r="B714" s="1"/>
      <c r="C714" s="1"/>
      <c r="D714" s="1"/>
      <c r="E714" s="1"/>
      <c r="F714" s="1"/>
      <c r="P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142"/>
    </row>
    <row r="715" ht="17.25" customHeight="1">
      <c r="A715" s="1"/>
      <c r="B715" s="1"/>
      <c r="C715" s="1"/>
      <c r="D715" s="1"/>
      <c r="E715" s="1"/>
      <c r="F715" s="1"/>
      <c r="P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142"/>
    </row>
    <row r="716" ht="17.25" customHeight="1">
      <c r="A716" s="1"/>
      <c r="B716" s="1"/>
      <c r="C716" s="1"/>
      <c r="D716" s="1"/>
      <c r="E716" s="1"/>
      <c r="F716" s="1"/>
      <c r="P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142"/>
    </row>
    <row r="717" ht="17.25" customHeight="1">
      <c r="A717" s="1"/>
      <c r="B717" s="1"/>
      <c r="C717" s="1"/>
      <c r="D717" s="1"/>
      <c r="E717" s="1"/>
      <c r="F717" s="1"/>
      <c r="P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142"/>
    </row>
    <row r="718" ht="17.25" customHeight="1">
      <c r="A718" s="1"/>
      <c r="B718" s="1"/>
      <c r="C718" s="1"/>
      <c r="D718" s="1"/>
      <c r="E718" s="1"/>
      <c r="F718" s="1"/>
      <c r="P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142"/>
    </row>
    <row r="719" ht="17.25" customHeight="1">
      <c r="A719" s="1"/>
      <c r="B719" s="1"/>
      <c r="C719" s="1"/>
      <c r="D719" s="1"/>
      <c r="E719" s="1"/>
      <c r="F719" s="1"/>
      <c r="P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142"/>
    </row>
    <row r="720" ht="17.25" customHeight="1">
      <c r="A720" s="1"/>
      <c r="B720" s="1"/>
      <c r="C720" s="1"/>
      <c r="D720" s="1"/>
      <c r="E720" s="1"/>
      <c r="F720" s="1"/>
      <c r="P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142"/>
    </row>
    <row r="721" ht="17.25" customHeight="1">
      <c r="A721" s="1"/>
      <c r="B721" s="1"/>
      <c r="C721" s="1"/>
      <c r="D721" s="1"/>
      <c r="E721" s="1"/>
      <c r="F721" s="1"/>
      <c r="P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142"/>
    </row>
    <row r="722" ht="17.25" customHeight="1">
      <c r="A722" s="1"/>
      <c r="B722" s="1"/>
      <c r="C722" s="1"/>
      <c r="D722" s="1"/>
      <c r="E722" s="1"/>
      <c r="F722" s="1"/>
      <c r="P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142"/>
    </row>
    <row r="723" ht="17.25" customHeight="1">
      <c r="A723" s="1"/>
      <c r="B723" s="1"/>
      <c r="C723" s="1"/>
      <c r="D723" s="1"/>
      <c r="E723" s="1"/>
      <c r="F723" s="1"/>
      <c r="P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142"/>
    </row>
    <row r="724" ht="17.25" customHeight="1">
      <c r="A724" s="1"/>
      <c r="B724" s="1"/>
      <c r="C724" s="1"/>
      <c r="D724" s="1"/>
      <c r="E724" s="1"/>
      <c r="F724" s="1"/>
      <c r="P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142"/>
    </row>
    <row r="725" ht="17.25" customHeight="1">
      <c r="A725" s="1"/>
      <c r="B725" s="1"/>
      <c r="C725" s="1"/>
      <c r="D725" s="1"/>
      <c r="E725" s="1"/>
      <c r="F725" s="1"/>
      <c r="P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142"/>
    </row>
    <row r="726" ht="17.25" customHeight="1">
      <c r="A726" s="1"/>
      <c r="B726" s="1"/>
      <c r="C726" s="1"/>
      <c r="D726" s="1"/>
      <c r="E726" s="1"/>
      <c r="F726" s="1"/>
      <c r="P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142"/>
    </row>
    <row r="727" ht="17.25" customHeight="1">
      <c r="A727" s="1"/>
      <c r="B727" s="1"/>
      <c r="C727" s="1"/>
      <c r="D727" s="1"/>
      <c r="E727" s="1"/>
      <c r="F727" s="1"/>
      <c r="P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142"/>
    </row>
    <row r="728" ht="17.25" customHeight="1">
      <c r="A728" s="1"/>
      <c r="B728" s="1"/>
      <c r="C728" s="1"/>
      <c r="D728" s="1"/>
      <c r="E728" s="1"/>
      <c r="F728" s="1"/>
      <c r="P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142"/>
    </row>
    <row r="729" ht="17.25" customHeight="1">
      <c r="A729" s="1"/>
      <c r="B729" s="1"/>
      <c r="C729" s="1"/>
      <c r="D729" s="1"/>
      <c r="E729" s="1"/>
      <c r="F729" s="1"/>
      <c r="P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142"/>
    </row>
    <row r="730" ht="17.25" customHeight="1">
      <c r="A730" s="1"/>
      <c r="B730" s="1"/>
      <c r="C730" s="1"/>
      <c r="D730" s="1"/>
      <c r="E730" s="1"/>
      <c r="F730" s="1"/>
      <c r="P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142"/>
    </row>
    <row r="731" ht="17.25" customHeight="1">
      <c r="A731" s="1"/>
      <c r="B731" s="1"/>
      <c r="C731" s="1"/>
      <c r="D731" s="1"/>
      <c r="E731" s="1"/>
      <c r="F731" s="1"/>
      <c r="P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142"/>
    </row>
    <row r="732" ht="17.25" customHeight="1">
      <c r="A732" s="1"/>
      <c r="B732" s="1"/>
      <c r="C732" s="1"/>
      <c r="D732" s="1"/>
      <c r="E732" s="1"/>
      <c r="F732" s="1"/>
      <c r="P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142"/>
    </row>
    <row r="733" ht="17.25" customHeight="1">
      <c r="A733" s="1"/>
      <c r="B733" s="1"/>
      <c r="C733" s="1"/>
      <c r="D733" s="1"/>
      <c r="E733" s="1"/>
      <c r="F733" s="1"/>
      <c r="P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142"/>
    </row>
    <row r="734" ht="17.25" customHeight="1">
      <c r="A734" s="1"/>
      <c r="B734" s="1"/>
      <c r="C734" s="1"/>
      <c r="D734" s="1"/>
      <c r="E734" s="1"/>
      <c r="F734" s="1"/>
      <c r="P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142"/>
    </row>
    <row r="735" ht="17.25" customHeight="1">
      <c r="A735" s="1"/>
      <c r="B735" s="1"/>
      <c r="C735" s="1"/>
      <c r="D735" s="1"/>
      <c r="E735" s="1"/>
      <c r="F735" s="1"/>
      <c r="P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142"/>
    </row>
    <row r="736" ht="17.25" customHeight="1">
      <c r="A736" s="1"/>
      <c r="B736" s="1"/>
      <c r="C736" s="1"/>
      <c r="D736" s="1"/>
      <c r="E736" s="1"/>
      <c r="F736" s="1"/>
      <c r="P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142"/>
    </row>
    <row r="737" ht="17.25" customHeight="1">
      <c r="A737" s="1"/>
      <c r="B737" s="1"/>
      <c r="C737" s="1"/>
      <c r="D737" s="1"/>
      <c r="E737" s="1"/>
      <c r="F737" s="1"/>
      <c r="P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142"/>
    </row>
    <row r="738" ht="17.25" customHeight="1">
      <c r="A738" s="1"/>
      <c r="B738" s="1"/>
      <c r="C738" s="1"/>
      <c r="D738" s="1"/>
      <c r="E738" s="1"/>
      <c r="F738" s="1"/>
      <c r="P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142"/>
    </row>
    <row r="739" ht="17.25" customHeight="1">
      <c r="A739" s="1"/>
      <c r="B739" s="1"/>
      <c r="C739" s="1"/>
      <c r="D739" s="1"/>
      <c r="E739" s="1"/>
      <c r="F739" s="1"/>
      <c r="P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142"/>
    </row>
    <row r="740" ht="17.25" customHeight="1">
      <c r="A740" s="1"/>
      <c r="B740" s="1"/>
      <c r="C740" s="1"/>
      <c r="D740" s="1"/>
      <c r="E740" s="1"/>
      <c r="F740" s="1"/>
      <c r="P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142"/>
    </row>
    <row r="741" ht="17.25" customHeight="1">
      <c r="A741" s="1"/>
      <c r="B741" s="1"/>
      <c r="C741" s="1"/>
      <c r="D741" s="1"/>
      <c r="E741" s="1"/>
      <c r="F741" s="1"/>
      <c r="P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142"/>
    </row>
    <row r="742" ht="17.25" customHeight="1">
      <c r="A742" s="1"/>
      <c r="B742" s="1"/>
      <c r="C742" s="1"/>
      <c r="D742" s="1"/>
      <c r="E742" s="1"/>
      <c r="F742" s="1"/>
      <c r="P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142"/>
    </row>
    <row r="743" ht="17.25" customHeight="1">
      <c r="A743" s="1"/>
      <c r="B743" s="1"/>
      <c r="C743" s="1"/>
      <c r="D743" s="1"/>
      <c r="E743" s="1"/>
      <c r="F743" s="1"/>
      <c r="P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142"/>
    </row>
    <row r="744" ht="17.25" customHeight="1">
      <c r="A744" s="1"/>
      <c r="B744" s="1"/>
      <c r="C744" s="1"/>
      <c r="D744" s="1"/>
      <c r="E744" s="1"/>
      <c r="F744" s="1"/>
      <c r="P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142"/>
    </row>
    <row r="745" ht="17.25" customHeight="1">
      <c r="A745" s="1"/>
      <c r="B745" s="1"/>
      <c r="C745" s="1"/>
      <c r="D745" s="1"/>
      <c r="E745" s="1"/>
      <c r="F745" s="1"/>
      <c r="P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142"/>
    </row>
    <row r="746" ht="17.25" customHeight="1">
      <c r="A746" s="1"/>
      <c r="B746" s="1"/>
      <c r="C746" s="1"/>
      <c r="D746" s="1"/>
      <c r="E746" s="1"/>
      <c r="F746" s="1"/>
      <c r="P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142"/>
    </row>
    <row r="747" ht="17.25" customHeight="1">
      <c r="A747" s="1"/>
      <c r="B747" s="1"/>
      <c r="C747" s="1"/>
      <c r="D747" s="1"/>
      <c r="E747" s="1"/>
      <c r="F747" s="1"/>
      <c r="P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142"/>
    </row>
    <row r="748" ht="17.25" customHeight="1">
      <c r="A748" s="1"/>
      <c r="B748" s="1"/>
      <c r="C748" s="1"/>
      <c r="D748" s="1"/>
      <c r="E748" s="1"/>
      <c r="F748" s="1"/>
      <c r="P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142"/>
    </row>
    <row r="749" ht="17.25" customHeight="1">
      <c r="A749" s="1"/>
      <c r="B749" s="1"/>
      <c r="C749" s="1"/>
      <c r="D749" s="1"/>
      <c r="E749" s="1"/>
      <c r="F749" s="1"/>
      <c r="P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142"/>
    </row>
    <row r="750" ht="17.25" customHeight="1">
      <c r="A750" s="1"/>
      <c r="B750" s="1"/>
      <c r="C750" s="1"/>
      <c r="D750" s="1"/>
      <c r="E750" s="1"/>
      <c r="F750" s="1"/>
      <c r="P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142"/>
    </row>
    <row r="751" ht="17.25" customHeight="1">
      <c r="A751" s="1"/>
      <c r="B751" s="1"/>
      <c r="C751" s="1"/>
      <c r="D751" s="1"/>
      <c r="E751" s="1"/>
      <c r="F751" s="1"/>
      <c r="P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142"/>
    </row>
    <row r="752" ht="17.25" customHeight="1">
      <c r="A752" s="1"/>
      <c r="B752" s="1"/>
      <c r="C752" s="1"/>
      <c r="D752" s="1"/>
      <c r="E752" s="1"/>
      <c r="F752" s="1"/>
      <c r="P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142"/>
    </row>
    <row r="753" ht="17.25" customHeight="1">
      <c r="A753" s="1"/>
      <c r="B753" s="1"/>
      <c r="C753" s="1"/>
      <c r="D753" s="1"/>
      <c r="E753" s="1"/>
      <c r="F753" s="1"/>
      <c r="P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142"/>
    </row>
    <row r="754" ht="17.25" customHeight="1">
      <c r="A754" s="1"/>
      <c r="B754" s="1"/>
      <c r="C754" s="1"/>
      <c r="D754" s="1"/>
      <c r="E754" s="1"/>
      <c r="F754" s="1"/>
      <c r="P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142"/>
    </row>
    <row r="755" ht="17.25" customHeight="1">
      <c r="A755" s="1"/>
      <c r="B755" s="1"/>
      <c r="C755" s="1"/>
      <c r="D755" s="1"/>
      <c r="E755" s="1"/>
      <c r="F755" s="1"/>
      <c r="P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142"/>
    </row>
    <row r="756" ht="17.25" customHeight="1">
      <c r="A756" s="1"/>
      <c r="B756" s="1"/>
      <c r="C756" s="1"/>
      <c r="D756" s="1"/>
      <c r="E756" s="1"/>
      <c r="F756" s="1"/>
      <c r="P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142"/>
    </row>
    <row r="757" ht="17.25" customHeight="1">
      <c r="A757" s="1"/>
      <c r="B757" s="1"/>
      <c r="C757" s="1"/>
      <c r="D757" s="1"/>
      <c r="E757" s="1"/>
      <c r="F757" s="1"/>
      <c r="P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142"/>
    </row>
    <row r="758" ht="17.25" customHeight="1">
      <c r="A758" s="1"/>
      <c r="B758" s="1"/>
      <c r="C758" s="1"/>
      <c r="D758" s="1"/>
      <c r="E758" s="1"/>
      <c r="F758" s="1"/>
      <c r="P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142"/>
    </row>
    <row r="759" ht="17.25" customHeight="1">
      <c r="A759" s="1"/>
      <c r="B759" s="1"/>
      <c r="C759" s="1"/>
      <c r="D759" s="1"/>
      <c r="E759" s="1"/>
      <c r="F759" s="1"/>
      <c r="P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142"/>
    </row>
    <row r="760" ht="17.25" customHeight="1">
      <c r="A760" s="1"/>
      <c r="B760" s="1"/>
      <c r="C760" s="1"/>
      <c r="D760" s="1"/>
      <c r="E760" s="1"/>
      <c r="F760" s="1"/>
      <c r="P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142"/>
    </row>
    <row r="761" ht="17.25" customHeight="1">
      <c r="A761" s="1"/>
      <c r="B761" s="1"/>
      <c r="C761" s="1"/>
      <c r="D761" s="1"/>
      <c r="E761" s="1"/>
      <c r="F761" s="1"/>
      <c r="P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142"/>
    </row>
    <row r="762" ht="17.25" customHeight="1">
      <c r="A762" s="1"/>
      <c r="B762" s="1"/>
      <c r="C762" s="1"/>
      <c r="D762" s="1"/>
      <c r="E762" s="1"/>
      <c r="F762" s="1"/>
      <c r="P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142"/>
    </row>
    <row r="763" ht="17.25" customHeight="1">
      <c r="A763" s="1"/>
      <c r="B763" s="1"/>
      <c r="C763" s="1"/>
      <c r="D763" s="1"/>
      <c r="E763" s="1"/>
      <c r="F763" s="1"/>
      <c r="P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142"/>
    </row>
    <row r="764" ht="17.25" customHeight="1">
      <c r="A764" s="1"/>
      <c r="B764" s="1"/>
      <c r="C764" s="1"/>
      <c r="D764" s="1"/>
      <c r="E764" s="1"/>
      <c r="F764" s="1"/>
      <c r="P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142"/>
    </row>
    <row r="765" ht="17.25" customHeight="1">
      <c r="A765" s="1"/>
      <c r="B765" s="1"/>
      <c r="C765" s="1"/>
      <c r="D765" s="1"/>
      <c r="E765" s="1"/>
      <c r="F765" s="1"/>
      <c r="P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142"/>
    </row>
    <row r="766" ht="17.25" customHeight="1">
      <c r="A766" s="1"/>
      <c r="B766" s="1"/>
      <c r="C766" s="1"/>
      <c r="D766" s="1"/>
      <c r="E766" s="1"/>
      <c r="F766" s="1"/>
      <c r="P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142"/>
    </row>
    <row r="767" ht="17.25" customHeight="1">
      <c r="A767" s="1"/>
      <c r="B767" s="1"/>
      <c r="C767" s="1"/>
      <c r="D767" s="1"/>
      <c r="E767" s="1"/>
      <c r="F767" s="1"/>
      <c r="P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142"/>
    </row>
    <row r="768" ht="17.25" customHeight="1">
      <c r="A768" s="1"/>
      <c r="B768" s="1"/>
      <c r="C768" s="1"/>
      <c r="D768" s="1"/>
      <c r="E768" s="1"/>
      <c r="F768" s="1"/>
      <c r="P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142"/>
    </row>
    <row r="769" ht="17.25" customHeight="1">
      <c r="A769" s="1"/>
      <c r="B769" s="1"/>
      <c r="C769" s="1"/>
      <c r="D769" s="1"/>
      <c r="E769" s="1"/>
      <c r="F769" s="1"/>
      <c r="P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142"/>
    </row>
    <row r="770" ht="17.25" customHeight="1">
      <c r="A770" s="1"/>
      <c r="B770" s="1"/>
      <c r="C770" s="1"/>
      <c r="D770" s="1"/>
      <c r="E770" s="1"/>
      <c r="F770" s="1"/>
      <c r="P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142"/>
    </row>
    <row r="771" ht="17.25" customHeight="1">
      <c r="A771" s="1"/>
      <c r="B771" s="1"/>
      <c r="C771" s="1"/>
      <c r="D771" s="1"/>
      <c r="E771" s="1"/>
      <c r="F771" s="1"/>
      <c r="P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142"/>
    </row>
    <row r="772" ht="17.25" customHeight="1">
      <c r="A772" s="1"/>
      <c r="B772" s="1"/>
      <c r="C772" s="1"/>
      <c r="D772" s="1"/>
      <c r="E772" s="1"/>
      <c r="F772" s="1"/>
      <c r="P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142"/>
    </row>
    <row r="773" ht="17.25" customHeight="1">
      <c r="A773" s="1"/>
      <c r="B773" s="1"/>
      <c r="C773" s="1"/>
      <c r="D773" s="1"/>
      <c r="E773" s="1"/>
      <c r="F773" s="1"/>
      <c r="P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142"/>
    </row>
    <row r="774" ht="17.25" customHeight="1">
      <c r="A774" s="1"/>
      <c r="B774" s="1"/>
      <c r="C774" s="1"/>
      <c r="D774" s="1"/>
      <c r="E774" s="1"/>
      <c r="F774" s="1"/>
      <c r="P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142"/>
    </row>
    <row r="775" ht="17.25" customHeight="1">
      <c r="A775" s="1"/>
      <c r="B775" s="1"/>
      <c r="C775" s="1"/>
      <c r="D775" s="1"/>
      <c r="E775" s="1"/>
      <c r="F775" s="1"/>
      <c r="P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142"/>
    </row>
    <row r="776" ht="17.25" customHeight="1">
      <c r="A776" s="1"/>
      <c r="B776" s="1"/>
      <c r="C776" s="1"/>
      <c r="D776" s="1"/>
      <c r="E776" s="1"/>
      <c r="F776" s="1"/>
      <c r="P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142"/>
    </row>
    <row r="777" ht="17.25" customHeight="1">
      <c r="A777" s="1"/>
      <c r="B777" s="1"/>
      <c r="C777" s="1"/>
      <c r="D777" s="1"/>
      <c r="E777" s="1"/>
      <c r="F777" s="1"/>
      <c r="P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142"/>
    </row>
    <row r="778" ht="17.25" customHeight="1">
      <c r="A778" s="1"/>
      <c r="B778" s="1"/>
      <c r="C778" s="1"/>
      <c r="D778" s="1"/>
      <c r="E778" s="1"/>
      <c r="F778" s="1"/>
      <c r="P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142"/>
    </row>
    <row r="779" ht="17.25" customHeight="1">
      <c r="A779" s="1"/>
      <c r="B779" s="1"/>
      <c r="C779" s="1"/>
      <c r="D779" s="1"/>
      <c r="E779" s="1"/>
      <c r="F779" s="1"/>
      <c r="P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142"/>
    </row>
    <row r="780" ht="17.25" customHeight="1">
      <c r="A780" s="1"/>
      <c r="B780" s="1"/>
      <c r="C780" s="1"/>
      <c r="D780" s="1"/>
      <c r="E780" s="1"/>
      <c r="F780" s="1"/>
      <c r="P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142"/>
    </row>
    <row r="781" ht="17.25" customHeight="1">
      <c r="A781" s="1"/>
      <c r="B781" s="1"/>
      <c r="C781" s="1"/>
      <c r="D781" s="1"/>
      <c r="E781" s="1"/>
      <c r="F781" s="1"/>
      <c r="P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142"/>
    </row>
    <row r="782" ht="17.25" customHeight="1">
      <c r="A782" s="1"/>
      <c r="B782" s="1"/>
      <c r="C782" s="1"/>
      <c r="D782" s="1"/>
      <c r="E782" s="1"/>
      <c r="F782" s="1"/>
      <c r="P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142"/>
    </row>
    <row r="783" ht="17.25" customHeight="1">
      <c r="A783" s="1"/>
      <c r="B783" s="1"/>
      <c r="C783" s="1"/>
      <c r="D783" s="1"/>
      <c r="E783" s="1"/>
      <c r="F783" s="1"/>
      <c r="P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142"/>
    </row>
    <row r="784" ht="17.25" customHeight="1">
      <c r="A784" s="1"/>
      <c r="B784" s="1"/>
      <c r="C784" s="1"/>
      <c r="D784" s="1"/>
      <c r="E784" s="1"/>
      <c r="F784" s="1"/>
      <c r="P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142"/>
    </row>
    <row r="785" ht="17.25" customHeight="1">
      <c r="A785" s="1"/>
      <c r="B785" s="1"/>
      <c r="C785" s="1"/>
      <c r="D785" s="1"/>
      <c r="E785" s="1"/>
      <c r="F785" s="1"/>
      <c r="P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142"/>
    </row>
    <row r="786" ht="17.25" customHeight="1">
      <c r="A786" s="1"/>
      <c r="B786" s="1"/>
      <c r="C786" s="1"/>
      <c r="D786" s="1"/>
      <c r="E786" s="1"/>
      <c r="F786" s="1"/>
      <c r="P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142"/>
    </row>
    <row r="787" ht="17.25" customHeight="1">
      <c r="A787" s="1"/>
      <c r="B787" s="1"/>
      <c r="C787" s="1"/>
      <c r="D787" s="1"/>
      <c r="E787" s="1"/>
      <c r="F787" s="1"/>
      <c r="P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142"/>
    </row>
    <row r="788" ht="17.25" customHeight="1">
      <c r="A788" s="1"/>
      <c r="B788" s="1"/>
      <c r="C788" s="1"/>
      <c r="D788" s="1"/>
      <c r="E788" s="1"/>
      <c r="F788" s="1"/>
      <c r="P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142"/>
    </row>
    <row r="789" ht="17.25" customHeight="1">
      <c r="A789" s="1"/>
      <c r="B789" s="1"/>
      <c r="C789" s="1"/>
      <c r="D789" s="1"/>
      <c r="E789" s="1"/>
      <c r="F789" s="1"/>
      <c r="P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142"/>
    </row>
    <row r="790" ht="17.25" customHeight="1">
      <c r="A790" s="1"/>
      <c r="B790" s="1"/>
      <c r="C790" s="1"/>
      <c r="D790" s="1"/>
      <c r="E790" s="1"/>
      <c r="F790" s="1"/>
      <c r="P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142"/>
    </row>
    <row r="791" ht="17.25" customHeight="1">
      <c r="A791" s="1"/>
      <c r="B791" s="1"/>
      <c r="C791" s="1"/>
      <c r="D791" s="1"/>
      <c r="E791" s="1"/>
      <c r="F791" s="1"/>
      <c r="P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142"/>
    </row>
    <row r="792" ht="17.25" customHeight="1">
      <c r="A792" s="1"/>
      <c r="B792" s="1"/>
      <c r="C792" s="1"/>
      <c r="D792" s="1"/>
      <c r="E792" s="1"/>
      <c r="F792" s="1"/>
      <c r="P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142"/>
    </row>
    <row r="793" ht="17.25" customHeight="1">
      <c r="A793" s="1"/>
      <c r="B793" s="1"/>
      <c r="C793" s="1"/>
      <c r="D793" s="1"/>
      <c r="E793" s="1"/>
      <c r="F793" s="1"/>
      <c r="P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142"/>
    </row>
    <row r="794" ht="17.25" customHeight="1">
      <c r="A794" s="1"/>
      <c r="B794" s="1"/>
      <c r="C794" s="1"/>
      <c r="D794" s="1"/>
      <c r="E794" s="1"/>
      <c r="F794" s="1"/>
      <c r="P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142"/>
    </row>
    <row r="795" ht="17.25" customHeight="1">
      <c r="A795" s="1"/>
      <c r="B795" s="1"/>
      <c r="C795" s="1"/>
      <c r="D795" s="1"/>
      <c r="E795" s="1"/>
      <c r="F795" s="1"/>
      <c r="P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142"/>
    </row>
    <row r="796" ht="17.25" customHeight="1">
      <c r="A796" s="1"/>
      <c r="B796" s="1"/>
      <c r="C796" s="1"/>
      <c r="D796" s="1"/>
      <c r="E796" s="1"/>
      <c r="F796" s="1"/>
      <c r="P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142"/>
    </row>
    <row r="797" ht="17.25" customHeight="1">
      <c r="A797" s="1"/>
      <c r="B797" s="1"/>
      <c r="C797" s="1"/>
      <c r="D797" s="1"/>
      <c r="E797" s="1"/>
      <c r="F797" s="1"/>
      <c r="P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142"/>
    </row>
    <row r="798" ht="17.25" customHeight="1">
      <c r="A798" s="1"/>
      <c r="B798" s="1"/>
      <c r="C798" s="1"/>
      <c r="D798" s="1"/>
      <c r="E798" s="1"/>
      <c r="F798" s="1"/>
      <c r="P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142"/>
    </row>
    <row r="799" ht="17.25" customHeight="1">
      <c r="A799" s="1"/>
      <c r="B799" s="1"/>
      <c r="C799" s="1"/>
      <c r="D799" s="1"/>
      <c r="E799" s="1"/>
      <c r="F799" s="1"/>
      <c r="P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142"/>
    </row>
    <row r="800" ht="17.25" customHeight="1">
      <c r="A800" s="1"/>
      <c r="B800" s="1"/>
      <c r="C800" s="1"/>
      <c r="D800" s="1"/>
      <c r="E800" s="1"/>
      <c r="F800" s="1"/>
      <c r="P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142"/>
    </row>
    <row r="801" ht="17.25" customHeight="1">
      <c r="A801" s="1"/>
      <c r="B801" s="1"/>
      <c r="C801" s="1"/>
      <c r="D801" s="1"/>
      <c r="E801" s="1"/>
      <c r="F801" s="1"/>
      <c r="P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142"/>
    </row>
    <row r="802" ht="17.25" customHeight="1">
      <c r="A802" s="1"/>
      <c r="B802" s="1"/>
      <c r="C802" s="1"/>
      <c r="D802" s="1"/>
      <c r="E802" s="1"/>
      <c r="F802" s="1"/>
      <c r="P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142"/>
    </row>
    <row r="803" ht="17.25" customHeight="1">
      <c r="A803" s="1"/>
      <c r="B803" s="1"/>
      <c r="C803" s="1"/>
      <c r="D803" s="1"/>
      <c r="E803" s="1"/>
      <c r="F803" s="1"/>
      <c r="P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142"/>
    </row>
    <row r="804" ht="17.25" customHeight="1">
      <c r="A804" s="1"/>
      <c r="B804" s="1"/>
      <c r="C804" s="1"/>
      <c r="D804" s="1"/>
      <c r="E804" s="1"/>
      <c r="F804" s="1"/>
      <c r="P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142"/>
    </row>
    <row r="805" ht="17.25" customHeight="1">
      <c r="A805" s="1"/>
      <c r="B805" s="1"/>
      <c r="C805" s="1"/>
      <c r="D805" s="1"/>
      <c r="E805" s="1"/>
      <c r="F805" s="1"/>
      <c r="P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142"/>
    </row>
    <row r="806" ht="17.25" customHeight="1">
      <c r="A806" s="1"/>
      <c r="B806" s="1"/>
      <c r="C806" s="1"/>
      <c r="D806" s="1"/>
      <c r="E806" s="1"/>
      <c r="F806" s="1"/>
      <c r="P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142"/>
    </row>
    <row r="807" ht="17.25" customHeight="1">
      <c r="A807" s="1"/>
      <c r="B807" s="1"/>
      <c r="C807" s="1"/>
      <c r="D807" s="1"/>
      <c r="E807" s="1"/>
      <c r="F807" s="1"/>
      <c r="P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142"/>
    </row>
    <row r="808" ht="17.25" customHeight="1">
      <c r="A808" s="1"/>
      <c r="B808" s="1"/>
      <c r="C808" s="1"/>
      <c r="D808" s="1"/>
      <c r="E808" s="1"/>
      <c r="F808" s="1"/>
      <c r="P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142"/>
    </row>
    <row r="809" ht="17.25" customHeight="1">
      <c r="A809" s="1"/>
      <c r="B809" s="1"/>
      <c r="C809" s="1"/>
      <c r="D809" s="1"/>
      <c r="E809" s="1"/>
      <c r="F809" s="1"/>
      <c r="P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142"/>
    </row>
    <row r="810" ht="17.25" customHeight="1">
      <c r="A810" s="1"/>
      <c r="B810" s="1"/>
      <c r="C810" s="1"/>
      <c r="D810" s="1"/>
      <c r="E810" s="1"/>
      <c r="F810" s="1"/>
      <c r="P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142"/>
    </row>
    <row r="811" ht="17.25" customHeight="1">
      <c r="A811" s="1"/>
      <c r="B811" s="1"/>
      <c r="C811" s="1"/>
      <c r="D811" s="1"/>
      <c r="E811" s="1"/>
      <c r="F811" s="1"/>
      <c r="P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142"/>
    </row>
    <row r="812" ht="17.25" customHeight="1">
      <c r="A812" s="1"/>
      <c r="B812" s="1"/>
      <c r="C812" s="1"/>
      <c r="D812" s="1"/>
      <c r="E812" s="1"/>
      <c r="F812" s="1"/>
      <c r="P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142"/>
    </row>
    <row r="813" ht="17.25" customHeight="1">
      <c r="A813" s="1"/>
      <c r="B813" s="1"/>
      <c r="C813" s="1"/>
      <c r="D813" s="1"/>
      <c r="E813" s="1"/>
      <c r="F813" s="1"/>
      <c r="P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142"/>
    </row>
    <row r="814" ht="17.25" customHeight="1">
      <c r="A814" s="1"/>
      <c r="B814" s="1"/>
      <c r="C814" s="1"/>
      <c r="D814" s="1"/>
      <c r="E814" s="1"/>
      <c r="F814" s="1"/>
      <c r="P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142"/>
    </row>
    <row r="815" ht="17.25" customHeight="1">
      <c r="A815" s="1"/>
      <c r="B815" s="1"/>
      <c r="C815" s="1"/>
      <c r="D815" s="1"/>
      <c r="E815" s="1"/>
      <c r="F815" s="1"/>
      <c r="P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142"/>
    </row>
    <row r="816" ht="17.25" customHeight="1">
      <c r="A816" s="1"/>
      <c r="B816" s="1"/>
      <c r="C816" s="1"/>
      <c r="D816" s="1"/>
      <c r="E816" s="1"/>
      <c r="F816" s="1"/>
      <c r="P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142"/>
    </row>
    <row r="817" ht="17.25" customHeight="1">
      <c r="A817" s="1"/>
      <c r="B817" s="1"/>
      <c r="C817" s="1"/>
      <c r="D817" s="1"/>
      <c r="E817" s="1"/>
      <c r="F817" s="1"/>
      <c r="P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142"/>
    </row>
    <row r="818" ht="17.25" customHeight="1">
      <c r="A818" s="1"/>
      <c r="B818" s="1"/>
      <c r="C818" s="1"/>
      <c r="D818" s="1"/>
      <c r="E818" s="1"/>
      <c r="F818" s="1"/>
      <c r="P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142"/>
    </row>
    <row r="819" ht="17.25" customHeight="1">
      <c r="A819" s="1"/>
      <c r="B819" s="1"/>
      <c r="C819" s="1"/>
      <c r="D819" s="1"/>
      <c r="E819" s="1"/>
      <c r="F819" s="1"/>
      <c r="P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142"/>
    </row>
    <row r="820" ht="17.25" customHeight="1">
      <c r="A820" s="1"/>
      <c r="B820" s="1"/>
      <c r="C820" s="1"/>
      <c r="D820" s="1"/>
      <c r="E820" s="1"/>
      <c r="F820" s="1"/>
      <c r="P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142"/>
    </row>
    <row r="821" ht="17.25" customHeight="1">
      <c r="A821" s="1"/>
      <c r="B821" s="1"/>
      <c r="C821" s="1"/>
      <c r="D821" s="1"/>
      <c r="E821" s="1"/>
      <c r="F821" s="1"/>
      <c r="P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142"/>
    </row>
    <row r="822" ht="17.25" customHeight="1">
      <c r="A822" s="1"/>
      <c r="B822" s="1"/>
      <c r="C822" s="1"/>
      <c r="D822" s="1"/>
      <c r="E822" s="1"/>
      <c r="F822" s="1"/>
      <c r="P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142"/>
    </row>
    <row r="823" ht="17.25" customHeight="1">
      <c r="A823" s="1"/>
      <c r="B823" s="1"/>
      <c r="C823" s="1"/>
      <c r="D823" s="1"/>
      <c r="E823" s="1"/>
      <c r="F823" s="1"/>
      <c r="P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142"/>
    </row>
    <row r="824" ht="17.25" customHeight="1">
      <c r="A824" s="1"/>
      <c r="B824" s="1"/>
      <c r="C824" s="1"/>
      <c r="D824" s="1"/>
      <c r="E824" s="1"/>
      <c r="F824" s="1"/>
      <c r="P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142"/>
    </row>
    <row r="825" ht="17.25" customHeight="1">
      <c r="A825" s="1"/>
      <c r="B825" s="1"/>
      <c r="C825" s="1"/>
      <c r="D825" s="1"/>
      <c r="E825" s="1"/>
      <c r="F825" s="1"/>
      <c r="P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142"/>
    </row>
    <row r="826" ht="17.25" customHeight="1">
      <c r="A826" s="1"/>
      <c r="B826" s="1"/>
      <c r="C826" s="1"/>
      <c r="D826" s="1"/>
      <c r="E826" s="1"/>
      <c r="F826" s="1"/>
      <c r="P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142"/>
    </row>
    <row r="827" ht="17.25" customHeight="1">
      <c r="A827" s="1"/>
      <c r="B827" s="1"/>
      <c r="C827" s="1"/>
      <c r="D827" s="1"/>
      <c r="E827" s="1"/>
      <c r="F827" s="1"/>
      <c r="P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142"/>
    </row>
    <row r="828" ht="17.25" customHeight="1">
      <c r="A828" s="1"/>
      <c r="B828" s="1"/>
      <c r="C828" s="1"/>
      <c r="D828" s="1"/>
      <c r="E828" s="1"/>
      <c r="F828" s="1"/>
      <c r="P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142"/>
    </row>
    <row r="829" ht="17.25" customHeight="1">
      <c r="A829" s="1"/>
      <c r="B829" s="1"/>
      <c r="C829" s="1"/>
      <c r="D829" s="1"/>
      <c r="E829" s="1"/>
      <c r="F829" s="1"/>
      <c r="P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142"/>
    </row>
    <row r="830" ht="17.25" customHeight="1">
      <c r="A830" s="1"/>
      <c r="B830" s="1"/>
      <c r="C830" s="1"/>
      <c r="D830" s="1"/>
      <c r="E830" s="1"/>
      <c r="F830" s="1"/>
      <c r="P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142"/>
    </row>
    <row r="831" ht="17.25" customHeight="1">
      <c r="A831" s="1"/>
      <c r="B831" s="1"/>
      <c r="C831" s="1"/>
      <c r="D831" s="1"/>
      <c r="E831" s="1"/>
      <c r="F831" s="1"/>
      <c r="P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142"/>
    </row>
    <row r="832" ht="17.25" customHeight="1">
      <c r="A832" s="1"/>
      <c r="B832" s="1"/>
      <c r="C832" s="1"/>
      <c r="D832" s="1"/>
      <c r="E832" s="1"/>
      <c r="F832" s="1"/>
      <c r="P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142"/>
    </row>
    <row r="833" ht="17.25" customHeight="1">
      <c r="A833" s="1"/>
      <c r="B833" s="1"/>
      <c r="C833" s="1"/>
      <c r="D833" s="1"/>
      <c r="E833" s="1"/>
      <c r="F833" s="1"/>
      <c r="P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142"/>
    </row>
    <row r="834" ht="17.25" customHeight="1">
      <c r="A834" s="1"/>
      <c r="B834" s="1"/>
      <c r="C834" s="1"/>
      <c r="D834" s="1"/>
      <c r="E834" s="1"/>
      <c r="F834" s="1"/>
      <c r="P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142"/>
    </row>
    <row r="835" ht="17.25" customHeight="1">
      <c r="A835" s="1"/>
      <c r="B835" s="1"/>
      <c r="C835" s="1"/>
      <c r="D835" s="1"/>
      <c r="E835" s="1"/>
      <c r="F835" s="1"/>
      <c r="P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142"/>
    </row>
    <row r="836" ht="17.25" customHeight="1">
      <c r="A836" s="1"/>
      <c r="B836" s="1"/>
      <c r="C836" s="1"/>
      <c r="D836" s="1"/>
      <c r="E836" s="1"/>
      <c r="F836" s="1"/>
      <c r="P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142"/>
    </row>
    <row r="837" ht="17.25" customHeight="1">
      <c r="A837" s="1"/>
      <c r="B837" s="1"/>
      <c r="C837" s="1"/>
      <c r="D837" s="1"/>
      <c r="E837" s="1"/>
      <c r="F837" s="1"/>
      <c r="P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142"/>
    </row>
    <row r="838" ht="17.25" customHeight="1">
      <c r="A838" s="1"/>
      <c r="B838" s="1"/>
      <c r="C838" s="1"/>
      <c r="D838" s="1"/>
      <c r="E838" s="1"/>
      <c r="F838" s="1"/>
      <c r="P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142"/>
    </row>
    <row r="839" ht="17.25" customHeight="1">
      <c r="A839" s="1"/>
      <c r="B839" s="1"/>
      <c r="C839" s="1"/>
      <c r="D839" s="1"/>
      <c r="E839" s="1"/>
      <c r="F839" s="1"/>
      <c r="P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142"/>
    </row>
    <row r="840" ht="17.25" customHeight="1">
      <c r="A840" s="1"/>
      <c r="B840" s="1"/>
      <c r="C840" s="1"/>
      <c r="D840" s="1"/>
      <c r="E840" s="1"/>
      <c r="F840" s="1"/>
      <c r="P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142"/>
    </row>
    <row r="841" ht="17.25" customHeight="1">
      <c r="A841" s="1"/>
      <c r="B841" s="1"/>
      <c r="C841" s="1"/>
      <c r="D841" s="1"/>
      <c r="E841" s="1"/>
      <c r="F841" s="1"/>
      <c r="P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142"/>
    </row>
    <row r="842" ht="17.25" customHeight="1">
      <c r="A842" s="1"/>
      <c r="B842" s="1"/>
      <c r="C842" s="1"/>
      <c r="D842" s="1"/>
      <c r="E842" s="1"/>
      <c r="F842" s="1"/>
      <c r="P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142"/>
    </row>
    <row r="843" ht="17.25" customHeight="1">
      <c r="A843" s="1"/>
      <c r="B843" s="1"/>
      <c r="C843" s="1"/>
      <c r="D843" s="1"/>
      <c r="E843" s="1"/>
      <c r="F843" s="1"/>
      <c r="P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142"/>
    </row>
    <row r="844" ht="17.25" customHeight="1">
      <c r="A844" s="1"/>
      <c r="B844" s="1"/>
      <c r="C844" s="1"/>
      <c r="D844" s="1"/>
      <c r="E844" s="1"/>
      <c r="F844" s="1"/>
      <c r="P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142"/>
    </row>
    <row r="845" ht="17.25" customHeight="1">
      <c r="A845" s="1"/>
      <c r="B845" s="1"/>
      <c r="C845" s="1"/>
      <c r="D845" s="1"/>
      <c r="E845" s="1"/>
      <c r="F845" s="1"/>
      <c r="P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142"/>
    </row>
    <row r="846" ht="17.25" customHeight="1">
      <c r="A846" s="1"/>
      <c r="B846" s="1"/>
      <c r="C846" s="1"/>
      <c r="D846" s="1"/>
      <c r="E846" s="1"/>
      <c r="F846" s="1"/>
      <c r="P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142"/>
    </row>
    <row r="847" ht="17.25" customHeight="1">
      <c r="A847" s="1"/>
      <c r="B847" s="1"/>
      <c r="C847" s="1"/>
      <c r="D847" s="1"/>
      <c r="E847" s="1"/>
      <c r="F847" s="1"/>
      <c r="P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142"/>
    </row>
    <row r="848" ht="17.25" customHeight="1">
      <c r="A848" s="1"/>
      <c r="B848" s="1"/>
      <c r="C848" s="1"/>
      <c r="D848" s="1"/>
      <c r="E848" s="1"/>
      <c r="F848" s="1"/>
      <c r="P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142"/>
    </row>
    <row r="849" ht="17.25" customHeight="1">
      <c r="A849" s="1"/>
      <c r="B849" s="1"/>
      <c r="C849" s="1"/>
      <c r="D849" s="1"/>
      <c r="E849" s="1"/>
      <c r="F849" s="1"/>
      <c r="P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142"/>
    </row>
    <row r="850" ht="17.25" customHeight="1">
      <c r="A850" s="1"/>
      <c r="B850" s="1"/>
      <c r="C850" s="1"/>
      <c r="D850" s="1"/>
      <c r="E850" s="1"/>
      <c r="F850" s="1"/>
      <c r="P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142"/>
    </row>
    <row r="851" ht="17.25" customHeight="1">
      <c r="A851" s="1"/>
      <c r="B851" s="1"/>
      <c r="C851" s="1"/>
      <c r="D851" s="1"/>
      <c r="E851" s="1"/>
      <c r="F851" s="1"/>
      <c r="P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142"/>
    </row>
    <row r="852" ht="17.25" customHeight="1">
      <c r="A852" s="1"/>
      <c r="B852" s="1"/>
      <c r="C852" s="1"/>
      <c r="D852" s="1"/>
      <c r="E852" s="1"/>
      <c r="F852" s="1"/>
      <c r="P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142"/>
    </row>
    <row r="853" ht="17.25" customHeight="1">
      <c r="A853" s="1"/>
      <c r="B853" s="1"/>
      <c r="C853" s="1"/>
      <c r="D853" s="1"/>
      <c r="E853" s="1"/>
      <c r="F853" s="1"/>
      <c r="P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142"/>
    </row>
    <row r="854" ht="17.25" customHeight="1">
      <c r="A854" s="1"/>
      <c r="B854" s="1"/>
      <c r="C854" s="1"/>
      <c r="D854" s="1"/>
      <c r="E854" s="1"/>
      <c r="F854" s="1"/>
      <c r="P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142"/>
    </row>
    <row r="855" ht="17.25" customHeight="1">
      <c r="A855" s="1"/>
      <c r="B855" s="1"/>
      <c r="C855" s="1"/>
      <c r="D855" s="1"/>
      <c r="E855" s="1"/>
      <c r="F855" s="1"/>
      <c r="P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142"/>
    </row>
    <row r="856" ht="17.25" customHeight="1">
      <c r="A856" s="1"/>
      <c r="B856" s="1"/>
      <c r="C856" s="1"/>
      <c r="D856" s="1"/>
      <c r="E856" s="1"/>
      <c r="F856" s="1"/>
      <c r="P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142"/>
    </row>
    <row r="857" ht="17.25" customHeight="1">
      <c r="A857" s="1"/>
      <c r="B857" s="1"/>
      <c r="C857" s="1"/>
      <c r="D857" s="1"/>
      <c r="E857" s="1"/>
      <c r="F857" s="1"/>
      <c r="P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142"/>
    </row>
    <row r="858" ht="17.25" customHeight="1">
      <c r="A858" s="1"/>
      <c r="B858" s="1"/>
      <c r="C858" s="1"/>
      <c r="D858" s="1"/>
      <c r="E858" s="1"/>
      <c r="F858" s="1"/>
      <c r="P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142"/>
    </row>
    <row r="859" ht="17.25" customHeight="1">
      <c r="A859" s="1"/>
      <c r="B859" s="1"/>
      <c r="C859" s="1"/>
      <c r="D859" s="1"/>
      <c r="E859" s="1"/>
      <c r="F859" s="1"/>
      <c r="P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142"/>
    </row>
    <row r="860" ht="17.25" customHeight="1">
      <c r="A860" s="1"/>
      <c r="B860" s="1"/>
      <c r="C860" s="1"/>
      <c r="D860" s="1"/>
      <c r="E860" s="1"/>
      <c r="F860" s="1"/>
      <c r="P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142"/>
    </row>
    <row r="861" ht="17.25" customHeight="1">
      <c r="A861" s="1"/>
      <c r="B861" s="1"/>
      <c r="C861" s="1"/>
      <c r="D861" s="1"/>
      <c r="E861" s="1"/>
      <c r="F861" s="1"/>
      <c r="P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142"/>
    </row>
    <row r="862" ht="17.25" customHeight="1">
      <c r="A862" s="1"/>
      <c r="B862" s="1"/>
      <c r="C862" s="1"/>
      <c r="D862" s="1"/>
      <c r="E862" s="1"/>
      <c r="F862" s="1"/>
      <c r="P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142"/>
    </row>
    <row r="863" ht="17.25" customHeight="1">
      <c r="A863" s="1"/>
      <c r="B863" s="1"/>
      <c r="C863" s="1"/>
      <c r="D863" s="1"/>
      <c r="E863" s="1"/>
      <c r="F863" s="1"/>
      <c r="P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142"/>
    </row>
    <row r="864" ht="17.25" customHeight="1">
      <c r="A864" s="1"/>
      <c r="B864" s="1"/>
      <c r="C864" s="1"/>
      <c r="D864" s="1"/>
      <c r="E864" s="1"/>
      <c r="F864" s="1"/>
      <c r="P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142"/>
    </row>
    <row r="865" ht="17.25" customHeight="1">
      <c r="A865" s="1"/>
      <c r="B865" s="1"/>
      <c r="C865" s="1"/>
      <c r="D865" s="1"/>
      <c r="E865" s="1"/>
      <c r="F865" s="1"/>
      <c r="P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142"/>
    </row>
    <row r="866" ht="17.25" customHeight="1">
      <c r="A866" s="1"/>
      <c r="B866" s="1"/>
      <c r="C866" s="1"/>
      <c r="D866" s="1"/>
      <c r="E866" s="1"/>
      <c r="F866" s="1"/>
      <c r="P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142"/>
    </row>
    <row r="867" ht="17.25" customHeight="1">
      <c r="A867" s="1"/>
      <c r="B867" s="1"/>
      <c r="C867" s="1"/>
      <c r="D867" s="1"/>
      <c r="E867" s="1"/>
      <c r="F867" s="1"/>
      <c r="P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142"/>
    </row>
    <row r="868" ht="17.25" customHeight="1">
      <c r="A868" s="1"/>
      <c r="B868" s="1"/>
      <c r="C868" s="1"/>
      <c r="D868" s="1"/>
      <c r="E868" s="1"/>
      <c r="F868" s="1"/>
      <c r="P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142"/>
    </row>
    <row r="869" ht="17.25" customHeight="1">
      <c r="A869" s="1"/>
      <c r="B869" s="1"/>
      <c r="C869" s="1"/>
      <c r="D869" s="1"/>
      <c r="E869" s="1"/>
      <c r="F869" s="1"/>
      <c r="P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142"/>
    </row>
    <row r="870" ht="17.25" customHeight="1">
      <c r="A870" s="1"/>
      <c r="B870" s="1"/>
      <c r="C870" s="1"/>
      <c r="D870" s="1"/>
      <c r="E870" s="1"/>
      <c r="F870" s="1"/>
      <c r="P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142"/>
    </row>
    <row r="871" ht="17.25" customHeight="1">
      <c r="A871" s="1"/>
      <c r="B871" s="1"/>
      <c r="C871" s="1"/>
      <c r="D871" s="1"/>
      <c r="E871" s="1"/>
      <c r="F871" s="1"/>
      <c r="P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142"/>
    </row>
    <row r="872" ht="17.25" customHeight="1">
      <c r="A872" s="1"/>
      <c r="B872" s="1"/>
      <c r="C872" s="1"/>
      <c r="D872" s="1"/>
      <c r="E872" s="1"/>
      <c r="F872" s="1"/>
      <c r="P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142"/>
    </row>
    <row r="873" ht="17.25" customHeight="1">
      <c r="A873" s="1"/>
      <c r="B873" s="1"/>
      <c r="C873" s="1"/>
      <c r="D873" s="1"/>
      <c r="E873" s="1"/>
      <c r="F873" s="1"/>
      <c r="P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142"/>
    </row>
    <row r="874" ht="17.25" customHeight="1">
      <c r="A874" s="1"/>
      <c r="B874" s="1"/>
      <c r="C874" s="1"/>
      <c r="D874" s="1"/>
      <c r="E874" s="1"/>
      <c r="F874" s="1"/>
      <c r="P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142"/>
    </row>
    <row r="875" ht="17.25" customHeight="1">
      <c r="A875" s="1"/>
      <c r="B875" s="1"/>
      <c r="C875" s="1"/>
      <c r="D875" s="1"/>
      <c r="E875" s="1"/>
      <c r="F875" s="1"/>
      <c r="P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142"/>
    </row>
    <row r="876" ht="17.25" customHeight="1">
      <c r="A876" s="1"/>
      <c r="B876" s="1"/>
      <c r="C876" s="1"/>
      <c r="D876" s="1"/>
      <c r="E876" s="1"/>
      <c r="F876" s="1"/>
      <c r="P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142"/>
    </row>
    <row r="877" ht="17.25" customHeight="1">
      <c r="A877" s="1"/>
      <c r="B877" s="1"/>
      <c r="C877" s="1"/>
      <c r="D877" s="1"/>
      <c r="E877" s="1"/>
      <c r="F877" s="1"/>
      <c r="P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142"/>
    </row>
    <row r="878" ht="17.25" customHeight="1">
      <c r="A878" s="1"/>
      <c r="B878" s="1"/>
      <c r="C878" s="1"/>
      <c r="D878" s="1"/>
      <c r="E878" s="1"/>
      <c r="F878" s="1"/>
      <c r="P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142"/>
    </row>
    <row r="879" ht="17.25" customHeight="1">
      <c r="A879" s="1"/>
      <c r="B879" s="1"/>
      <c r="C879" s="1"/>
      <c r="D879" s="1"/>
      <c r="E879" s="1"/>
      <c r="F879" s="1"/>
      <c r="P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142"/>
    </row>
    <row r="880" ht="17.25" customHeight="1">
      <c r="A880" s="1"/>
      <c r="B880" s="1"/>
      <c r="C880" s="1"/>
      <c r="D880" s="1"/>
      <c r="E880" s="1"/>
      <c r="F880" s="1"/>
      <c r="P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142"/>
    </row>
    <row r="881" ht="17.25" customHeight="1">
      <c r="A881" s="1"/>
      <c r="B881" s="1"/>
      <c r="C881" s="1"/>
      <c r="D881" s="1"/>
      <c r="E881" s="1"/>
      <c r="F881" s="1"/>
      <c r="P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142"/>
    </row>
    <row r="882" ht="17.25" customHeight="1">
      <c r="A882" s="1"/>
      <c r="B882" s="1"/>
      <c r="C882" s="1"/>
      <c r="D882" s="1"/>
      <c r="E882" s="1"/>
      <c r="F882" s="1"/>
      <c r="P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142"/>
    </row>
    <row r="883" ht="17.25" customHeight="1">
      <c r="A883" s="1"/>
      <c r="B883" s="1"/>
      <c r="C883" s="1"/>
      <c r="D883" s="1"/>
      <c r="E883" s="1"/>
      <c r="F883" s="1"/>
      <c r="P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142"/>
    </row>
    <row r="884" ht="17.25" customHeight="1">
      <c r="A884" s="1"/>
      <c r="B884" s="1"/>
      <c r="C884" s="1"/>
      <c r="D884" s="1"/>
      <c r="E884" s="1"/>
      <c r="F884" s="1"/>
      <c r="P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142"/>
    </row>
    <row r="885" ht="17.25" customHeight="1">
      <c r="A885" s="1"/>
      <c r="B885" s="1"/>
      <c r="C885" s="1"/>
      <c r="D885" s="1"/>
      <c r="E885" s="1"/>
      <c r="F885" s="1"/>
      <c r="P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142"/>
    </row>
    <row r="886" ht="17.25" customHeight="1">
      <c r="A886" s="1"/>
      <c r="B886" s="1"/>
      <c r="C886" s="1"/>
      <c r="D886" s="1"/>
      <c r="E886" s="1"/>
      <c r="F886" s="1"/>
      <c r="P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142"/>
    </row>
    <row r="887" ht="17.25" customHeight="1">
      <c r="A887" s="1"/>
      <c r="B887" s="1"/>
      <c r="C887" s="1"/>
      <c r="D887" s="1"/>
      <c r="E887" s="1"/>
      <c r="F887" s="1"/>
      <c r="P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142"/>
    </row>
    <row r="888" ht="17.25" customHeight="1">
      <c r="A888" s="1"/>
      <c r="B888" s="1"/>
      <c r="C888" s="1"/>
      <c r="D888" s="1"/>
      <c r="E888" s="1"/>
      <c r="F888" s="1"/>
      <c r="P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142"/>
    </row>
    <row r="889" ht="17.25" customHeight="1">
      <c r="A889" s="1"/>
      <c r="B889" s="1"/>
      <c r="C889" s="1"/>
      <c r="D889" s="1"/>
      <c r="E889" s="1"/>
      <c r="F889" s="1"/>
      <c r="P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142"/>
    </row>
    <row r="890" ht="17.25" customHeight="1">
      <c r="A890" s="1"/>
      <c r="B890" s="1"/>
      <c r="C890" s="1"/>
      <c r="D890" s="1"/>
      <c r="E890" s="1"/>
      <c r="F890" s="1"/>
      <c r="P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142"/>
    </row>
    <row r="891" ht="17.25" customHeight="1">
      <c r="A891" s="1"/>
      <c r="B891" s="1"/>
      <c r="C891" s="1"/>
      <c r="D891" s="1"/>
      <c r="E891" s="1"/>
      <c r="F891" s="1"/>
      <c r="P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142"/>
    </row>
    <row r="892" ht="17.25" customHeight="1">
      <c r="A892" s="1"/>
      <c r="B892" s="1"/>
      <c r="C892" s="1"/>
      <c r="D892" s="1"/>
      <c r="E892" s="1"/>
      <c r="F892" s="1"/>
      <c r="P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142"/>
    </row>
    <row r="893" ht="17.25" customHeight="1">
      <c r="A893" s="1"/>
      <c r="B893" s="1"/>
      <c r="C893" s="1"/>
      <c r="D893" s="1"/>
      <c r="E893" s="1"/>
      <c r="F893" s="1"/>
      <c r="P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142"/>
    </row>
    <row r="894" ht="17.25" customHeight="1">
      <c r="A894" s="1"/>
      <c r="B894" s="1"/>
      <c r="C894" s="1"/>
      <c r="D894" s="1"/>
      <c r="E894" s="1"/>
      <c r="F894" s="1"/>
      <c r="P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142"/>
    </row>
    <row r="895" ht="17.25" customHeight="1">
      <c r="A895" s="1"/>
      <c r="B895" s="1"/>
      <c r="C895" s="1"/>
      <c r="D895" s="1"/>
      <c r="E895" s="1"/>
      <c r="F895" s="1"/>
      <c r="P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142"/>
    </row>
    <row r="896" ht="17.25" customHeight="1">
      <c r="A896" s="1"/>
      <c r="B896" s="1"/>
      <c r="C896" s="1"/>
      <c r="D896" s="1"/>
      <c r="E896" s="1"/>
      <c r="F896" s="1"/>
      <c r="P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142"/>
    </row>
    <row r="897" ht="17.25" customHeight="1">
      <c r="A897" s="1"/>
      <c r="B897" s="1"/>
      <c r="C897" s="1"/>
      <c r="D897" s="1"/>
      <c r="E897" s="1"/>
      <c r="F897" s="1"/>
      <c r="P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142"/>
    </row>
    <row r="898" ht="17.25" customHeight="1">
      <c r="A898" s="1"/>
      <c r="B898" s="1"/>
      <c r="C898" s="1"/>
      <c r="D898" s="1"/>
      <c r="E898" s="1"/>
      <c r="F898" s="1"/>
      <c r="P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142"/>
    </row>
    <row r="899" ht="17.25" customHeight="1">
      <c r="A899" s="1"/>
      <c r="B899" s="1"/>
      <c r="C899" s="1"/>
      <c r="D899" s="1"/>
      <c r="E899" s="1"/>
      <c r="F899" s="1"/>
      <c r="P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142"/>
    </row>
    <row r="900" ht="17.25" customHeight="1">
      <c r="A900" s="1"/>
      <c r="B900" s="1"/>
      <c r="C900" s="1"/>
      <c r="D900" s="1"/>
      <c r="E900" s="1"/>
      <c r="F900" s="1"/>
      <c r="P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142"/>
    </row>
    <row r="901" ht="17.25" customHeight="1">
      <c r="A901" s="1"/>
      <c r="B901" s="1"/>
      <c r="C901" s="1"/>
      <c r="D901" s="1"/>
      <c r="E901" s="1"/>
      <c r="F901" s="1"/>
      <c r="P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142"/>
    </row>
    <row r="902" ht="17.25" customHeight="1">
      <c r="A902" s="1"/>
      <c r="B902" s="1"/>
      <c r="C902" s="1"/>
      <c r="D902" s="1"/>
      <c r="E902" s="1"/>
      <c r="F902" s="1"/>
      <c r="P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142"/>
    </row>
    <row r="903" ht="17.25" customHeight="1">
      <c r="A903" s="1"/>
      <c r="B903" s="1"/>
      <c r="C903" s="1"/>
      <c r="D903" s="1"/>
      <c r="E903" s="1"/>
      <c r="F903" s="1"/>
      <c r="P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142"/>
    </row>
    <row r="904" ht="17.25" customHeight="1">
      <c r="A904" s="1"/>
      <c r="B904" s="1"/>
      <c r="C904" s="1"/>
      <c r="D904" s="1"/>
      <c r="E904" s="1"/>
      <c r="F904" s="1"/>
      <c r="P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142"/>
    </row>
    <row r="905" ht="17.25" customHeight="1">
      <c r="A905" s="1"/>
      <c r="B905" s="1"/>
      <c r="C905" s="1"/>
      <c r="D905" s="1"/>
      <c r="E905" s="1"/>
      <c r="F905" s="1"/>
      <c r="P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142"/>
    </row>
    <row r="906" ht="17.25" customHeight="1">
      <c r="A906" s="1"/>
      <c r="B906" s="1"/>
      <c r="C906" s="1"/>
      <c r="D906" s="1"/>
      <c r="E906" s="1"/>
      <c r="F906" s="1"/>
      <c r="P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142"/>
    </row>
    <row r="907" ht="17.25" customHeight="1">
      <c r="A907" s="1"/>
      <c r="B907" s="1"/>
      <c r="C907" s="1"/>
      <c r="D907" s="1"/>
      <c r="E907" s="1"/>
      <c r="F907" s="1"/>
      <c r="P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142"/>
    </row>
    <row r="908" ht="17.25" customHeight="1">
      <c r="A908" s="1"/>
      <c r="B908" s="1"/>
      <c r="C908" s="1"/>
      <c r="D908" s="1"/>
      <c r="E908" s="1"/>
      <c r="F908" s="1"/>
      <c r="P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142"/>
    </row>
    <row r="909" ht="17.25" customHeight="1">
      <c r="A909" s="1"/>
      <c r="B909" s="1"/>
      <c r="C909" s="1"/>
      <c r="D909" s="1"/>
      <c r="E909" s="1"/>
      <c r="F909" s="1"/>
      <c r="P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142"/>
    </row>
    <row r="910" ht="17.25" customHeight="1">
      <c r="A910" s="1"/>
      <c r="B910" s="1"/>
      <c r="C910" s="1"/>
      <c r="D910" s="1"/>
      <c r="E910" s="1"/>
      <c r="F910" s="1"/>
      <c r="P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142"/>
    </row>
    <row r="911" ht="17.25" customHeight="1">
      <c r="A911" s="1"/>
      <c r="B911" s="1"/>
      <c r="C911" s="1"/>
      <c r="D911" s="1"/>
      <c r="E911" s="1"/>
      <c r="F911" s="1"/>
      <c r="P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142"/>
    </row>
    <row r="912" ht="17.25" customHeight="1">
      <c r="A912" s="1"/>
      <c r="B912" s="1"/>
      <c r="C912" s="1"/>
      <c r="D912" s="1"/>
      <c r="E912" s="1"/>
      <c r="F912" s="1"/>
      <c r="P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142"/>
    </row>
    <row r="913" ht="17.25" customHeight="1">
      <c r="A913" s="1"/>
      <c r="B913" s="1"/>
      <c r="C913" s="1"/>
      <c r="D913" s="1"/>
      <c r="E913" s="1"/>
      <c r="F913" s="1"/>
      <c r="P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142"/>
    </row>
    <row r="914" ht="17.25" customHeight="1">
      <c r="A914" s="1"/>
      <c r="B914" s="1"/>
      <c r="C914" s="1"/>
      <c r="D914" s="1"/>
      <c r="E914" s="1"/>
      <c r="F914" s="1"/>
      <c r="P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142"/>
    </row>
    <row r="915" ht="17.25" customHeight="1">
      <c r="A915" s="1"/>
      <c r="B915" s="1"/>
      <c r="C915" s="1"/>
      <c r="D915" s="1"/>
      <c r="E915" s="1"/>
      <c r="F915" s="1"/>
      <c r="P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142"/>
    </row>
    <row r="916" ht="17.25" customHeight="1">
      <c r="A916" s="1"/>
      <c r="B916" s="1"/>
      <c r="C916" s="1"/>
      <c r="D916" s="1"/>
      <c r="E916" s="1"/>
      <c r="F916" s="1"/>
      <c r="P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142"/>
    </row>
    <row r="917" ht="17.25" customHeight="1">
      <c r="A917" s="1"/>
      <c r="B917" s="1"/>
      <c r="C917" s="1"/>
      <c r="D917" s="1"/>
      <c r="E917" s="1"/>
      <c r="F917" s="1"/>
      <c r="P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142"/>
    </row>
    <row r="918" ht="17.25" customHeight="1">
      <c r="A918" s="1"/>
      <c r="B918" s="1"/>
      <c r="C918" s="1"/>
      <c r="D918" s="1"/>
      <c r="E918" s="1"/>
      <c r="F918" s="1"/>
      <c r="P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142"/>
    </row>
    <row r="919" ht="17.25" customHeight="1">
      <c r="A919" s="1"/>
      <c r="B919" s="1"/>
      <c r="C919" s="1"/>
      <c r="D919" s="1"/>
      <c r="E919" s="1"/>
      <c r="F919" s="1"/>
      <c r="P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142"/>
    </row>
    <row r="920" ht="17.25" customHeight="1">
      <c r="A920" s="1"/>
      <c r="B920" s="1"/>
      <c r="C920" s="1"/>
      <c r="D920" s="1"/>
      <c r="E920" s="1"/>
      <c r="F920" s="1"/>
      <c r="P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142"/>
    </row>
    <row r="921" ht="17.25" customHeight="1">
      <c r="A921" s="1"/>
      <c r="B921" s="1"/>
      <c r="C921" s="1"/>
      <c r="D921" s="1"/>
      <c r="E921" s="1"/>
      <c r="F921" s="1"/>
      <c r="P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142"/>
    </row>
    <row r="922" ht="17.25" customHeight="1">
      <c r="A922" s="1"/>
      <c r="B922" s="1"/>
      <c r="C922" s="1"/>
      <c r="D922" s="1"/>
      <c r="E922" s="1"/>
      <c r="F922" s="1"/>
      <c r="P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142"/>
    </row>
    <row r="923" ht="17.25" customHeight="1">
      <c r="A923" s="1"/>
      <c r="B923" s="1"/>
      <c r="C923" s="1"/>
      <c r="D923" s="1"/>
      <c r="E923" s="1"/>
      <c r="F923" s="1"/>
      <c r="P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142"/>
    </row>
    <row r="924" ht="17.25" customHeight="1">
      <c r="A924" s="1"/>
      <c r="B924" s="1"/>
      <c r="C924" s="1"/>
      <c r="D924" s="1"/>
      <c r="E924" s="1"/>
      <c r="F924" s="1"/>
      <c r="P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142"/>
    </row>
    <row r="925" ht="17.25" customHeight="1">
      <c r="A925" s="1"/>
      <c r="B925" s="1"/>
      <c r="C925" s="1"/>
      <c r="D925" s="1"/>
      <c r="E925" s="1"/>
      <c r="F925" s="1"/>
      <c r="P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142"/>
    </row>
    <row r="926" ht="17.25" customHeight="1">
      <c r="A926" s="1"/>
      <c r="B926" s="1"/>
      <c r="C926" s="1"/>
      <c r="D926" s="1"/>
      <c r="E926" s="1"/>
      <c r="F926" s="1"/>
      <c r="P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142"/>
    </row>
    <row r="927" ht="17.25" customHeight="1">
      <c r="A927" s="1"/>
      <c r="B927" s="1"/>
      <c r="C927" s="1"/>
      <c r="D927" s="1"/>
      <c r="E927" s="1"/>
      <c r="F927" s="1"/>
      <c r="P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142"/>
    </row>
    <row r="928" ht="17.25" customHeight="1">
      <c r="A928" s="1"/>
      <c r="B928" s="1"/>
      <c r="C928" s="1"/>
      <c r="D928" s="1"/>
      <c r="E928" s="1"/>
      <c r="F928" s="1"/>
      <c r="P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142"/>
    </row>
    <row r="929" ht="17.25" customHeight="1">
      <c r="A929" s="1"/>
      <c r="B929" s="1"/>
      <c r="C929" s="1"/>
      <c r="D929" s="1"/>
      <c r="E929" s="1"/>
      <c r="F929" s="1"/>
      <c r="P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142"/>
    </row>
    <row r="930" ht="17.25" customHeight="1">
      <c r="A930" s="1"/>
      <c r="B930" s="1"/>
      <c r="C930" s="1"/>
      <c r="D930" s="1"/>
      <c r="E930" s="1"/>
      <c r="F930" s="1"/>
      <c r="P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142"/>
    </row>
    <row r="931" ht="17.25" customHeight="1">
      <c r="A931" s="1"/>
      <c r="B931" s="1"/>
      <c r="C931" s="1"/>
      <c r="D931" s="1"/>
      <c r="E931" s="1"/>
      <c r="F931" s="1"/>
      <c r="P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142"/>
    </row>
    <row r="932" ht="17.25" customHeight="1">
      <c r="A932" s="1"/>
      <c r="B932" s="1"/>
      <c r="C932" s="1"/>
      <c r="D932" s="1"/>
      <c r="E932" s="1"/>
      <c r="F932" s="1"/>
      <c r="P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142"/>
    </row>
    <row r="933" ht="17.25" customHeight="1">
      <c r="A933" s="1"/>
      <c r="B933" s="1"/>
      <c r="C933" s="1"/>
      <c r="D933" s="1"/>
      <c r="E933" s="1"/>
      <c r="F933" s="1"/>
      <c r="P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142"/>
    </row>
    <row r="934" ht="17.25" customHeight="1">
      <c r="A934" s="1"/>
      <c r="B934" s="1"/>
      <c r="C934" s="1"/>
      <c r="D934" s="1"/>
      <c r="E934" s="1"/>
      <c r="F934" s="1"/>
      <c r="P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142"/>
    </row>
    <row r="935" ht="17.25" customHeight="1">
      <c r="A935" s="1"/>
      <c r="B935" s="1"/>
      <c r="C935" s="1"/>
      <c r="D935" s="1"/>
      <c r="E935" s="1"/>
      <c r="F935" s="1"/>
      <c r="P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142"/>
    </row>
    <row r="936" ht="17.25" customHeight="1">
      <c r="A936" s="1"/>
      <c r="B936" s="1"/>
      <c r="C936" s="1"/>
      <c r="D936" s="1"/>
      <c r="E936" s="1"/>
      <c r="F936" s="1"/>
      <c r="P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142"/>
    </row>
    <row r="937" ht="17.25" customHeight="1">
      <c r="A937" s="1"/>
      <c r="B937" s="1"/>
      <c r="C937" s="1"/>
      <c r="D937" s="1"/>
      <c r="E937" s="1"/>
      <c r="F937" s="1"/>
      <c r="P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142"/>
    </row>
    <row r="938" ht="17.25" customHeight="1">
      <c r="A938" s="1"/>
      <c r="B938" s="1"/>
      <c r="C938" s="1"/>
      <c r="D938" s="1"/>
      <c r="E938" s="1"/>
      <c r="F938" s="1"/>
      <c r="P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142"/>
    </row>
    <row r="939" ht="17.25" customHeight="1">
      <c r="A939" s="1"/>
      <c r="B939" s="1"/>
      <c r="C939" s="1"/>
      <c r="D939" s="1"/>
      <c r="E939" s="1"/>
      <c r="F939" s="1"/>
      <c r="P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142"/>
    </row>
    <row r="940" ht="17.25" customHeight="1">
      <c r="A940" s="1"/>
      <c r="B940" s="1"/>
      <c r="C940" s="1"/>
      <c r="D940" s="1"/>
      <c r="E940" s="1"/>
      <c r="F940" s="1"/>
      <c r="P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142"/>
    </row>
    <row r="941" ht="17.25" customHeight="1">
      <c r="A941" s="1"/>
      <c r="B941" s="1"/>
      <c r="C941" s="1"/>
      <c r="D941" s="1"/>
      <c r="E941" s="1"/>
      <c r="F941" s="1"/>
      <c r="P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142"/>
    </row>
    <row r="942" ht="17.25" customHeight="1">
      <c r="A942" s="1"/>
      <c r="B942" s="1"/>
      <c r="C942" s="1"/>
      <c r="D942" s="1"/>
      <c r="E942" s="1"/>
      <c r="F942" s="1"/>
      <c r="P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142"/>
    </row>
    <row r="943" ht="17.25" customHeight="1">
      <c r="A943" s="1"/>
      <c r="B943" s="1"/>
      <c r="C943" s="1"/>
      <c r="D943" s="1"/>
      <c r="E943" s="1"/>
      <c r="F943" s="1"/>
      <c r="P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142"/>
    </row>
    <row r="944" ht="17.25" customHeight="1">
      <c r="A944" s="1"/>
      <c r="B944" s="1"/>
      <c r="C944" s="1"/>
      <c r="D944" s="1"/>
      <c r="E944" s="1"/>
      <c r="F944" s="1"/>
      <c r="P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142"/>
    </row>
    <row r="945" ht="17.25" customHeight="1">
      <c r="A945" s="1"/>
      <c r="B945" s="1"/>
      <c r="C945" s="1"/>
      <c r="D945" s="1"/>
      <c r="E945" s="1"/>
      <c r="F945" s="1"/>
      <c r="P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142"/>
    </row>
    <row r="946" ht="17.25" customHeight="1">
      <c r="A946" s="1"/>
      <c r="B946" s="1"/>
      <c r="C946" s="1"/>
      <c r="D946" s="1"/>
      <c r="E946" s="1"/>
      <c r="F946" s="1"/>
      <c r="P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142"/>
    </row>
    <row r="947" ht="17.25" customHeight="1">
      <c r="A947" s="1"/>
      <c r="B947" s="1"/>
      <c r="C947" s="1"/>
      <c r="D947" s="1"/>
      <c r="E947" s="1"/>
      <c r="F947" s="1"/>
      <c r="P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142"/>
    </row>
    <row r="948" ht="17.25" customHeight="1">
      <c r="A948" s="1"/>
      <c r="B948" s="1"/>
      <c r="C948" s="1"/>
      <c r="D948" s="1"/>
      <c r="E948" s="1"/>
      <c r="F948" s="1"/>
      <c r="P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142"/>
    </row>
    <row r="949" ht="17.25" customHeight="1">
      <c r="A949" s="1"/>
      <c r="B949" s="1"/>
      <c r="C949" s="1"/>
      <c r="D949" s="1"/>
      <c r="E949" s="1"/>
      <c r="F949" s="1"/>
      <c r="P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142"/>
    </row>
    <row r="950" ht="17.25" customHeight="1">
      <c r="A950" s="1"/>
      <c r="B950" s="1"/>
      <c r="C950" s="1"/>
      <c r="D950" s="1"/>
      <c r="E950" s="1"/>
      <c r="F950" s="1"/>
      <c r="P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142"/>
    </row>
    <row r="951" ht="17.25" customHeight="1">
      <c r="A951" s="1"/>
      <c r="B951" s="1"/>
      <c r="C951" s="1"/>
      <c r="D951" s="1"/>
      <c r="E951" s="1"/>
      <c r="F951" s="1"/>
      <c r="P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142"/>
    </row>
    <row r="952" ht="17.25" customHeight="1">
      <c r="A952" s="1"/>
      <c r="B952" s="1"/>
      <c r="C952" s="1"/>
      <c r="D952" s="1"/>
      <c r="E952" s="1"/>
      <c r="F952" s="1"/>
      <c r="P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142"/>
    </row>
    <row r="953" ht="17.25" customHeight="1">
      <c r="A953" s="1"/>
      <c r="B953" s="1"/>
      <c r="C953" s="1"/>
      <c r="D953" s="1"/>
      <c r="E953" s="1"/>
      <c r="F953" s="1"/>
      <c r="P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142"/>
    </row>
    <row r="954" ht="17.25" customHeight="1">
      <c r="A954" s="1"/>
      <c r="B954" s="1"/>
      <c r="C954" s="1"/>
      <c r="D954" s="1"/>
      <c r="E954" s="1"/>
      <c r="F954" s="1"/>
      <c r="P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142"/>
    </row>
    <row r="955" ht="17.25" customHeight="1">
      <c r="A955" s="1"/>
      <c r="B955" s="1"/>
      <c r="C955" s="1"/>
      <c r="D955" s="1"/>
      <c r="E955" s="1"/>
      <c r="F955" s="1"/>
      <c r="P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142"/>
    </row>
    <row r="956" ht="17.25" customHeight="1">
      <c r="A956" s="1"/>
      <c r="B956" s="1"/>
      <c r="C956" s="1"/>
      <c r="D956" s="1"/>
      <c r="E956" s="1"/>
      <c r="F956" s="1"/>
      <c r="P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142"/>
    </row>
    <row r="957" ht="17.25" customHeight="1">
      <c r="A957" s="1"/>
      <c r="B957" s="1"/>
      <c r="C957" s="1"/>
      <c r="D957" s="1"/>
      <c r="E957" s="1"/>
      <c r="F957" s="1"/>
      <c r="P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142"/>
    </row>
    <row r="958" ht="17.25" customHeight="1">
      <c r="A958" s="1"/>
      <c r="B958" s="1"/>
      <c r="C958" s="1"/>
      <c r="D958" s="1"/>
      <c r="E958" s="1"/>
      <c r="F958" s="1"/>
      <c r="P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142"/>
    </row>
    <row r="959" ht="17.25" customHeight="1">
      <c r="A959" s="1"/>
      <c r="B959" s="1"/>
      <c r="C959" s="1"/>
      <c r="D959" s="1"/>
      <c r="E959" s="1"/>
      <c r="F959" s="1"/>
      <c r="P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142"/>
    </row>
    <row r="960" ht="17.25" customHeight="1">
      <c r="A960" s="1"/>
      <c r="B960" s="1"/>
      <c r="C960" s="1"/>
      <c r="D960" s="1"/>
      <c r="E960" s="1"/>
      <c r="F960" s="1"/>
      <c r="P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142"/>
    </row>
    <row r="961" ht="17.25" customHeight="1">
      <c r="A961" s="1"/>
      <c r="B961" s="1"/>
      <c r="C961" s="1"/>
      <c r="D961" s="1"/>
      <c r="E961" s="1"/>
      <c r="F961" s="1"/>
      <c r="P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142"/>
    </row>
    <row r="962" ht="17.25" customHeight="1">
      <c r="A962" s="1"/>
      <c r="B962" s="1"/>
      <c r="C962" s="1"/>
      <c r="D962" s="1"/>
      <c r="E962" s="1"/>
      <c r="F962" s="1"/>
      <c r="P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142"/>
    </row>
    <row r="963" ht="17.25" customHeight="1">
      <c r="A963" s="1"/>
      <c r="B963" s="1"/>
      <c r="C963" s="1"/>
      <c r="D963" s="1"/>
      <c r="E963" s="1"/>
      <c r="F963" s="1"/>
      <c r="P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142"/>
    </row>
    <row r="964" ht="17.25" customHeight="1">
      <c r="A964" s="1"/>
      <c r="B964" s="1"/>
      <c r="C964" s="1"/>
      <c r="D964" s="1"/>
      <c r="E964" s="1"/>
      <c r="F964" s="1"/>
      <c r="P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142"/>
    </row>
    <row r="965" ht="17.25" customHeight="1">
      <c r="A965" s="1"/>
      <c r="B965" s="1"/>
      <c r="C965" s="1"/>
      <c r="D965" s="1"/>
      <c r="E965" s="1"/>
      <c r="F965" s="1"/>
      <c r="P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142"/>
    </row>
    <row r="966" ht="17.25" customHeight="1">
      <c r="A966" s="1"/>
      <c r="B966" s="1"/>
      <c r="C966" s="1"/>
      <c r="D966" s="1"/>
      <c r="E966" s="1"/>
      <c r="F966" s="1"/>
      <c r="P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142"/>
    </row>
    <row r="967" ht="17.25" customHeight="1">
      <c r="A967" s="1"/>
      <c r="B967" s="1"/>
      <c r="C967" s="1"/>
      <c r="D967" s="1"/>
      <c r="E967" s="1"/>
      <c r="F967" s="1"/>
      <c r="P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142"/>
    </row>
    <row r="968" ht="17.25" customHeight="1">
      <c r="A968" s="1"/>
      <c r="B968" s="1"/>
      <c r="C968" s="1"/>
      <c r="D968" s="1"/>
      <c r="E968" s="1"/>
      <c r="F968" s="1"/>
      <c r="P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142"/>
    </row>
    <row r="969" ht="17.25" customHeight="1">
      <c r="A969" s="1"/>
      <c r="B969" s="1"/>
      <c r="C969" s="1"/>
      <c r="D969" s="1"/>
      <c r="E969" s="1"/>
      <c r="F969" s="1"/>
      <c r="P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142"/>
    </row>
    <row r="970" ht="17.25" customHeight="1">
      <c r="A970" s="1"/>
      <c r="B970" s="1"/>
      <c r="C970" s="1"/>
      <c r="D970" s="1"/>
      <c r="E970" s="1"/>
      <c r="F970" s="1"/>
      <c r="P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142"/>
    </row>
    <row r="971" ht="17.25" customHeight="1">
      <c r="A971" s="1"/>
      <c r="B971" s="1"/>
      <c r="C971" s="1"/>
      <c r="D971" s="1"/>
      <c r="E971" s="1"/>
      <c r="F971" s="1"/>
      <c r="P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142"/>
    </row>
    <row r="972" ht="17.25" customHeight="1">
      <c r="A972" s="1"/>
      <c r="B972" s="1"/>
      <c r="C972" s="1"/>
      <c r="D972" s="1"/>
      <c r="E972" s="1"/>
      <c r="F972" s="1"/>
      <c r="P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142"/>
    </row>
    <row r="973" ht="17.25" customHeight="1">
      <c r="A973" s="1"/>
      <c r="B973" s="1"/>
      <c r="C973" s="1"/>
      <c r="D973" s="1"/>
      <c r="E973" s="1"/>
      <c r="F973" s="1"/>
      <c r="P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142"/>
    </row>
    <row r="974" ht="17.25" customHeight="1">
      <c r="A974" s="1"/>
      <c r="B974" s="1"/>
      <c r="C974" s="1"/>
      <c r="D974" s="1"/>
      <c r="E974" s="1"/>
      <c r="F974" s="1"/>
      <c r="P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142"/>
    </row>
    <row r="975" ht="17.25" customHeight="1">
      <c r="A975" s="1"/>
      <c r="B975" s="1"/>
      <c r="C975" s="1"/>
      <c r="D975" s="1"/>
      <c r="E975" s="1"/>
      <c r="F975" s="1"/>
      <c r="P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142"/>
    </row>
    <row r="976" ht="17.25" customHeight="1">
      <c r="A976" s="1"/>
      <c r="B976" s="1"/>
      <c r="C976" s="1"/>
      <c r="D976" s="1"/>
      <c r="E976" s="1"/>
      <c r="F976" s="1"/>
      <c r="P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142"/>
    </row>
    <row r="977" ht="17.25" customHeight="1">
      <c r="A977" s="1"/>
      <c r="B977" s="1"/>
      <c r="C977" s="1"/>
      <c r="D977" s="1"/>
      <c r="E977" s="1"/>
      <c r="F977" s="1"/>
      <c r="P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142"/>
    </row>
    <row r="978" ht="17.25" customHeight="1">
      <c r="A978" s="1"/>
      <c r="B978" s="1"/>
      <c r="C978" s="1"/>
      <c r="D978" s="1"/>
      <c r="E978" s="1"/>
      <c r="F978" s="1"/>
      <c r="P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142"/>
    </row>
    <row r="979" ht="17.25" customHeight="1">
      <c r="A979" s="1"/>
      <c r="B979" s="1"/>
      <c r="C979" s="1"/>
      <c r="D979" s="1"/>
      <c r="E979" s="1"/>
      <c r="F979" s="1"/>
      <c r="P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142"/>
    </row>
    <row r="980" ht="17.25" customHeight="1">
      <c r="A980" s="1"/>
      <c r="B980" s="1"/>
      <c r="C980" s="1"/>
      <c r="D980" s="1"/>
      <c r="E980" s="1"/>
      <c r="F980" s="1"/>
      <c r="P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142"/>
    </row>
    <row r="981" ht="17.25" customHeight="1">
      <c r="A981" s="1"/>
      <c r="B981" s="1"/>
      <c r="C981" s="1"/>
      <c r="D981" s="1"/>
      <c r="E981" s="1"/>
      <c r="F981" s="1"/>
      <c r="P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142"/>
    </row>
    <row r="982" ht="17.25" customHeight="1">
      <c r="A982" s="1"/>
      <c r="B982" s="1"/>
      <c r="C982" s="1"/>
      <c r="D982" s="1"/>
      <c r="E982" s="1"/>
      <c r="F982" s="1"/>
      <c r="P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142"/>
    </row>
    <row r="983" ht="17.25" customHeight="1">
      <c r="A983" s="1"/>
      <c r="B983" s="1"/>
      <c r="C983" s="1"/>
      <c r="D983" s="1"/>
      <c r="E983" s="1"/>
      <c r="F983" s="1"/>
      <c r="P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142"/>
    </row>
    <row r="984" ht="17.25" customHeight="1">
      <c r="A984" s="1"/>
      <c r="B984" s="1"/>
      <c r="C984" s="1"/>
      <c r="D984" s="1"/>
      <c r="E984" s="1"/>
      <c r="F984" s="1"/>
      <c r="P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142"/>
    </row>
    <row r="985" ht="17.25" customHeight="1">
      <c r="A985" s="1"/>
      <c r="B985" s="1"/>
      <c r="C985" s="1"/>
      <c r="D985" s="1"/>
      <c r="E985" s="1"/>
      <c r="F985" s="1"/>
      <c r="P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142"/>
    </row>
    <row r="986" ht="17.25" customHeight="1">
      <c r="A986" s="1"/>
      <c r="B986" s="1"/>
      <c r="C986" s="1"/>
      <c r="D986" s="1"/>
      <c r="E986" s="1"/>
      <c r="F986" s="1"/>
      <c r="P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142"/>
    </row>
    <row r="987" ht="17.25" customHeight="1">
      <c r="A987" s="1"/>
      <c r="B987" s="1"/>
      <c r="C987" s="1"/>
      <c r="D987" s="1"/>
      <c r="E987" s="1"/>
      <c r="F987" s="1"/>
      <c r="P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142"/>
    </row>
    <row r="988" ht="17.25" customHeight="1">
      <c r="A988" s="1"/>
      <c r="B988" s="1"/>
      <c r="C988" s="1"/>
      <c r="D988" s="1"/>
      <c r="E988" s="1"/>
      <c r="F988" s="1"/>
      <c r="P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142"/>
    </row>
    <row r="989" ht="17.25" customHeight="1">
      <c r="A989" s="1"/>
      <c r="B989" s="1"/>
      <c r="C989" s="1"/>
      <c r="D989" s="1"/>
      <c r="E989" s="1"/>
      <c r="F989" s="1"/>
      <c r="P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142"/>
    </row>
    <row r="990" ht="17.25" customHeight="1">
      <c r="A990" s="1"/>
      <c r="B990" s="1"/>
      <c r="C990" s="1"/>
      <c r="D990" s="1"/>
      <c r="E990" s="1"/>
      <c r="F990" s="1"/>
      <c r="P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142"/>
    </row>
    <row r="991" ht="17.25" customHeight="1">
      <c r="A991" s="1"/>
      <c r="B991" s="1"/>
      <c r="C991" s="1"/>
      <c r="D991" s="1"/>
      <c r="E991" s="1"/>
      <c r="F991" s="1"/>
      <c r="P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142"/>
    </row>
    <row r="992" ht="17.25" customHeight="1">
      <c r="A992" s="1"/>
      <c r="B992" s="1"/>
      <c r="C992" s="1"/>
      <c r="D992" s="1"/>
      <c r="E992" s="1"/>
      <c r="F992" s="1"/>
      <c r="P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142"/>
    </row>
    <row r="993" ht="17.25" customHeight="1">
      <c r="A993" s="1"/>
      <c r="B993" s="1"/>
      <c r="C993" s="1"/>
      <c r="D993" s="1"/>
      <c r="E993" s="1"/>
      <c r="F993" s="1"/>
      <c r="P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142"/>
    </row>
    <row r="994" ht="17.25" customHeight="1">
      <c r="A994" s="1"/>
      <c r="B994" s="1"/>
      <c r="C994" s="1"/>
      <c r="D994" s="1"/>
      <c r="E994" s="1"/>
      <c r="F994" s="1"/>
      <c r="P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142"/>
    </row>
    <row r="995" ht="17.25" customHeight="1">
      <c r="A995" s="1"/>
      <c r="B995" s="1"/>
      <c r="C995" s="1"/>
      <c r="D995" s="1"/>
      <c r="E995" s="1"/>
      <c r="F995" s="1"/>
      <c r="P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142"/>
    </row>
    <row r="996" ht="17.25" customHeight="1">
      <c r="A996" s="1"/>
      <c r="B996" s="1"/>
      <c r="C996" s="1"/>
      <c r="D996" s="1"/>
      <c r="E996" s="1"/>
      <c r="F996" s="1"/>
      <c r="P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142"/>
    </row>
    <row r="997" ht="17.25" customHeight="1">
      <c r="A997" s="1"/>
      <c r="B997" s="1"/>
      <c r="C997" s="1"/>
      <c r="D997" s="1"/>
      <c r="E997" s="1"/>
      <c r="F997" s="1"/>
      <c r="P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142"/>
    </row>
    <row r="998" ht="17.25" customHeight="1">
      <c r="A998" s="1"/>
      <c r="B998" s="1"/>
      <c r="C998" s="1"/>
      <c r="D998" s="1"/>
      <c r="E998" s="1"/>
      <c r="F998" s="1"/>
      <c r="P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142"/>
    </row>
    <row r="999" ht="17.25" customHeight="1">
      <c r="A999" s="1"/>
      <c r="B999" s="1"/>
      <c r="C999" s="1"/>
      <c r="D999" s="1"/>
      <c r="E999" s="1"/>
      <c r="F999" s="1"/>
      <c r="P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142"/>
    </row>
    <row r="1000" ht="17.25" customHeight="1">
      <c r="A1000" s="1"/>
      <c r="B1000" s="1"/>
      <c r="C1000" s="1"/>
      <c r="D1000" s="1"/>
      <c r="E1000" s="1"/>
      <c r="F1000" s="1"/>
      <c r="P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142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479166388511658" footer="0.0" header="0.0" left="0.7086111307144165" right="0.7086111307144165" top="0.7479166388511658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9.0"/>
  </cols>
  <sheetData>
    <row r="1" ht="12.0" customHeight="1">
      <c r="A1" s="1"/>
      <c r="B1" s="1"/>
      <c r="C1" s="1"/>
      <c r="D1" s="1"/>
      <c r="E1" s="1"/>
      <c r="F1" s="1"/>
      <c r="P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142"/>
    </row>
    <row r="2" ht="30.0" customHeight="1">
      <c r="A2" s="4" t="s">
        <v>28</v>
      </c>
      <c r="B2" s="5"/>
      <c r="C2" s="1"/>
      <c r="D2" s="1"/>
      <c r="E2" s="1"/>
      <c r="F2" s="1"/>
      <c r="P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142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289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14" t="s">
        <v>22</v>
      </c>
      <c r="AW3" s="16"/>
    </row>
    <row r="4" ht="18.0" customHeight="1">
      <c r="A4" s="17" t="s">
        <v>6</v>
      </c>
      <c r="B4" s="17" t="s">
        <v>7</v>
      </c>
      <c r="C4" s="94" t="s">
        <v>8</v>
      </c>
      <c r="D4" s="19">
        <v>1605.0</v>
      </c>
      <c r="E4" s="20">
        <f t="shared" ref="E4:O4" si="1">D24</f>
        <v>1525</v>
      </c>
      <c r="F4" s="20">
        <f t="shared" si="1"/>
        <v>1289</v>
      </c>
      <c r="G4" s="20">
        <f t="shared" si="1"/>
        <v>1141</v>
      </c>
      <c r="H4" s="20">
        <f t="shared" si="1"/>
        <v>1165</v>
      </c>
      <c r="I4" s="20">
        <f t="shared" si="1"/>
        <v>1261</v>
      </c>
      <c r="J4" s="20">
        <f t="shared" si="1"/>
        <v>1093</v>
      </c>
      <c r="K4" s="20">
        <f t="shared" si="1"/>
        <v>1133</v>
      </c>
      <c r="L4" s="20">
        <f t="shared" si="1"/>
        <v>1338</v>
      </c>
      <c r="M4" s="20">
        <f t="shared" si="1"/>
        <v>1004</v>
      </c>
      <c r="N4" s="20">
        <f t="shared" si="1"/>
        <v>1124</v>
      </c>
      <c r="O4" s="21">
        <f t="shared" si="1"/>
        <v>1124</v>
      </c>
      <c r="P4" s="22">
        <v>1124.0</v>
      </c>
      <c r="Q4" s="147">
        <f t="shared" ref="Q4:AU4" si="2">+P24</f>
        <v>1124</v>
      </c>
      <c r="R4" s="148">
        <f t="shared" si="2"/>
        <v>1124</v>
      </c>
      <c r="S4" s="148">
        <f t="shared" si="2"/>
        <v>1124</v>
      </c>
      <c r="T4" s="148">
        <f t="shared" si="2"/>
        <v>980</v>
      </c>
      <c r="U4" s="148">
        <f t="shared" si="2"/>
        <v>980</v>
      </c>
      <c r="V4" s="148">
        <f t="shared" si="2"/>
        <v>980</v>
      </c>
      <c r="W4" s="148">
        <f t="shared" si="2"/>
        <v>912</v>
      </c>
      <c r="X4" s="148">
        <f t="shared" si="2"/>
        <v>900</v>
      </c>
      <c r="Y4" s="148">
        <f t="shared" si="2"/>
        <v>900</v>
      </c>
      <c r="Z4" s="148">
        <f t="shared" si="2"/>
        <v>900</v>
      </c>
      <c r="AA4" s="148">
        <f t="shared" si="2"/>
        <v>864</v>
      </c>
      <c r="AB4" s="148">
        <f t="shared" si="2"/>
        <v>864</v>
      </c>
      <c r="AC4" s="148">
        <f t="shared" si="2"/>
        <v>864</v>
      </c>
      <c r="AD4" s="148">
        <f t="shared" si="2"/>
        <v>864</v>
      </c>
      <c r="AE4" s="148">
        <f t="shared" si="2"/>
        <v>864</v>
      </c>
      <c r="AF4" s="148">
        <f t="shared" si="2"/>
        <v>864</v>
      </c>
      <c r="AG4" s="148">
        <f t="shared" si="2"/>
        <v>864</v>
      </c>
      <c r="AH4" s="148">
        <f t="shared" si="2"/>
        <v>864</v>
      </c>
      <c r="AI4" s="148">
        <f t="shared" si="2"/>
        <v>864</v>
      </c>
      <c r="AJ4" s="148">
        <f t="shared" si="2"/>
        <v>864</v>
      </c>
      <c r="AK4" s="148">
        <f t="shared" si="2"/>
        <v>864</v>
      </c>
      <c r="AL4" s="148">
        <f t="shared" si="2"/>
        <v>864</v>
      </c>
      <c r="AM4" s="148">
        <f t="shared" si="2"/>
        <v>864</v>
      </c>
      <c r="AN4" s="148">
        <f t="shared" si="2"/>
        <v>864</v>
      </c>
      <c r="AO4" s="148">
        <f t="shared" si="2"/>
        <v>864</v>
      </c>
      <c r="AP4" s="148">
        <f t="shared" si="2"/>
        <v>864</v>
      </c>
      <c r="AQ4" s="148">
        <f t="shared" si="2"/>
        <v>864</v>
      </c>
      <c r="AR4" s="148">
        <f t="shared" si="2"/>
        <v>864</v>
      </c>
      <c r="AS4" s="148">
        <f t="shared" si="2"/>
        <v>864</v>
      </c>
      <c r="AT4" s="148">
        <f t="shared" si="2"/>
        <v>864</v>
      </c>
      <c r="AU4" s="148">
        <f t="shared" si="2"/>
        <v>864</v>
      </c>
      <c r="AV4" s="159">
        <f t="shared" ref="AV4:AV8" si="5">P24</f>
        <v>1124</v>
      </c>
    </row>
    <row r="5" ht="18.0" customHeight="1">
      <c r="A5" s="28"/>
      <c r="B5" s="29"/>
      <c r="C5" s="100" t="s">
        <v>9</v>
      </c>
      <c r="D5" s="221">
        <v>17804.0</v>
      </c>
      <c r="E5" s="304">
        <f t="shared" ref="E5:O5" si="3">D25</f>
        <v>14156</v>
      </c>
      <c r="F5" s="304">
        <f t="shared" si="3"/>
        <v>14556</v>
      </c>
      <c r="G5" s="304">
        <f t="shared" si="3"/>
        <v>17846</v>
      </c>
      <c r="H5" s="304">
        <f t="shared" si="3"/>
        <v>16782</v>
      </c>
      <c r="I5" s="304">
        <f t="shared" si="3"/>
        <v>17560</v>
      </c>
      <c r="J5" s="304">
        <f t="shared" si="3"/>
        <v>13734</v>
      </c>
      <c r="K5" s="304">
        <f t="shared" si="3"/>
        <v>15086</v>
      </c>
      <c r="L5" s="304">
        <f t="shared" si="3"/>
        <v>15662</v>
      </c>
      <c r="M5" s="304">
        <f t="shared" si="3"/>
        <v>15456</v>
      </c>
      <c r="N5" s="304">
        <f t="shared" si="3"/>
        <v>14808</v>
      </c>
      <c r="O5" s="305">
        <f t="shared" si="3"/>
        <v>14808</v>
      </c>
      <c r="P5" s="153">
        <v>14808.0</v>
      </c>
      <c r="Q5" s="154">
        <f t="shared" ref="Q5:AU5" si="4">+P25</f>
        <v>14808</v>
      </c>
      <c r="R5" s="155">
        <f t="shared" si="4"/>
        <v>14808</v>
      </c>
      <c r="S5" s="155">
        <f t="shared" si="4"/>
        <v>14808</v>
      </c>
      <c r="T5" s="155">
        <f t="shared" si="4"/>
        <v>13724</v>
      </c>
      <c r="U5" s="155">
        <f t="shared" si="4"/>
        <v>16784</v>
      </c>
      <c r="V5" s="155">
        <f t="shared" si="4"/>
        <v>16504</v>
      </c>
      <c r="W5" s="155">
        <f t="shared" si="4"/>
        <v>16072</v>
      </c>
      <c r="X5" s="155">
        <f t="shared" si="4"/>
        <v>15632</v>
      </c>
      <c r="Y5" s="155">
        <f t="shared" si="4"/>
        <v>15632</v>
      </c>
      <c r="Z5" s="155">
        <f t="shared" si="4"/>
        <v>15632</v>
      </c>
      <c r="AA5" s="155">
        <f t="shared" si="4"/>
        <v>14676</v>
      </c>
      <c r="AB5" s="155">
        <f t="shared" si="4"/>
        <v>14676</v>
      </c>
      <c r="AC5" s="155">
        <f t="shared" si="4"/>
        <v>14676</v>
      </c>
      <c r="AD5" s="155">
        <f t="shared" si="4"/>
        <v>14676</v>
      </c>
      <c r="AE5" s="155">
        <f t="shared" si="4"/>
        <v>14676</v>
      </c>
      <c r="AF5" s="155">
        <f t="shared" si="4"/>
        <v>14676</v>
      </c>
      <c r="AG5" s="155">
        <f t="shared" si="4"/>
        <v>14676</v>
      </c>
      <c r="AH5" s="155">
        <f t="shared" si="4"/>
        <v>14676</v>
      </c>
      <c r="AI5" s="155">
        <f t="shared" si="4"/>
        <v>14676</v>
      </c>
      <c r="AJ5" s="155">
        <f t="shared" si="4"/>
        <v>14676</v>
      </c>
      <c r="AK5" s="155">
        <f t="shared" si="4"/>
        <v>14676</v>
      </c>
      <c r="AL5" s="155">
        <f t="shared" si="4"/>
        <v>14676</v>
      </c>
      <c r="AM5" s="155">
        <f t="shared" si="4"/>
        <v>14676</v>
      </c>
      <c r="AN5" s="155">
        <f t="shared" si="4"/>
        <v>14676</v>
      </c>
      <c r="AO5" s="155">
        <f t="shared" si="4"/>
        <v>14676</v>
      </c>
      <c r="AP5" s="155">
        <f t="shared" si="4"/>
        <v>14676</v>
      </c>
      <c r="AQ5" s="155">
        <f t="shared" si="4"/>
        <v>14676</v>
      </c>
      <c r="AR5" s="155">
        <f t="shared" si="4"/>
        <v>14676</v>
      </c>
      <c r="AS5" s="155">
        <f t="shared" si="4"/>
        <v>14676</v>
      </c>
      <c r="AT5" s="155">
        <f t="shared" si="4"/>
        <v>14676</v>
      </c>
      <c r="AU5" s="155">
        <f t="shared" si="4"/>
        <v>14676</v>
      </c>
      <c r="AV5" s="157">
        <f t="shared" si="5"/>
        <v>14808</v>
      </c>
    </row>
    <row r="6" ht="18.0" customHeight="1">
      <c r="A6" s="28"/>
      <c r="B6" s="38" t="s">
        <v>10</v>
      </c>
      <c r="C6" s="106" t="s">
        <v>8</v>
      </c>
      <c r="D6" s="19">
        <v>0.0</v>
      </c>
      <c r="E6" s="20">
        <f t="shared" ref="E6:O6" si="6">D26</f>
        <v>0</v>
      </c>
      <c r="F6" s="20">
        <f t="shared" si="6"/>
        <v>0</v>
      </c>
      <c r="G6" s="20">
        <f t="shared" si="6"/>
        <v>0</v>
      </c>
      <c r="H6" s="20">
        <f t="shared" si="6"/>
        <v>0</v>
      </c>
      <c r="I6" s="20">
        <f t="shared" si="6"/>
        <v>0</v>
      </c>
      <c r="J6" s="20">
        <f t="shared" si="6"/>
        <v>0</v>
      </c>
      <c r="K6" s="20">
        <f t="shared" si="6"/>
        <v>0</v>
      </c>
      <c r="L6" s="20">
        <f t="shared" si="6"/>
        <v>0</v>
      </c>
      <c r="M6" s="20">
        <f t="shared" si="6"/>
        <v>0</v>
      </c>
      <c r="N6" s="20">
        <f t="shared" si="6"/>
        <v>0</v>
      </c>
      <c r="O6" s="21">
        <f t="shared" si="6"/>
        <v>0</v>
      </c>
      <c r="P6" s="22">
        <v>0.0</v>
      </c>
      <c r="Q6" s="147">
        <f t="shared" ref="Q6:AU6" si="7">+P26</f>
        <v>0</v>
      </c>
      <c r="R6" s="148">
        <f t="shared" si="7"/>
        <v>0</v>
      </c>
      <c r="S6" s="148">
        <f t="shared" si="7"/>
        <v>0</v>
      </c>
      <c r="T6" s="148">
        <f t="shared" si="7"/>
        <v>0</v>
      </c>
      <c r="U6" s="148">
        <f t="shared" si="7"/>
        <v>0</v>
      </c>
      <c r="V6" s="148">
        <f t="shared" si="7"/>
        <v>0</v>
      </c>
      <c r="W6" s="148">
        <f t="shared" si="7"/>
        <v>0</v>
      </c>
      <c r="X6" s="148">
        <f t="shared" si="7"/>
        <v>0</v>
      </c>
      <c r="Y6" s="148">
        <f t="shared" si="7"/>
        <v>0</v>
      </c>
      <c r="Z6" s="148">
        <f t="shared" si="7"/>
        <v>0</v>
      </c>
      <c r="AA6" s="148">
        <f t="shared" si="7"/>
        <v>0</v>
      </c>
      <c r="AB6" s="148">
        <f t="shared" si="7"/>
        <v>0</v>
      </c>
      <c r="AC6" s="148">
        <f t="shared" si="7"/>
        <v>0</v>
      </c>
      <c r="AD6" s="148">
        <f t="shared" si="7"/>
        <v>0</v>
      </c>
      <c r="AE6" s="148">
        <f t="shared" si="7"/>
        <v>0</v>
      </c>
      <c r="AF6" s="148">
        <f t="shared" si="7"/>
        <v>0</v>
      </c>
      <c r="AG6" s="148">
        <f t="shared" si="7"/>
        <v>0</v>
      </c>
      <c r="AH6" s="148">
        <f t="shared" si="7"/>
        <v>0</v>
      </c>
      <c r="AI6" s="148">
        <f t="shared" si="7"/>
        <v>0</v>
      </c>
      <c r="AJ6" s="148">
        <f t="shared" si="7"/>
        <v>0</v>
      </c>
      <c r="AK6" s="148">
        <f t="shared" si="7"/>
        <v>0</v>
      </c>
      <c r="AL6" s="148">
        <f t="shared" si="7"/>
        <v>0</v>
      </c>
      <c r="AM6" s="148">
        <f t="shared" si="7"/>
        <v>0</v>
      </c>
      <c r="AN6" s="148">
        <f t="shared" si="7"/>
        <v>0</v>
      </c>
      <c r="AO6" s="148">
        <f t="shared" si="7"/>
        <v>0</v>
      </c>
      <c r="AP6" s="148">
        <f t="shared" si="7"/>
        <v>0</v>
      </c>
      <c r="AQ6" s="148">
        <f t="shared" si="7"/>
        <v>0</v>
      </c>
      <c r="AR6" s="148">
        <f t="shared" si="7"/>
        <v>0</v>
      </c>
      <c r="AS6" s="148">
        <f t="shared" si="7"/>
        <v>0</v>
      </c>
      <c r="AT6" s="148">
        <f t="shared" si="7"/>
        <v>0</v>
      </c>
      <c r="AU6" s="148">
        <f t="shared" si="7"/>
        <v>0</v>
      </c>
      <c r="AV6" s="25">
        <f t="shared" si="5"/>
        <v>0</v>
      </c>
    </row>
    <row r="7" ht="18.0" customHeight="1">
      <c r="A7" s="28"/>
      <c r="B7" s="40"/>
      <c r="C7" s="209" t="s">
        <v>9</v>
      </c>
      <c r="D7" s="266">
        <v>3100.0</v>
      </c>
      <c r="E7" s="304">
        <f t="shared" ref="E7:O7" si="8">D27</f>
        <v>300</v>
      </c>
      <c r="F7" s="304">
        <f t="shared" si="8"/>
        <v>280</v>
      </c>
      <c r="G7" s="304">
        <f t="shared" si="8"/>
        <v>80</v>
      </c>
      <c r="H7" s="304">
        <f t="shared" si="8"/>
        <v>80</v>
      </c>
      <c r="I7" s="304">
        <f t="shared" si="8"/>
        <v>1280</v>
      </c>
      <c r="J7" s="304">
        <f t="shared" si="8"/>
        <v>280</v>
      </c>
      <c r="K7" s="304">
        <f t="shared" si="8"/>
        <v>280</v>
      </c>
      <c r="L7" s="304">
        <f t="shared" si="8"/>
        <v>20</v>
      </c>
      <c r="M7" s="304">
        <f t="shared" si="8"/>
        <v>20</v>
      </c>
      <c r="N7" s="304">
        <f t="shared" si="8"/>
        <v>20</v>
      </c>
      <c r="O7" s="305">
        <f t="shared" si="8"/>
        <v>20</v>
      </c>
      <c r="P7" s="161">
        <v>20.0</v>
      </c>
      <c r="Q7" s="154">
        <f t="shared" ref="Q7:AU7" si="9">+P27</f>
        <v>20</v>
      </c>
      <c r="R7" s="155">
        <f t="shared" si="9"/>
        <v>20</v>
      </c>
      <c r="S7" s="155">
        <f t="shared" si="9"/>
        <v>20</v>
      </c>
      <c r="T7" s="155">
        <f t="shared" si="9"/>
        <v>20</v>
      </c>
      <c r="U7" s="155">
        <f t="shared" si="9"/>
        <v>1020</v>
      </c>
      <c r="V7" s="155">
        <f t="shared" si="9"/>
        <v>1020</v>
      </c>
      <c r="W7" s="155">
        <f t="shared" si="9"/>
        <v>1020</v>
      </c>
      <c r="X7" s="155">
        <f t="shared" si="9"/>
        <v>20</v>
      </c>
      <c r="Y7" s="155">
        <f t="shared" si="9"/>
        <v>20</v>
      </c>
      <c r="Z7" s="155">
        <f t="shared" si="9"/>
        <v>20</v>
      </c>
      <c r="AA7" s="155">
        <f t="shared" si="9"/>
        <v>20</v>
      </c>
      <c r="AB7" s="155">
        <f t="shared" si="9"/>
        <v>20</v>
      </c>
      <c r="AC7" s="155">
        <f t="shared" si="9"/>
        <v>20</v>
      </c>
      <c r="AD7" s="155">
        <f t="shared" si="9"/>
        <v>20</v>
      </c>
      <c r="AE7" s="155">
        <f t="shared" si="9"/>
        <v>20</v>
      </c>
      <c r="AF7" s="155">
        <f t="shared" si="9"/>
        <v>20</v>
      </c>
      <c r="AG7" s="155">
        <f t="shared" si="9"/>
        <v>20</v>
      </c>
      <c r="AH7" s="155">
        <f t="shared" si="9"/>
        <v>20</v>
      </c>
      <c r="AI7" s="155">
        <f t="shared" si="9"/>
        <v>20</v>
      </c>
      <c r="AJ7" s="155">
        <f t="shared" si="9"/>
        <v>20</v>
      </c>
      <c r="AK7" s="155">
        <f t="shared" si="9"/>
        <v>20</v>
      </c>
      <c r="AL7" s="155">
        <f t="shared" si="9"/>
        <v>20</v>
      </c>
      <c r="AM7" s="155">
        <f t="shared" si="9"/>
        <v>20</v>
      </c>
      <c r="AN7" s="155">
        <f t="shared" si="9"/>
        <v>20</v>
      </c>
      <c r="AO7" s="155">
        <f t="shared" si="9"/>
        <v>20</v>
      </c>
      <c r="AP7" s="155">
        <f t="shared" si="9"/>
        <v>20</v>
      </c>
      <c r="AQ7" s="155">
        <f t="shared" si="9"/>
        <v>20</v>
      </c>
      <c r="AR7" s="155">
        <f t="shared" si="9"/>
        <v>20</v>
      </c>
      <c r="AS7" s="155">
        <f t="shared" si="9"/>
        <v>20</v>
      </c>
      <c r="AT7" s="155">
        <f t="shared" si="9"/>
        <v>20</v>
      </c>
      <c r="AU7" s="155">
        <f t="shared" si="9"/>
        <v>20</v>
      </c>
      <c r="AV7" s="263">
        <f t="shared" si="5"/>
        <v>20</v>
      </c>
    </row>
    <row r="8" ht="18.0" customHeight="1">
      <c r="A8" s="29"/>
      <c r="B8" s="43" t="s">
        <v>11</v>
      </c>
      <c r="C8" s="213" t="s">
        <v>9</v>
      </c>
      <c r="D8" s="229">
        <v>5684.0</v>
      </c>
      <c r="E8" s="20">
        <f t="shared" ref="E8:O8" si="10">D28</f>
        <v>3604</v>
      </c>
      <c r="F8" s="20">
        <f t="shared" si="10"/>
        <v>4144</v>
      </c>
      <c r="G8" s="20">
        <f t="shared" si="10"/>
        <v>4768</v>
      </c>
      <c r="H8" s="20">
        <f t="shared" si="10"/>
        <v>4244</v>
      </c>
      <c r="I8" s="20">
        <f t="shared" si="10"/>
        <v>3680</v>
      </c>
      <c r="J8" s="20">
        <f t="shared" si="10"/>
        <v>3540</v>
      </c>
      <c r="K8" s="20">
        <f t="shared" si="10"/>
        <v>3144</v>
      </c>
      <c r="L8" s="20">
        <f t="shared" si="10"/>
        <v>3688</v>
      </c>
      <c r="M8" s="20">
        <f t="shared" si="10"/>
        <v>3060</v>
      </c>
      <c r="N8" s="20">
        <f t="shared" si="10"/>
        <v>3284</v>
      </c>
      <c r="O8" s="21">
        <f t="shared" si="10"/>
        <v>3284</v>
      </c>
      <c r="P8" s="42">
        <v>3284.0</v>
      </c>
      <c r="Q8" s="292">
        <f t="shared" ref="Q8:AU8" si="11">+P28</f>
        <v>3284</v>
      </c>
      <c r="R8" s="293">
        <f t="shared" si="11"/>
        <v>3284</v>
      </c>
      <c r="S8" s="293">
        <f t="shared" si="11"/>
        <v>3284</v>
      </c>
      <c r="T8" s="293">
        <f t="shared" si="11"/>
        <v>2480</v>
      </c>
      <c r="U8" s="293">
        <f t="shared" si="11"/>
        <v>3520</v>
      </c>
      <c r="V8" s="293">
        <f t="shared" si="11"/>
        <v>3520</v>
      </c>
      <c r="W8" s="293">
        <f t="shared" si="11"/>
        <v>3520</v>
      </c>
      <c r="X8" s="293">
        <f t="shared" si="11"/>
        <v>3520</v>
      </c>
      <c r="Y8" s="293">
        <f t="shared" si="11"/>
        <v>3520</v>
      </c>
      <c r="Z8" s="293">
        <f t="shared" si="11"/>
        <v>3520</v>
      </c>
      <c r="AA8" s="293">
        <f t="shared" si="11"/>
        <v>3156</v>
      </c>
      <c r="AB8" s="293">
        <f t="shared" si="11"/>
        <v>3156</v>
      </c>
      <c r="AC8" s="293">
        <f t="shared" si="11"/>
        <v>3156</v>
      </c>
      <c r="AD8" s="293">
        <f t="shared" si="11"/>
        <v>3156</v>
      </c>
      <c r="AE8" s="293">
        <f t="shared" si="11"/>
        <v>3156</v>
      </c>
      <c r="AF8" s="293">
        <f t="shared" si="11"/>
        <v>3156</v>
      </c>
      <c r="AG8" s="293">
        <f t="shared" si="11"/>
        <v>3156</v>
      </c>
      <c r="AH8" s="293">
        <f t="shared" si="11"/>
        <v>3156</v>
      </c>
      <c r="AI8" s="293">
        <f t="shared" si="11"/>
        <v>3156</v>
      </c>
      <c r="AJ8" s="293">
        <f t="shared" si="11"/>
        <v>3156</v>
      </c>
      <c r="AK8" s="293">
        <f t="shared" si="11"/>
        <v>3156</v>
      </c>
      <c r="AL8" s="293">
        <f t="shared" si="11"/>
        <v>3156</v>
      </c>
      <c r="AM8" s="293">
        <f t="shared" si="11"/>
        <v>3156</v>
      </c>
      <c r="AN8" s="293">
        <f t="shared" si="11"/>
        <v>3156</v>
      </c>
      <c r="AO8" s="293">
        <f t="shared" si="11"/>
        <v>3156</v>
      </c>
      <c r="AP8" s="293">
        <f t="shared" si="11"/>
        <v>3156</v>
      </c>
      <c r="AQ8" s="293">
        <f t="shared" si="11"/>
        <v>3156</v>
      </c>
      <c r="AR8" s="293">
        <f t="shared" si="11"/>
        <v>3156</v>
      </c>
      <c r="AS8" s="293">
        <f t="shared" si="11"/>
        <v>3156</v>
      </c>
      <c r="AT8" s="293">
        <f t="shared" si="11"/>
        <v>3156</v>
      </c>
      <c r="AU8" s="293">
        <f t="shared" si="11"/>
        <v>3156</v>
      </c>
      <c r="AV8" s="306">
        <f t="shared" si="5"/>
        <v>3284</v>
      </c>
    </row>
    <row r="9" ht="18.0" customHeight="1">
      <c r="A9" s="169" t="s">
        <v>12</v>
      </c>
      <c r="B9" s="169" t="s">
        <v>7</v>
      </c>
      <c r="C9" s="170" t="s">
        <v>8</v>
      </c>
      <c r="D9" s="47">
        <v>60.0</v>
      </c>
      <c r="E9" s="48">
        <v>0.0</v>
      </c>
      <c r="F9" s="48">
        <v>100.0</v>
      </c>
      <c r="G9" s="48">
        <v>228.0</v>
      </c>
      <c r="H9" s="48">
        <v>360.0</v>
      </c>
      <c r="I9" s="48">
        <v>0.0</v>
      </c>
      <c r="J9" s="48">
        <v>336.0</v>
      </c>
      <c r="K9" s="48">
        <v>420.0</v>
      </c>
      <c r="L9" s="48">
        <v>100.0</v>
      </c>
      <c r="M9" s="48">
        <v>252.0</v>
      </c>
      <c r="N9" s="48"/>
      <c r="O9" s="49"/>
      <c r="P9" s="173"/>
      <c r="Q9" s="174">
        <v>0.0</v>
      </c>
      <c r="R9" s="174">
        <v>0.0</v>
      </c>
      <c r="S9" s="174">
        <v>0.0</v>
      </c>
      <c r="T9" s="174">
        <v>0.0</v>
      </c>
      <c r="U9" s="174">
        <v>0.0</v>
      </c>
      <c r="V9" s="174">
        <v>0.0</v>
      </c>
      <c r="W9" s="174">
        <v>0.0</v>
      </c>
      <c r="X9" s="174">
        <v>0.0</v>
      </c>
      <c r="Y9" s="174">
        <v>0.0</v>
      </c>
      <c r="Z9" s="174">
        <v>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0</v>
      </c>
    </row>
    <row r="10" ht="18.0" customHeight="1">
      <c r="A10" s="28"/>
      <c r="B10" s="29"/>
      <c r="C10" s="175" t="s">
        <v>9</v>
      </c>
      <c r="D10" s="295">
        <v>4552.0</v>
      </c>
      <c r="E10" s="296">
        <v>8828.0</v>
      </c>
      <c r="F10" s="296">
        <v>12680.0</v>
      </c>
      <c r="G10" s="296">
        <v>8380.0</v>
      </c>
      <c r="H10" s="296">
        <v>7332.0</v>
      </c>
      <c r="I10" s="296">
        <v>3944.0</v>
      </c>
      <c r="J10" s="296">
        <v>8704.0</v>
      </c>
      <c r="K10" s="296">
        <v>8228.0</v>
      </c>
      <c r="L10" s="296">
        <v>6816.0</v>
      </c>
      <c r="M10" s="296">
        <v>8496.0</v>
      </c>
      <c r="N10" s="297"/>
      <c r="O10" s="298"/>
      <c r="P10" s="299"/>
      <c r="Q10" s="181">
        <v>0.0</v>
      </c>
      <c r="R10" s="181">
        <v>0.0</v>
      </c>
      <c r="S10" s="181">
        <v>0.0</v>
      </c>
      <c r="T10" s="181">
        <v>3900.0</v>
      </c>
      <c r="U10" s="181">
        <v>0.0</v>
      </c>
      <c r="V10" s="181">
        <v>0.0</v>
      </c>
      <c r="W10" s="181">
        <v>0.0</v>
      </c>
      <c r="X10" s="181">
        <v>0.0</v>
      </c>
      <c r="Y10" s="181">
        <v>0.0</v>
      </c>
      <c r="Z10" s="181">
        <v>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3900</v>
      </c>
    </row>
    <row r="11" ht="18.0" customHeight="1">
      <c r="A11" s="28"/>
      <c r="B11" s="182" t="s">
        <v>10</v>
      </c>
      <c r="C11" s="183" t="s">
        <v>8</v>
      </c>
      <c r="D11" s="53">
        <v>0.0</v>
      </c>
      <c r="E11" s="54">
        <v>0.0</v>
      </c>
      <c r="F11" s="54">
        <v>0.0</v>
      </c>
      <c r="G11" s="54">
        <v>0.0</v>
      </c>
      <c r="H11" s="54">
        <v>0.0</v>
      </c>
      <c r="I11" s="54">
        <v>0.0</v>
      </c>
      <c r="J11" s="54">
        <v>0.0</v>
      </c>
      <c r="K11" s="54">
        <v>0.0</v>
      </c>
      <c r="L11" s="54">
        <v>0.0</v>
      </c>
      <c r="M11" s="54">
        <v>0.0</v>
      </c>
      <c r="N11" s="54"/>
      <c r="O11" s="75"/>
      <c r="P11" s="187"/>
      <c r="Q11" s="174">
        <v>0.0</v>
      </c>
      <c r="R11" s="174">
        <v>0.0</v>
      </c>
      <c r="S11" s="174">
        <v>0.0</v>
      </c>
      <c r="T11" s="174">
        <v>0.0</v>
      </c>
      <c r="U11" s="174">
        <v>0.0</v>
      </c>
      <c r="V11" s="174">
        <v>0.0</v>
      </c>
      <c r="W11" s="174">
        <v>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0</v>
      </c>
    </row>
    <row r="12" ht="18.0" customHeight="1">
      <c r="A12" s="28"/>
      <c r="B12" s="40"/>
      <c r="C12" s="188" t="s">
        <v>9</v>
      </c>
      <c r="D12" s="295">
        <v>0.0</v>
      </c>
      <c r="E12" s="296">
        <v>40.0</v>
      </c>
      <c r="F12" s="296">
        <v>0.0</v>
      </c>
      <c r="G12" s="296">
        <v>100.0</v>
      </c>
      <c r="H12" s="296">
        <v>1616.0</v>
      </c>
      <c r="I12" s="296">
        <v>620.0</v>
      </c>
      <c r="J12" s="296">
        <v>0.0</v>
      </c>
      <c r="K12" s="296">
        <v>40.0</v>
      </c>
      <c r="L12" s="296">
        <v>1900.0</v>
      </c>
      <c r="M12" s="296">
        <v>0.0</v>
      </c>
      <c r="N12" s="297"/>
      <c r="O12" s="307"/>
      <c r="P12" s="299"/>
      <c r="Q12" s="181">
        <v>0.0</v>
      </c>
      <c r="R12" s="181">
        <v>0.0</v>
      </c>
      <c r="S12" s="181">
        <v>0.0</v>
      </c>
      <c r="T12" s="181">
        <v>1000.0</v>
      </c>
      <c r="U12" s="181">
        <v>0.0</v>
      </c>
      <c r="V12" s="181">
        <v>0.0</v>
      </c>
      <c r="W12" s="181">
        <v>0.0</v>
      </c>
      <c r="X12" s="181">
        <v>0.0</v>
      </c>
      <c r="Y12" s="181">
        <v>0.0</v>
      </c>
      <c r="Z12" s="181">
        <v>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1000</v>
      </c>
    </row>
    <row r="13" ht="18.0" customHeight="1">
      <c r="A13" s="29"/>
      <c r="B13" s="195" t="s">
        <v>11</v>
      </c>
      <c r="C13" s="196" t="s">
        <v>9</v>
      </c>
      <c r="D13" s="81">
        <v>408.0</v>
      </c>
      <c r="E13" s="70">
        <v>1336.0</v>
      </c>
      <c r="F13" s="70">
        <v>2320.0</v>
      </c>
      <c r="G13" s="70">
        <v>1584.0</v>
      </c>
      <c r="H13" s="70">
        <v>1460.0</v>
      </c>
      <c r="I13" s="70">
        <v>1456.0</v>
      </c>
      <c r="J13" s="70">
        <v>1504.0</v>
      </c>
      <c r="K13" s="70">
        <v>2752.0</v>
      </c>
      <c r="L13" s="70">
        <v>1332.0</v>
      </c>
      <c r="M13" s="70">
        <v>1380.0</v>
      </c>
      <c r="N13" s="70"/>
      <c r="O13" s="82"/>
      <c r="P13" s="200"/>
      <c r="Q13" s="174">
        <v>0.0</v>
      </c>
      <c r="R13" s="174">
        <v>0.0</v>
      </c>
      <c r="S13" s="174">
        <v>0.0</v>
      </c>
      <c r="T13" s="174">
        <v>1040.0</v>
      </c>
      <c r="U13" s="174">
        <v>0.0</v>
      </c>
      <c r="V13" s="174">
        <v>0.0</v>
      </c>
      <c r="W13" s="174">
        <v>0.0</v>
      </c>
      <c r="X13" s="174">
        <v>0.0</v>
      </c>
      <c r="Y13" s="174">
        <v>0.0</v>
      </c>
      <c r="Z13" s="174">
        <v>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1040</v>
      </c>
    </row>
    <row r="14" ht="18.0" customHeight="1">
      <c r="A14" s="169" t="s">
        <v>13</v>
      </c>
      <c r="B14" s="169" t="s">
        <v>7</v>
      </c>
      <c r="C14" s="301" t="s">
        <v>8</v>
      </c>
      <c r="D14" s="47">
        <v>140.0</v>
      </c>
      <c r="E14" s="48">
        <v>236.0</v>
      </c>
      <c r="F14" s="48">
        <v>236.0</v>
      </c>
      <c r="G14" s="48">
        <v>204.0</v>
      </c>
      <c r="H14" s="48">
        <v>264.0</v>
      </c>
      <c r="I14" s="48">
        <v>156.0</v>
      </c>
      <c r="J14" s="48">
        <v>296.0</v>
      </c>
      <c r="K14" s="48">
        <v>215.0</v>
      </c>
      <c r="L14" s="48">
        <v>428.0</v>
      </c>
      <c r="M14" s="48">
        <v>132.0</v>
      </c>
      <c r="N14" s="48"/>
      <c r="O14" s="72"/>
      <c r="P14" s="173"/>
      <c r="Q14" s="174">
        <v>0.0</v>
      </c>
      <c r="R14" s="174">
        <v>0.0</v>
      </c>
      <c r="S14" s="174">
        <v>144.0</v>
      </c>
      <c r="T14" s="174">
        <v>0.0</v>
      </c>
      <c r="U14" s="174">
        <v>0.0</v>
      </c>
      <c r="V14" s="174">
        <v>68.0</v>
      </c>
      <c r="W14" s="174">
        <v>12.0</v>
      </c>
      <c r="X14" s="174">
        <v>0.0</v>
      </c>
      <c r="Y14" s="174">
        <v>0.0</v>
      </c>
      <c r="Z14" s="174">
        <v>36.0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260</v>
      </c>
    </row>
    <row r="15" ht="18.0" customHeight="1">
      <c r="A15" s="28"/>
      <c r="B15" s="29"/>
      <c r="C15" s="302" t="s">
        <v>9</v>
      </c>
      <c r="D15" s="303">
        <v>7844.0</v>
      </c>
      <c r="E15" s="297">
        <v>7800.0</v>
      </c>
      <c r="F15" s="297">
        <v>8846.0</v>
      </c>
      <c r="G15" s="297">
        <v>9284.0</v>
      </c>
      <c r="H15" s="297">
        <v>6502.0</v>
      </c>
      <c r="I15" s="297">
        <v>7374.0</v>
      </c>
      <c r="J15" s="297">
        <v>6944.0</v>
      </c>
      <c r="K15" s="297">
        <v>7278.0</v>
      </c>
      <c r="L15" s="297">
        <v>6690.0</v>
      </c>
      <c r="M15" s="297">
        <v>8868.0</v>
      </c>
      <c r="N15" s="297"/>
      <c r="O15" s="307"/>
      <c r="P15" s="299"/>
      <c r="Q15" s="181">
        <v>0.0</v>
      </c>
      <c r="R15" s="181">
        <v>0.0</v>
      </c>
      <c r="S15" s="181">
        <v>1084.0</v>
      </c>
      <c r="T15" s="181">
        <v>840.0</v>
      </c>
      <c r="U15" s="181">
        <v>280.0</v>
      </c>
      <c r="V15" s="181">
        <v>432.0</v>
      </c>
      <c r="W15" s="181">
        <v>440.0</v>
      </c>
      <c r="X15" s="181">
        <v>0.0</v>
      </c>
      <c r="Y15" s="181">
        <v>0.0</v>
      </c>
      <c r="Z15" s="181">
        <v>956.0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63">
        <f t="shared" si="12"/>
        <v>4032</v>
      </c>
    </row>
    <row r="16" ht="18.0" customHeight="1">
      <c r="A16" s="28"/>
      <c r="B16" s="182" t="s">
        <v>10</v>
      </c>
      <c r="C16" s="183" t="s">
        <v>8</v>
      </c>
      <c r="D16" s="47">
        <v>0.0</v>
      </c>
      <c r="E16" s="48">
        <v>32.0</v>
      </c>
      <c r="F16" s="48">
        <v>0.0</v>
      </c>
      <c r="G16" s="48">
        <v>0.0</v>
      </c>
      <c r="H16" s="48">
        <v>0.0</v>
      </c>
      <c r="I16" s="48">
        <v>0.0</v>
      </c>
      <c r="J16" s="48">
        <v>0.0</v>
      </c>
      <c r="K16" s="48">
        <v>0.0</v>
      </c>
      <c r="L16" s="48">
        <v>0.0</v>
      </c>
      <c r="M16" s="48">
        <v>0.0</v>
      </c>
      <c r="N16" s="48"/>
      <c r="O16" s="72"/>
      <c r="P16" s="173"/>
      <c r="Q16" s="174">
        <v>0.0</v>
      </c>
      <c r="R16" s="174">
        <v>0.0</v>
      </c>
      <c r="S16" s="174">
        <v>0.0</v>
      </c>
      <c r="T16" s="174">
        <v>0.0</v>
      </c>
      <c r="U16" s="174">
        <v>0.0</v>
      </c>
      <c r="V16" s="174">
        <v>0.0</v>
      </c>
      <c r="W16" s="174">
        <v>0.0</v>
      </c>
      <c r="X16" s="174">
        <v>0.0</v>
      </c>
      <c r="Y16" s="174">
        <v>0.0</v>
      </c>
      <c r="Z16" s="174">
        <v>0.0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0</v>
      </c>
    </row>
    <row r="17" ht="18.0" customHeight="1">
      <c r="A17" s="28"/>
      <c r="B17" s="40"/>
      <c r="C17" s="188" t="s">
        <v>9</v>
      </c>
      <c r="D17" s="303">
        <v>0.0</v>
      </c>
      <c r="E17" s="297">
        <v>60.0</v>
      </c>
      <c r="F17" s="297">
        <v>200.0</v>
      </c>
      <c r="G17" s="297">
        <v>100.0</v>
      </c>
      <c r="H17" s="297">
        <v>416.0</v>
      </c>
      <c r="I17" s="297">
        <v>1620.0</v>
      </c>
      <c r="J17" s="297">
        <v>0.0</v>
      </c>
      <c r="K17" s="297">
        <v>300.0</v>
      </c>
      <c r="L17" s="297">
        <v>1100.0</v>
      </c>
      <c r="M17" s="297">
        <v>0.0</v>
      </c>
      <c r="N17" s="297"/>
      <c r="O17" s="307"/>
      <c r="P17" s="299"/>
      <c r="Q17" s="181">
        <v>0.0</v>
      </c>
      <c r="R17" s="181">
        <v>0.0</v>
      </c>
      <c r="S17" s="181">
        <v>0.0</v>
      </c>
      <c r="T17" s="181">
        <v>0.0</v>
      </c>
      <c r="U17" s="181">
        <v>0.0</v>
      </c>
      <c r="V17" s="181">
        <v>0.0</v>
      </c>
      <c r="W17" s="181">
        <v>1000.0</v>
      </c>
      <c r="X17" s="181">
        <v>0.0</v>
      </c>
      <c r="Y17" s="181">
        <v>0.0</v>
      </c>
      <c r="Z17" s="181">
        <v>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194">
        <f t="shared" si="12"/>
        <v>1000</v>
      </c>
    </row>
    <row r="18" ht="18.0" customHeight="1">
      <c r="A18" s="29"/>
      <c r="B18" s="195" t="s">
        <v>11</v>
      </c>
      <c r="C18" s="196" t="s">
        <v>9</v>
      </c>
      <c r="D18" s="81">
        <v>2488.0</v>
      </c>
      <c r="E18" s="70">
        <v>596.0</v>
      </c>
      <c r="F18" s="70">
        <v>1696.0</v>
      </c>
      <c r="G18" s="70">
        <v>2108.0</v>
      </c>
      <c r="H18" s="70">
        <v>2012.0</v>
      </c>
      <c r="I18" s="70">
        <v>1596.0</v>
      </c>
      <c r="J18" s="70">
        <v>1900.0</v>
      </c>
      <c r="K18" s="70">
        <v>2208.0</v>
      </c>
      <c r="L18" s="70">
        <v>1960.0</v>
      </c>
      <c r="M18" s="70">
        <v>1156.0</v>
      </c>
      <c r="N18" s="70"/>
      <c r="O18" s="82"/>
      <c r="P18" s="200"/>
      <c r="Q18" s="202">
        <v>0.0</v>
      </c>
      <c r="R18" s="202">
        <v>0.0</v>
      </c>
      <c r="S18" s="202">
        <v>804.0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364.0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1168</v>
      </c>
    </row>
    <row r="19" ht="18.0" customHeight="1">
      <c r="A19" s="17" t="s">
        <v>14</v>
      </c>
      <c r="B19" s="17" t="s">
        <v>7</v>
      </c>
      <c r="C19" s="94" t="s">
        <v>8</v>
      </c>
      <c r="D19" s="273">
        <v>0.0</v>
      </c>
      <c r="E19" s="171">
        <v>0.0</v>
      </c>
      <c r="F19" s="171">
        <v>12.0</v>
      </c>
      <c r="G19" s="171">
        <v>0.0</v>
      </c>
      <c r="H19" s="171">
        <v>0.0</v>
      </c>
      <c r="I19" s="171">
        <v>12.0</v>
      </c>
      <c r="J19" s="171">
        <v>0.0</v>
      </c>
      <c r="K19" s="171">
        <v>0.0</v>
      </c>
      <c r="L19" s="171">
        <v>6.0</v>
      </c>
      <c r="M19" s="171">
        <v>0.0</v>
      </c>
      <c r="N19" s="48"/>
      <c r="O19" s="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308">
        <v>356.0</v>
      </c>
      <c r="E20" s="177">
        <v>628.0</v>
      </c>
      <c r="F20" s="177">
        <v>544.0</v>
      </c>
      <c r="G20" s="177">
        <v>160.0</v>
      </c>
      <c r="H20" s="177">
        <v>52.0</v>
      </c>
      <c r="I20" s="177">
        <v>396.0</v>
      </c>
      <c r="J20" s="177">
        <v>408.0</v>
      </c>
      <c r="K20" s="177">
        <v>374.0</v>
      </c>
      <c r="L20" s="177">
        <v>332.0</v>
      </c>
      <c r="M20" s="177">
        <v>276.0</v>
      </c>
      <c r="N20" s="297"/>
      <c r="O20" s="307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309">
        <v>0.0</v>
      </c>
      <c r="E21" s="185">
        <v>-32.0</v>
      </c>
      <c r="F21" s="185">
        <v>0.0</v>
      </c>
      <c r="G21" s="185">
        <v>0.0</v>
      </c>
      <c r="H21" s="185">
        <v>0.0</v>
      </c>
      <c r="I21" s="185">
        <v>0.0</v>
      </c>
      <c r="J21" s="185">
        <v>0.0</v>
      </c>
      <c r="K21" s="185">
        <v>0.0</v>
      </c>
      <c r="L21" s="185">
        <v>0.0</v>
      </c>
      <c r="M21" s="185">
        <v>0.0</v>
      </c>
      <c r="N21" s="48"/>
      <c r="O21" s="75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310">
        <v>2800.0</v>
      </c>
      <c r="E22" s="190">
        <v>0.0</v>
      </c>
      <c r="F22" s="190">
        <v>0.0</v>
      </c>
      <c r="G22" s="190">
        <v>0.0</v>
      </c>
      <c r="H22" s="190">
        <v>0.0</v>
      </c>
      <c r="I22" s="190">
        <v>0.0</v>
      </c>
      <c r="J22" s="190">
        <v>0.0</v>
      </c>
      <c r="K22" s="190">
        <v>0.0</v>
      </c>
      <c r="L22" s="190">
        <v>800.0</v>
      </c>
      <c r="M22" s="190">
        <v>0.0</v>
      </c>
      <c r="N22" s="297"/>
      <c r="O22" s="311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312">
        <v>0.0</v>
      </c>
      <c r="E23" s="198">
        <v>200.0</v>
      </c>
      <c r="F23" s="198">
        <v>0.0</v>
      </c>
      <c r="G23" s="198">
        <v>0.0</v>
      </c>
      <c r="H23" s="198">
        <v>12.0</v>
      </c>
      <c r="I23" s="198">
        <v>0.0</v>
      </c>
      <c r="J23" s="198">
        <v>0.0</v>
      </c>
      <c r="K23" s="198">
        <v>0.0</v>
      </c>
      <c r="L23" s="198">
        <v>0.0</v>
      </c>
      <c r="M23" s="198">
        <v>0.0</v>
      </c>
      <c r="N23" s="313"/>
      <c r="O23" s="314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1525</v>
      </c>
      <c r="E24" s="20">
        <f t="shared" si="13"/>
        <v>1289</v>
      </c>
      <c r="F24" s="20">
        <f t="shared" si="13"/>
        <v>1141</v>
      </c>
      <c r="G24" s="20">
        <f t="shared" si="13"/>
        <v>1165</v>
      </c>
      <c r="H24" s="20">
        <f t="shared" si="13"/>
        <v>1261</v>
      </c>
      <c r="I24" s="20">
        <f t="shared" si="13"/>
        <v>1093</v>
      </c>
      <c r="J24" s="20">
        <f t="shared" si="13"/>
        <v>1133</v>
      </c>
      <c r="K24" s="20">
        <f t="shared" si="13"/>
        <v>1338</v>
      </c>
      <c r="L24" s="20">
        <f t="shared" si="13"/>
        <v>1004</v>
      </c>
      <c r="M24" s="20">
        <f t="shared" si="13"/>
        <v>1124</v>
      </c>
      <c r="N24" s="20">
        <f t="shared" si="13"/>
        <v>1124</v>
      </c>
      <c r="O24" s="21">
        <f t="shared" si="13"/>
        <v>1124</v>
      </c>
      <c r="P24" s="274">
        <f t="shared" si="13"/>
        <v>1124</v>
      </c>
      <c r="Q24" s="74">
        <f t="shared" si="13"/>
        <v>1124</v>
      </c>
      <c r="R24" s="66">
        <f t="shared" si="13"/>
        <v>1124</v>
      </c>
      <c r="S24" s="66">
        <f t="shared" si="13"/>
        <v>980</v>
      </c>
      <c r="T24" s="66">
        <f t="shared" si="13"/>
        <v>980</v>
      </c>
      <c r="U24" s="66">
        <f t="shared" si="13"/>
        <v>980</v>
      </c>
      <c r="V24" s="66">
        <f t="shared" si="13"/>
        <v>912</v>
      </c>
      <c r="W24" s="66">
        <f t="shared" si="13"/>
        <v>900</v>
      </c>
      <c r="X24" s="66">
        <f t="shared" si="13"/>
        <v>900</v>
      </c>
      <c r="Y24" s="66">
        <f t="shared" si="13"/>
        <v>900</v>
      </c>
      <c r="Z24" s="66">
        <f t="shared" si="13"/>
        <v>864</v>
      </c>
      <c r="AA24" s="66">
        <f t="shared" si="13"/>
        <v>864</v>
      </c>
      <c r="AB24" s="66">
        <f t="shared" si="13"/>
        <v>864</v>
      </c>
      <c r="AC24" s="66">
        <f t="shared" si="13"/>
        <v>864</v>
      </c>
      <c r="AD24" s="66">
        <f t="shared" si="13"/>
        <v>864</v>
      </c>
      <c r="AE24" s="66">
        <f t="shared" si="13"/>
        <v>864</v>
      </c>
      <c r="AF24" s="66">
        <f t="shared" si="13"/>
        <v>864</v>
      </c>
      <c r="AG24" s="66">
        <f t="shared" si="13"/>
        <v>864</v>
      </c>
      <c r="AH24" s="66">
        <f t="shared" si="13"/>
        <v>864</v>
      </c>
      <c r="AI24" s="66">
        <f t="shared" si="13"/>
        <v>864</v>
      </c>
      <c r="AJ24" s="66">
        <f t="shared" si="13"/>
        <v>864</v>
      </c>
      <c r="AK24" s="66">
        <f t="shared" si="13"/>
        <v>864</v>
      </c>
      <c r="AL24" s="66">
        <f t="shared" si="13"/>
        <v>864</v>
      </c>
      <c r="AM24" s="66">
        <f t="shared" si="13"/>
        <v>864</v>
      </c>
      <c r="AN24" s="66">
        <f t="shared" si="13"/>
        <v>864</v>
      </c>
      <c r="AO24" s="66">
        <f t="shared" si="13"/>
        <v>864</v>
      </c>
      <c r="AP24" s="66">
        <f t="shared" si="13"/>
        <v>864</v>
      </c>
      <c r="AQ24" s="66">
        <f t="shared" si="13"/>
        <v>864</v>
      </c>
      <c r="AR24" s="66">
        <f t="shared" si="13"/>
        <v>864</v>
      </c>
      <c r="AS24" s="66">
        <f t="shared" si="13"/>
        <v>864</v>
      </c>
      <c r="AT24" s="66">
        <f t="shared" si="13"/>
        <v>864</v>
      </c>
      <c r="AU24" s="66">
        <f t="shared" si="13"/>
        <v>864</v>
      </c>
      <c r="AV24" s="220">
        <f t="shared" si="13"/>
        <v>864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14156</v>
      </c>
      <c r="E25" s="222">
        <f t="shared" si="14"/>
        <v>14556</v>
      </c>
      <c r="F25" s="222">
        <f t="shared" si="14"/>
        <v>17846</v>
      </c>
      <c r="G25" s="222">
        <f t="shared" si="14"/>
        <v>16782</v>
      </c>
      <c r="H25" s="222">
        <f t="shared" si="14"/>
        <v>17560</v>
      </c>
      <c r="I25" s="222">
        <f t="shared" si="14"/>
        <v>13734</v>
      </c>
      <c r="J25" s="222">
        <f t="shared" si="14"/>
        <v>15086</v>
      </c>
      <c r="K25" s="222">
        <f t="shared" si="14"/>
        <v>15662</v>
      </c>
      <c r="L25" s="222">
        <f t="shared" si="14"/>
        <v>15456</v>
      </c>
      <c r="M25" s="222">
        <f t="shared" si="14"/>
        <v>14808</v>
      </c>
      <c r="N25" s="222">
        <f t="shared" si="14"/>
        <v>14808</v>
      </c>
      <c r="O25" s="223">
        <f t="shared" si="14"/>
        <v>14808</v>
      </c>
      <c r="P25" s="275">
        <f t="shared" si="14"/>
        <v>14808</v>
      </c>
      <c r="Q25" s="35">
        <f t="shared" si="14"/>
        <v>14808</v>
      </c>
      <c r="R25" s="36">
        <f t="shared" si="14"/>
        <v>14808</v>
      </c>
      <c r="S25" s="36">
        <f t="shared" si="14"/>
        <v>13724</v>
      </c>
      <c r="T25" s="36">
        <f t="shared" si="14"/>
        <v>16784</v>
      </c>
      <c r="U25" s="36">
        <f t="shared" si="14"/>
        <v>16504</v>
      </c>
      <c r="V25" s="36">
        <f t="shared" si="14"/>
        <v>16072</v>
      </c>
      <c r="W25" s="36">
        <f t="shared" si="14"/>
        <v>15632</v>
      </c>
      <c r="X25" s="36">
        <f t="shared" si="14"/>
        <v>15632</v>
      </c>
      <c r="Y25" s="36">
        <f t="shared" si="14"/>
        <v>15632</v>
      </c>
      <c r="Z25" s="36">
        <f t="shared" si="14"/>
        <v>14676</v>
      </c>
      <c r="AA25" s="36">
        <f t="shared" si="14"/>
        <v>14676</v>
      </c>
      <c r="AB25" s="36">
        <f t="shared" si="14"/>
        <v>14676</v>
      </c>
      <c r="AC25" s="36">
        <f t="shared" si="14"/>
        <v>14676</v>
      </c>
      <c r="AD25" s="36">
        <f t="shared" si="14"/>
        <v>14676</v>
      </c>
      <c r="AE25" s="36">
        <f t="shared" si="14"/>
        <v>14676</v>
      </c>
      <c r="AF25" s="36">
        <f t="shared" si="14"/>
        <v>14676</v>
      </c>
      <c r="AG25" s="36">
        <f t="shared" si="14"/>
        <v>14676</v>
      </c>
      <c r="AH25" s="36">
        <f t="shared" si="14"/>
        <v>14676</v>
      </c>
      <c r="AI25" s="36">
        <f t="shared" si="14"/>
        <v>14676</v>
      </c>
      <c r="AJ25" s="36">
        <f t="shared" si="14"/>
        <v>14676</v>
      </c>
      <c r="AK25" s="36">
        <f t="shared" si="14"/>
        <v>14676</v>
      </c>
      <c r="AL25" s="36">
        <f t="shared" si="14"/>
        <v>14676</v>
      </c>
      <c r="AM25" s="36">
        <f t="shared" si="14"/>
        <v>14676</v>
      </c>
      <c r="AN25" s="36">
        <f t="shared" si="14"/>
        <v>14676</v>
      </c>
      <c r="AO25" s="36">
        <f t="shared" si="14"/>
        <v>14676</v>
      </c>
      <c r="AP25" s="36">
        <f t="shared" si="14"/>
        <v>14676</v>
      </c>
      <c r="AQ25" s="36">
        <f t="shared" si="14"/>
        <v>14676</v>
      </c>
      <c r="AR25" s="36">
        <f t="shared" si="14"/>
        <v>14676</v>
      </c>
      <c r="AS25" s="36">
        <f t="shared" si="14"/>
        <v>14676</v>
      </c>
      <c r="AT25" s="36">
        <f t="shared" si="14"/>
        <v>14676</v>
      </c>
      <c r="AU25" s="36">
        <f t="shared" si="14"/>
        <v>14676</v>
      </c>
      <c r="AV25" s="225">
        <f t="shared" si="14"/>
        <v>14676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0</v>
      </c>
      <c r="E26" s="32">
        <f t="shared" si="15"/>
        <v>0</v>
      </c>
      <c r="F26" s="32">
        <f t="shared" si="15"/>
        <v>0</v>
      </c>
      <c r="G26" s="32">
        <f t="shared" si="15"/>
        <v>0</v>
      </c>
      <c r="H26" s="32">
        <f t="shared" si="15"/>
        <v>0</v>
      </c>
      <c r="I26" s="32">
        <f t="shared" si="15"/>
        <v>0</v>
      </c>
      <c r="J26" s="32">
        <f t="shared" si="15"/>
        <v>0</v>
      </c>
      <c r="K26" s="32">
        <f t="shared" si="15"/>
        <v>0</v>
      </c>
      <c r="L26" s="32">
        <f t="shared" si="15"/>
        <v>0</v>
      </c>
      <c r="M26" s="32">
        <f t="shared" si="15"/>
        <v>0</v>
      </c>
      <c r="N26" s="32">
        <f t="shared" si="15"/>
        <v>0</v>
      </c>
      <c r="O26" s="33">
        <f t="shared" si="15"/>
        <v>0</v>
      </c>
      <c r="P26" s="274">
        <f t="shared" si="15"/>
        <v>0</v>
      </c>
      <c r="Q26" s="74">
        <f t="shared" si="15"/>
        <v>0</v>
      </c>
      <c r="R26" s="66">
        <f t="shared" si="15"/>
        <v>0</v>
      </c>
      <c r="S26" s="66">
        <f t="shared" si="15"/>
        <v>0</v>
      </c>
      <c r="T26" s="66">
        <f t="shared" si="15"/>
        <v>0</v>
      </c>
      <c r="U26" s="66">
        <f t="shared" si="15"/>
        <v>0</v>
      </c>
      <c r="V26" s="66">
        <f t="shared" si="15"/>
        <v>0</v>
      </c>
      <c r="W26" s="66">
        <f t="shared" si="15"/>
        <v>0</v>
      </c>
      <c r="X26" s="66">
        <f t="shared" si="15"/>
        <v>0</v>
      </c>
      <c r="Y26" s="66">
        <f t="shared" si="15"/>
        <v>0</v>
      </c>
      <c r="Z26" s="66">
        <f t="shared" si="15"/>
        <v>0</v>
      </c>
      <c r="AA26" s="66">
        <f t="shared" si="15"/>
        <v>0</v>
      </c>
      <c r="AB26" s="66">
        <f t="shared" si="15"/>
        <v>0</v>
      </c>
      <c r="AC26" s="66">
        <f t="shared" si="15"/>
        <v>0</v>
      </c>
      <c r="AD26" s="66">
        <f t="shared" si="15"/>
        <v>0</v>
      </c>
      <c r="AE26" s="66">
        <f t="shared" si="15"/>
        <v>0</v>
      </c>
      <c r="AF26" s="66">
        <f t="shared" si="15"/>
        <v>0</v>
      </c>
      <c r="AG26" s="66">
        <f t="shared" si="15"/>
        <v>0</v>
      </c>
      <c r="AH26" s="66">
        <f t="shared" si="15"/>
        <v>0</v>
      </c>
      <c r="AI26" s="66">
        <f t="shared" si="15"/>
        <v>0</v>
      </c>
      <c r="AJ26" s="66">
        <f t="shared" si="15"/>
        <v>0</v>
      </c>
      <c r="AK26" s="66">
        <f t="shared" si="15"/>
        <v>0</v>
      </c>
      <c r="AL26" s="66">
        <f t="shared" si="15"/>
        <v>0</v>
      </c>
      <c r="AM26" s="66">
        <f t="shared" si="15"/>
        <v>0</v>
      </c>
      <c r="AN26" s="66">
        <f t="shared" si="15"/>
        <v>0</v>
      </c>
      <c r="AO26" s="66">
        <f t="shared" si="15"/>
        <v>0</v>
      </c>
      <c r="AP26" s="66">
        <f t="shared" si="15"/>
        <v>0</v>
      </c>
      <c r="AQ26" s="66">
        <f t="shared" si="15"/>
        <v>0</v>
      </c>
      <c r="AR26" s="66">
        <f t="shared" si="15"/>
        <v>0</v>
      </c>
      <c r="AS26" s="66">
        <f t="shared" si="15"/>
        <v>0</v>
      </c>
      <c r="AT26" s="66">
        <f t="shared" si="15"/>
        <v>0</v>
      </c>
      <c r="AU26" s="66">
        <f t="shared" si="15"/>
        <v>0</v>
      </c>
      <c r="AV26" s="67">
        <f t="shared" si="15"/>
        <v>0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300</v>
      </c>
      <c r="E27" s="222">
        <f t="shared" si="16"/>
        <v>280</v>
      </c>
      <c r="F27" s="222">
        <f t="shared" si="16"/>
        <v>80</v>
      </c>
      <c r="G27" s="222">
        <f t="shared" si="16"/>
        <v>80</v>
      </c>
      <c r="H27" s="222">
        <f t="shared" si="16"/>
        <v>1280</v>
      </c>
      <c r="I27" s="222">
        <f t="shared" si="16"/>
        <v>280</v>
      </c>
      <c r="J27" s="222">
        <f t="shared" si="16"/>
        <v>280</v>
      </c>
      <c r="K27" s="222">
        <f t="shared" si="16"/>
        <v>20</v>
      </c>
      <c r="L27" s="222">
        <f t="shared" si="16"/>
        <v>20</v>
      </c>
      <c r="M27" s="222">
        <f t="shared" si="16"/>
        <v>20</v>
      </c>
      <c r="N27" s="222">
        <f t="shared" si="16"/>
        <v>20</v>
      </c>
      <c r="O27" s="223">
        <f t="shared" si="16"/>
        <v>20</v>
      </c>
      <c r="P27" s="275">
        <f t="shared" si="16"/>
        <v>20</v>
      </c>
      <c r="Q27" s="35">
        <f t="shared" si="16"/>
        <v>20</v>
      </c>
      <c r="R27" s="36">
        <f t="shared" si="16"/>
        <v>20</v>
      </c>
      <c r="S27" s="36">
        <f t="shared" si="16"/>
        <v>20</v>
      </c>
      <c r="T27" s="36">
        <f t="shared" si="16"/>
        <v>1020</v>
      </c>
      <c r="U27" s="36">
        <f t="shared" si="16"/>
        <v>1020</v>
      </c>
      <c r="V27" s="36">
        <f t="shared" si="16"/>
        <v>1020</v>
      </c>
      <c r="W27" s="36">
        <f t="shared" si="16"/>
        <v>20</v>
      </c>
      <c r="X27" s="36">
        <f t="shared" si="16"/>
        <v>20</v>
      </c>
      <c r="Y27" s="36">
        <f t="shared" si="16"/>
        <v>20</v>
      </c>
      <c r="Z27" s="36">
        <f t="shared" si="16"/>
        <v>20</v>
      </c>
      <c r="AA27" s="36">
        <f t="shared" si="16"/>
        <v>20</v>
      </c>
      <c r="AB27" s="36">
        <f t="shared" si="16"/>
        <v>20</v>
      </c>
      <c r="AC27" s="36">
        <f t="shared" si="16"/>
        <v>20</v>
      </c>
      <c r="AD27" s="36">
        <f t="shared" si="16"/>
        <v>20</v>
      </c>
      <c r="AE27" s="36">
        <f t="shared" si="16"/>
        <v>20</v>
      </c>
      <c r="AF27" s="36">
        <f t="shared" si="16"/>
        <v>20</v>
      </c>
      <c r="AG27" s="36">
        <f t="shared" si="16"/>
        <v>20</v>
      </c>
      <c r="AH27" s="36">
        <f t="shared" si="16"/>
        <v>20</v>
      </c>
      <c r="AI27" s="36">
        <f t="shared" si="16"/>
        <v>20</v>
      </c>
      <c r="AJ27" s="36">
        <f t="shared" si="16"/>
        <v>20</v>
      </c>
      <c r="AK27" s="36">
        <f t="shared" si="16"/>
        <v>20</v>
      </c>
      <c r="AL27" s="36">
        <f t="shared" si="16"/>
        <v>20</v>
      </c>
      <c r="AM27" s="36">
        <f t="shared" si="16"/>
        <v>20</v>
      </c>
      <c r="AN27" s="36">
        <f t="shared" si="16"/>
        <v>20</v>
      </c>
      <c r="AO27" s="36">
        <f t="shared" si="16"/>
        <v>20</v>
      </c>
      <c r="AP27" s="36">
        <f t="shared" si="16"/>
        <v>20</v>
      </c>
      <c r="AQ27" s="36">
        <f t="shared" si="16"/>
        <v>20</v>
      </c>
      <c r="AR27" s="36">
        <f t="shared" si="16"/>
        <v>20</v>
      </c>
      <c r="AS27" s="36">
        <f t="shared" si="16"/>
        <v>20</v>
      </c>
      <c r="AT27" s="36">
        <f t="shared" si="16"/>
        <v>20</v>
      </c>
      <c r="AU27" s="36">
        <f t="shared" si="16"/>
        <v>20</v>
      </c>
      <c r="AV27" s="63">
        <f t="shared" si="16"/>
        <v>20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3604</v>
      </c>
      <c r="E28" s="230">
        <f t="shared" si="17"/>
        <v>4144</v>
      </c>
      <c r="F28" s="230">
        <f t="shared" si="17"/>
        <v>4768</v>
      </c>
      <c r="G28" s="230">
        <f t="shared" si="17"/>
        <v>4244</v>
      </c>
      <c r="H28" s="230">
        <f t="shared" si="17"/>
        <v>3680</v>
      </c>
      <c r="I28" s="230">
        <f t="shared" si="17"/>
        <v>3540</v>
      </c>
      <c r="J28" s="230">
        <f t="shared" si="17"/>
        <v>3144</v>
      </c>
      <c r="K28" s="230">
        <f t="shared" si="17"/>
        <v>3688</v>
      </c>
      <c r="L28" s="230">
        <f t="shared" si="17"/>
        <v>3060</v>
      </c>
      <c r="M28" s="230">
        <f t="shared" si="17"/>
        <v>3284</v>
      </c>
      <c r="N28" s="230">
        <f t="shared" si="17"/>
        <v>3284</v>
      </c>
      <c r="O28" s="231">
        <f t="shared" si="17"/>
        <v>3284</v>
      </c>
      <c r="P28" s="288">
        <f t="shared" si="17"/>
        <v>3284</v>
      </c>
      <c r="Q28" s="35">
        <f t="shared" si="17"/>
        <v>3284</v>
      </c>
      <c r="R28" s="36">
        <f t="shared" si="17"/>
        <v>3284</v>
      </c>
      <c r="S28" s="36">
        <f t="shared" si="17"/>
        <v>2480</v>
      </c>
      <c r="T28" s="36">
        <f t="shared" si="17"/>
        <v>3520</v>
      </c>
      <c r="U28" s="36">
        <f t="shared" si="17"/>
        <v>3520</v>
      </c>
      <c r="V28" s="36">
        <f t="shared" si="17"/>
        <v>3520</v>
      </c>
      <c r="W28" s="36">
        <f t="shared" si="17"/>
        <v>3520</v>
      </c>
      <c r="X28" s="36">
        <f t="shared" si="17"/>
        <v>3520</v>
      </c>
      <c r="Y28" s="36">
        <f t="shared" si="17"/>
        <v>3520</v>
      </c>
      <c r="Z28" s="36">
        <f t="shared" si="17"/>
        <v>3156</v>
      </c>
      <c r="AA28" s="36">
        <f t="shared" si="17"/>
        <v>3156</v>
      </c>
      <c r="AB28" s="36">
        <f t="shared" si="17"/>
        <v>3156</v>
      </c>
      <c r="AC28" s="36">
        <f t="shared" si="17"/>
        <v>3156</v>
      </c>
      <c r="AD28" s="36">
        <f t="shared" si="17"/>
        <v>3156</v>
      </c>
      <c r="AE28" s="36">
        <f t="shared" si="17"/>
        <v>3156</v>
      </c>
      <c r="AF28" s="36">
        <f t="shared" si="17"/>
        <v>3156</v>
      </c>
      <c r="AG28" s="36">
        <f t="shared" si="17"/>
        <v>3156</v>
      </c>
      <c r="AH28" s="36">
        <f t="shared" si="17"/>
        <v>3156</v>
      </c>
      <c r="AI28" s="36">
        <f t="shared" si="17"/>
        <v>3156</v>
      </c>
      <c r="AJ28" s="36">
        <f t="shared" si="17"/>
        <v>3156</v>
      </c>
      <c r="AK28" s="36">
        <f t="shared" si="17"/>
        <v>3156</v>
      </c>
      <c r="AL28" s="36">
        <f t="shared" si="17"/>
        <v>3156</v>
      </c>
      <c r="AM28" s="36">
        <f t="shared" si="17"/>
        <v>3156</v>
      </c>
      <c r="AN28" s="36">
        <f t="shared" si="17"/>
        <v>3156</v>
      </c>
      <c r="AO28" s="36">
        <f t="shared" si="17"/>
        <v>3156</v>
      </c>
      <c r="AP28" s="36">
        <f t="shared" si="17"/>
        <v>3156</v>
      </c>
      <c r="AQ28" s="36">
        <f t="shared" si="17"/>
        <v>3156</v>
      </c>
      <c r="AR28" s="36">
        <f t="shared" si="17"/>
        <v>3156</v>
      </c>
      <c r="AS28" s="36">
        <f t="shared" si="17"/>
        <v>3156</v>
      </c>
      <c r="AT28" s="36">
        <f t="shared" si="17"/>
        <v>3156</v>
      </c>
      <c r="AU28" s="36">
        <f t="shared" si="17"/>
        <v>3156</v>
      </c>
      <c r="AV28" s="63">
        <f t="shared" si="17"/>
        <v>3156</v>
      </c>
    </row>
    <row r="29" ht="18.0" customHeight="1">
      <c r="A29" s="1"/>
      <c r="B29" s="1"/>
      <c r="C29" s="1"/>
      <c r="D29" s="27">
        <f t="shared" ref="D29:O29" si="18">SUM(D24:D28)</f>
        <v>19585</v>
      </c>
      <c r="E29" s="27">
        <f t="shared" si="18"/>
        <v>20269</v>
      </c>
      <c r="F29" s="27">
        <f t="shared" si="18"/>
        <v>23835</v>
      </c>
      <c r="G29" s="27">
        <f t="shared" si="18"/>
        <v>22271</v>
      </c>
      <c r="H29" s="27">
        <f t="shared" si="18"/>
        <v>23781</v>
      </c>
      <c r="I29" s="27">
        <f t="shared" si="18"/>
        <v>18647</v>
      </c>
      <c r="J29" s="27">
        <f t="shared" si="18"/>
        <v>19643</v>
      </c>
      <c r="K29" s="27">
        <f t="shared" si="18"/>
        <v>20708</v>
      </c>
      <c r="L29" s="27">
        <f t="shared" si="18"/>
        <v>19540</v>
      </c>
      <c r="M29" s="27">
        <f t="shared" si="18"/>
        <v>19236</v>
      </c>
      <c r="N29" s="27">
        <f t="shared" si="18"/>
        <v>19236</v>
      </c>
      <c r="O29" s="27">
        <f t="shared" si="18"/>
        <v>19236</v>
      </c>
      <c r="P29" s="27"/>
      <c r="Q29" s="27">
        <f t="shared" ref="Q29:AV29" si="19">SUM(Q24:Q28)</f>
        <v>19236</v>
      </c>
      <c r="R29" s="27">
        <f t="shared" si="19"/>
        <v>19236</v>
      </c>
      <c r="S29" s="27">
        <f t="shared" si="19"/>
        <v>17204</v>
      </c>
      <c r="T29" s="27">
        <f t="shared" si="19"/>
        <v>22304</v>
      </c>
      <c r="U29" s="27">
        <f t="shared" si="19"/>
        <v>22024</v>
      </c>
      <c r="V29" s="27">
        <f t="shared" si="19"/>
        <v>21524</v>
      </c>
      <c r="W29" s="27">
        <f t="shared" si="19"/>
        <v>20072</v>
      </c>
      <c r="X29" s="27">
        <f t="shared" si="19"/>
        <v>20072</v>
      </c>
      <c r="Y29" s="27">
        <f t="shared" si="19"/>
        <v>20072</v>
      </c>
      <c r="Z29" s="27">
        <f t="shared" si="19"/>
        <v>18716</v>
      </c>
      <c r="AA29" s="27">
        <f t="shared" si="19"/>
        <v>18716</v>
      </c>
      <c r="AB29" s="27">
        <f t="shared" si="19"/>
        <v>18716</v>
      </c>
      <c r="AC29" s="27">
        <f t="shared" si="19"/>
        <v>18716</v>
      </c>
      <c r="AD29" s="27">
        <f t="shared" si="19"/>
        <v>18716</v>
      </c>
      <c r="AE29" s="27">
        <f t="shared" si="19"/>
        <v>18716</v>
      </c>
      <c r="AF29" s="27">
        <f t="shared" si="19"/>
        <v>18716</v>
      </c>
      <c r="AG29" s="27">
        <f t="shared" si="19"/>
        <v>18716</v>
      </c>
      <c r="AH29" s="27">
        <f t="shared" si="19"/>
        <v>18716</v>
      </c>
      <c r="AI29" s="27">
        <f t="shared" si="19"/>
        <v>18716</v>
      </c>
      <c r="AJ29" s="27">
        <f t="shared" si="19"/>
        <v>18716</v>
      </c>
      <c r="AK29" s="27">
        <f t="shared" si="19"/>
        <v>18716</v>
      </c>
      <c r="AL29" s="27">
        <f t="shared" si="19"/>
        <v>18716</v>
      </c>
      <c r="AM29" s="27">
        <f t="shared" si="19"/>
        <v>18716</v>
      </c>
      <c r="AN29" s="27">
        <f t="shared" si="19"/>
        <v>18716</v>
      </c>
      <c r="AO29" s="27">
        <f t="shared" si="19"/>
        <v>18716</v>
      </c>
      <c r="AP29" s="27">
        <f t="shared" si="19"/>
        <v>18716</v>
      </c>
      <c r="AQ29" s="27">
        <f t="shared" si="19"/>
        <v>18716</v>
      </c>
      <c r="AR29" s="27">
        <f t="shared" si="19"/>
        <v>18716</v>
      </c>
      <c r="AS29" s="27">
        <f t="shared" si="19"/>
        <v>18716</v>
      </c>
      <c r="AT29" s="27">
        <f t="shared" si="19"/>
        <v>18716</v>
      </c>
      <c r="AU29" s="27">
        <f t="shared" si="19"/>
        <v>18716</v>
      </c>
      <c r="AV29" s="27">
        <f t="shared" si="19"/>
        <v>18716</v>
      </c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142"/>
    </row>
    <row r="31" ht="18.0" customHeight="1">
      <c r="A31" s="93" t="s">
        <v>16</v>
      </c>
      <c r="B31" s="17" t="s">
        <v>7</v>
      </c>
      <c r="C31" s="94" t="s">
        <v>8</v>
      </c>
      <c r="D31" s="201">
        <v>8.0</v>
      </c>
      <c r="E31" s="171">
        <f t="shared" ref="E31:O31" si="20">ROUND(E24/200,0)</f>
        <v>6</v>
      </c>
      <c r="F31" s="171">
        <f t="shared" si="20"/>
        <v>6</v>
      </c>
      <c r="G31" s="171">
        <f t="shared" si="20"/>
        <v>6</v>
      </c>
      <c r="H31" s="171">
        <f t="shared" si="20"/>
        <v>6</v>
      </c>
      <c r="I31" s="171">
        <f t="shared" si="20"/>
        <v>5</v>
      </c>
      <c r="J31" s="171">
        <f t="shared" si="20"/>
        <v>6</v>
      </c>
      <c r="K31" s="171">
        <f t="shared" si="20"/>
        <v>7</v>
      </c>
      <c r="L31" s="171">
        <f t="shared" si="20"/>
        <v>5</v>
      </c>
      <c r="M31" s="171">
        <f t="shared" si="20"/>
        <v>6</v>
      </c>
      <c r="N31" s="171">
        <f t="shared" si="20"/>
        <v>6</v>
      </c>
      <c r="O31" s="171">
        <f t="shared" si="20"/>
        <v>6</v>
      </c>
      <c r="P31" s="201">
        <f t="shared" ref="P31:AV31" si="21">P24/200</f>
        <v>5.62</v>
      </c>
      <c r="Q31" s="201">
        <f t="shared" si="21"/>
        <v>5.62</v>
      </c>
      <c r="R31" s="171">
        <f t="shared" si="21"/>
        <v>5.62</v>
      </c>
      <c r="S31" s="171">
        <f t="shared" si="21"/>
        <v>4.9</v>
      </c>
      <c r="T31" s="171">
        <f t="shared" si="21"/>
        <v>4.9</v>
      </c>
      <c r="U31" s="171">
        <f t="shared" si="21"/>
        <v>4.9</v>
      </c>
      <c r="V31" s="171">
        <f t="shared" si="21"/>
        <v>4.56</v>
      </c>
      <c r="W31" s="171">
        <f t="shared" si="21"/>
        <v>4.5</v>
      </c>
      <c r="X31" s="171">
        <f t="shared" si="21"/>
        <v>4.5</v>
      </c>
      <c r="Y31" s="171">
        <f t="shared" si="21"/>
        <v>4.5</v>
      </c>
      <c r="Z31" s="171">
        <f t="shared" si="21"/>
        <v>4.32</v>
      </c>
      <c r="AA31" s="171">
        <f t="shared" si="21"/>
        <v>4.32</v>
      </c>
      <c r="AB31" s="171">
        <f t="shared" si="21"/>
        <v>4.32</v>
      </c>
      <c r="AC31" s="171">
        <f t="shared" si="21"/>
        <v>4.32</v>
      </c>
      <c r="AD31" s="171">
        <f t="shared" si="21"/>
        <v>4.32</v>
      </c>
      <c r="AE31" s="171">
        <f t="shared" si="21"/>
        <v>4.32</v>
      </c>
      <c r="AF31" s="171">
        <f t="shared" si="21"/>
        <v>4.32</v>
      </c>
      <c r="AG31" s="171">
        <f t="shared" si="21"/>
        <v>4.32</v>
      </c>
      <c r="AH31" s="171">
        <f t="shared" si="21"/>
        <v>4.32</v>
      </c>
      <c r="AI31" s="171">
        <f t="shared" si="21"/>
        <v>4.32</v>
      </c>
      <c r="AJ31" s="171">
        <f t="shared" si="21"/>
        <v>4.32</v>
      </c>
      <c r="AK31" s="171">
        <f t="shared" si="21"/>
        <v>4.32</v>
      </c>
      <c r="AL31" s="171">
        <f t="shared" si="21"/>
        <v>4.32</v>
      </c>
      <c r="AM31" s="171">
        <f t="shared" si="21"/>
        <v>4.32</v>
      </c>
      <c r="AN31" s="171">
        <f t="shared" si="21"/>
        <v>4.32</v>
      </c>
      <c r="AO31" s="171">
        <f t="shared" si="21"/>
        <v>4.32</v>
      </c>
      <c r="AP31" s="171">
        <f t="shared" si="21"/>
        <v>4.32</v>
      </c>
      <c r="AQ31" s="171">
        <f t="shared" si="21"/>
        <v>4.32</v>
      </c>
      <c r="AR31" s="171">
        <f t="shared" si="21"/>
        <v>4.32</v>
      </c>
      <c r="AS31" s="171">
        <f t="shared" si="21"/>
        <v>4.32</v>
      </c>
      <c r="AT31" s="171">
        <f t="shared" si="21"/>
        <v>4.32</v>
      </c>
      <c r="AU31" s="171">
        <f t="shared" si="21"/>
        <v>4.32</v>
      </c>
      <c r="AV31" s="201">
        <f t="shared" si="21"/>
        <v>4.32</v>
      </c>
    </row>
    <row r="32" ht="18.0" customHeight="1">
      <c r="A32" s="28"/>
      <c r="B32" s="29"/>
      <c r="C32" s="100" t="s">
        <v>9</v>
      </c>
      <c r="D32" s="176">
        <v>89.02</v>
      </c>
      <c r="E32" s="177">
        <f t="shared" ref="E32:AV32" si="22">E25/200</f>
        <v>72.78</v>
      </c>
      <c r="F32" s="177">
        <f t="shared" si="22"/>
        <v>89.23</v>
      </c>
      <c r="G32" s="177">
        <f t="shared" si="22"/>
        <v>83.91</v>
      </c>
      <c r="H32" s="177">
        <f t="shared" si="22"/>
        <v>87.8</v>
      </c>
      <c r="I32" s="177">
        <f t="shared" si="22"/>
        <v>68.67</v>
      </c>
      <c r="J32" s="177">
        <f t="shared" si="22"/>
        <v>75.43</v>
      </c>
      <c r="K32" s="177">
        <f t="shared" si="22"/>
        <v>78.31</v>
      </c>
      <c r="L32" s="177">
        <f t="shared" si="22"/>
        <v>77.28</v>
      </c>
      <c r="M32" s="177">
        <f t="shared" si="22"/>
        <v>74.04</v>
      </c>
      <c r="N32" s="177">
        <f t="shared" si="22"/>
        <v>74.04</v>
      </c>
      <c r="O32" s="177">
        <f t="shared" si="22"/>
        <v>74.04</v>
      </c>
      <c r="P32" s="176">
        <f t="shared" si="22"/>
        <v>74.04</v>
      </c>
      <c r="Q32" s="176">
        <f t="shared" si="22"/>
        <v>74.04</v>
      </c>
      <c r="R32" s="177">
        <f t="shared" si="22"/>
        <v>74.04</v>
      </c>
      <c r="S32" s="177">
        <f t="shared" si="22"/>
        <v>68.62</v>
      </c>
      <c r="T32" s="177">
        <f t="shared" si="22"/>
        <v>83.92</v>
      </c>
      <c r="U32" s="177">
        <f t="shared" si="22"/>
        <v>82.52</v>
      </c>
      <c r="V32" s="177">
        <f t="shared" si="22"/>
        <v>80.36</v>
      </c>
      <c r="W32" s="177">
        <f t="shared" si="22"/>
        <v>78.16</v>
      </c>
      <c r="X32" s="177">
        <f t="shared" si="22"/>
        <v>78.16</v>
      </c>
      <c r="Y32" s="177">
        <f t="shared" si="22"/>
        <v>78.16</v>
      </c>
      <c r="Z32" s="177">
        <f t="shared" si="22"/>
        <v>73.38</v>
      </c>
      <c r="AA32" s="177">
        <f t="shared" si="22"/>
        <v>73.38</v>
      </c>
      <c r="AB32" s="177">
        <f t="shared" si="22"/>
        <v>73.38</v>
      </c>
      <c r="AC32" s="177">
        <f t="shared" si="22"/>
        <v>73.38</v>
      </c>
      <c r="AD32" s="177">
        <f t="shared" si="22"/>
        <v>73.38</v>
      </c>
      <c r="AE32" s="177">
        <f t="shared" si="22"/>
        <v>73.38</v>
      </c>
      <c r="AF32" s="177">
        <f t="shared" si="22"/>
        <v>73.38</v>
      </c>
      <c r="AG32" s="177">
        <f t="shared" si="22"/>
        <v>73.38</v>
      </c>
      <c r="AH32" s="177">
        <f t="shared" si="22"/>
        <v>73.38</v>
      </c>
      <c r="AI32" s="177">
        <f t="shared" si="22"/>
        <v>73.38</v>
      </c>
      <c r="AJ32" s="177">
        <f t="shared" si="22"/>
        <v>73.38</v>
      </c>
      <c r="AK32" s="177">
        <f t="shared" si="22"/>
        <v>73.38</v>
      </c>
      <c r="AL32" s="177">
        <f t="shared" si="22"/>
        <v>73.38</v>
      </c>
      <c r="AM32" s="177">
        <f t="shared" si="22"/>
        <v>73.38</v>
      </c>
      <c r="AN32" s="177">
        <f t="shared" si="22"/>
        <v>73.38</v>
      </c>
      <c r="AO32" s="177">
        <f t="shared" si="22"/>
        <v>73.38</v>
      </c>
      <c r="AP32" s="177">
        <f t="shared" si="22"/>
        <v>73.38</v>
      </c>
      <c r="AQ32" s="177">
        <f t="shared" si="22"/>
        <v>73.38</v>
      </c>
      <c r="AR32" s="177">
        <f t="shared" si="22"/>
        <v>73.38</v>
      </c>
      <c r="AS32" s="177">
        <f t="shared" si="22"/>
        <v>73.38</v>
      </c>
      <c r="AT32" s="177">
        <f t="shared" si="22"/>
        <v>73.38</v>
      </c>
      <c r="AU32" s="177">
        <f t="shared" si="22"/>
        <v>73.38</v>
      </c>
      <c r="AV32" s="176">
        <f t="shared" si="22"/>
        <v>73.38</v>
      </c>
    </row>
    <row r="33" ht="18.0" customHeight="1">
      <c r="A33" s="28"/>
      <c r="B33" s="38" t="s">
        <v>10</v>
      </c>
      <c r="C33" s="106" t="s">
        <v>8</v>
      </c>
      <c r="D33" s="184">
        <v>0.0</v>
      </c>
      <c r="E33" s="185">
        <f t="shared" ref="E33:P33" si="23">ROUND(E26/200,0)</f>
        <v>0</v>
      </c>
      <c r="F33" s="185">
        <f t="shared" si="23"/>
        <v>0</v>
      </c>
      <c r="G33" s="185">
        <f t="shared" si="23"/>
        <v>0</v>
      </c>
      <c r="H33" s="185">
        <f t="shared" si="23"/>
        <v>0</v>
      </c>
      <c r="I33" s="185">
        <f t="shared" si="23"/>
        <v>0</v>
      </c>
      <c r="J33" s="185">
        <f t="shared" si="23"/>
        <v>0</v>
      </c>
      <c r="K33" s="185">
        <f t="shared" si="23"/>
        <v>0</v>
      </c>
      <c r="L33" s="185">
        <f t="shared" si="23"/>
        <v>0</v>
      </c>
      <c r="M33" s="185">
        <f t="shared" si="23"/>
        <v>0</v>
      </c>
      <c r="N33" s="185">
        <f t="shared" si="23"/>
        <v>0</v>
      </c>
      <c r="O33" s="185">
        <f t="shared" si="23"/>
        <v>0</v>
      </c>
      <c r="P33" s="184">
        <f t="shared" si="23"/>
        <v>0</v>
      </c>
      <c r="Q33" s="184">
        <f t="shared" ref="Q33:AV33" si="24">Q26/200</f>
        <v>0</v>
      </c>
      <c r="R33" s="185">
        <f t="shared" si="24"/>
        <v>0</v>
      </c>
      <c r="S33" s="185">
        <f t="shared" si="24"/>
        <v>0</v>
      </c>
      <c r="T33" s="185">
        <f t="shared" si="24"/>
        <v>0</v>
      </c>
      <c r="U33" s="185">
        <f t="shared" si="24"/>
        <v>0</v>
      </c>
      <c r="V33" s="185">
        <f t="shared" si="24"/>
        <v>0</v>
      </c>
      <c r="W33" s="185">
        <f t="shared" si="24"/>
        <v>0</v>
      </c>
      <c r="X33" s="185">
        <f t="shared" si="24"/>
        <v>0</v>
      </c>
      <c r="Y33" s="185">
        <f t="shared" si="24"/>
        <v>0</v>
      </c>
      <c r="Z33" s="185">
        <f t="shared" si="24"/>
        <v>0</v>
      </c>
      <c r="AA33" s="185">
        <f t="shared" si="24"/>
        <v>0</v>
      </c>
      <c r="AB33" s="185">
        <f t="shared" si="24"/>
        <v>0</v>
      </c>
      <c r="AC33" s="185">
        <f t="shared" si="24"/>
        <v>0</v>
      </c>
      <c r="AD33" s="185">
        <f t="shared" si="24"/>
        <v>0</v>
      </c>
      <c r="AE33" s="185">
        <f t="shared" si="24"/>
        <v>0</v>
      </c>
      <c r="AF33" s="185">
        <f t="shared" si="24"/>
        <v>0</v>
      </c>
      <c r="AG33" s="185">
        <f t="shared" si="24"/>
        <v>0</v>
      </c>
      <c r="AH33" s="185">
        <f t="shared" si="24"/>
        <v>0</v>
      </c>
      <c r="AI33" s="185">
        <f t="shared" si="24"/>
        <v>0</v>
      </c>
      <c r="AJ33" s="185">
        <f t="shared" si="24"/>
        <v>0</v>
      </c>
      <c r="AK33" s="185">
        <f t="shared" si="24"/>
        <v>0</v>
      </c>
      <c r="AL33" s="185">
        <f t="shared" si="24"/>
        <v>0</v>
      </c>
      <c r="AM33" s="185">
        <f t="shared" si="24"/>
        <v>0</v>
      </c>
      <c r="AN33" s="185">
        <f t="shared" si="24"/>
        <v>0</v>
      </c>
      <c r="AO33" s="185">
        <f t="shared" si="24"/>
        <v>0</v>
      </c>
      <c r="AP33" s="185">
        <f t="shared" si="24"/>
        <v>0</v>
      </c>
      <c r="AQ33" s="185">
        <f t="shared" si="24"/>
        <v>0</v>
      </c>
      <c r="AR33" s="185">
        <f t="shared" si="24"/>
        <v>0</v>
      </c>
      <c r="AS33" s="185">
        <f t="shared" si="24"/>
        <v>0</v>
      </c>
      <c r="AT33" s="185">
        <f t="shared" si="24"/>
        <v>0</v>
      </c>
      <c r="AU33" s="185">
        <f t="shared" si="24"/>
        <v>0</v>
      </c>
      <c r="AV33" s="184">
        <f t="shared" si="24"/>
        <v>0</v>
      </c>
    </row>
    <row r="34" ht="18.0" customHeight="1">
      <c r="A34" s="28"/>
      <c r="B34" s="29"/>
      <c r="C34" s="100" t="s">
        <v>9</v>
      </c>
      <c r="D34" s="176">
        <v>15.5</v>
      </c>
      <c r="E34" s="177">
        <f t="shared" ref="E34:AV34" si="25">E27/200</f>
        <v>1.4</v>
      </c>
      <c r="F34" s="177">
        <f t="shared" si="25"/>
        <v>0.4</v>
      </c>
      <c r="G34" s="177">
        <f t="shared" si="25"/>
        <v>0.4</v>
      </c>
      <c r="H34" s="177">
        <f t="shared" si="25"/>
        <v>6.4</v>
      </c>
      <c r="I34" s="177">
        <f t="shared" si="25"/>
        <v>1.4</v>
      </c>
      <c r="J34" s="177">
        <f t="shared" si="25"/>
        <v>1.4</v>
      </c>
      <c r="K34" s="177">
        <f t="shared" si="25"/>
        <v>0.1</v>
      </c>
      <c r="L34" s="177">
        <f t="shared" si="25"/>
        <v>0.1</v>
      </c>
      <c r="M34" s="177">
        <f t="shared" si="25"/>
        <v>0.1</v>
      </c>
      <c r="N34" s="177">
        <f t="shared" si="25"/>
        <v>0.1</v>
      </c>
      <c r="O34" s="177">
        <f t="shared" si="25"/>
        <v>0.1</v>
      </c>
      <c r="P34" s="176">
        <f t="shared" si="25"/>
        <v>0.1</v>
      </c>
      <c r="Q34" s="176">
        <f t="shared" si="25"/>
        <v>0.1</v>
      </c>
      <c r="R34" s="177">
        <f t="shared" si="25"/>
        <v>0.1</v>
      </c>
      <c r="S34" s="177">
        <f t="shared" si="25"/>
        <v>0.1</v>
      </c>
      <c r="T34" s="177">
        <f t="shared" si="25"/>
        <v>5.1</v>
      </c>
      <c r="U34" s="177">
        <f t="shared" si="25"/>
        <v>5.1</v>
      </c>
      <c r="V34" s="177">
        <f t="shared" si="25"/>
        <v>5.1</v>
      </c>
      <c r="W34" s="177">
        <f t="shared" si="25"/>
        <v>0.1</v>
      </c>
      <c r="X34" s="177">
        <f t="shared" si="25"/>
        <v>0.1</v>
      </c>
      <c r="Y34" s="177">
        <f t="shared" si="25"/>
        <v>0.1</v>
      </c>
      <c r="Z34" s="177">
        <f t="shared" si="25"/>
        <v>0.1</v>
      </c>
      <c r="AA34" s="177">
        <f t="shared" si="25"/>
        <v>0.1</v>
      </c>
      <c r="AB34" s="177">
        <f t="shared" si="25"/>
        <v>0.1</v>
      </c>
      <c r="AC34" s="177">
        <f t="shared" si="25"/>
        <v>0.1</v>
      </c>
      <c r="AD34" s="177">
        <f t="shared" si="25"/>
        <v>0.1</v>
      </c>
      <c r="AE34" s="177">
        <f t="shared" si="25"/>
        <v>0.1</v>
      </c>
      <c r="AF34" s="177">
        <f t="shared" si="25"/>
        <v>0.1</v>
      </c>
      <c r="AG34" s="177">
        <f t="shared" si="25"/>
        <v>0.1</v>
      </c>
      <c r="AH34" s="177">
        <f t="shared" si="25"/>
        <v>0.1</v>
      </c>
      <c r="AI34" s="177">
        <f t="shared" si="25"/>
        <v>0.1</v>
      </c>
      <c r="AJ34" s="177">
        <f t="shared" si="25"/>
        <v>0.1</v>
      </c>
      <c r="AK34" s="177">
        <f t="shared" si="25"/>
        <v>0.1</v>
      </c>
      <c r="AL34" s="177">
        <f t="shared" si="25"/>
        <v>0.1</v>
      </c>
      <c r="AM34" s="177">
        <f t="shared" si="25"/>
        <v>0.1</v>
      </c>
      <c r="AN34" s="177">
        <f t="shared" si="25"/>
        <v>0.1</v>
      </c>
      <c r="AO34" s="177">
        <f t="shared" si="25"/>
        <v>0.1</v>
      </c>
      <c r="AP34" s="177">
        <f t="shared" si="25"/>
        <v>0.1</v>
      </c>
      <c r="AQ34" s="177">
        <f t="shared" si="25"/>
        <v>0.1</v>
      </c>
      <c r="AR34" s="177">
        <f t="shared" si="25"/>
        <v>0.1</v>
      </c>
      <c r="AS34" s="177">
        <f t="shared" si="25"/>
        <v>0.1</v>
      </c>
      <c r="AT34" s="177">
        <f t="shared" si="25"/>
        <v>0.1</v>
      </c>
      <c r="AU34" s="177">
        <f t="shared" si="25"/>
        <v>0.1</v>
      </c>
      <c r="AV34" s="176">
        <f t="shared" si="25"/>
        <v>0.1</v>
      </c>
    </row>
    <row r="35" ht="18.0" customHeight="1">
      <c r="A35" s="29"/>
      <c r="B35" s="43" t="s">
        <v>11</v>
      </c>
      <c r="C35" s="43" t="s">
        <v>9</v>
      </c>
      <c r="D35" s="197">
        <v>28.42</v>
      </c>
      <c r="E35" s="198">
        <f t="shared" ref="E35:AV35" si="26">E28/200</f>
        <v>20.72</v>
      </c>
      <c r="F35" s="198">
        <f t="shared" si="26"/>
        <v>23.84</v>
      </c>
      <c r="G35" s="198">
        <f t="shared" si="26"/>
        <v>21.22</v>
      </c>
      <c r="H35" s="198">
        <f t="shared" si="26"/>
        <v>18.4</v>
      </c>
      <c r="I35" s="198">
        <f t="shared" si="26"/>
        <v>17.7</v>
      </c>
      <c r="J35" s="198">
        <f t="shared" si="26"/>
        <v>15.72</v>
      </c>
      <c r="K35" s="198">
        <f t="shared" si="26"/>
        <v>18.44</v>
      </c>
      <c r="L35" s="198">
        <f t="shared" si="26"/>
        <v>15.3</v>
      </c>
      <c r="M35" s="198">
        <f t="shared" si="26"/>
        <v>16.42</v>
      </c>
      <c r="N35" s="198">
        <f t="shared" si="26"/>
        <v>16.42</v>
      </c>
      <c r="O35" s="198">
        <f t="shared" si="26"/>
        <v>16.42</v>
      </c>
      <c r="P35" s="197">
        <f t="shared" si="26"/>
        <v>16.42</v>
      </c>
      <c r="Q35" s="197">
        <f t="shared" si="26"/>
        <v>16.42</v>
      </c>
      <c r="R35" s="198">
        <f t="shared" si="26"/>
        <v>16.42</v>
      </c>
      <c r="S35" s="198">
        <f t="shared" si="26"/>
        <v>12.4</v>
      </c>
      <c r="T35" s="198">
        <f t="shared" si="26"/>
        <v>17.6</v>
      </c>
      <c r="U35" s="198">
        <f t="shared" si="26"/>
        <v>17.6</v>
      </c>
      <c r="V35" s="198">
        <f t="shared" si="26"/>
        <v>17.6</v>
      </c>
      <c r="W35" s="198">
        <f t="shared" si="26"/>
        <v>17.6</v>
      </c>
      <c r="X35" s="198">
        <f t="shared" si="26"/>
        <v>17.6</v>
      </c>
      <c r="Y35" s="198">
        <f t="shared" si="26"/>
        <v>17.6</v>
      </c>
      <c r="Z35" s="198">
        <f t="shared" si="26"/>
        <v>15.78</v>
      </c>
      <c r="AA35" s="198">
        <f t="shared" si="26"/>
        <v>15.78</v>
      </c>
      <c r="AB35" s="198">
        <f t="shared" si="26"/>
        <v>15.78</v>
      </c>
      <c r="AC35" s="198">
        <f t="shared" si="26"/>
        <v>15.78</v>
      </c>
      <c r="AD35" s="198">
        <f t="shared" si="26"/>
        <v>15.78</v>
      </c>
      <c r="AE35" s="198">
        <f t="shared" si="26"/>
        <v>15.78</v>
      </c>
      <c r="AF35" s="198">
        <f t="shared" si="26"/>
        <v>15.78</v>
      </c>
      <c r="AG35" s="198">
        <f t="shared" si="26"/>
        <v>15.78</v>
      </c>
      <c r="AH35" s="198">
        <f t="shared" si="26"/>
        <v>15.78</v>
      </c>
      <c r="AI35" s="198">
        <f t="shared" si="26"/>
        <v>15.78</v>
      </c>
      <c r="AJ35" s="198">
        <f t="shared" si="26"/>
        <v>15.78</v>
      </c>
      <c r="AK35" s="198">
        <f t="shared" si="26"/>
        <v>15.78</v>
      </c>
      <c r="AL35" s="198">
        <f t="shared" si="26"/>
        <v>15.78</v>
      </c>
      <c r="AM35" s="198">
        <f t="shared" si="26"/>
        <v>15.78</v>
      </c>
      <c r="AN35" s="198">
        <f t="shared" si="26"/>
        <v>15.78</v>
      </c>
      <c r="AO35" s="198">
        <f t="shared" si="26"/>
        <v>15.78</v>
      </c>
      <c r="AP35" s="198">
        <f t="shared" si="26"/>
        <v>15.78</v>
      </c>
      <c r="AQ35" s="198">
        <f t="shared" si="26"/>
        <v>15.78</v>
      </c>
      <c r="AR35" s="198">
        <f t="shared" si="26"/>
        <v>15.78</v>
      </c>
      <c r="AS35" s="198">
        <f t="shared" si="26"/>
        <v>15.78</v>
      </c>
      <c r="AT35" s="198">
        <f t="shared" si="26"/>
        <v>15.78</v>
      </c>
      <c r="AU35" s="198">
        <f t="shared" si="26"/>
        <v>15.78</v>
      </c>
      <c r="AV35" s="197">
        <f t="shared" si="26"/>
        <v>15.78</v>
      </c>
    </row>
    <row r="36" ht="17.25" customHeight="1">
      <c r="A36" s="1"/>
      <c r="B36" s="1"/>
      <c r="C36" s="1"/>
      <c r="D36" s="1"/>
      <c r="E36" s="1"/>
      <c r="F36" s="1"/>
      <c r="G36" s="118"/>
      <c r="H36" s="118"/>
      <c r="I36" s="118"/>
      <c r="J36" s="118"/>
      <c r="K36" s="118"/>
      <c r="L36" s="118"/>
      <c r="M36" s="118"/>
      <c r="N36" s="118"/>
      <c r="O36" s="118"/>
      <c r="P36" s="257"/>
      <c r="Q36" s="118"/>
      <c r="R36" s="118"/>
      <c r="S36" s="118"/>
      <c r="T36" s="257"/>
      <c r="U36" s="25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142"/>
    </row>
    <row r="37" ht="17.25" customHeight="1">
      <c r="A37" s="1"/>
      <c r="B37" s="1"/>
      <c r="C37" s="1"/>
      <c r="D37" s="1"/>
      <c r="E37" s="1"/>
      <c r="F37" s="1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142"/>
    </row>
    <row r="38" ht="17.25" customHeight="1">
      <c r="A38" s="1"/>
      <c r="B38" s="1"/>
      <c r="C38" s="1"/>
      <c r="D38" s="1"/>
      <c r="E38" s="1"/>
      <c r="F38" s="1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142"/>
    </row>
    <row r="39" ht="17.25" customHeight="1">
      <c r="A39" s="1"/>
      <c r="B39" s="1"/>
      <c r="C39" s="1"/>
      <c r="D39" s="1"/>
      <c r="E39" s="1"/>
      <c r="F39" s="1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P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7.25" customHeight="1">
      <c r="A41" s="1"/>
      <c r="B41" s="1"/>
      <c r="C41" s="1"/>
      <c r="D41" s="1"/>
      <c r="E41" s="1"/>
      <c r="F41" s="1"/>
      <c r="P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7.25" customHeight="1">
      <c r="A42" s="1"/>
      <c r="B42" s="1"/>
      <c r="C42" s="1"/>
      <c r="D42" s="1"/>
      <c r="E42" s="1"/>
      <c r="F42" s="1"/>
      <c r="P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7.25" customHeight="1">
      <c r="A43" s="1"/>
      <c r="B43" s="1"/>
      <c r="C43" s="1"/>
      <c r="D43" s="1"/>
      <c r="E43" s="1"/>
      <c r="F43" s="1"/>
      <c r="P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7.25" customHeight="1">
      <c r="A44" s="1"/>
      <c r="B44" s="1"/>
      <c r="C44" s="1"/>
      <c r="D44" s="1"/>
      <c r="E44" s="1"/>
      <c r="F44" s="1"/>
      <c r="P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142"/>
    </row>
    <row r="45" ht="17.25" customHeight="1">
      <c r="A45" s="1"/>
      <c r="B45" s="1"/>
      <c r="C45" s="1"/>
      <c r="D45" s="1"/>
      <c r="E45" s="1"/>
      <c r="F45" s="1"/>
      <c r="P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142"/>
    </row>
    <row r="46" ht="17.25" customHeight="1">
      <c r="A46" s="1"/>
      <c r="B46" s="1"/>
      <c r="C46" s="1"/>
      <c r="D46" s="1"/>
      <c r="E46" s="1"/>
      <c r="F46" s="1"/>
      <c r="P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142"/>
    </row>
    <row r="47" ht="17.25" customHeight="1">
      <c r="A47" s="1"/>
      <c r="B47" s="1"/>
      <c r="C47" s="1"/>
      <c r="D47" s="1"/>
      <c r="E47" s="1"/>
      <c r="F47" s="1"/>
      <c r="P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142"/>
    </row>
    <row r="48" ht="17.25" customHeight="1">
      <c r="A48" s="1"/>
      <c r="B48" s="1"/>
      <c r="C48" s="1"/>
      <c r="D48" s="1"/>
      <c r="E48" s="1"/>
      <c r="F48" s="1"/>
      <c r="P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142"/>
    </row>
    <row r="49" ht="17.25" customHeight="1">
      <c r="A49" s="1"/>
      <c r="B49" s="1"/>
      <c r="C49" s="1"/>
      <c r="D49" s="1"/>
      <c r="E49" s="1"/>
      <c r="F49" s="1"/>
      <c r="P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142"/>
    </row>
    <row r="50" ht="17.25" customHeight="1">
      <c r="A50" s="1"/>
      <c r="B50" s="1"/>
      <c r="C50" s="1"/>
      <c r="D50" s="1"/>
      <c r="E50" s="1"/>
      <c r="F50" s="1"/>
      <c r="P50" s="27"/>
    </row>
    <row r="51" ht="17.25" customHeight="1">
      <c r="A51" s="1"/>
      <c r="B51" s="1"/>
      <c r="C51" s="1"/>
      <c r="D51" s="1"/>
      <c r="E51" s="1"/>
      <c r="F51" s="1"/>
      <c r="P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142"/>
    </row>
    <row r="52" ht="17.25" customHeight="1">
      <c r="A52" s="1"/>
      <c r="B52" s="1"/>
      <c r="C52" s="1"/>
      <c r="D52" s="1"/>
      <c r="E52" s="1"/>
      <c r="F52" s="1"/>
      <c r="P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142"/>
    </row>
    <row r="53" ht="17.25" customHeight="1">
      <c r="A53" s="1"/>
      <c r="B53" s="1"/>
      <c r="C53" s="1"/>
      <c r="D53" s="1"/>
      <c r="E53" s="1"/>
      <c r="F53" s="1"/>
      <c r="P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142"/>
    </row>
    <row r="54" ht="17.25" customHeight="1">
      <c r="A54" s="1"/>
      <c r="B54" s="1"/>
      <c r="C54" s="1"/>
      <c r="D54" s="1"/>
      <c r="E54" s="1"/>
      <c r="F54" s="1"/>
      <c r="P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142"/>
    </row>
    <row r="55" ht="17.25" customHeight="1">
      <c r="A55" s="1"/>
      <c r="B55" s="1"/>
      <c r="C55" s="1"/>
      <c r="D55" s="1"/>
      <c r="E55" s="1"/>
      <c r="F55" s="1"/>
      <c r="P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142"/>
    </row>
    <row r="56" ht="17.25" customHeight="1">
      <c r="A56" s="1"/>
      <c r="B56" s="1"/>
      <c r="C56" s="1"/>
      <c r="D56" s="1"/>
      <c r="E56" s="1"/>
      <c r="F56" s="1"/>
      <c r="P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142"/>
    </row>
    <row r="57" ht="17.25" customHeight="1">
      <c r="A57" s="1"/>
      <c r="B57" s="1"/>
      <c r="C57" s="1"/>
      <c r="D57" s="1"/>
      <c r="E57" s="1"/>
      <c r="F57" s="1"/>
      <c r="P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142"/>
    </row>
    <row r="58" ht="17.25" customHeight="1">
      <c r="A58" s="1"/>
      <c r="B58" s="1"/>
      <c r="C58" s="1"/>
      <c r="D58" s="1"/>
      <c r="E58" s="1"/>
      <c r="F58" s="1"/>
      <c r="P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142"/>
    </row>
    <row r="59" ht="17.25" customHeight="1">
      <c r="A59" s="1"/>
      <c r="B59" s="1"/>
      <c r="C59" s="1"/>
      <c r="D59" s="1"/>
      <c r="E59" s="1"/>
      <c r="F59" s="1"/>
      <c r="P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142"/>
    </row>
    <row r="60" ht="17.25" customHeight="1">
      <c r="A60" s="1"/>
      <c r="B60" s="1"/>
      <c r="C60" s="1"/>
      <c r="D60" s="1"/>
      <c r="E60" s="1"/>
      <c r="F60" s="1"/>
      <c r="P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142"/>
    </row>
    <row r="61" ht="17.25" customHeight="1">
      <c r="A61" s="1"/>
      <c r="B61" s="1"/>
      <c r="C61" s="1"/>
      <c r="D61" s="1"/>
      <c r="E61" s="1"/>
      <c r="F61" s="1"/>
      <c r="P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142"/>
    </row>
    <row r="62" ht="17.25" customHeight="1">
      <c r="A62" s="1"/>
      <c r="B62" s="1"/>
      <c r="C62" s="1"/>
      <c r="D62" s="1"/>
      <c r="E62" s="1"/>
      <c r="F62" s="1"/>
      <c r="P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142"/>
    </row>
    <row r="63" ht="17.25" customHeight="1">
      <c r="A63" s="1"/>
      <c r="B63" s="1"/>
      <c r="C63" s="1"/>
      <c r="D63" s="1"/>
      <c r="E63" s="1"/>
      <c r="F63" s="1"/>
      <c r="P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142"/>
    </row>
    <row r="64" ht="17.25" customHeight="1">
      <c r="A64" s="1"/>
      <c r="B64" s="1"/>
      <c r="C64" s="1"/>
      <c r="D64" s="1"/>
      <c r="E64" s="1"/>
      <c r="F64" s="1"/>
      <c r="P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142"/>
    </row>
    <row r="65" ht="17.25" customHeight="1">
      <c r="A65" s="1"/>
      <c r="B65" s="1"/>
      <c r="C65" s="1"/>
      <c r="D65" s="1"/>
      <c r="E65" s="1"/>
      <c r="F65" s="1"/>
      <c r="P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142"/>
    </row>
    <row r="66" ht="17.25" customHeight="1">
      <c r="A66" s="1"/>
      <c r="B66" s="1"/>
      <c r="C66" s="1"/>
      <c r="D66" s="1"/>
      <c r="E66" s="1"/>
      <c r="F66" s="1"/>
      <c r="P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142"/>
    </row>
    <row r="67" ht="17.25" customHeight="1">
      <c r="A67" s="1"/>
      <c r="B67" s="1"/>
      <c r="C67" s="1"/>
      <c r="D67" s="1"/>
      <c r="E67" s="1"/>
      <c r="F67" s="1"/>
      <c r="P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142"/>
    </row>
    <row r="68" ht="17.25" customHeight="1">
      <c r="A68" s="1"/>
      <c r="B68" s="1"/>
      <c r="C68" s="1"/>
      <c r="D68" s="1"/>
      <c r="E68" s="1"/>
      <c r="F68" s="1"/>
      <c r="P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142"/>
    </row>
    <row r="69" ht="17.25" customHeight="1">
      <c r="A69" s="1"/>
      <c r="B69" s="1"/>
      <c r="C69" s="1"/>
      <c r="D69" s="1"/>
      <c r="E69" s="1"/>
      <c r="F69" s="1"/>
      <c r="P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142"/>
    </row>
    <row r="70" ht="17.25" customHeight="1">
      <c r="A70" s="1"/>
      <c r="B70" s="1"/>
      <c r="C70" s="1"/>
      <c r="D70" s="1"/>
      <c r="E70" s="1"/>
      <c r="F70" s="1"/>
      <c r="P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142"/>
    </row>
    <row r="71" ht="17.25" customHeight="1">
      <c r="A71" s="1"/>
      <c r="B71" s="1"/>
      <c r="C71" s="1"/>
      <c r="D71" s="1"/>
      <c r="E71" s="1"/>
      <c r="F71" s="1"/>
      <c r="P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142"/>
    </row>
    <row r="72" ht="17.25" customHeight="1">
      <c r="A72" s="1"/>
      <c r="B72" s="1"/>
      <c r="C72" s="1"/>
      <c r="D72" s="1"/>
      <c r="E72" s="1"/>
      <c r="F72" s="1"/>
      <c r="P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142"/>
    </row>
    <row r="73" ht="17.25" customHeight="1">
      <c r="A73" s="1"/>
      <c r="B73" s="1"/>
      <c r="C73" s="1"/>
      <c r="D73" s="1"/>
      <c r="E73" s="1"/>
      <c r="F73" s="1"/>
      <c r="P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142"/>
    </row>
    <row r="74" ht="17.25" customHeight="1">
      <c r="A74" s="1"/>
      <c r="B74" s="1"/>
      <c r="C74" s="1"/>
      <c r="D74" s="1"/>
      <c r="E74" s="1"/>
      <c r="F74" s="1"/>
      <c r="P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142"/>
    </row>
    <row r="75" ht="17.25" customHeight="1">
      <c r="A75" s="1"/>
      <c r="B75" s="1"/>
      <c r="C75" s="1"/>
      <c r="D75" s="1"/>
      <c r="E75" s="1"/>
      <c r="F75" s="1"/>
      <c r="P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142"/>
    </row>
    <row r="76" ht="17.25" customHeight="1">
      <c r="A76" s="1"/>
      <c r="B76" s="1"/>
      <c r="C76" s="1"/>
      <c r="D76" s="1"/>
      <c r="E76" s="1"/>
      <c r="F76" s="1"/>
      <c r="P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142"/>
    </row>
    <row r="77" ht="17.25" customHeight="1">
      <c r="A77" s="1"/>
      <c r="B77" s="1"/>
      <c r="C77" s="1"/>
      <c r="D77" s="1"/>
      <c r="E77" s="1"/>
      <c r="F77" s="1"/>
      <c r="P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142"/>
    </row>
    <row r="78" ht="17.25" customHeight="1">
      <c r="A78" s="1"/>
      <c r="B78" s="1"/>
      <c r="C78" s="1"/>
      <c r="D78" s="1"/>
      <c r="E78" s="1"/>
      <c r="F78" s="1"/>
      <c r="P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142"/>
    </row>
    <row r="79" ht="17.25" customHeight="1">
      <c r="A79" s="1"/>
      <c r="B79" s="1"/>
      <c r="C79" s="1"/>
      <c r="D79" s="1"/>
      <c r="E79" s="1"/>
      <c r="F79" s="1"/>
      <c r="P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142"/>
    </row>
    <row r="80" ht="17.25" customHeight="1">
      <c r="A80" s="1"/>
      <c r="B80" s="1"/>
      <c r="C80" s="1"/>
      <c r="D80" s="1"/>
      <c r="E80" s="1"/>
      <c r="F80" s="1"/>
      <c r="P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142"/>
    </row>
    <row r="81" ht="17.25" customHeight="1">
      <c r="A81" s="1"/>
      <c r="B81" s="1"/>
      <c r="C81" s="1"/>
      <c r="D81" s="1"/>
      <c r="E81" s="1"/>
      <c r="F81" s="1"/>
      <c r="P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142"/>
    </row>
    <row r="82" ht="17.25" customHeight="1">
      <c r="A82" s="1"/>
      <c r="B82" s="1"/>
      <c r="C82" s="1"/>
      <c r="D82" s="1"/>
      <c r="E82" s="1"/>
      <c r="F82" s="1"/>
      <c r="P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142"/>
    </row>
    <row r="83" ht="17.25" customHeight="1">
      <c r="A83" s="1"/>
      <c r="B83" s="1"/>
      <c r="C83" s="1"/>
      <c r="D83" s="1"/>
      <c r="E83" s="1"/>
      <c r="F83" s="1"/>
      <c r="P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142"/>
    </row>
    <row r="84" ht="17.25" customHeight="1">
      <c r="A84" s="1"/>
      <c r="B84" s="1"/>
      <c r="C84" s="1"/>
      <c r="D84" s="1"/>
      <c r="E84" s="1"/>
      <c r="F84" s="1"/>
      <c r="P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142"/>
    </row>
    <row r="85" ht="17.25" customHeight="1">
      <c r="A85" s="1"/>
      <c r="B85" s="1"/>
      <c r="C85" s="1"/>
      <c r="D85" s="1"/>
      <c r="E85" s="1"/>
      <c r="F85" s="1"/>
      <c r="P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142"/>
    </row>
    <row r="86" ht="17.25" customHeight="1">
      <c r="A86" s="1"/>
      <c r="B86" s="1"/>
      <c r="C86" s="1"/>
      <c r="D86" s="1"/>
      <c r="E86" s="1"/>
      <c r="F86" s="1"/>
      <c r="P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142"/>
    </row>
    <row r="87" ht="17.25" customHeight="1">
      <c r="A87" s="1"/>
      <c r="B87" s="1"/>
      <c r="C87" s="1"/>
      <c r="D87" s="1"/>
      <c r="E87" s="1"/>
      <c r="F87" s="1"/>
      <c r="P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142"/>
    </row>
    <row r="88" ht="17.25" customHeight="1">
      <c r="A88" s="1"/>
      <c r="B88" s="1"/>
      <c r="C88" s="1"/>
      <c r="D88" s="1"/>
      <c r="E88" s="1"/>
      <c r="F88" s="1"/>
      <c r="P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142"/>
    </row>
    <row r="89" ht="17.25" customHeight="1">
      <c r="A89" s="1"/>
      <c r="B89" s="1"/>
      <c r="C89" s="1"/>
      <c r="D89" s="1"/>
      <c r="E89" s="1"/>
      <c r="F89" s="1"/>
      <c r="P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142"/>
    </row>
    <row r="90" ht="17.25" customHeight="1">
      <c r="A90" s="1"/>
      <c r="B90" s="1"/>
      <c r="C90" s="1"/>
      <c r="D90" s="1"/>
      <c r="E90" s="1"/>
      <c r="F90" s="1"/>
      <c r="P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142"/>
    </row>
    <row r="91" ht="17.25" customHeight="1">
      <c r="A91" s="1"/>
      <c r="B91" s="1"/>
      <c r="C91" s="1"/>
      <c r="D91" s="1"/>
      <c r="E91" s="1"/>
      <c r="F91" s="1"/>
      <c r="P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142"/>
    </row>
    <row r="92" ht="17.25" customHeight="1">
      <c r="A92" s="1"/>
      <c r="B92" s="1"/>
      <c r="C92" s="1"/>
      <c r="D92" s="1"/>
      <c r="E92" s="1"/>
      <c r="F92" s="1"/>
      <c r="P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142"/>
    </row>
    <row r="93" ht="17.25" customHeight="1">
      <c r="A93" s="1"/>
      <c r="B93" s="1"/>
      <c r="C93" s="1"/>
      <c r="D93" s="1"/>
      <c r="E93" s="1"/>
      <c r="F93" s="1"/>
      <c r="P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142"/>
    </row>
    <row r="94" ht="17.25" customHeight="1">
      <c r="A94" s="1"/>
      <c r="B94" s="1"/>
      <c r="C94" s="1"/>
      <c r="D94" s="1"/>
      <c r="E94" s="1"/>
      <c r="F94" s="1"/>
      <c r="P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142"/>
    </row>
    <row r="95" ht="17.25" customHeight="1">
      <c r="A95" s="1"/>
      <c r="B95" s="1"/>
      <c r="C95" s="1"/>
      <c r="D95" s="1"/>
      <c r="E95" s="1"/>
      <c r="F95" s="1"/>
      <c r="P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142"/>
    </row>
    <row r="96" ht="17.25" customHeight="1">
      <c r="A96" s="1"/>
      <c r="B96" s="1"/>
      <c r="C96" s="1"/>
      <c r="D96" s="1"/>
      <c r="E96" s="1"/>
      <c r="F96" s="1"/>
      <c r="P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142"/>
    </row>
    <row r="97" ht="17.25" customHeight="1">
      <c r="A97" s="1"/>
      <c r="B97" s="1"/>
      <c r="C97" s="1"/>
      <c r="D97" s="1"/>
      <c r="E97" s="1"/>
      <c r="F97" s="1"/>
      <c r="P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142"/>
    </row>
    <row r="98" ht="17.25" customHeight="1">
      <c r="A98" s="1"/>
      <c r="B98" s="1"/>
      <c r="C98" s="1"/>
      <c r="D98" s="1"/>
      <c r="E98" s="1"/>
      <c r="F98" s="1"/>
      <c r="P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142"/>
    </row>
    <row r="99" ht="17.25" customHeight="1">
      <c r="A99" s="1"/>
      <c r="B99" s="1"/>
      <c r="C99" s="1"/>
      <c r="D99" s="1"/>
      <c r="E99" s="1"/>
      <c r="F99" s="1"/>
      <c r="P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142"/>
    </row>
    <row r="100" ht="17.25" customHeight="1">
      <c r="A100" s="1"/>
      <c r="B100" s="1"/>
      <c r="C100" s="1"/>
      <c r="D100" s="1"/>
      <c r="E100" s="1"/>
      <c r="F100" s="1"/>
      <c r="P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142"/>
    </row>
    <row r="101" ht="17.25" customHeight="1">
      <c r="A101" s="1"/>
      <c r="B101" s="1"/>
      <c r="C101" s="1"/>
      <c r="D101" s="1"/>
      <c r="E101" s="1"/>
      <c r="F101" s="1"/>
      <c r="P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142"/>
    </row>
    <row r="102" ht="17.25" customHeight="1">
      <c r="A102" s="1"/>
      <c r="B102" s="1"/>
      <c r="C102" s="1"/>
      <c r="D102" s="1"/>
      <c r="E102" s="1"/>
      <c r="F102" s="1"/>
      <c r="P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142"/>
    </row>
    <row r="103" ht="17.25" customHeight="1">
      <c r="A103" s="1"/>
      <c r="B103" s="1"/>
      <c r="C103" s="1"/>
      <c r="D103" s="1"/>
      <c r="E103" s="1"/>
      <c r="F103" s="1"/>
      <c r="P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142"/>
    </row>
    <row r="104" ht="17.25" customHeight="1">
      <c r="A104" s="1"/>
      <c r="B104" s="1"/>
      <c r="C104" s="1"/>
      <c r="D104" s="1"/>
      <c r="E104" s="1"/>
      <c r="F104" s="1"/>
      <c r="P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142"/>
    </row>
    <row r="105" ht="17.25" customHeight="1">
      <c r="A105" s="1"/>
      <c r="B105" s="1"/>
      <c r="C105" s="1"/>
      <c r="D105" s="1"/>
      <c r="E105" s="1"/>
      <c r="F105" s="1"/>
      <c r="P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142"/>
    </row>
    <row r="106" ht="17.25" customHeight="1">
      <c r="A106" s="1"/>
      <c r="B106" s="1"/>
      <c r="C106" s="1"/>
      <c r="D106" s="1"/>
      <c r="E106" s="1"/>
      <c r="F106" s="1"/>
      <c r="P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142"/>
    </row>
    <row r="107" ht="17.25" customHeight="1">
      <c r="A107" s="1"/>
      <c r="B107" s="1"/>
      <c r="C107" s="1"/>
      <c r="D107" s="1"/>
      <c r="E107" s="1"/>
      <c r="F107" s="1"/>
      <c r="P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142"/>
    </row>
    <row r="108" ht="17.25" customHeight="1">
      <c r="A108" s="1"/>
      <c r="B108" s="1"/>
      <c r="C108" s="1"/>
      <c r="D108" s="1"/>
      <c r="E108" s="1"/>
      <c r="F108" s="1"/>
      <c r="P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142"/>
    </row>
    <row r="109" ht="17.25" customHeight="1">
      <c r="A109" s="1"/>
      <c r="B109" s="1"/>
      <c r="C109" s="1"/>
      <c r="D109" s="1"/>
      <c r="E109" s="1"/>
      <c r="F109" s="1"/>
      <c r="P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142"/>
    </row>
    <row r="110" ht="17.25" customHeight="1">
      <c r="A110" s="1"/>
      <c r="B110" s="1"/>
      <c r="C110" s="1"/>
      <c r="D110" s="1"/>
      <c r="E110" s="1"/>
      <c r="F110" s="1"/>
      <c r="P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142"/>
    </row>
    <row r="111" ht="17.25" customHeight="1">
      <c r="A111" s="1"/>
      <c r="B111" s="1"/>
      <c r="C111" s="1"/>
      <c r="D111" s="1"/>
      <c r="E111" s="1"/>
      <c r="F111" s="1"/>
      <c r="P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142"/>
    </row>
    <row r="112" ht="17.25" customHeight="1">
      <c r="A112" s="1"/>
      <c r="B112" s="1"/>
      <c r="C112" s="1"/>
      <c r="D112" s="1"/>
      <c r="E112" s="1"/>
      <c r="F112" s="1"/>
      <c r="P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142"/>
    </row>
    <row r="113" ht="17.25" customHeight="1">
      <c r="A113" s="1"/>
      <c r="B113" s="1"/>
      <c r="C113" s="1"/>
      <c r="D113" s="1"/>
      <c r="E113" s="1"/>
      <c r="F113" s="1"/>
      <c r="P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142"/>
    </row>
    <row r="114" ht="17.25" customHeight="1">
      <c r="A114" s="1"/>
      <c r="B114" s="1"/>
      <c r="C114" s="1"/>
      <c r="D114" s="1"/>
      <c r="E114" s="1"/>
      <c r="F114" s="1"/>
      <c r="P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142"/>
    </row>
    <row r="115" ht="17.25" customHeight="1">
      <c r="A115" s="1"/>
      <c r="B115" s="1"/>
      <c r="C115" s="1"/>
      <c r="D115" s="1"/>
      <c r="E115" s="1"/>
      <c r="F115" s="1"/>
      <c r="P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142"/>
    </row>
    <row r="116" ht="17.25" customHeight="1">
      <c r="A116" s="1"/>
      <c r="B116" s="1"/>
      <c r="C116" s="1"/>
      <c r="D116" s="1"/>
      <c r="E116" s="1"/>
      <c r="F116" s="1"/>
      <c r="P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142"/>
    </row>
    <row r="117" ht="17.25" customHeight="1">
      <c r="A117" s="1"/>
      <c r="B117" s="1"/>
      <c r="C117" s="1"/>
      <c r="D117" s="1"/>
      <c r="E117" s="1"/>
      <c r="F117" s="1"/>
      <c r="P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142"/>
    </row>
    <row r="118" ht="17.25" customHeight="1">
      <c r="A118" s="1"/>
      <c r="B118" s="1"/>
      <c r="C118" s="1"/>
      <c r="D118" s="1"/>
      <c r="E118" s="1"/>
      <c r="F118" s="1"/>
      <c r="P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142"/>
    </row>
    <row r="119" ht="17.25" customHeight="1">
      <c r="A119" s="1"/>
      <c r="B119" s="1"/>
      <c r="C119" s="1"/>
      <c r="D119" s="1"/>
      <c r="E119" s="1"/>
      <c r="F119" s="1"/>
      <c r="P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142"/>
    </row>
    <row r="120" ht="17.25" customHeight="1">
      <c r="A120" s="1"/>
      <c r="B120" s="1"/>
      <c r="C120" s="1"/>
      <c r="D120" s="1"/>
      <c r="E120" s="1"/>
      <c r="F120" s="1"/>
      <c r="P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142"/>
    </row>
    <row r="121" ht="17.25" customHeight="1">
      <c r="A121" s="1"/>
      <c r="B121" s="1"/>
      <c r="C121" s="1"/>
      <c r="D121" s="1"/>
      <c r="E121" s="1"/>
      <c r="F121" s="1"/>
      <c r="P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142"/>
    </row>
    <row r="122" ht="17.25" customHeight="1">
      <c r="A122" s="1"/>
      <c r="B122" s="1"/>
      <c r="C122" s="1"/>
      <c r="D122" s="1"/>
      <c r="E122" s="1"/>
      <c r="F122" s="1"/>
      <c r="P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142"/>
    </row>
    <row r="123" ht="17.25" customHeight="1">
      <c r="A123" s="1"/>
      <c r="B123" s="1"/>
      <c r="C123" s="1"/>
      <c r="D123" s="1"/>
      <c r="E123" s="1"/>
      <c r="F123" s="1"/>
      <c r="P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142"/>
    </row>
    <row r="124" ht="17.25" customHeight="1">
      <c r="A124" s="1"/>
      <c r="B124" s="1"/>
      <c r="C124" s="1"/>
      <c r="D124" s="1"/>
      <c r="E124" s="1"/>
      <c r="F124" s="1"/>
      <c r="P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142"/>
    </row>
    <row r="125" ht="17.25" customHeight="1">
      <c r="A125" s="1"/>
      <c r="B125" s="1"/>
      <c r="C125" s="1"/>
      <c r="D125" s="1"/>
      <c r="E125" s="1"/>
      <c r="F125" s="1"/>
      <c r="P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142"/>
    </row>
    <row r="126" ht="17.25" customHeight="1">
      <c r="A126" s="1"/>
      <c r="B126" s="1"/>
      <c r="C126" s="1"/>
      <c r="D126" s="1"/>
      <c r="E126" s="1"/>
      <c r="F126" s="1"/>
      <c r="P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142"/>
    </row>
    <row r="127" ht="17.25" customHeight="1">
      <c r="A127" s="1"/>
      <c r="B127" s="1"/>
      <c r="C127" s="1"/>
      <c r="D127" s="1"/>
      <c r="E127" s="1"/>
      <c r="F127" s="1"/>
      <c r="P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142"/>
    </row>
    <row r="128" ht="17.25" customHeight="1">
      <c r="A128" s="1"/>
      <c r="B128" s="1"/>
      <c r="C128" s="1"/>
      <c r="D128" s="1"/>
      <c r="E128" s="1"/>
      <c r="F128" s="1"/>
      <c r="P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142"/>
    </row>
    <row r="129" ht="17.25" customHeight="1">
      <c r="A129" s="1"/>
      <c r="B129" s="1"/>
      <c r="C129" s="1"/>
      <c r="D129" s="1"/>
      <c r="E129" s="1"/>
      <c r="F129" s="1"/>
      <c r="P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142"/>
    </row>
    <row r="130" ht="17.25" customHeight="1">
      <c r="A130" s="1"/>
      <c r="B130" s="1"/>
      <c r="C130" s="1"/>
      <c r="D130" s="1"/>
      <c r="E130" s="1"/>
      <c r="F130" s="1"/>
      <c r="P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142"/>
    </row>
    <row r="131" ht="17.25" customHeight="1">
      <c r="A131" s="1"/>
      <c r="B131" s="1"/>
      <c r="C131" s="1"/>
      <c r="D131" s="1"/>
      <c r="E131" s="1"/>
      <c r="F131" s="1"/>
      <c r="P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142"/>
    </row>
    <row r="132" ht="17.25" customHeight="1">
      <c r="A132" s="1"/>
      <c r="B132" s="1"/>
      <c r="C132" s="1"/>
      <c r="D132" s="1"/>
      <c r="E132" s="1"/>
      <c r="F132" s="1"/>
      <c r="P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142"/>
    </row>
    <row r="133" ht="17.25" customHeight="1">
      <c r="A133" s="1"/>
      <c r="B133" s="1"/>
      <c r="C133" s="1"/>
      <c r="D133" s="1"/>
      <c r="E133" s="1"/>
      <c r="F133" s="1"/>
      <c r="P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142"/>
    </row>
    <row r="134" ht="17.25" customHeight="1">
      <c r="A134" s="1"/>
      <c r="B134" s="1"/>
      <c r="C134" s="1"/>
      <c r="D134" s="1"/>
      <c r="E134" s="1"/>
      <c r="F134" s="1"/>
      <c r="P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142"/>
    </row>
    <row r="135" ht="17.25" customHeight="1">
      <c r="A135" s="1"/>
      <c r="B135" s="1"/>
      <c r="C135" s="1"/>
      <c r="D135" s="1"/>
      <c r="E135" s="1"/>
      <c r="F135" s="1"/>
      <c r="P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142"/>
    </row>
    <row r="136" ht="17.25" customHeight="1">
      <c r="A136" s="1"/>
      <c r="B136" s="1"/>
      <c r="C136" s="1"/>
      <c r="D136" s="1"/>
      <c r="E136" s="1"/>
      <c r="F136" s="1"/>
      <c r="P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142"/>
    </row>
    <row r="137" ht="17.25" customHeight="1">
      <c r="A137" s="1"/>
      <c r="B137" s="1"/>
      <c r="C137" s="1"/>
      <c r="D137" s="1"/>
      <c r="E137" s="1"/>
      <c r="F137" s="1"/>
      <c r="P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142"/>
    </row>
    <row r="138" ht="17.25" customHeight="1">
      <c r="A138" s="1"/>
      <c r="B138" s="1"/>
      <c r="C138" s="1"/>
      <c r="D138" s="1"/>
      <c r="E138" s="1"/>
      <c r="F138" s="1"/>
      <c r="P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142"/>
    </row>
    <row r="139" ht="17.25" customHeight="1">
      <c r="A139" s="1"/>
      <c r="B139" s="1"/>
      <c r="C139" s="1"/>
      <c r="D139" s="1"/>
      <c r="E139" s="1"/>
      <c r="F139" s="1"/>
      <c r="P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142"/>
    </row>
    <row r="140" ht="17.25" customHeight="1">
      <c r="A140" s="1"/>
      <c r="B140" s="1"/>
      <c r="C140" s="1"/>
      <c r="D140" s="1"/>
      <c r="E140" s="1"/>
      <c r="F140" s="1"/>
      <c r="P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142"/>
    </row>
    <row r="141" ht="17.25" customHeight="1">
      <c r="A141" s="1"/>
      <c r="B141" s="1"/>
      <c r="C141" s="1"/>
      <c r="D141" s="1"/>
      <c r="E141" s="1"/>
      <c r="F141" s="1"/>
      <c r="P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142"/>
    </row>
    <row r="142" ht="17.25" customHeight="1">
      <c r="A142" s="1"/>
      <c r="B142" s="1"/>
      <c r="C142" s="1"/>
      <c r="D142" s="1"/>
      <c r="E142" s="1"/>
      <c r="F142" s="1"/>
      <c r="P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142"/>
    </row>
    <row r="143" ht="17.25" customHeight="1">
      <c r="A143" s="1"/>
      <c r="B143" s="1"/>
      <c r="C143" s="1"/>
      <c r="D143" s="1"/>
      <c r="E143" s="1"/>
      <c r="F143" s="1"/>
      <c r="P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142"/>
    </row>
    <row r="144" ht="17.25" customHeight="1">
      <c r="A144" s="1"/>
      <c r="B144" s="1"/>
      <c r="C144" s="1"/>
      <c r="D144" s="1"/>
      <c r="E144" s="1"/>
      <c r="F144" s="1"/>
      <c r="P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142"/>
    </row>
    <row r="145" ht="17.25" customHeight="1">
      <c r="A145" s="1"/>
      <c r="B145" s="1"/>
      <c r="C145" s="1"/>
      <c r="D145" s="1"/>
      <c r="E145" s="1"/>
      <c r="F145" s="1"/>
      <c r="P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142"/>
    </row>
    <row r="146" ht="17.25" customHeight="1">
      <c r="A146" s="1"/>
      <c r="B146" s="1"/>
      <c r="C146" s="1"/>
      <c r="D146" s="1"/>
      <c r="E146" s="1"/>
      <c r="F146" s="1"/>
      <c r="P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142"/>
    </row>
    <row r="147" ht="17.25" customHeight="1">
      <c r="A147" s="1"/>
      <c r="B147" s="1"/>
      <c r="C147" s="1"/>
      <c r="D147" s="1"/>
      <c r="E147" s="1"/>
      <c r="F147" s="1"/>
      <c r="P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142"/>
    </row>
    <row r="148" ht="17.25" customHeight="1">
      <c r="A148" s="1"/>
      <c r="B148" s="1"/>
      <c r="C148" s="1"/>
      <c r="D148" s="1"/>
      <c r="E148" s="1"/>
      <c r="F148" s="1"/>
      <c r="P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142"/>
    </row>
    <row r="149" ht="17.25" customHeight="1">
      <c r="A149" s="1"/>
      <c r="B149" s="1"/>
      <c r="C149" s="1"/>
      <c r="D149" s="1"/>
      <c r="E149" s="1"/>
      <c r="F149" s="1"/>
      <c r="P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142"/>
    </row>
    <row r="150" ht="17.25" customHeight="1">
      <c r="A150" s="1"/>
      <c r="B150" s="1"/>
      <c r="C150" s="1"/>
      <c r="D150" s="1"/>
      <c r="E150" s="1"/>
      <c r="F150" s="1"/>
      <c r="P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142"/>
    </row>
    <row r="151" ht="17.25" customHeight="1">
      <c r="A151" s="1"/>
      <c r="B151" s="1"/>
      <c r="C151" s="1"/>
      <c r="D151" s="1"/>
      <c r="E151" s="1"/>
      <c r="F151" s="1"/>
      <c r="P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142"/>
    </row>
    <row r="152" ht="17.25" customHeight="1">
      <c r="A152" s="1"/>
      <c r="B152" s="1"/>
      <c r="C152" s="1"/>
      <c r="D152" s="1"/>
      <c r="E152" s="1"/>
      <c r="F152" s="1"/>
      <c r="P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142"/>
    </row>
    <row r="153" ht="17.25" customHeight="1">
      <c r="A153" s="1"/>
      <c r="B153" s="1"/>
      <c r="C153" s="1"/>
      <c r="D153" s="1"/>
      <c r="E153" s="1"/>
      <c r="F153" s="1"/>
      <c r="P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142"/>
    </row>
    <row r="154" ht="17.25" customHeight="1">
      <c r="A154" s="1"/>
      <c r="B154" s="1"/>
      <c r="C154" s="1"/>
      <c r="D154" s="1"/>
      <c r="E154" s="1"/>
      <c r="F154" s="1"/>
      <c r="P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142"/>
    </row>
    <row r="155" ht="17.25" customHeight="1">
      <c r="A155" s="1"/>
      <c r="B155" s="1"/>
      <c r="C155" s="1"/>
      <c r="D155" s="1"/>
      <c r="E155" s="1"/>
      <c r="F155" s="1"/>
      <c r="P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142"/>
    </row>
    <row r="156" ht="17.25" customHeight="1">
      <c r="A156" s="1"/>
      <c r="B156" s="1"/>
      <c r="C156" s="1"/>
      <c r="D156" s="1"/>
      <c r="E156" s="1"/>
      <c r="F156" s="1"/>
      <c r="P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142"/>
    </row>
    <row r="157" ht="17.25" customHeight="1">
      <c r="A157" s="1"/>
      <c r="B157" s="1"/>
      <c r="C157" s="1"/>
      <c r="D157" s="1"/>
      <c r="E157" s="1"/>
      <c r="F157" s="1"/>
      <c r="P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142"/>
    </row>
    <row r="158" ht="17.25" customHeight="1">
      <c r="A158" s="1"/>
      <c r="B158" s="1"/>
      <c r="C158" s="1"/>
      <c r="D158" s="1"/>
      <c r="E158" s="1"/>
      <c r="F158" s="1"/>
      <c r="P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142"/>
    </row>
    <row r="159" ht="17.25" customHeight="1">
      <c r="A159" s="1"/>
      <c r="B159" s="1"/>
      <c r="C159" s="1"/>
      <c r="D159" s="1"/>
      <c r="E159" s="1"/>
      <c r="F159" s="1"/>
      <c r="P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142"/>
    </row>
    <row r="160" ht="17.25" customHeight="1">
      <c r="A160" s="1"/>
      <c r="B160" s="1"/>
      <c r="C160" s="1"/>
      <c r="D160" s="1"/>
      <c r="E160" s="1"/>
      <c r="F160" s="1"/>
      <c r="P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142"/>
    </row>
    <row r="161" ht="17.25" customHeight="1">
      <c r="A161" s="1"/>
      <c r="B161" s="1"/>
      <c r="C161" s="1"/>
      <c r="D161" s="1"/>
      <c r="E161" s="1"/>
      <c r="F161" s="1"/>
      <c r="P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142"/>
    </row>
    <row r="162" ht="17.25" customHeight="1">
      <c r="A162" s="1"/>
      <c r="B162" s="1"/>
      <c r="C162" s="1"/>
      <c r="D162" s="1"/>
      <c r="E162" s="1"/>
      <c r="F162" s="1"/>
      <c r="P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142"/>
    </row>
    <row r="163" ht="17.25" customHeight="1">
      <c r="A163" s="1"/>
      <c r="B163" s="1"/>
      <c r="C163" s="1"/>
      <c r="D163" s="1"/>
      <c r="E163" s="1"/>
      <c r="F163" s="1"/>
      <c r="P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142"/>
    </row>
    <row r="164" ht="17.25" customHeight="1">
      <c r="A164" s="1"/>
      <c r="B164" s="1"/>
      <c r="C164" s="1"/>
      <c r="D164" s="1"/>
      <c r="E164" s="1"/>
      <c r="F164" s="1"/>
      <c r="P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142"/>
    </row>
    <row r="165" ht="17.25" customHeight="1">
      <c r="A165" s="1"/>
      <c r="B165" s="1"/>
      <c r="C165" s="1"/>
      <c r="D165" s="1"/>
      <c r="E165" s="1"/>
      <c r="F165" s="1"/>
      <c r="P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142"/>
    </row>
    <row r="166" ht="17.25" customHeight="1">
      <c r="A166" s="1"/>
      <c r="B166" s="1"/>
      <c r="C166" s="1"/>
      <c r="D166" s="1"/>
      <c r="E166" s="1"/>
      <c r="F166" s="1"/>
      <c r="P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142"/>
    </row>
    <row r="167" ht="17.25" customHeight="1">
      <c r="A167" s="1"/>
      <c r="B167" s="1"/>
      <c r="C167" s="1"/>
      <c r="D167" s="1"/>
      <c r="E167" s="1"/>
      <c r="F167" s="1"/>
      <c r="P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142"/>
    </row>
    <row r="168" ht="17.25" customHeight="1">
      <c r="A168" s="1"/>
      <c r="B168" s="1"/>
      <c r="C168" s="1"/>
      <c r="D168" s="1"/>
      <c r="E168" s="1"/>
      <c r="F168" s="1"/>
      <c r="P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142"/>
    </row>
    <row r="169" ht="17.25" customHeight="1">
      <c r="A169" s="1"/>
      <c r="B169" s="1"/>
      <c r="C169" s="1"/>
      <c r="D169" s="1"/>
      <c r="E169" s="1"/>
      <c r="F169" s="1"/>
      <c r="P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142"/>
    </row>
    <row r="170" ht="17.25" customHeight="1">
      <c r="A170" s="1"/>
      <c r="B170" s="1"/>
      <c r="C170" s="1"/>
      <c r="D170" s="1"/>
      <c r="E170" s="1"/>
      <c r="F170" s="1"/>
      <c r="P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142"/>
    </row>
    <row r="171" ht="17.25" customHeight="1">
      <c r="A171" s="1"/>
      <c r="B171" s="1"/>
      <c r="C171" s="1"/>
      <c r="D171" s="1"/>
      <c r="E171" s="1"/>
      <c r="F171" s="1"/>
      <c r="P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142"/>
    </row>
    <row r="172" ht="17.25" customHeight="1">
      <c r="A172" s="1"/>
      <c r="B172" s="1"/>
      <c r="C172" s="1"/>
      <c r="D172" s="1"/>
      <c r="E172" s="1"/>
      <c r="F172" s="1"/>
      <c r="P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142"/>
    </row>
    <row r="173" ht="17.25" customHeight="1">
      <c r="A173" s="1"/>
      <c r="B173" s="1"/>
      <c r="C173" s="1"/>
      <c r="D173" s="1"/>
      <c r="E173" s="1"/>
      <c r="F173" s="1"/>
      <c r="P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142"/>
    </row>
    <row r="174" ht="17.25" customHeight="1">
      <c r="A174" s="1"/>
      <c r="B174" s="1"/>
      <c r="C174" s="1"/>
      <c r="D174" s="1"/>
      <c r="E174" s="1"/>
      <c r="F174" s="1"/>
      <c r="P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142"/>
    </row>
    <row r="175" ht="17.25" customHeight="1">
      <c r="A175" s="1"/>
      <c r="B175" s="1"/>
      <c r="C175" s="1"/>
      <c r="D175" s="1"/>
      <c r="E175" s="1"/>
      <c r="F175" s="1"/>
      <c r="P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142"/>
    </row>
    <row r="176" ht="17.25" customHeight="1">
      <c r="A176" s="1"/>
      <c r="B176" s="1"/>
      <c r="C176" s="1"/>
      <c r="D176" s="1"/>
      <c r="E176" s="1"/>
      <c r="F176" s="1"/>
      <c r="P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142"/>
    </row>
    <row r="177" ht="17.25" customHeight="1">
      <c r="A177" s="1"/>
      <c r="B177" s="1"/>
      <c r="C177" s="1"/>
      <c r="D177" s="1"/>
      <c r="E177" s="1"/>
      <c r="F177" s="1"/>
      <c r="P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142"/>
    </row>
    <row r="178" ht="17.25" customHeight="1">
      <c r="A178" s="1"/>
      <c r="B178" s="1"/>
      <c r="C178" s="1"/>
      <c r="D178" s="1"/>
      <c r="E178" s="1"/>
      <c r="F178" s="1"/>
      <c r="P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142"/>
    </row>
    <row r="179" ht="17.25" customHeight="1">
      <c r="A179" s="1"/>
      <c r="B179" s="1"/>
      <c r="C179" s="1"/>
      <c r="D179" s="1"/>
      <c r="E179" s="1"/>
      <c r="F179" s="1"/>
      <c r="P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142"/>
    </row>
    <row r="180" ht="17.25" customHeight="1">
      <c r="A180" s="1"/>
      <c r="B180" s="1"/>
      <c r="C180" s="1"/>
      <c r="D180" s="1"/>
      <c r="E180" s="1"/>
      <c r="F180" s="1"/>
      <c r="P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142"/>
    </row>
    <row r="181" ht="17.25" customHeight="1">
      <c r="A181" s="1"/>
      <c r="B181" s="1"/>
      <c r="C181" s="1"/>
      <c r="D181" s="1"/>
      <c r="E181" s="1"/>
      <c r="F181" s="1"/>
      <c r="P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142"/>
    </row>
    <row r="182" ht="17.25" customHeight="1">
      <c r="A182" s="1"/>
      <c r="B182" s="1"/>
      <c r="C182" s="1"/>
      <c r="D182" s="1"/>
      <c r="E182" s="1"/>
      <c r="F182" s="1"/>
      <c r="P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142"/>
    </row>
    <row r="183" ht="17.25" customHeight="1">
      <c r="A183" s="1"/>
      <c r="B183" s="1"/>
      <c r="C183" s="1"/>
      <c r="D183" s="1"/>
      <c r="E183" s="1"/>
      <c r="F183" s="1"/>
      <c r="P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142"/>
    </row>
    <row r="184" ht="17.25" customHeight="1">
      <c r="A184" s="1"/>
      <c r="B184" s="1"/>
      <c r="C184" s="1"/>
      <c r="D184" s="1"/>
      <c r="E184" s="1"/>
      <c r="F184" s="1"/>
      <c r="P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142"/>
    </row>
    <row r="185" ht="17.25" customHeight="1">
      <c r="A185" s="1"/>
      <c r="B185" s="1"/>
      <c r="C185" s="1"/>
      <c r="D185" s="1"/>
      <c r="E185" s="1"/>
      <c r="F185" s="1"/>
      <c r="P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142"/>
    </row>
    <row r="186" ht="17.25" customHeight="1">
      <c r="A186" s="1"/>
      <c r="B186" s="1"/>
      <c r="C186" s="1"/>
      <c r="D186" s="1"/>
      <c r="E186" s="1"/>
      <c r="F186" s="1"/>
      <c r="P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142"/>
    </row>
    <row r="187" ht="17.25" customHeight="1">
      <c r="A187" s="1"/>
      <c r="B187" s="1"/>
      <c r="C187" s="1"/>
      <c r="D187" s="1"/>
      <c r="E187" s="1"/>
      <c r="F187" s="1"/>
      <c r="P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142"/>
    </row>
    <row r="188" ht="17.25" customHeight="1">
      <c r="A188" s="1"/>
      <c r="B188" s="1"/>
      <c r="C188" s="1"/>
      <c r="D188" s="1"/>
      <c r="E188" s="1"/>
      <c r="F188" s="1"/>
      <c r="P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142"/>
    </row>
    <row r="189" ht="17.25" customHeight="1">
      <c r="A189" s="1"/>
      <c r="B189" s="1"/>
      <c r="C189" s="1"/>
      <c r="D189" s="1"/>
      <c r="E189" s="1"/>
      <c r="F189" s="1"/>
      <c r="P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142"/>
    </row>
    <row r="190" ht="17.25" customHeight="1">
      <c r="A190" s="1"/>
      <c r="B190" s="1"/>
      <c r="C190" s="1"/>
      <c r="D190" s="1"/>
      <c r="E190" s="1"/>
      <c r="F190" s="1"/>
      <c r="P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142"/>
    </row>
    <row r="191" ht="17.25" customHeight="1">
      <c r="A191" s="1"/>
      <c r="B191" s="1"/>
      <c r="C191" s="1"/>
      <c r="D191" s="1"/>
      <c r="E191" s="1"/>
      <c r="F191" s="1"/>
      <c r="P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142"/>
    </row>
    <row r="192" ht="17.25" customHeight="1">
      <c r="A192" s="1"/>
      <c r="B192" s="1"/>
      <c r="C192" s="1"/>
      <c r="D192" s="1"/>
      <c r="E192" s="1"/>
      <c r="F192" s="1"/>
      <c r="P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142"/>
    </row>
    <row r="193" ht="17.25" customHeight="1">
      <c r="A193" s="1"/>
      <c r="B193" s="1"/>
      <c r="C193" s="1"/>
      <c r="D193" s="1"/>
      <c r="E193" s="1"/>
      <c r="F193" s="1"/>
      <c r="P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142"/>
    </row>
    <row r="194" ht="17.25" customHeight="1">
      <c r="A194" s="1"/>
      <c r="B194" s="1"/>
      <c r="C194" s="1"/>
      <c r="D194" s="1"/>
      <c r="E194" s="1"/>
      <c r="F194" s="1"/>
      <c r="P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142"/>
    </row>
    <row r="195" ht="17.25" customHeight="1">
      <c r="A195" s="1"/>
      <c r="B195" s="1"/>
      <c r="C195" s="1"/>
      <c r="D195" s="1"/>
      <c r="E195" s="1"/>
      <c r="F195" s="1"/>
      <c r="P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142"/>
    </row>
    <row r="196" ht="17.25" customHeight="1">
      <c r="A196" s="1"/>
      <c r="B196" s="1"/>
      <c r="C196" s="1"/>
      <c r="D196" s="1"/>
      <c r="E196" s="1"/>
      <c r="F196" s="1"/>
      <c r="P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142"/>
    </row>
    <row r="197" ht="17.25" customHeight="1">
      <c r="A197" s="1"/>
      <c r="B197" s="1"/>
      <c r="C197" s="1"/>
      <c r="D197" s="1"/>
      <c r="E197" s="1"/>
      <c r="F197" s="1"/>
      <c r="P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142"/>
    </row>
    <row r="198" ht="17.25" customHeight="1">
      <c r="A198" s="1"/>
      <c r="B198" s="1"/>
      <c r="C198" s="1"/>
      <c r="D198" s="1"/>
      <c r="E198" s="1"/>
      <c r="F198" s="1"/>
      <c r="P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142"/>
    </row>
    <row r="199" ht="17.25" customHeight="1">
      <c r="A199" s="1"/>
      <c r="B199" s="1"/>
      <c r="C199" s="1"/>
      <c r="D199" s="1"/>
      <c r="E199" s="1"/>
      <c r="F199" s="1"/>
      <c r="P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142"/>
    </row>
    <row r="200" ht="17.25" customHeight="1">
      <c r="A200" s="1"/>
      <c r="B200" s="1"/>
      <c r="C200" s="1"/>
      <c r="D200" s="1"/>
      <c r="E200" s="1"/>
      <c r="F200" s="1"/>
      <c r="P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142"/>
    </row>
    <row r="201" ht="17.25" customHeight="1">
      <c r="A201" s="1"/>
      <c r="B201" s="1"/>
      <c r="C201" s="1"/>
      <c r="D201" s="1"/>
      <c r="E201" s="1"/>
      <c r="F201" s="1"/>
      <c r="P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142"/>
    </row>
    <row r="202" ht="17.25" customHeight="1">
      <c r="A202" s="1"/>
      <c r="B202" s="1"/>
      <c r="C202" s="1"/>
      <c r="D202" s="1"/>
      <c r="E202" s="1"/>
      <c r="F202" s="1"/>
      <c r="P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142"/>
    </row>
    <row r="203" ht="17.25" customHeight="1">
      <c r="A203" s="1"/>
      <c r="B203" s="1"/>
      <c r="C203" s="1"/>
      <c r="D203" s="1"/>
      <c r="E203" s="1"/>
      <c r="F203" s="1"/>
      <c r="P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142"/>
    </row>
    <row r="204" ht="17.25" customHeight="1">
      <c r="A204" s="1"/>
      <c r="B204" s="1"/>
      <c r="C204" s="1"/>
      <c r="D204" s="1"/>
      <c r="E204" s="1"/>
      <c r="F204" s="1"/>
      <c r="P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142"/>
    </row>
    <row r="205" ht="17.25" customHeight="1">
      <c r="A205" s="1"/>
      <c r="B205" s="1"/>
      <c r="C205" s="1"/>
      <c r="D205" s="1"/>
      <c r="E205" s="1"/>
      <c r="F205" s="1"/>
      <c r="P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142"/>
    </row>
    <row r="206" ht="17.25" customHeight="1">
      <c r="A206" s="1"/>
      <c r="B206" s="1"/>
      <c r="C206" s="1"/>
      <c r="D206" s="1"/>
      <c r="E206" s="1"/>
      <c r="F206" s="1"/>
      <c r="P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142"/>
    </row>
    <row r="207" ht="17.25" customHeight="1">
      <c r="A207" s="1"/>
      <c r="B207" s="1"/>
      <c r="C207" s="1"/>
      <c r="D207" s="1"/>
      <c r="E207" s="1"/>
      <c r="F207" s="1"/>
      <c r="P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142"/>
    </row>
    <row r="208" ht="17.25" customHeight="1">
      <c r="A208" s="1"/>
      <c r="B208" s="1"/>
      <c r="C208" s="1"/>
      <c r="D208" s="1"/>
      <c r="E208" s="1"/>
      <c r="F208" s="1"/>
      <c r="P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142"/>
    </row>
    <row r="209" ht="17.25" customHeight="1">
      <c r="A209" s="1"/>
      <c r="B209" s="1"/>
      <c r="C209" s="1"/>
      <c r="D209" s="1"/>
      <c r="E209" s="1"/>
      <c r="F209" s="1"/>
      <c r="P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142"/>
    </row>
    <row r="210" ht="17.25" customHeight="1">
      <c r="A210" s="1"/>
      <c r="B210" s="1"/>
      <c r="C210" s="1"/>
      <c r="D210" s="1"/>
      <c r="E210" s="1"/>
      <c r="F210" s="1"/>
      <c r="P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142"/>
    </row>
    <row r="211" ht="17.25" customHeight="1">
      <c r="A211" s="1"/>
      <c r="B211" s="1"/>
      <c r="C211" s="1"/>
      <c r="D211" s="1"/>
      <c r="E211" s="1"/>
      <c r="F211" s="1"/>
      <c r="P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142"/>
    </row>
    <row r="212" ht="17.25" customHeight="1">
      <c r="A212" s="1"/>
      <c r="B212" s="1"/>
      <c r="C212" s="1"/>
      <c r="D212" s="1"/>
      <c r="E212" s="1"/>
      <c r="F212" s="1"/>
      <c r="P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142"/>
    </row>
    <row r="213" ht="17.25" customHeight="1">
      <c r="A213" s="1"/>
      <c r="B213" s="1"/>
      <c r="C213" s="1"/>
      <c r="D213" s="1"/>
      <c r="E213" s="1"/>
      <c r="F213" s="1"/>
      <c r="P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142"/>
    </row>
    <row r="214" ht="17.25" customHeight="1">
      <c r="A214" s="1"/>
      <c r="B214" s="1"/>
      <c r="C214" s="1"/>
      <c r="D214" s="1"/>
      <c r="E214" s="1"/>
      <c r="F214" s="1"/>
      <c r="P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142"/>
    </row>
    <row r="215" ht="17.25" customHeight="1">
      <c r="A215" s="1"/>
      <c r="B215" s="1"/>
      <c r="C215" s="1"/>
      <c r="D215" s="1"/>
      <c r="E215" s="1"/>
      <c r="F215" s="1"/>
      <c r="P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142"/>
    </row>
    <row r="216" ht="17.25" customHeight="1">
      <c r="A216" s="1"/>
      <c r="B216" s="1"/>
      <c r="C216" s="1"/>
      <c r="D216" s="1"/>
      <c r="E216" s="1"/>
      <c r="F216" s="1"/>
      <c r="P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142"/>
    </row>
    <row r="217" ht="17.25" customHeight="1">
      <c r="A217" s="1"/>
      <c r="B217" s="1"/>
      <c r="C217" s="1"/>
      <c r="D217" s="1"/>
      <c r="E217" s="1"/>
      <c r="F217" s="1"/>
      <c r="P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142"/>
    </row>
    <row r="218" ht="17.25" customHeight="1">
      <c r="A218" s="1"/>
      <c r="B218" s="1"/>
      <c r="C218" s="1"/>
      <c r="D218" s="1"/>
      <c r="E218" s="1"/>
      <c r="F218" s="1"/>
      <c r="P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142"/>
    </row>
    <row r="219" ht="17.25" customHeight="1">
      <c r="A219" s="1"/>
      <c r="B219" s="1"/>
      <c r="C219" s="1"/>
      <c r="D219" s="1"/>
      <c r="E219" s="1"/>
      <c r="F219" s="1"/>
      <c r="P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142"/>
    </row>
    <row r="220" ht="17.25" customHeight="1">
      <c r="A220" s="1"/>
      <c r="B220" s="1"/>
      <c r="C220" s="1"/>
      <c r="D220" s="1"/>
      <c r="E220" s="1"/>
      <c r="F220" s="1"/>
      <c r="P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142"/>
    </row>
    <row r="221" ht="17.25" customHeight="1">
      <c r="A221" s="1"/>
      <c r="B221" s="1"/>
      <c r="C221" s="1"/>
      <c r="D221" s="1"/>
      <c r="E221" s="1"/>
      <c r="F221" s="1"/>
      <c r="P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142"/>
    </row>
    <row r="222" ht="17.25" customHeight="1">
      <c r="A222" s="1"/>
      <c r="B222" s="1"/>
      <c r="C222" s="1"/>
      <c r="D222" s="1"/>
      <c r="E222" s="1"/>
      <c r="F222" s="1"/>
      <c r="P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142"/>
    </row>
    <row r="223" ht="17.25" customHeight="1">
      <c r="A223" s="1"/>
      <c r="B223" s="1"/>
      <c r="C223" s="1"/>
      <c r="D223" s="1"/>
      <c r="E223" s="1"/>
      <c r="F223" s="1"/>
      <c r="P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142"/>
    </row>
    <row r="224" ht="17.25" customHeight="1">
      <c r="A224" s="1"/>
      <c r="B224" s="1"/>
      <c r="C224" s="1"/>
      <c r="D224" s="1"/>
      <c r="E224" s="1"/>
      <c r="F224" s="1"/>
      <c r="P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142"/>
    </row>
    <row r="225" ht="17.25" customHeight="1">
      <c r="A225" s="1"/>
      <c r="B225" s="1"/>
      <c r="C225" s="1"/>
      <c r="D225" s="1"/>
      <c r="E225" s="1"/>
      <c r="F225" s="1"/>
      <c r="P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142"/>
    </row>
    <row r="226" ht="17.25" customHeight="1">
      <c r="A226" s="1"/>
      <c r="B226" s="1"/>
      <c r="C226" s="1"/>
      <c r="D226" s="1"/>
      <c r="E226" s="1"/>
      <c r="F226" s="1"/>
      <c r="P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142"/>
    </row>
    <row r="227" ht="17.25" customHeight="1">
      <c r="A227" s="1"/>
      <c r="B227" s="1"/>
      <c r="C227" s="1"/>
      <c r="D227" s="1"/>
      <c r="E227" s="1"/>
      <c r="F227" s="1"/>
      <c r="P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142"/>
    </row>
    <row r="228" ht="17.25" customHeight="1">
      <c r="A228" s="1"/>
      <c r="B228" s="1"/>
      <c r="C228" s="1"/>
      <c r="D228" s="1"/>
      <c r="E228" s="1"/>
      <c r="F228" s="1"/>
      <c r="P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142"/>
    </row>
    <row r="229" ht="17.25" customHeight="1">
      <c r="A229" s="1"/>
      <c r="B229" s="1"/>
      <c r="C229" s="1"/>
      <c r="D229" s="1"/>
      <c r="E229" s="1"/>
      <c r="F229" s="1"/>
      <c r="P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142"/>
    </row>
    <row r="230" ht="17.25" customHeight="1">
      <c r="A230" s="1"/>
      <c r="B230" s="1"/>
      <c r="C230" s="1"/>
      <c r="D230" s="1"/>
      <c r="E230" s="1"/>
      <c r="F230" s="1"/>
      <c r="P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142"/>
    </row>
    <row r="231" ht="17.25" customHeight="1">
      <c r="A231" s="1"/>
      <c r="B231" s="1"/>
      <c r="C231" s="1"/>
      <c r="D231" s="1"/>
      <c r="E231" s="1"/>
      <c r="F231" s="1"/>
      <c r="P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142"/>
    </row>
    <row r="232" ht="17.25" customHeight="1">
      <c r="A232" s="1"/>
      <c r="B232" s="1"/>
      <c r="C232" s="1"/>
      <c r="D232" s="1"/>
      <c r="E232" s="1"/>
      <c r="F232" s="1"/>
      <c r="P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142"/>
    </row>
    <row r="233" ht="17.25" customHeight="1">
      <c r="A233" s="1"/>
      <c r="B233" s="1"/>
      <c r="C233" s="1"/>
      <c r="D233" s="1"/>
      <c r="E233" s="1"/>
      <c r="F233" s="1"/>
      <c r="P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142"/>
    </row>
    <row r="234" ht="17.25" customHeight="1">
      <c r="A234" s="1"/>
      <c r="B234" s="1"/>
      <c r="C234" s="1"/>
      <c r="D234" s="1"/>
      <c r="E234" s="1"/>
      <c r="F234" s="1"/>
      <c r="P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142"/>
    </row>
    <row r="235" ht="17.25" customHeight="1">
      <c r="A235" s="1"/>
      <c r="B235" s="1"/>
      <c r="C235" s="1"/>
      <c r="D235" s="1"/>
      <c r="E235" s="1"/>
      <c r="F235" s="1"/>
      <c r="P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142"/>
    </row>
    <row r="236" ht="17.25" customHeight="1">
      <c r="A236" s="1"/>
      <c r="B236" s="1"/>
      <c r="C236" s="1"/>
      <c r="D236" s="1"/>
      <c r="E236" s="1"/>
      <c r="F236" s="1"/>
      <c r="P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142"/>
    </row>
    <row r="237" ht="17.25" customHeight="1">
      <c r="A237" s="1"/>
      <c r="B237" s="1"/>
      <c r="C237" s="1"/>
      <c r="D237" s="1"/>
      <c r="E237" s="1"/>
      <c r="F237" s="1"/>
      <c r="P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142"/>
    </row>
    <row r="238" ht="17.25" customHeight="1">
      <c r="A238" s="1"/>
      <c r="B238" s="1"/>
      <c r="C238" s="1"/>
      <c r="D238" s="1"/>
      <c r="E238" s="1"/>
      <c r="F238" s="1"/>
      <c r="P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142"/>
    </row>
    <row r="239" ht="17.25" customHeight="1">
      <c r="A239" s="1"/>
      <c r="B239" s="1"/>
      <c r="C239" s="1"/>
      <c r="D239" s="1"/>
      <c r="E239" s="1"/>
      <c r="F239" s="1"/>
      <c r="P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142"/>
    </row>
    <row r="240" ht="17.25" customHeight="1">
      <c r="A240" s="1"/>
      <c r="B240" s="1"/>
      <c r="C240" s="1"/>
      <c r="D240" s="1"/>
      <c r="E240" s="1"/>
      <c r="F240" s="1"/>
      <c r="P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142"/>
    </row>
    <row r="241" ht="17.25" customHeight="1">
      <c r="A241" s="1"/>
      <c r="B241" s="1"/>
      <c r="C241" s="1"/>
      <c r="D241" s="1"/>
      <c r="E241" s="1"/>
      <c r="F241" s="1"/>
      <c r="P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142"/>
    </row>
    <row r="242" ht="17.25" customHeight="1">
      <c r="A242" s="1"/>
      <c r="B242" s="1"/>
      <c r="C242" s="1"/>
      <c r="D242" s="1"/>
      <c r="E242" s="1"/>
      <c r="F242" s="1"/>
      <c r="P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142"/>
    </row>
    <row r="243" ht="17.25" customHeight="1">
      <c r="A243" s="1"/>
      <c r="B243" s="1"/>
      <c r="C243" s="1"/>
      <c r="D243" s="1"/>
      <c r="E243" s="1"/>
      <c r="F243" s="1"/>
      <c r="P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142"/>
    </row>
    <row r="244" ht="17.25" customHeight="1">
      <c r="A244" s="1"/>
      <c r="B244" s="1"/>
      <c r="C244" s="1"/>
      <c r="D244" s="1"/>
      <c r="E244" s="1"/>
      <c r="F244" s="1"/>
      <c r="P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142"/>
    </row>
    <row r="245" ht="17.25" customHeight="1">
      <c r="A245" s="1"/>
      <c r="B245" s="1"/>
      <c r="C245" s="1"/>
      <c r="D245" s="1"/>
      <c r="E245" s="1"/>
      <c r="F245" s="1"/>
      <c r="P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142"/>
    </row>
    <row r="246" ht="17.25" customHeight="1">
      <c r="A246" s="1"/>
      <c r="B246" s="1"/>
      <c r="C246" s="1"/>
      <c r="D246" s="1"/>
      <c r="E246" s="1"/>
      <c r="F246" s="1"/>
      <c r="P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142"/>
    </row>
    <row r="247" ht="17.25" customHeight="1">
      <c r="A247" s="1"/>
      <c r="B247" s="1"/>
      <c r="C247" s="1"/>
      <c r="D247" s="1"/>
      <c r="E247" s="1"/>
      <c r="F247" s="1"/>
      <c r="P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142"/>
    </row>
    <row r="248" ht="17.25" customHeight="1">
      <c r="A248" s="1"/>
      <c r="B248" s="1"/>
      <c r="C248" s="1"/>
      <c r="D248" s="1"/>
      <c r="E248" s="1"/>
      <c r="F248" s="1"/>
      <c r="P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142"/>
    </row>
    <row r="249" ht="17.25" customHeight="1">
      <c r="A249" s="1"/>
      <c r="B249" s="1"/>
      <c r="C249" s="1"/>
      <c r="D249" s="1"/>
      <c r="E249" s="1"/>
      <c r="F249" s="1"/>
      <c r="P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142"/>
    </row>
    <row r="250" ht="17.25" customHeight="1">
      <c r="A250" s="1"/>
      <c r="B250" s="1"/>
      <c r="C250" s="1"/>
      <c r="D250" s="1"/>
      <c r="E250" s="1"/>
      <c r="F250" s="1"/>
      <c r="P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142"/>
    </row>
    <row r="251" ht="17.25" customHeight="1">
      <c r="A251" s="1"/>
      <c r="B251" s="1"/>
      <c r="C251" s="1"/>
      <c r="D251" s="1"/>
      <c r="E251" s="1"/>
      <c r="F251" s="1"/>
      <c r="P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142"/>
    </row>
    <row r="252" ht="17.25" customHeight="1">
      <c r="A252" s="1"/>
      <c r="B252" s="1"/>
      <c r="C252" s="1"/>
      <c r="D252" s="1"/>
      <c r="E252" s="1"/>
      <c r="F252" s="1"/>
      <c r="P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142"/>
    </row>
    <row r="253" ht="17.25" customHeight="1">
      <c r="A253" s="1"/>
      <c r="B253" s="1"/>
      <c r="C253" s="1"/>
      <c r="D253" s="1"/>
      <c r="E253" s="1"/>
      <c r="F253" s="1"/>
      <c r="P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142"/>
    </row>
    <row r="254" ht="17.25" customHeight="1">
      <c r="A254" s="1"/>
      <c r="B254" s="1"/>
      <c r="C254" s="1"/>
      <c r="D254" s="1"/>
      <c r="E254" s="1"/>
      <c r="F254" s="1"/>
      <c r="P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142"/>
    </row>
    <row r="255" ht="17.25" customHeight="1">
      <c r="A255" s="1"/>
      <c r="B255" s="1"/>
      <c r="C255" s="1"/>
      <c r="D255" s="1"/>
      <c r="E255" s="1"/>
      <c r="F255" s="1"/>
      <c r="P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142"/>
    </row>
    <row r="256" ht="17.25" customHeight="1">
      <c r="A256" s="1"/>
      <c r="B256" s="1"/>
      <c r="C256" s="1"/>
      <c r="D256" s="1"/>
      <c r="E256" s="1"/>
      <c r="F256" s="1"/>
      <c r="P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142"/>
    </row>
    <row r="257" ht="17.25" customHeight="1">
      <c r="A257" s="1"/>
      <c r="B257" s="1"/>
      <c r="C257" s="1"/>
      <c r="D257" s="1"/>
      <c r="E257" s="1"/>
      <c r="F257" s="1"/>
      <c r="P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142"/>
    </row>
    <row r="258" ht="17.25" customHeight="1">
      <c r="A258" s="1"/>
      <c r="B258" s="1"/>
      <c r="C258" s="1"/>
      <c r="D258" s="1"/>
      <c r="E258" s="1"/>
      <c r="F258" s="1"/>
      <c r="P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142"/>
    </row>
    <row r="259" ht="17.25" customHeight="1">
      <c r="A259" s="1"/>
      <c r="B259" s="1"/>
      <c r="C259" s="1"/>
      <c r="D259" s="1"/>
      <c r="E259" s="1"/>
      <c r="F259" s="1"/>
      <c r="P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142"/>
    </row>
    <row r="260" ht="17.25" customHeight="1">
      <c r="A260" s="1"/>
      <c r="B260" s="1"/>
      <c r="C260" s="1"/>
      <c r="D260" s="1"/>
      <c r="E260" s="1"/>
      <c r="F260" s="1"/>
      <c r="P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142"/>
    </row>
    <row r="261" ht="17.25" customHeight="1">
      <c r="A261" s="1"/>
      <c r="B261" s="1"/>
      <c r="C261" s="1"/>
      <c r="D261" s="1"/>
      <c r="E261" s="1"/>
      <c r="F261" s="1"/>
      <c r="P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142"/>
    </row>
    <row r="262" ht="17.25" customHeight="1">
      <c r="A262" s="1"/>
      <c r="B262" s="1"/>
      <c r="C262" s="1"/>
      <c r="D262" s="1"/>
      <c r="E262" s="1"/>
      <c r="F262" s="1"/>
      <c r="P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142"/>
    </row>
    <row r="263" ht="17.25" customHeight="1">
      <c r="A263" s="1"/>
      <c r="B263" s="1"/>
      <c r="C263" s="1"/>
      <c r="D263" s="1"/>
      <c r="E263" s="1"/>
      <c r="F263" s="1"/>
      <c r="P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142"/>
    </row>
    <row r="264" ht="17.25" customHeight="1">
      <c r="A264" s="1"/>
      <c r="B264" s="1"/>
      <c r="C264" s="1"/>
      <c r="D264" s="1"/>
      <c r="E264" s="1"/>
      <c r="F264" s="1"/>
      <c r="P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142"/>
    </row>
    <row r="265" ht="17.25" customHeight="1">
      <c r="A265" s="1"/>
      <c r="B265" s="1"/>
      <c r="C265" s="1"/>
      <c r="D265" s="1"/>
      <c r="E265" s="1"/>
      <c r="F265" s="1"/>
      <c r="P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142"/>
    </row>
    <row r="266" ht="17.25" customHeight="1">
      <c r="A266" s="1"/>
      <c r="B266" s="1"/>
      <c r="C266" s="1"/>
      <c r="D266" s="1"/>
      <c r="E266" s="1"/>
      <c r="F266" s="1"/>
      <c r="P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142"/>
    </row>
    <row r="267" ht="17.25" customHeight="1">
      <c r="A267" s="1"/>
      <c r="B267" s="1"/>
      <c r="C267" s="1"/>
      <c r="D267" s="1"/>
      <c r="E267" s="1"/>
      <c r="F267" s="1"/>
      <c r="P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142"/>
    </row>
    <row r="268" ht="17.25" customHeight="1">
      <c r="A268" s="1"/>
      <c r="B268" s="1"/>
      <c r="C268" s="1"/>
      <c r="D268" s="1"/>
      <c r="E268" s="1"/>
      <c r="F268" s="1"/>
      <c r="P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142"/>
    </row>
    <row r="269" ht="17.25" customHeight="1">
      <c r="A269" s="1"/>
      <c r="B269" s="1"/>
      <c r="C269" s="1"/>
      <c r="D269" s="1"/>
      <c r="E269" s="1"/>
      <c r="F269" s="1"/>
      <c r="P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142"/>
    </row>
    <row r="270" ht="17.25" customHeight="1">
      <c r="A270" s="1"/>
      <c r="B270" s="1"/>
      <c r="C270" s="1"/>
      <c r="D270" s="1"/>
      <c r="E270" s="1"/>
      <c r="F270" s="1"/>
      <c r="P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142"/>
    </row>
    <row r="271" ht="17.25" customHeight="1">
      <c r="A271" s="1"/>
      <c r="B271" s="1"/>
      <c r="C271" s="1"/>
      <c r="D271" s="1"/>
      <c r="E271" s="1"/>
      <c r="F271" s="1"/>
      <c r="P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142"/>
    </row>
    <row r="272" ht="17.25" customHeight="1">
      <c r="A272" s="1"/>
      <c r="B272" s="1"/>
      <c r="C272" s="1"/>
      <c r="D272" s="1"/>
      <c r="E272" s="1"/>
      <c r="F272" s="1"/>
      <c r="P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142"/>
    </row>
    <row r="273" ht="17.25" customHeight="1">
      <c r="A273" s="1"/>
      <c r="B273" s="1"/>
      <c r="C273" s="1"/>
      <c r="D273" s="1"/>
      <c r="E273" s="1"/>
      <c r="F273" s="1"/>
      <c r="P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142"/>
    </row>
    <row r="274" ht="17.25" customHeight="1">
      <c r="A274" s="1"/>
      <c r="B274" s="1"/>
      <c r="C274" s="1"/>
      <c r="D274" s="1"/>
      <c r="E274" s="1"/>
      <c r="F274" s="1"/>
      <c r="P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142"/>
    </row>
    <row r="275" ht="17.25" customHeight="1">
      <c r="A275" s="1"/>
      <c r="B275" s="1"/>
      <c r="C275" s="1"/>
      <c r="D275" s="1"/>
      <c r="E275" s="1"/>
      <c r="F275" s="1"/>
      <c r="P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142"/>
    </row>
    <row r="276" ht="17.25" customHeight="1">
      <c r="A276" s="1"/>
      <c r="B276" s="1"/>
      <c r="C276" s="1"/>
      <c r="D276" s="1"/>
      <c r="E276" s="1"/>
      <c r="F276" s="1"/>
      <c r="P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142"/>
    </row>
    <row r="277" ht="17.25" customHeight="1">
      <c r="A277" s="1"/>
      <c r="B277" s="1"/>
      <c r="C277" s="1"/>
      <c r="D277" s="1"/>
      <c r="E277" s="1"/>
      <c r="F277" s="1"/>
      <c r="P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142"/>
    </row>
    <row r="278" ht="17.25" customHeight="1">
      <c r="A278" s="1"/>
      <c r="B278" s="1"/>
      <c r="C278" s="1"/>
      <c r="D278" s="1"/>
      <c r="E278" s="1"/>
      <c r="F278" s="1"/>
      <c r="P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142"/>
    </row>
    <row r="279" ht="17.25" customHeight="1">
      <c r="A279" s="1"/>
      <c r="B279" s="1"/>
      <c r="C279" s="1"/>
      <c r="D279" s="1"/>
      <c r="E279" s="1"/>
      <c r="F279" s="1"/>
      <c r="P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142"/>
    </row>
    <row r="280" ht="17.25" customHeight="1">
      <c r="A280" s="1"/>
      <c r="B280" s="1"/>
      <c r="C280" s="1"/>
      <c r="D280" s="1"/>
      <c r="E280" s="1"/>
      <c r="F280" s="1"/>
      <c r="P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142"/>
    </row>
    <row r="281" ht="17.25" customHeight="1">
      <c r="A281" s="1"/>
      <c r="B281" s="1"/>
      <c r="C281" s="1"/>
      <c r="D281" s="1"/>
      <c r="E281" s="1"/>
      <c r="F281" s="1"/>
      <c r="P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142"/>
    </row>
    <row r="282" ht="17.25" customHeight="1">
      <c r="A282" s="1"/>
      <c r="B282" s="1"/>
      <c r="C282" s="1"/>
      <c r="D282" s="1"/>
      <c r="E282" s="1"/>
      <c r="F282" s="1"/>
      <c r="P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142"/>
    </row>
    <row r="283" ht="17.25" customHeight="1">
      <c r="A283" s="1"/>
      <c r="B283" s="1"/>
      <c r="C283" s="1"/>
      <c r="D283" s="1"/>
      <c r="E283" s="1"/>
      <c r="F283" s="1"/>
      <c r="P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142"/>
    </row>
    <row r="284" ht="17.25" customHeight="1">
      <c r="A284" s="1"/>
      <c r="B284" s="1"/>
      <c r="C284" s="1"/>
      <c r="D284" s="1"/>
      <c r="E284" s="1"/>
      <c r="F284" s="1"/>
      <c r="P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142"/>
    </row>
    <row r="285" ht="17.25" customHeight="1">
      <c r="A285" s="1"/>
      <c r="B285" s="1"/>
      <c r="C285" s="1"/>
      <c r="D285" s="1"/>
      <c r="E285" s="1"/>
      <c r="F285" s="1"/>
      <c r="P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142"/>
    </row>
    <row r="286" ht="17.25" customHeight="1">
      <c r="A286" s="1"/>
      <c r="B286" s="1"/>
      <c r="C286" s="1"/>
      <c r="D286" s="1"/>
      <c r="E286" s="1"/>
      <c r="F286" s="1"/>
      <c r="P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142"/>
    </row>
    <row r="287" ht="17.25" customHeight="1">
      <c r="A287" s="1"/>
      <c r="B287" s="1"/>
      <c r="C287" s="1"/>
      <c r="D287" s="1"/>
      <c r="E287" s="1"/>
      <c r="F287" s="1"/>
      <c r="P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142"/>
    </row>
    <row r="288" ht="17.25" customHeight="1">
      <c r="A288" s="1"/>
      <c r="B288" s="1"/>
      <c r="C288" s="1"/>
      <c r="D288" s="1"/>
      <c r="E288" s="1"/>
      <c r="F288" s="1"/>
      <c r="P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142"/>
    </row>
    <row r="289" ht="17.25" customHeight="1">
      <c r="A289" s="1"/>
      <c r="B289" s="1"/>
      <c r="C289" s="1"/>
      <c r="D289" s="1"/>
      <c r="E289" s="1"/>
      <c r="F289" s="1"/>
      <c r="P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142"/>
    </row>
    <row r="290" ht="17.25" customHeight="1">
      <c r="A290" s="1"/>
      <c r="B290" s="1"/>
      <c r="C290" s="1"/>
      <c r="D290" s="1"/>
      <c r="E290" s="1"/>
      <c r="F290" s="1"/>
      <c r="P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142"/>
    </row>
    <row r="291" ht="17.25" customHeight="1">
      <c r="A291" s="1"/>
      <c r="B291" s="1"/>
      <c r="C291" s="1"/>
      <c r="D291" s="1"/>
      <c r="E291" s="1"/>
      <c r="F291" s="1"/>
      <c r="P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142"/>
    </row>
    <row r="292" ht="17.25" customHeight="1">
      <c r="A292" s="1"/>
      <c r="B292" s="1"/>
      <c r="C292" s="1"/>
      <c r="D292" s="1"/>
      <c r="E292" s="1"/>
      <c r="F292" s="1"/>
      <c r="P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142"/>
    </row>
    <row r="293" ht="17.25" customHeight="1">
      <c r="A293" s="1"/>
      <c r="B293" s="1"/>
      <c r="C293" s="1"/>
      <c r="D293" s="1"/>
      <c r="E293" s="1"/>
      <c r="F293" s="1"/>
      <c r="P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142"/>
    </row>
    <row r="294" ht="17.25" customHeight="1">
      <c r="A294" s="1"/>
      <c r="B294" s="1"/>
      <c r="C294" s="1"/>
      <c r="D294" s="1"/>
      <c r="E294" s="1"/>
      <c r="F294" s="1"/>
      <c r="P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142"/>
    </row>
    <row r="295" ht="17.25" customHeight="1">
      <c r="A295" s="1"/>
      <c r="B295" s="1"/>
      <c r="C295" s="1"/>
      <c r="D295" s="1"/>
      <c r="E295" s="1"/>
      <c r="F295" s="1"/>
      <c r="P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142"/>
    </row>
    <row r="296" ht="17.25" customHeight="1">
      <c r="A296" s="1"/>
      <c r="B296" s="1"/>
      <c r="C296" s="1"/>
      <c r="D296" s="1"/>
      <c r="E296" s="1"/>
      <c r="F296" s="1"/>
      <c r="P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142"/>
    </row>
    <row r="297" ht="17.25" customHeight="1">
      <c r="A297" s="1"/>
      <c r="B297" s="1"/>
      <c r="C297" s="1"/>
      <c r="D297" s="1"/>
      <c r="E297" s="1"/>
      <c r="F297" s="1"/>
      <c r="P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142"/>
    </row>
    <row r="298" ht="17.25" customHeight="1">
      <c r="A298" s="1"/>
      <c r="B298" s="1"/>
      <c r="C298" s="1"/>
      <c r="D298" s="1"/>
      <c r="E298" s="1"/>
      <c r="F298" s="1"/>
      <c r="P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142"/>
    </row>
    <row r="299" ht="17.25" customHeight="1">
      <c r="A299" s="1"/>
      <c r="B299" s="1"/>
      <c r="C299" s="1"/>
      <c r="D299" s="1"/>
      <c r="E299" s="1"/>
      <c r="F299" s="1"/>
      <c r="P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142"/>
    </row>
    <row r="300" ht="17.25" customHeight="1">
      <c r="A300" s="1"/>
      <c r="B300" s="1"/>
      <c r="C300" s="1"/>
      <c r="D300" s="1"/>
      <c r="E300" s="1"/>
      <c r="F300" s="1"/>
      <c r="P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142"/>
    </row>
    <row r="301" ht="17.25" customHeight="1">
      <c r="A301" s="1"/>
      <c r="B301" s="1"/>
      <c r="C301" s="1"/>
      <c r="D301" s="1"/>
      <c r="E301" s="1"/>
      <c r="F301" s="1"/>
      <c r="P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142"/>
    </row>
    <row r="302" ht="17.25" customHeight="1">
      <c r="A302" s="1"/>
      <c r="B302" s="1"/>
      <c r="C302" s="1"/>
      <c r="D302" s="1"/>
      <c r="E302" s="1"/>
      <c r="F302" s="1"/>
      <c r="P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142"/>
    </row>
    <row r="303" ht="17.25" customHeight="1">
      <c r="A303" s="1"/>
      <c r="B303" s="1"/>
      <c r="C303" s="1"/>
      <c r="D303" s="1"/>
      <c r="E303" s="1"/>
      <c r="F303" s="1"/>
      <c r="P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142"/>
    </row>
    <row r="304" ht="17.25" customHeight="1">
      <c r="A304" s="1"/>
      <c r="B304" s="1"/>
      <c r="C304" s="1"/>
      <c r="D304" s="1"/>
      <c r="E304" s="1"/>
      <c r="F304" s="1"/>
      <c r="P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142"/>
    </row>
    <row r="305" ht="17.25" customHeight="1">
      <c r="A305" s="1"/>
      <c r="B305" s="1"/>
      <c r="C305" s="1"/>
      <c r="D305" s="1"/>
      <c r="E305" s="1"/>
      <c r="F305" s="1"/>
      <c r="P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142"/>
    </row>
    <row r="306" ht="17.25" customHeight="1">
      <c r="A306" s="1"/>
      <c r="B306" s="1"/>
      <c r="C306" s="1"/>
      <c r="D306" s="1"/>
      <c r="E306" s="1"/>
      <c r="F306" s="1"/>
      <c r="P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142"/>
    </row>
    <row r="307" ht="17.25" customHeight="1">
      <c r="A307" s="1"/>
      <c r="B307" s="1"/>
      <c r="C307" s="1"/>
      <c r="D307" s="1"/>
      <c r="E307" s="1"/>
      <c r="F307" s="1"/>
      <c r="P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142"/>
    </row>
    <row r="308" ht="17.25" customHeight="1">
      <c r="A308" s="1"/>
      <c r="B308" s="1"/>
      <c r="C308" s="1"/>
      <c r="D308" s="1"/>
      <c r="E308" s="1"/>
      <c r="F308" s="1"/>
      <c r="P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142"/>
    </row>
    <row r="309" ht="17.25" customHeight="1">
      <c r="A309" s="1"/>
      <c r="B309" s="1"/>
      <c r="C309" s="1"/>
      <c r="D309" s="1"/>
      <c r="E309" s="1"/>
      <c r="F309" s="1"/>
      <c r="P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142"/>
    </row>
    <row r="310" ht="17.25" customHeight="1">
      <c r="A310" s="1"/>
      <c r="B310" s="1"/>
      <c r="C310" s="1"/>
      <c r="D310" s="1"/>
      <c r="E310" s="1"/>
      <c r="F310" s="1"/>
      <c r="P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142"/>
    </row>
    <row r="311" ht="17.25" customHeight="1">
      <c r="A311" s="1"/>
      <c r="B311" s="1"/>
      <c r="C311" s="1"/>
      <c r="D311" s="1"/>
      <c r="E311" s="1"/>
      <c r="F311" s="1"/>
      <c r="P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142"/>
    </row>
    <row r="312" ht="17.25" customHeight="1">
      <c r="A312" s="1"/>
      <c r="B312" s="1"/>
      <c r="C312" s="1"/>
      <c r="D312" s="1"/>
      <c r="E312" s="1"/>
      <c r="F312" s="1"/>
      <c r="P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142"/>
    </row>
    <row r="313" ht="17.25" customHeight="1">
      <c r="A313" s="1"/>
      <c r="B313" s="1"/>
      <c r="C313" s="1"/>
      <c r="D313" s="1"/>
      <c r="E313" s="1"/>
      <c r="F313" s="1"/>
      <c r="P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142"/>
    </row>
    <row r="314" ht="17.25" customHeight="1">
      <c r="A314" s="1"/>
      <c r="B314" s="1"/>
      <c r="C314" s="1"/>
      <c r="D314" s="1"/>
      <c r="E314" s="1"/>
      <c r="F314" s="1"/>
      <c r="P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142"/>
    </row>
    <row r="315" ht="17.25" customHeight="1">
      <c r="A315" s="1"/>
      <c r="B315" s="1"/>
      <c r="C315" s="1"/>
      <c r="D315" s="1"/>
      <c r="E315" s="1"/>
      <c r="F315" s="1"/>
      <c r="P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142"/>
    </row>
    <row r="316" ht="17.25" customHeight="1">
      <c r="A316" s="1"/>
      <c r="B316" s="1"/>
      <c r="C316" s="1"/>
      <c r="D316" s="1"/>
      <c r="E316" s="1"/>
      <c r="F316" s="1"/>
      <c r="P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142"/>
    </row>
    <row r="317" ht="17.25" customHeight="1">
      <c r="A317" s="1"/>
      <c r="B317" s="1"/>
      <c r="C317" s="1"/>
      <c r="D317" s="1"/>
      <c r="E317" s="1"/>
      <c r="F317" s="1"/>
      <c r="P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142"/>
    </row>
    <row r="318" ht="17.25" customHeight="1">
      <c r="A318" s="1"/>
      <c r="B318" s="1"/>
      <c r="C318" s="1"/>
      <c r="D318" s="1"/>
      <c r="E318" s="1"/>
      <c r="F318" s="1"/>
      <c r="P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142"/>
    </row>
    <row r="319" ht="17.25" customHeight="1">
      <c r="A319" s="1"/>
      <c r="B319" s="1"/>
      <c r="C319" s="1"/>
      <c r="D319" s="1"/>
      <c r="E319" s="1"/>
      <c r="F319" s="1"/>
      <c r="P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142"/>
    </row>
    <row r="320" ht="17.25" customHeight="1">
      <c r="A320" s="1"/>
      <c r="B320" s="1"/>
      <c r="C320" s="1"/>
      <c r="D320" s="1"/>
      <c r="E320" s="1"/>
      <c r="F320" s="1"/>
      <c r="P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142"/>
    </row>
    <row r="321" ht="17.25" customHeight="1">
      <c r="A321" s="1"/>
      <c r="B321" s="1"/>
      <c r="C321" s="1"/>
      <c r="D321" s="1"/>
      <c r="E321" s="1"/>
      <c r="F321" s="1"/>
      <c r="P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142"/>
    </row>
    <row r="322" ht="17.25" customHeight="1">
      <c r="A322" s="1"/>
      <c r="B322" s="1"/>
      <c r="C322" s="1"/>
      <c r="D322" s="1"/>
      <c r="E322" s="1"/>
      <c r="F322" s="1"/>
      <c r="P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142"/>
    </row>
    <row r="323" ht="17.25" customHeight="1">
      <c r="A323" s="1"/>
      <c r="B323" s="1"/>
      <c r="C323" s="1"/>
      <c r="D323" s="1"/>
      <c r="E323" s="1"/>
      <c r="F323" s="1"/>
      <c r="P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142"/>
    </row>
    <row r="324" ht="17.25" customHeight="1">
      <c r="A324" s="1"/>
      <c r="B324" s="1"/>
      <c r="C324" s="1"/>
      <c r="D324" s="1"/>
      <c r="E324" s="1"/>
      <c r="F324" s="1"/>
      <c r="P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142"/>
    </row>
    <row r="325" ht="17.25" customHeight="1">
      <c r="A325" s="1"/>
      <c r="B325" s="1"/>
      <c r="C325" s="1"/>
      <c r="D325" s="1"/>
      <c r="E325" s="1"/>
      <c r="F325" s="1"/>
      <c r="P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142"/>
    </row>
    <row r="326" ht="17.25" customHeight="1">
      <c r="A326" s="1"/>
      <c r="B326" s="1"/>
      <c r="C326" s="1"/>
      <c r="D326" s="1"/>
      <c r="E326" s="1"/>
      <c r="F326" s="1"/>
      <c r="P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142"/>
    </row>
    <row r="327" ht="17.25" customHeight="1">
      <c r="A327" s="1"/>
      <c r="B327" s="1"/>
      <c r="C327" s="1"/>
      <c r="D327" s="1"/>
      <c r="E327" s="1"/>
      <c r="F327" s="1"/>
      <c r="P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142"/>
    </row>
    <row r="328" ht="17.25" customHeight="1">
      <c r="A328" s="1"/>
      <c r="B328" s="1"/>
      <c r="C328" s="1"/>
      <c r="D328" s="1"/>
      <c r="E328" s="1"/>
      <c r="F328" s="1"/>
      <c r="P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142"/>
    </row>
    <row r="329" ht="17.25" customHeight="1">
      <c r="A329" s="1"/>
      <c r="B329" s="1"/>
      <c r="C329" s="1"/>
      <c r="D329" s="1"/>
      <c r="E329" s="1"/>
      <c r="F329" s="1"/>
      <c r="P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142"/>
    </row>
    <row r="330" ht="17.25" customHeight="1">
      <c r="A330" s="1"/>
      <c r="B330" s="1"/>
      <c r="C330" s="1"/>
      <c r="D330" s="1"/>
      <c r="E330" s="1"/>
      <c r="F330" s="1"/>
      <c r="P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142"/>
    </row>
    <row r="331" ht="17.25" customHeight="1">
      <c r="A331" s="1"/>
      <c r="B331" s="1"/>
      <c r="C331" s="1"/>
      <c r="D331" s="1"/>
      <c r="E331" s="1"/>
      <c r="F331" s="1"/>
      <c r="P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142"/>
    </row>
    <row r="332" ht="17.25" customHeight="1">
      <c r="A332" s="1"/>
      <c r="B332" s="1"/>
      <c r="C332" s="1"/>
      <c r="D332" s="1"/>
      <c r="E332" s="1"/>
      <c r="F332" s="1"/>
      <c r="P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142"/>
    </row>
    <row r="333" ht="17.25" customHeight="1">
      <c r="A333" s="1"/>
      <c r="B333" s="1"/>
      <c r="C333" s="1"/>
      <c r="D333" s="1"/>
      <c r="E333" s="1"/>
      <c r="F333" s="1"/>
      <c r="P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142"/>
    </row>
    <row r="334" ht="17.25" customHeight="1">
      <c r="A334" s="1"/>
      <c r="B334" s="1"/>
      <c r="C334" s="1"/>
      <c r="D334" s="1"/>
      <c r="E334" s="1"/>
      <c r="F334" s="1"/>
      <c r="P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142"/>
    </row>
    <row r="335" ht="17.25" customHeight="1">
      <c r="A335" s="1"/>
      <c r="B335" s="1"/>
      <c r="C335" s="1"/>
      <c r="D335" s="1"/>
      <c r="E335" s="1"/>
      <c r="F335" s="1"/>
      <c r="P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142"/>
    </row>
    <row r="336" ht="17.25" customHeight="1">
      <c r="A336" s="1"/>
      <c r="B336" s="1"/>
      <c r="C336" s="1"/>
      <c r="D336" s="1"/>
      <c r="E336" s="1"/>
      <c r="F336" s="1"/>
      <c r="P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142"/>
    </row>
    <row r="337" ht="17.25" customHeight="1">
      <c r="A337" s="1"/>
      <c r="B337" s="1"/>
      <c r="C337" s="1"/>
      <c r="D337" s="1"/>
      <c r="E337" s="1"/>
      <c r="F337" s="1"/>
      <c r="P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142"/>
    </row>
    <row r="338" ht="17.25" customHeight="1">
      <c r="A338" s="1"/>
      <c r="B338" s="1"/>
      <c r="C338" s="1"/>
      <c r="D338" s="1"/>
      <c r="E338" s="1"/>
      <c r="F338" s="1"/>
      <c r="P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142"/>
    </row>
    <row r="339" ht="17.25" customHeight="1">
      <c r="A339" s="1"/>
      <c r="B339" s="1"/>
      <c r="C339" s="1"/>
      <c r="D339" s="1"/>
      <c r="E339" s="1"/>
      <c r="F339" s="1"/>
      <c r="P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142"/>
    </row>
    <row r="340" ht="17.25" customHeight="1">
      <c r="A340" s="1"/>
      <c r="B340" s="1"/>
      <c r="C340" s="1"/>
      <c r="D340" s="1"/>
      <c r="E340" s="1"/>
      <c r="F340" s="1"/>
      <c r="P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142"/>
    </row>
    <row r="341" ht="17.25" customHeight="1">
      <c r="A341" s="1"/>
      <c r="B341" s="1"/>
      <c r="C341" s="1"/>
      <c r="D341" s="1"/>
      <c r="E341" s="1"/>
      <c r="F341" s="1"/>
      <c r="P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142"/>
    </row>
    <row r="342" ht="17.25" customHeight="1">
      <c r="A342" s="1"/>
      <c r="B342" s="1"/>
      <c r="C342" s="1"/>
      <c r="D342" s="1"/>
      <c r="E342" s="1"/>
      <c r="F342" s="1"/>
      <c r="P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142"/>
    </row>
    <row r="343" ht="17.25" customHeight="1">
      <c r="A343" s="1"/>
      <c r="B343" s="1"/>
      <c r="C343" s="1"/>
      <c r="D343" s="1"/>
      <c r="E343" s="1"/>
      <c r="F343" s="1"/>
      <c r="P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142"/>
    </row>
    <row r="344" ht="17.25" customHeight="1">
      <c r="A344" s="1"/>
      <c r="B344" s="1"/>
      <c r="C344" s="1"/>
      <c r="D344" s="1"/>
      <c r="E344" s="1"/>
      <c r="F344" s="1"/>
      <c r="P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142"/>
    </row>
    <row r="345" ht="17.25" customHeight="1">
      <c r="A345" s="1"/>
      <c r="B345" s="1"/>
      <c r="C345" s="1"/>
      <c r="D345" s="1"/>
      <c r="E345" s="1"/>
      <c r="F345" s="1"/>
      <c r="P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142"/>
    </row>
    <row r="346" ht="17.25" customHeight="1">
      <c r="A346" s="1"/>
      <c r="B346" s="1"/>
      <c r="C346" s="1"/>
      <c r="D346" s="1"/>
      <c r="E346" s="1"/>
      <c r="F346" s="1"/>
      <c r="P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142"/>
    </row>
    <row r="347" ht="17.25" customHeight="1">
      <c r="A347" s="1"/>
      <c r="B347" s="1"/>
      <c r="C347" s="1"/>
      <c r="D347" s="1"/>
      <c r="E347" s="1"/>
      <c r="F347" s="1"/>
      <c r="P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142"/>
    </row>
    <row r="348" ht="17.25" customHeight="1">
      <c r="A348" s="1"/>
      <c r="B348" s="1"/>
      <c r="C348" s="1"/>
      <c r="D348" s="1"/>
      <c r="E348" s="1"/>
      <c r="F348" s="1"/>
      <c r="P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142"/>
    </row>
    <row r="349" ht="17.25" customHeight="1">
      <c r="A349" s="1"/>
      <c r="B349" s="1"/>
      <c r="C349" s="1"/>
      <c r="D349" s="1"/>
      <c r="E349" s="1"/>
      <c r="F349" s="1"/>
      <c r="P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142"/>
    </row>
    <row r="350" ht="17.25" customHeight="1">
      <c r="A350" s="1"/>
      <c r="B350" s="1"/>
      <c r="C350" s="1"/>
      <c r="D350" s="1"/>
      <c r="E350" s="1"/>
      <c r="F350" s="1"/>
      <c r="P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142"/>
    </row>
    <row r="351" ht="17.25" customHeight="1">
      <c r="A351" s="1"/>
      <c r="B351" s="1"/>
      <c r="C351" s="1"/>
      <c r="D351" s="1"/>
      <c r="E351" s="1"/>
      <c r="F351" s="1"/>
      <c r="P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142"/>
    </row>
    <row r="352" ht="17.25" customHeight="1">
      <c r="A352" s="1"/>
      <c r="B352" s="1"/>
      <c r="C352" s="1"/>
      <c r="D352" s="1"/>
      <c r="E352" s="1"/>
      <c r="F352" s="1"/>
      <c r="P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142"/>
    </row>
    <row r="353" ht="17.25" customHeight="1">
      <c r="A353" s="1"/>
      <c r="B353" s="1"/>
      <c r="C353" s="1"/>
      <c r="D353" s="1"/>
      <c r="E353" s="1"/>
      <c r="F353" s="1"/>
      <c r="P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142"/>
    </row>
    <row r="354" ht="17.25" customHeight="1">
      <c r="A354" s="1"/>
      <c r="B354" s="1"/>
      <c r="C354" s="1"/>
      <c r="D354" s="1"/>
      <c r="E354" s="1"/>
      <c r="F354" s="1"/>
      <c r="P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142"/>
    </row>
    <row r="355" ht="17.25" customHeight="1">
      <c r="A355" s="1"/>
      <c r="B355" s="1"/>
      <c r="C355" s="1"/>
      <c r="D355" s="1"/>
      <c r="E355" s="1"/>
      <c r="F355" s="1"/>
      <c r="P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142"/>
    </row>
    <row r="356" ht="17.25" customHeight="1">
      <c r="A356" s="1"/>
      <c r="B356" s="1"/>
      <c r="C356" s="1"/>
      <c r="D356" s="1"/>
      <c r="E356" s="1"/>
      <c r="F356" s="1"/>
      <c r="P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142"/>
    </row>
    <row r="357" ht="17.25" customHeight="1">
      <c r="A357" s="1"/>
      <c r="B357" s="1"/>
      <c r="C357" s="1"/>
      <c r="D357" s="1"/>
      <c r="E357" s="1"/>
      <c r="F357" s="1"/>
      <c r="P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142"/>
    </row>
    <row r="358" ht="17.25" customHeight="1">
      <c r="A358" s="1"/>
      <c r="B358" s="1"/>
      <c r="C358" s="1"/>
      <c r="D358" s="1"/>
      <c r="E358" s="1"/>
      <c r="F358" s="1"/>
      <c r="P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142"/>
    </row>
    <row r="359" ht="17.25" customHeight="1">
      <c r="A359" s="1"/>
      <c r="B359" s="1"/>
      <c r="C359" s="1"/>
      <c r="D359" s="1"/>
      <c r="E359" s="1"/>
      <c r="F359" s="1"/>
      <c r="P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142"/>
    </row>
    <row r="360" ht="17.25" customHeight="1">
      <c r="A360" s="1"/>
      <c r="B360" s="1"/>
      <c r="C360" s="1"/>
      <c r="D360" s="1"/>
      <c r="E360" s="1"/>
      <c r="F360" s="1"/>
      <c r="P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142"/>
    </row>
    <row r="361" ht="17.25" customHeight="1">
      <c r="A361" s="1"/>
      <c r="B361" s="1"/>
      <c r="C361" s="1"/>
      <c r="D361" s="1"/>
      <c r="E361" s="1"/>
      <c r="F361" s="1"/>
      <c r="P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142"/>
    </row>
    <row r="362" ht="17.25" customHeight="1">
      <c r="A362" s="1"/>
      <c r="B362" s="1"/>
      <c r="C362" s="1"/>
      <c r="D362" s="1"/>
      <c r="E362" s="1"/>
      <c r="F362" s="1"/>
      <c r="P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142"/>
    </row>
    <row r="363" ht="17.25" customHeight="1">
      <c r="A363" s="1"/>
      <c r="B363" s="1"/>
      <c r="C363" s="1"/>
      <c r="D363" s="1"/>
      <c r="E363" s="1"/>
      <c r="F363" s="1"/>
      <c r="P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142"/>
    </row>
    <row r="364" ht="17.25" customHeight="1">
      <c r="A364" s="1"/>
      <c r="B364" s="1"/>
      <c r="C364" s="1"/>
      <c r="D364" s="1"/>
      <c r="E364" s="1"/>
      <c r="F364" s="1"/>
      <c r="P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142"/>
    </row>
    <row r="365" ht="17.25" customHeight="1">
      <c r="A365" s="1"/>
      <c r="B365" s="1"/>
      <c r="C365" s="1"/>
      <c r="D365" s="1"/>
      <c r="E365" s="1"/>
      <c r="F365" s="1"/>
      <c r="P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142"/>
    </row>
    <row r="366" ht="17.25" customHeight="1">
      <c r="A366" s="1"/>
      <c r="B366" s="1"/>
      <c r="C366" s="1"/>
      <c r="D366" s="1"/>
      <c r="E366" s="1"/>
      <c r="F366" s="1"/>
      <c r="P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142"/>
    </row>
    <row r="367" ht="17.25" customHeight="1">
      <c r="A367" s="1"/>
      <c r="B367" s="1"/>
      <c r="C367" s="1"/>
      <c r="D367" s="1"/>
      <c r="E367" s="1"/>
      <c r="F367" s="1"/>
      <c r="P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142"/>
    </row>
    <row r="368" ht="17.25" customHeight="1">
      <c r="A368" s="1"/>
      <c r="B368" s="1"/>
      <c r="C368" s="1"/>
      <c r="D368" s="1"/>
      <c r="E368" s="1"/>
      <c r="F368" s="1"/>
      <c r="P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142"/>
    </row>
    <row r="369" ht="17.25" customHeight="1">
      <c r="A369" s="1"/>
      <c r="B369" s="1"/>
      <c r="C369" s="1"/>
      <c r="D369" s="1"/>
      <c r="E369" s="1"/>
      <c r="F369" s="1"/>
      <c r="P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142"/>
    </row>
    <row r="370" ht="17.25" customHeight="1">
      <c r="A370" s="1"/>
      <c r="B370" s="1"/>
      <c r="C370" s="1"/>
      <c r="D370" s="1"/>
      <c r="E370" s="1"/>
      <c r="F370" s="1"/>
      <c r="P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142"/>
    </row>
    <row r="371" ht="17.25" customHeight="1">
      <c r="A371" s="1"/>
      <c r="B371" s="1"/>
      <c r="C371" s="1"/>
      <c r="D371" s="1"/>
      <c r="E371" s="1"/>
      <c r="F371" s="1"/>
      <c r="P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142"/>
    </row>
    <row r="372" ht="17.25" customHeight="1">
      <c r="A372" s="1"/>
      <c r="B372" s="1"/>
      <c r="C372" s="1"/>
      <c r="D372" s="1"/>
      <c r="E372" s="1"/>
      <c r="F372" s="1"/>
      <c r="P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142"/>
    </row>
    <row r="373" ht="17.25" customHeight="1">
      <c r="A373" s="1"/>
      <c r="B373" s="1"/>
      <c r="C373" s="1"/>
      <c r="D373" s="1"/>
      <c r="E373" s="1"/>
      <c r="F373" s="1"/>
      <c r="P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142"/>
    </row>
    <row r="374" ht="17.25" customHeight="1">
      <c r="A374" s="1"/>
      <c r="B374" s="1"/>
      <c r="C374" s="1"/>
      <c r="D374" s="1"/>
      <c r="E374" s="1"/>
      <c r="F374" s="1"/>
      <c r="P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142"/>
    </row>
    <row r="375" ht="17.25" customHeight="1">
      <c r="A375" s="1"/>
      <c r="B375" s="1"/>
      <c r="C375" s="1"/>
      <c r="D375" s="1"/>
      <c r="E375" s="1"/>
      <c r="F375" s="1"/>
      <c r="P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142"/>
    </row>
    <row r="376" ht="17.25" customHeight="1">
      <c r="A376" s="1"/>
      <c r="B376" s="1"/>
      <c r="C376" s="1"/>
      <c r="D376" s="1"/>
      <c r="E376" s="1"/>
      <c r="F376" s="1"/>
      <c r="P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142"/>
    </row>
    <row r="377" ht="17.25" customHeight="1">
      <c r="A377" s="1"/>
      <c r="B377" s="1"/>
      <c r="C377" s="1"/>
      <c r="D377" s="1"/>
      <c r="E377" s="1"/>
      <c r="F377" s="1"/>
      <c r="P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142"/>
    </row>
    <row r="378" ht="17.25" customHeight="1">
      <c r="A378" s="1"/>
      <c r="B378" s="1"/>
      <c r="C378" s="1"/>
      <c r="D378" s="1"/>
      <c r="E378" s="1"/>
      <c r="F378" s="1"/>
      <c r="P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142"/>
    </row>
    <row r="379" ht="17.25" customHeight="1">
      <c r="A379" s="1"/>
      <c r="B379" s="1"/>
      <c r="C379" s="1"/>
      <c r="D379" s="1"/>
      <c r="E379" s="1"/>
      <c r="F379" s="1"/>
      <c r="P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142"/>
    </row>
    <row r="380" ht="17.25" customHeight="1">
      <c r="A380" s="1"/>
      <c r="B380" s="1"/>
      <c r="C380" s="1"/>
      <c r="D380" s="1"/>
      <c r="E380" s="1"/>
      <c r="F380" s="1"/>
      <c r="P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142"/>
    </row>
    <row r="381" ht="17.25" customHeight="1">
      <c r="A381" s="1"/>
      <c r="B381" s="1"/>
      <c r="C381" s="1"/>
      <c r="D381" s="1"/>
      <c r="E381" s="1"/>
      <c r="F381" s="1"/>
      <c r="P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142"/>
    </row>
    <row r="382" ht="17.25" customHeight="1">
      <c r="A382" s="1"/>
      <c r="B382" s="1"/>
      <c r="C382" s="1"/>
      <c r="D382" s="1"/>
      <c r="E382" s="1"/>
      <c r="F382" s="1"/>
      <c r="P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142"/>
    </row>
    <row r="383" ht="17.25" customHeight="1">
      <c r="A383" s="1"/>
      <c r="B383" s="1"/>
      <c r="C383" s="1"/>
      <c r="D383" s="1"/>
      <c r="E383" s="1"/>
      <c r="F383" s="1"/>
      <c r="P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142"/>
    </row>
    <row r="384" ht="17.25" customHeight="1">
      <c r="A384" s="1"/>
      <c r="B384" s="1"/>
      <c r="C384" s="1"/>
      <c r="D384" s="1"/>
      <c r="E384" s="1"/>
      <c r="F384" s="1"/>
      <c r="P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142"/>
    </row>
    <row r="385" ht="17.25" customHeight="1">
      <c r="A385" s="1"/>
      <c r="B385" s="1"/>
      <c r="C385" s="1"/>
      <c r="D385" s="1"/>
      <c r="E385" s="1"/>
      <c r="F385" s="1"/>
      <c r="P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142"/>
    </row>
    <row r="386" ht="17.25" customHeight="1">
      <c r="A386" s="1"/>
      <c r="B386" s="1"/>
      <c r="C386" s="1"/>
      <c r="D386" s="1"/>
      <c r="E386" s="1"/>
      <c r="F386" s="1"/>
      <c r="P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142"/>
    </row>
    <row r="387" ht="17.25" customHeight="1">
      <c r="A387" s="1"/>
      <c r="B387" s="1"/>
      <c r="C387" s="1"/>
      <c r="D387" s="1"/>
      <c r="E387" s="1"/>
      <c r="F387" s="1"/>
      <c r="P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142"/>
    </row>
    <row r="388" ht="17.25" customHeight="1">
      <c r="A388" s="1"/>
      <c r="B388" s="1"/>
      <c r="C388" s="1"/>
      <c r="D388" s="1"/>
      <c r="E388" s="1"/>
      <c r="F388" s="1"/>
      <c r="P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142"/>
    </row>
    <row r="389" ht="17.25" customHeight="1">
      <c r="A389" s="1"/>
      <c r="B389" s="1"/>
      <c r="C389" s="1"/>
      <c r="D389" s="1"/>
      <c r="E389" s="1"/>
      <c r="F389" s="1"/>
      <c r="P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142"/>
    </row>
    <row r="390" ht="17.25" customHeight="1">
      <c r="A390" s="1"/>
      <c r="B390" s="1"/>
      <c r="C390" s="1"/>
      <c r="D390" s="1"/>
      <c r="E390" s="1"/>
      <c r="F390" s="1"/>
      <c r="P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142"/>
    </row>
    <row r="391" ht="17.25" customHeight="1">
      <c r="A391" s="1"/>
      <c r="B391" s="1"/>
      <c r="C391" s="1"/>
      <c r="D391" s="1"/>
      <c r="E391" s="1"/>
      <c r="F391" s="1"/>
      <c r="P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142"/>
    </row>
    <row r="392" ht="17.25" customHeight="1">
      <c r="A392" s="1"/>
      <c r="B392" s="1"/>
      <c r="C392" s="1"/>
      <c r="D392" s="1"/>
      <c r="E392" s="1"/>
      <c r="F392" s="1"/>
      <c r="P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142"/>
    </row>
    <row r="393" ht="17.25" customHeight="1">
      <c r="A393" s="1"/>
      <c r="B393" s="1"/>
      <c r="C393" s="1"/>
      <c r="D393" s="1"/>
      <c r="E393" s="1"/>
      <c r="F393" s="1"/>
      <c r="P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142"/>
    </row>
    <row r="394" ht="17.25" customHeight="1">
      <c r="A394" s="1"/>
      <c r="B394" s="1"/>
      <c r="C394" s="1"/>
      <c r="D394" s="1"/>
      <c r="E394" s="1"/>
      <c r="F394" s="1"/>
      <c r="P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142"/>
    </row>
    <row r="395" ht="17.25" customHeight="1">
      <c r="A395" s="1"/>
      <c r="B395" s="1"/>
      <c r="C395" s="1"/>
      <c r="D395" s="1"/>
      <c r="E395" s="1"/>
      <c r="F395" s="1"/>
      <c r="P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142"/>
    </row>
    <row r="396" ht="17.25" customHeight="1">
      <c r="A396" s="1"/>
      <c r="B396" s="1"/>
      <c r="C396" s="1"/>
      <c r="D396" s="1"/>
      <c r="E396" s="1"/>
      <c r="F396" s="1"/>
      <c r="P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142"/>
    </row>
    <row r="397" ht="17.25" customHeight="1">
      <c r="A397" s="1"/>
      <c r="B397" s="1"/>
      <c r="C397" s="1"/>
      <c r="D397" s="1"/>
      <c r="E397" s="1"/>
      <c r="F397" s="1"/>
      <c r="P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142"/>
    </row>
    <row r="398" ht="17.25" customHeight="1">
      <c r="A398" s="1"/>
      <c r="B398" s="1"/>
      <c r="C398" s="1"/>
      <c r="D398" s="1"/>
      <c r="E398" s="1"/>
      <c r="F398" s="1"/>
      <c r="P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142"/>
    </row>
    <row r="399" ht="17.25" customHeight="1">
      <c r="A399" s="1"/>
      <c r="B399" s="1"/>
      <c r="C399" s="1"/>
      <c r="D399" s="1"/>
      <c r="E399" s="1"/>
      <c r="F399" s="1"/>
      <c r="P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142"/>
    </row>
    <row r="400" ht="17.25" customHeight="1">
      <c r="A400" s="1"/>
      <c r="B400" s="1"/>
      <c r="C400" s="1"/>
      <c r="D400" s="1"/>
      <c r="E400" s="1"/>
      <c r="F400" s="1"/>
      <c r="P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142"/>
    </row>
    <row r="401" ht="17.25" customHeight="1">
      <c r="A401" s="1"/>
      <c r="B401" s="1"/>
      <c r="C401" s="1"/>
      <c r="D401" s="1"/>
      <c r="E401" s="1"/>
      <c r="F401" s="1"/>
      <c r="P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142"/>
    </row>
    <row r="402" ht="17.25" customHeight="1">
      <c r="A402" s="1"/>
      <c r="B402" s="1"/>
      <c r="C402" s="1"/>
      <c r="D402" s="1"/>
      <c r="E402" s="1"/>
      <c r="F402" s="1"/>
      <c r="P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142"/>
    </row>
    <row r="403" ht="17.25" customHeight="1">
      <c r="A403" s="1"/>
      <c r="B403" s="1"/>
      <c r="C403" s="1"/>
      <c r="D403" s="1"/>
      <c r="E403" s="1"/>
      <c r="F403" s="1"/>
      <c r="P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142"/>
    </row>
    <row r="404" ht="17.25" customHeight="1">
      <c r="A404" s="1"/>
      <c r="B404" s="1"/>
      <c r="C404" s="1"/>
      <c r="D404" s="1"/>
      <c r="E404" s="1"/>
      <c r="F404" s="1"/>
      <c r="P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142"/>
    </row>
    <row r="405" ht="17.25" customHeight="1">
      <c r="A405" s="1"/>
      <c r="B405" s="1"/>
      <c r="C405" s="1"/>
      <c r="D405" s="1"/>
      <c r="E405" s="1"/>
      <c r="F405" s="1"/>
      <c r="P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142"/>
    </row>
    <row r="406" ht="17.25" customHeight="1">
      <c r="A406" s="1"/>
      <c r="B406" s="1"/>
      <c r="C406" s="1"/>
      <c r="D406" s="1"/>
      <c r="E406" s="1"/>
      <c r="F406" s="1"/>
      <c r="P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142"/>
    </row>
    <row r="407" ht="17.25" customHeight="1">
      <c r="A407" s="1"/>
      <c r="B407" s="1"/>
      <c r="C407" s="1"/>
      <c r="D407" s="1"/>
      <c r="E407" s="1"/>
      <c r="F407" s="1"/>
      <c r="P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142"/>
    </row>
    <row r="408" ht="17.25" customHeight="1">
      <c r="A408" s="1"/>
      <c r="B408" s="1"/>
      <c r="C408" s="1"/>
      <c r="D408" s="1"/>
      <c r="E408" s="1"/>
      <c r="F408" s="1"/>
      <c r="P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142"/>
    </row>
    <row r="409" ht="17.25" customHeight="1">
      <c r="A409" s="1"/>
      <c r="B409" s="1"/>
      <c r="C409" s="1"/>
      <c r="D409" s="1"/>
      <c r="E409" s="1"/>
      <c r="F409" s="1"/>
      <c r="P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142"/>
    </row>
    <row r="410" ht="17.25" customHeight="1">
      <c r="A410" s="1"/>
      <c r="B410" s="1"/>
      <c r="C410" s="1"/>
      <c r="D410" s="1"/>
      <c r="E410" s="1"/>
      <c r="F410" s="1"/>
      <c r="P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142"/>
    </row>
    <row r="411" ht="17.25" customHeight="1">
      <c r="A411" s="1"/>
      <c r="B411" s="1"/>
      <c r="C411" s="1"/>
      <c r="D411" s="1"/>
      <c r="E411" s="1"/>
      <c r="F411" s="1"/>
      <c r="P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142"/>
    </row>
    <row r="412" ht="17.25" customHeight="1">
      <c r="A412" s="1"/>
      <c r="B412" s="1"/>
      <c r="C412" s="1"/>
      <c r="D412" s="1"/>
      <c r="E412" s="1"/>
      <c r="F412" s="1"/>
      <c r="P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142"/>
    </row>
    <row r="413" ht="17.25" customHeight="1">
      <c r="A413" s="1"/>
      <c r="B413" s="1"/>
      <c r="C413" s="1"/>
      <c r="D413" s="1"/>
      <c r="E413" s="1"/>
      <c r="F413" s="1"/>
      <c r="P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142"/>
    </row>
    <row r="414" ht="17.25" customHeight="1">
      <c r="A414" s="1"/>
      <c r="B414" s="1"/>
      <c r="C414" s="1"/>
      <c r="D414" s="1"/>
      <c r="E414" s="1"/>
      <c r="F414" s="1"/>
      <c r="P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142"/>
    </row>
    <row r="415" ht="17.25" customHeight="1">
      <c r="A415" s="1"/>
      <c r="B415" s="1"/>
      <c r="C415" s="1"/>
      <c r="D415" s="1"/>
      <c r="E415" s="1"/>
      <c r="F415" s="1"/>
      <c r="P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142"/>
    </row>
    <row r="416" ht="17.25" customHeight="1">
      <c r="A416" s="1"/>
      <c r="B416" s="1"/>
      <c r="C416" s="1"/>
      <c r="D416" s="1"/>
      <c r="E416" s="1"/>
      <c r="F416" s="1"/>
      <c r="P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142"/>
    </row>
    <row r="417" ht="17.25" customHeight="1">
      <c r="A417" s="1"/>
      <c r="B417" s="1"/>
      <c r="C417" s="1"/>
      <c r="D417" s="1"/>
      <c r="E417" s="1"/>
      <c r="F417" s="1"/>
      <c r="P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142"/>
    </row>
    <row r="418" ht="17.25" customHeight="1">
      <c r="A418" s="1"/>
      <c r="B418" s="1"/>
      <c r="C418" s="1"/>
      <c r="D418" s="1"/>
      <c r="E418" s="1"/>
      <c r="F418" s="1"/>
      <c r="P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142"/>
    </row>
    <row r="419" ht="17.25" customHeight="1">
      <c r="A419" s="1"/>
      <c r="B419" s="1"/>
      <c r="C419" s="1"/>
      <c r="D419" s="1"/>
      <c r="E419" s="1"/>
      <c r="F419" s="1"/>
      <c r="P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142"/>
    </row>
    <row r="420" ht="17.25" customHeight="1">
      <c r="A420" s="1"/>
      <c r="B420" s="1"/>
      <c r="C420" s="1"/>
      <c r="D420" s="1"/>
      <c r="E420" s="1"/>
      <c r="F420" s="1"/>
      <c r="P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142"/>
    </row>
    <row r="421" ht="17.25" customHeight="1">
      <c r="A421" s="1"/>
      <c r="B421" s="1"/>
      <c r="C421" s="1"/>
      <c r="D421" s="1"/>
      <c r="E421" s="1"/>
      <c r="F421" s="1"/>
      <c r="P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142"/>
    </row>
    <row r="422" ht="17.25" customHeight="1">
      <c r="A422" s="1"/>
      <c r="B422" s="1"/>
      <c r="C422" s="1"/>
      <c r="D422" s="1"/>
      <c r="E422" s="1"/>
      <c r="F422" s="1"/>
      <c r="P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142"/>
    </row>
    <row r="423" ht="17.25" customHeight="1">
      <c r="A423" s="1"/>
      <c r="B423" s="1"/>
      <c r="C423" s="1"/>
      <c r="D423" s="1"/>
      <c r="E423" s="1"/>
      <c r="F423" s="1"/>
      <c r="P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142"/>
    </row>
    <row r="424" ht="17.25" customHeight="1">
      <c r="A424" s="1"/>
      <c r="B424" s="1"/>
      <c r="C424" s="1"/>
      <c r="D424" s="1"/>
      <c r="E424" s="1"/>
      <c r="F424" s="1"/>
      <c r="P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142"/>
    </row>
    <row r="425" ht="17.25" customHeight="1">
      <c r="A425" s="1"/>
      <c r="B425" s="1"/>
      <c r="C425" s="1"/>
      <c r="D425" s="1"/>
      <c r="E425" s="1"/>
      <c r="F425" s="1"/>
      <c r="P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142"/>
    </row>
    <row r="426" ht="17.25" customHeight="1">
      <c r="A426" s="1"/>
      <c r="B426" s="1"/>
      <c r="C426" s="1"/>
      <c r="D426" s="1"/>
      <c r="E426" s="1"/>
      <c r="F426" s="1"/>
      <c r="P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142"/>
    </row>
    <row r="427" ht="17.25" customHeight="1">
      <c r="A427" s="1"/>
      <c r="B427" s="1"/>
      <c r="C427" s="1"/>
      <c r="D427" s="1"/>
      <c r="E427" s="1"/>
      <c r="F427" s="1"/>
      <c r="P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142"/>
    </row>
    <row r="428" ht="17.25" customHeight="1">
      <c r="A428" s="1"/>
      <c r="B428" s="1"/>
      <c r="C428" s="1"/>
      <c r="D428" s="1"/>
      <c r="E428" s="1"/>
      <c r="F428" s="1"/>
      <c r="P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142"/>
    </row>
    <row r="429" ht="17.25" customHeight="1">
      <c r="A429" s="1"/>
      <c r="B429" s="1"/>
      <c r="C429" s="1"/>
      <c r="D429" s="1"/>
      <c r="E429" s="1"/>
      <c r="F429" s="1"/>
      <c r="P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142"/>
    </row>
    <row r="430" ht="17.25" customHeight="1">
      <c r="A430" s="1"/>
      <c r="B430" s="1"/>
      <c r="C430" s="1"/>
      <c r="D430" s="1"/>
      <c r="E430" s="1"/>
      <c r="F430" s="1"/>
      <c r="P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142"/>
    </row>
    <row r="431" ht="17.25" customHeight="1">
      <c r="A431" s="1"/>
      <c r="B431" s="1"/>
      <c r="C431" s="1"/>
      <c r="D431" s="1"/>
      <c r="E431" s="1"/>
      <c r="F431" s="1"/>
      <c r="P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142"/>
    </row>
    <row r="432" ht="17.25" customHeight="1">
      <c r="A432" s="1"/>
      <c r="B432" s="1"/>
      <c r="C432" s="1"/>
      <c r="D432" s="1"/>
      <c r="E432" s="1"/>
      <c r="F432" s="1"/>
      <c r="P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142"/>
    </row>
    <row r="433" ht="17.25" customHeight="1">
      <c r="A433" s="1"/>
      <c r="B433" s="1"/>
      <c r="C433" s="1"/>
      <c r="D433" s="1"/>
      <c r="E433" s="1"/>
      <c r="F433" s="1"/>
      <c r="P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142"/>
    </row>
    <row r="434" ht="17.25" customHeight="1">
      <c r="A434" s="1"/>
      <c r="B434" s="1"/>
      <c r="C434" s="1"/>
      <c r="D434" s="1"/>
      <c r="E434" s="1"/>
      <c r="F434" s="1"/>
      <c r="P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142"/>
    </row>
    <row r="435" ht="17.25" customHeight="1">
      <c r="A435" s="1"/>
      <c r="B435" s="1"/>
      <c r="C435" s="1"/>
      <c r="D435" s="1"/>
      <c r="E435" s="1"/>
      <c r="F435" s="1"/>
      <c r="P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142"/>
    </row>
    <row r="436" ht="17.25" customHeight="1">
      <c r="A436" s="1"/>
      <c r="B436" s="1"/>
      <c r="C436" s="1"/>
      <c r="D436" s="1"/>
      <c r="E436" s="1"/>
      <c r="F436" s="1"/>
      <c r="P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142"/>
    </row>
    <row r="437" ht="17.25" customHeight="1">
      <c r="A437" s="1"/>
      <c r="B437" s="1"/>
      <c r="C437" s="1"/>
      <c r="D437" s="1"/>
      <c r="E437" s="1"/>
      <c r="F437" s="1"/>
      <c r="P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142"/>
    </row>
    <row r="438" ht="17.25" customHeight="1">
      <c r="A438" s="1"/>
      <c r="B438" s="1"/>
      <c r="C438" s="1"/>
      <c r="D438" s="1"/>
      <c r="E438" s="1"/>
      <c r="F438" s="1"/>
      <c r="P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142"/>
    </row>
    <row r="439" ht="17.25" customHeight="1">
      <c r="A439" s="1"/>
      <c r="B439" s="1"/>
      <c r="C439" s="1"/>
      <c r="D439" s="1"/>
      <c r="E439" s="1"/>
      <c r="F439" s="1"/>
      <c r="P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142"/>
    </row>
    <row r="440" ht="17.25" customHeight="1">
      <c r="A440" s="1"/>
      <c r="B440" s="1"/>
      <c r="C440" s="1"/>
      <c r="D440" s="1"/>
      <c r="E440" s="1"/>
      <c r="F440" s="1"/>
      <c r="P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142"/>
    </row>
    <row r="441" ht="17.25" customHeight="1">
      <c r="A441" s="1"/>
      <c r="B441" s="1"/>
      <c r="C441" s="1"/>
      <c r="D441" s="1"/>
      <c r="E441" s="1"/>
      <c r="F441" s="1"/>
      <c r="P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142"/>
    </row>
    <row r="442" ht="17.25" customHeight="1">
      <c r="A442" s="1"/>
      <c r="B442" s="1"/>
      <c r="C442" s="1"/>
      <c r="D442" s="1"/>
      <c r="E442" s="1"/>
      <c r="F442" s="1"/>
      <c r="P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142"/>
    </row>
    <row r="443" ht="17.25" customHeight="1">
      <c r="A443" s="1"/>
      <c r="B443" s="1"/>
      <c r="C443" s="1"/>
      <c r="D443" s="1"/>
      <c r="E443" s="1"/>
      <c r="F443" s="1"/>
      <c r="P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142"/>
    </row>
    <row r="444" ht="17.25" customHeight="1">
      <c r="A444" s="1"/>
      <c r="B444" s="1"/>
      <c r="C444" s="1"/>
      <c r="D444" s="1"/>
      <c r="E444" s="1"/>
      <c r="F444" s="1"/>
      <c r="P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142"/>
    </row>
    <row r="445" ht="17.25" customHeight="1">
      <c r="A445" s="1"/>
      <c r="B445" s="1"/>
      <c r="C445" s="1"/>
      <c r="D445" s="1"/>
      <c r="E445" s="1"/>
      <c r="F445" s="1"/>
      <c r="P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142"/>
    </row>
    <row r="446" ht="17.25" customHeight="1">
      <c r="A446" s="1"/>
      <c r="B446" s="1"/>
      <c r="C446" s="1"/>
      <c r="D446" s="1"/>
      <c r="E446" s="1"/>
      <c r="F446" s="1"/>
      <c r="P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142"/>
    </row>
    <row r="447" ht="17.25" customHeight="1">
      <c r="A447" s="1"/>
      <c r="B447" s="1"/>
      <c r="C447" s="1"/>
      <c r="D447" s="1"/>
      <c r="E447" s="1"/>
      <c r="F447" s="1"/>
      <c r="P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142"/>
    </row>
    <row r="448" ht="17.25" customHeight="1">
      <c r="A448" s="1"/>
      <c r="B448" s="1"/>
      <c r="C448" s="1"/>
      <c r="D448" s="1"/>
      <c r="E448" s="1"/>
      <c r="F448" s="1"/>
      <c r="P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142"/>
    </row>
    <row r="449" ht="17.25" customHeight="1">
      <c r="A449" s="1"/>
      <c r="B449" s="1"/>
      <c r="C449" s="1"/>
      <c r="D449" s="1"/>
      <c r="E449" s="1"/>
      <c r="F449" s="1"/>
      <c r="P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142"/>
    </row>
    <row r="450" ht="17.25" customHeight="1">
      <c r="A450" s="1"/>
      <c r="B450" s="1"/>
      <c r="C450" s="1"/>
      <c r="D450" s="1"/>
      <c r="E450" s="1"/>
      <c r="F450" s="1"/>
      <c r="P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142"/>
    </row>
    <row r="451" ht="17.25" customHeight="1">
      <c r="A451" s="1"/>
      <c r="B451" s="1"/>
      <c r="C451" s="1"/>
      <c r="D451" s="1"/>
      <c r="E451" s="1"/>
      <c r="F451" s="1"/>
      <c r="P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142"/>
    </row>
    <row r="452" ht="17.25" customHeight="1">
      <c r="A452" s="1"/>
      <c r="B452" s="1"/>
      <c r="C452" s="1"/>
      <c r="D452" s="1"/>
      <c r="E452" s="1"/>
      <c r="F452" s="1"/>
      <c r="P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142"/>
    </row>
    <row r="453" ht="17.25" customHeight="1">
      <c r="A453" s="1"/>
      <c r="B453" s="1"/>
      <c r="C453" s="1"/>
      <c r="D453" s="1"/>
      <c r="E453" s="1"/>
      <c r="F453" s="1"/>
      <c r="P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142"/>
    </row>
    <row r="454" ht="17.25" customHeight="1">
      <c r="A454" s="1"/>
      <c r="B454" s="1"/>
      <c r="C454" s="1"/>
      <c r="D454" s="1"/>
      <c r="E454" s="1"/>
      <c r="F454" s="1"/>
      <c r="P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142"/>
    </row>
    <row r="455" ht="17.25" customHeight="1">
      <c r="A455" s="1"/>
      <c r="B455" s="1"/>
      <c r="C455" s="1"/>
      <c r="D455" s="1"/>
      <c r="E455" s="1"/>
      <c r="F455" s="1"/>
      <c r="P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142"/>
    </row>
    <row r="456" ht="17.25" customHeight="1">
      <c r="A456" s="1"/>
      <c r="B456" s="1"/>
      <c r="C456" s="1"/>
      <c r="D456" s="1"/>
      <c r="E456" s="1"/>
      <c r="F456" s="1"/>
      <c r="P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142"/>
    </row>
    <row r="457" ht="17.25" customHeight="1">
      <c r="A457" s="1"/>
      <c r="B457" s="1"/>
      <c r="C457" s="1"/>
      <c r="D457" s="1"/>
      <c r="E457" s="1"/>
      <c r="F457" s="1"/>
      <c r="P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142"/>
    </row>
    <row r="458" ht="17.25" customHeight="1">
      <c r="A458" s="1"/>
      <c r="B458" s="1"/>
      <c r="C458" s="1"/>
      <c r="D458" s="1"/>
      <c r="E458" s="1"/>
      <c r="F458" s="1"/>
      <c r="P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142"/>
    </row>
    <row r="459" ht="17.25" customHeight="1">
      <c r="A459" s="1"/>
      <c r="B459" s="1"/>
      <c r="C459" s="1"/>
      <c r="D459" s="1"/>
      <c r="E459" s="1"/>
      <c r="F459" s="1"/>
      <c r="P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142"/>
    </row>
    <row r="460" ht="17.25" customHeight="1">
      <c r="A460" s="1"/>
      <c r="B460" s="1"/>
      <c r="C460" s="1"/>
      <c r="D460" s="1"/>
      <c r="E460" s="1"/>
      <c r="F460" s="1"/>
      <c r="P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142"/>
    </row>
    <row r="461" ht="17.25" customHeight="1">
      <c r="A461" s="1"/>
      <c r="B461" s="1"/>
      <c r="C461" s="1"/>
      <c r="D461" s="1"/>
      <c r="E461" s="1"/>
      <c r="F461" s="1"/>
      <c r="P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142"/>
    </row>
    <row r="462" ht="17.25" customHeight="1">
      <c r="A462" s="1"/>
      <c r="B462" s="1"/>
      <c r="C462" s="1"/>
      <c r="D462" s="1"/>
      <c r="E462" s="1"/>
      <c r="F462" s="1"/>
      <c r="P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142"/>
    </row>
    <row r="463" ht="17.25" customHeight="1">
      <c r="A463" s="1"/>
      <c r="B463" s="1"/>
      <c r="C463" s="1"/>
      <c r="D463" s="1"/>
      <c r="E463" s="1"/>
      <c r="F463" s="1"/>
      <c r="P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142"/>
    </row>
    <row r="464" ht="17.25" customHeight="1">
      <c r="A464" s="1"/>
      <c r="B464" s="1"/>
      <c r="C464" s="1"/>
      <c r="D464" s="1"/>
      <c r="E464" s="1"/>
      <c r="F464" s="1"/>
      <c r="P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142"/>
    </row>
    <row r="465" ht="17.25" customHeight="1">
      <c r="A465" s="1"/>
      <c r="B465" s="1"/>
      <c r="C465" s="1"/>
      <c r="D465" s="1"/>
      <c r="E465" s="1"/>
      <c r="F465" s="1"/>
      <c r="P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142"/>
    </row>
    <row r="466" ht="17.25" customHeight="1">
      <c r="A466" s="1"/>
      <c r="B466" s="1"/>
      <c r="C466" s="1"/>
      <c r="D466" s="1"/>
      <c r="E466" s="1"/>
      <c r="F466" s="1"/>
      <c r="P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142"/>
    </row>
    <row r="467" ht="17.25" customHeight="1">
      <c r="A467" s="1"/>
      <c r="B467" s="1"/>
      <c r="C467" s="1"/>
      <c r="D467" s="1"/>
      <c r="E467" s="1"/>
      <c r="F467" s="1"/>
      <c r="P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142"/>
    </row>
    <row r="468" ht="17.25" customHeight="1">
      <c r="A468" s="1"/>
      <c r="B468" s="1"/>
      <c r="C468" s="1"/>
      <c r="D468" s="1"/>
      <c r="E468" s="1"/>
      <c r="F468" s="1"/>
      <c r="P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142"/>
    </row>
    <row r="469" ht="17.25" customHeight="1">
      <c r="A469" s="1"/>
      <c r="B469" s="1"/>
      <c r="C469" s="1"/>
      <c r="D469" s="1"/>
      <c r="E469" s="1"/>
      <c r="F469" s="1"/>
      <c r="P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142"/>
    </row>
    <row r="470" ht="17.25" customHeight="1">
      <c r="A470" s="1"/>
      <c r="B470" s="1"/>
      <c r="C470" s="1"/>
      <c r="D470" s="1"/>
      <c r="E470" s="1"/>
      <c r="F470" s="1"/>
      <c r="P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142"/>
    </row>
    <row r="471" ht="17.25" customHeight="1">
      <c r="A471" s="1"/>
      <c r="B471" s="1"/>
      <c r="C471" s="1"/>
      <c r="D471" s="1"/>
      <c r="E471" s="1"/>
      <c r="F471" s="1"/>
      <c r="P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142"/>
    </row>
    <row r="472" ht="17.25" customHeight="1">
      <c r="A472" s="1"/>
      <c r="B472" s="1"/>
      <c r="C472" s="1"/>
      <c r="D472" s="1"/>
      <c r="E472" s="1"/>
      <c r="F472" s="1"/>
      <c r="P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142"/>
    </row>
    <row r="473" ht="17.25" customHeight="1">
      <c r="A473" s="1"/>
      <c r="B473" s="1"/>
      <c r="C473" s="1"/>
      <c r="D473" s="1"/>
      <c r="E473" s="1"/>
      <c r="F473" s="1"/>
      <c r="P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142"/>
    </row>
    <row r="474" ht="17.25" customHeight="1">
      <c r="A474" s="1"/>
      <c r="B474" s="1"/>
      <c r="C474" s="1"/>
      <c r="D474" s="1"/>
      <c r="E474" s="1"/>
      <c r="F474" s="1"/>
      <c r="P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142"/>
    </row>
    <row r="475" ht="17.25" customHeight="1">
      <c r="A475" s="1"/>
      <c r="B475" s="1"/>
      <c r="C475" s="1"/>
      <c r="D475" s="1"/>
      <c r="E475" s="1"/>
      <c r="F475" s="1"/>
      <c r="P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142"/>
    </row>
    <row r="476" ht="17.25" customHeight="1">
      <c r="A476" s="1"/>
      <c r="B476" s="1"/>
      <c r="C476" s="1"/>
      <c r="D476" s="1"/>
      <c r="E476" s="1"/>
      <c r="F476" s="1"/>
      <c r="P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142"/>
    </row>
    <row r="477" ht="17.25" customHeight="1">
      <c r="A477" s="1"/>
      <c r="B477" s="1"/>
      <c r="C477" s="1"/>
      <c r="D477" s="1"/>
      <c r="E477" s="1"/>
      <c r="F477" s="1"/>
      <c r="P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142"/>
    </row>
    <row r="478" ht="17.25" customHeight="1">
      <c r="A478" s="1"/>
      <c r="B478" s="1"/>
      <c r="C478" s="1"/>
      <c r="D478" s="1"/>
      <c r="E478" s="1"/>
      <c r="F478" s="1"/>
      <c r="P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142"/>
    </row>
    <row r="479" ht="17.25" customHeight="1">
      <c r="A479" s="1"/>
      <c r="B479" s="1"/>
      <c r="C479" s="1"/>
      <c r="D479" s="1"/>
      <c r="E479" s="1"/>
      <c r="F479" s="1"/>
      <c r="P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142"/>
    </row>
    <row r="480" ht="17.25" customHeight="1">
      <c r="A480" s="1"/>
      <c r="B480" s="1"/>
      <c r="C480" s="1"/>
      <c r="D480" s="1"/>
      <c r="E480" s="1"/>
      <c r="F480" s="1"/>
      <c r="P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142"/>
    </row>
    <row r="481" ht="17.25" customHeight="1">
      <c r="A481" s="1"/>
      <c r="B481" s="1"/>
      <c r="C481" s="1"/>
      <c r="D481" s="1"/>
      <c r="E481" s="1"/>
      <c r="F481" s="1"/>
      <c r="P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142"/>
    </row>
    <row r="482" ht="17.25" customHeight="1">
      <c r="A482" s="1"/>
      <c r="B482" s="1"/>
      <c r="C482" s="1"/>
      <c r="D482" s="1"/>
      <c r="E482" s="1"/>
      <c r="F482" s="1"/>
      <c r="P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142"/>
    </row>
    <row r="483" ht="17.25" customHeight="1">
      <c r="A483" s="1"/>
      <c r="B483" s="1"/>
      <c r="C483" s="1"/>
      <c r="D483" s="1"/>
      <c r="E483" s="1"/>
      <c r="F483" s="1"/>
      <c r="P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142"/>
    </row>
    <row r="484" ht="17.25" customHeight="1">
      <c r="A484" s="1"/>
      <c r="B484" s="1"/>
      <c r="C484" s="1"/>
      <c r="D484" s="1"/>
      <c r="E484" s="1"/>
      <c r="F484" s="1"/>
      <c r="P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142"/>
    </row>
    <row r="485" ht="17.25" customHeight="1">
      <c r="A485" s="1"/>
      <c r="B485" s="1"/>
      <c r="C485" s="1"/>
      <c r="D485" s="1"/>
      <c r="E485" s="1"/>
      <c r="F485" s="1"/>
      <c r="P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142"/>
    </row>
    <row r="486" ht="17.25" customHeight="1">
      <c r="A486" s="1"/>
      <c r="B486" s="1"/>
      <c r="C486" s="1"/>
      <c r="D486" s="1"/>
      <c r="E486" s="1"/>
      <c r="F486" s="1"/>
      <c r="P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142"/>
    </row>
    <row r="487" ht="17.25" customHeight="1">
      <c r="A487" s="1"/>
      <c r="B487" s="1"/>
      <c r="C487" s="1"/>
      <c r="D487" s="1"/>
      <c r="E487" s="1"/>
      <c r="F487" s="1"/>
      <c r="P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142"/>
    </row>
    <row r="488" ht="17.25" customHeight="1">
      <c r="A488" s="1"/>
      <c r="B488" s="1"/>
      <c r="C488" s="1"/>
      <c r="D488" s="1"/>
      <c r="E488" s="1"/>
      <c r="F488" s="1"/>
      <c r="P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142"/>
    </row>
    <row r="489" ht="17.25" customHeight="1">
      <c r="A489" s="1"/>
      <c r="B489" s="1"/>
      <c r="C489" s="1"/>
      <c r="D489" s="1"/>
      <c r="E489" s="1"/>
      <c r="F489" s="1"/>
      <c r="P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142"/>
    </row>
    <row r="490" ht="17.25" customHeight="1">
      <c r="A490" s="1"/>
      <c r="B490" s="1"/>
      <c r="C490" s="1"/>
      <c r="D490" s="1"/>
      <c r="E490" s="1"/>
      <c r="F490" s="1"/>
      <c r="P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142"/>
    </row>
    <row r="491" ht="17.25" customHeight="1">
      <c r="A491" s="1"/>
      <c r="B491" s="1"/>
      <c r="C491" s="1"/>
      <c r="D491" s="1"/>
      <c r="E491" s="1"/>
      <c r="F491" s="1"/>
      <c r="P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142"/>
    </row>
    <row r="492" ht="17.25" customHeight="1">
      <c r="A492" s="1"/>
      <c r="B492" s="1"/>
      <c r="C492" s="1"/>
      <c r="D492" s="1"/>
      <c r="E492" s="1"/>
      <c r="F492" s="1"/>
      <c r="P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142"/>
    </row>
    <row r="493" ht="17.25" customHeight="1">
      <c r="A493" s="1"/>
      <c r="B493" s="1"/>
      <c r="C493" s="1"/>
      <c r="D493" s="1"/>
      <c r="E493" s="1"/>
      <c r="F493" s="1"/>
      <c r="P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142"/>
    </row>
    <row r="494" ht="17.25" customHeight="1">
      <c r="A494" s="1"/>
      <c r="B494" s="1"/>
      <c r="C494" s="1"/>
      <c r="D494" s="1"/>
      <c r="E494" s="1"/>
      <c r="F494" s="1"/>
      <c r="P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142"/>
    </row>
    <row r="495" ht="17.25" customHeight="1">
      <c r="A495" s="1"/>
      <c r="B495" s="1"/>
      <c r="C495" s="1"/>
      <c r="D495" s="1"/>
      <c r="E495" s="1"/>
      <c r="F495" s="1"/>
      <c r="P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142"/>
    </row>
    <row r="496" ht="17.25" customHeight="1">
      <c r="A496" s="1"/>
      <c r="B496" s="1"/>
      <c r="C496" s="1"/>
      <c r="D496" s="1"/>
      <c r="E496" s="1"/>
      <c r="F496" s="1"/>
      <c r="P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142"/>
    </row>
    <row r="497" ht="17.25" customHeight="1">
      <c r="A497" s="1"/>
      <c r="B497" s="1"/>
      <c r="C497" s="1"/>
      <c r="D497" s="1"/>
      <c r="E497" s="1"/>
      <c r="F497" s="1"/>
      <c r="P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142"/>
    </row>
    <row r="498" ht="17.25" customHeight="1">
      <c r="A498" s="1"/>
      <c r="B498" s="1"/>
      <c r="C498" s="1"/>
      <c r="D498" s="1"/>
      <c r="E498" s="1"/>
      <c r="F498" s="1"/>
      <c r="P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142"/>
    </row>
    <row r="499" ht="17.25" customHeight="1">
      <c r="A499" s="1"/>
      <c r="B499" s="1"/>
      <c r="C499" s="1"/>
      <c r="D499" s="1"/>
      <c r="E499" s="1"/>
      <c r="F499" s="1"/>
      <c r="P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142"/>
    </row>
    <row r="500" ht="17.25" customHeight="1">
      <c r="A500" s="1"/>
      <c r="B500" s="1"/>
      <c r="C500" s="1"/>
      <c r="D500" s="1"/>
      <c r="E500" s="1"/>
      <c r="F500" s="1"/>
      <c r="P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142"/>
    </row>
    <row r="501" ht="17.25" customHeight="1">
      <c r="A501" s="1"/>
      <c r="B501" s="1"/>
      <c r="C501" s="1"/>
      <c r="D501" s="1"/>
      <c r="E501" s="1"/>
      <c r="F501" s="1"/>
      <c r="P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142"/>
    </row>
    <row r="502" ht="17.25" customHeight="1">
      <c r="A502" s="1"/>
      <c r="B502" s="1"/>
      <c r="C502" s="1"/>
      <c r="D502" s="1"/>
      <c r="E502" s="1"/>
      <c r="F502" s="1"/>
      <c r="P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142"/>
    </row>
    <row r="503" ht="17.25" customHeight="1">
      <c r="A503" s="1"/>
      <c r="B503" s="1"/>
      <c r="C503" s="1"/>
      <c r="D503" s="1"/>
      <c r="E503" s="1"/>
      <c r="F503" s="1"/>
      <c r="P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142"/>
    </row>
    <row r="504" ht="17.25" customHeight="1">
      <c r="A504" s="1"/>
      <c r="B504" s="1"/>
      <c r="C504" s="1"/>
      <c r="D504" s="1"/>
      <c r="E504" s="1"/>
      <c r="F504" s="1"/>
      <c r="P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142"/>
    </row>
    <row r="505" ht="17.25" customHeight="1">
      <c r="A505" s="1"/>
      <c r="B505" s="1"/>
      <c r="C505" s="1"/>
      <c r="D505" s="1"/>
      <c r="E505" s="1"/>
      <c r="F505" s="1"/>
      <c r="P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142"/>
    </row>
    <row r="506" ht="17.25" customHeight="1">
      <c r="A506" s="1"/>
      <c r="B506" s="1"/>
      <c r="C506" s="1"/>
      <c r="D506" s="1"/>
      <c r="E506" s="1"/>
      <c r="F506" s="1"/>
      <c r="P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142"/>
    </row>
    <row r="507" ht="17.25" customHeight="1">
      <c r="A507" s="1"/>
      <c r="B507" s="1"/>
      <c r="C507" s="1"/>
      <c r="D507" s="1"/>
      <c r="E507" s="1"/>
      <c r="F507" s="1"/>
      <c r="P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142"/>
    </row>
    <row r="508" ht="17.25" customHeight="1">
      <c r="A508" s="1"/>
      <c r="B508" s="1"/>
      <c r="C508" s="1"/>
      <c r="D508" s="1"/>
      <c r="E508" s="1"/>
      <c r="F508" s="1"/>
      <c r="P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142"/>
    </row>
    <row r="509" ht="17.25" customHeight="1">
      <c r="A509" s="1"/>
      <c r="B509" s="1"/>
      <c r="C509" s="1"/>
      <c r="D509" s="1"/>
      <c r="E509" s="1"/>
      <c r="F509" s="1"/>
      <c r="P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142"/>
    </row>
    <row r="510" ht="17.25" customHeight="1">
      <c r="A510" s="1"/>
      <c r="B510" s="1"/>
      <c r="C510" s="1"/>
      <c r="D510" s="1"/>
      <c r="E510" s="1"/>
      <c r="F510" s="1"/>
      <c r="P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142"/>
    </row>
    <row r="511" ht="17.25" customHeight="1">
      <c r="A511" s="1"/>
      <c r="B511" s="1"/>
      <c r="C511" s="1"/>
      <c r="D511" s="1"/>
      <c r="E511" s="1"/>
      <c r="F511" s="1"/>
      <c r="P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142"/>
    </row>
    <row r="512" ht="17.25" customHeight="1">
      <c r="A512" s="1"/>
      <c r="B512" s="1"/>
      <c r="C512" s="1"/>
      <c r="D512" s="1"/>
      <c r="E512" s="1"/>
      <c r="F512" s="1"/>
      <c r="P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142"/>
    </row>
    <row r="513" ht="17.25" customHeight="1">
      <c r="A513" s="1"/>
      <c r="B513" s="1"/>
      <c r="C513" s="1"/>
      <c r="D513" s="1"/>
      <c r="E513" s="1"/>
      <c r="F513" s="1"/>
      <c r="P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142"/>
    </row>
    <row r="514" ht="17.25" customHeight="1">
      <c r="A514" s="1"/>
      <c r="B514" s="1"/>
      <c r="C514" s="1"/>
      <c r="D514" s="1"/>
      <c r="E514" s="1"/>
      <c r="F514" s="1"/>
      <c r="P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142"/>
    </row>
    <row r="515" ht="17.25" customHeight="1">
      <c r="A515" s="1"/>
      <c r="B515" s="1"/>
      <c r="C515" s="1"/>
      <c r="D515" s="1"/>
      <c r="E515" s="1"/>
      <c r="F515" s="1"/>
      <c r="P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142"/>
    </row>
    <row r="516" ht="17.25" customHeight="1">
      <c r="A516" s="1"/>
      <c r="B516" s="1"/>
      <c r="C516" s="1"/>
      <c r="D516" s="1"/>
      <c r="E516" s="1"/>
      <c r="F516" s="1"/>
      <c r="P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142"/>
    </row>
    <row r="517" ht="17.25" customHeight="1">
      <c r="A517" s="1"/>
      <c r="B517" s="1"/>
      <c r="C517" s="1"/>
      <c r="D517" s="1"/>
      <c r="E517" s="1"/>
      <c r="F517" s="1"/>
      <c r="P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142"/>
    </row>
    <row r="518" ht="17.25" customHeight="1">
      <c r="A518" s="1"/>
      <c r="B518" s="1"/>
      <c r="C518" s="1"/>
      <c r="D518" s="1"/>
      <c r="E518" s="1"/>
      <c r="F518" s="1"/>
      <c r="P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142"/>
    </row>
    <row r="519" ht="17.25" customHeight="1">
      <c r="A519" s="1"/>
      <c r="B519" s="1"/>
      <c r="C519" s="1"/>
      <c r="D519" s="1"/>
      <c r="E519" s="1"/>
      <c r="F519" s="1"/>
      <c r="P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142"/>
    </row>
    <row r="520" ht="17.25" customHeight="1">
      <c r="A520" s="1"/>
      <c r="B520" s="1"/>
      <c r="C520" s="1"/>
      <c r="D520" s="1"/>
      <c r="E520" s="1"/>
      <c r="F520" s="1"/>
      <c r="P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142"/>
    </row>
    <row r="521" ht="17.25" customHeight="1">
      <c r="A521" s="1"/>
      <c r="B521" s="1"/>
      <c r="C521" s="1"/>
      <c r="D521" s="1"/>
      <c r="E521" s="1"/>
      <c r="F521" s="1"/>
      <c r="P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142"/>
    </row>
    <row r="522" ht="17.25" customHeight="1">
      <c r="A522" s="1"/>
      <c r="B522" s="1"/>
      <c r="C522" s="1"/>
      <c r="D522" s="1"/>
      <c r="E522" s="1"/>
      <c r="F522" s="1"/>
      <c r="P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142"/>
    </row>
    <row r="523" ht="17.25" customHeight="1">
      <c r="A523" s="1"/>
      <c r="B523" s="1"/>
      <c r="C523" s="1"/>
      <c r="D523" s="1"/>
      <c r="E523" s="1"/>
      <c r="F523" s="1"/>
      <c r="P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142"/>
    </row>
    <row r="524" ht="17.25" customHeight="1">
      <c r="A524" s="1"/>
      <c r="B524" s="1"/>
      <c r="C524" s="1"/>
      <c r="D524" s="1"/>
      <c r="E524" s="1"/>
      <c r="F524" s="1"/>
      <c r="P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142"/>
    </row>
    <row r="525" ht="17.25" customHeight="1">
      <c r="A525" s="1"/>
      <c r="B525" s="1"/>
      <c r="C525" s="1"/>
      <c r="D525" s="1"/>
      <c r="E525" s="1"/>
      <c r="F525" s="1"/>
      <c r="P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142"/>
    </row>
    <row r="526" ht="17.25" customHeight="1">
      <c r="A526" s="1"/>
      <c r="B526" s="1"/>
      <c r="C526" s="1"/>
      <c r="D526" s="1"/>
      <c r="E526" s="1"/>
      <c r="F526" s="1"/>
      <c r="P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142"/>
    </row>
    <row r="527" ht="17.25" customHeight="1">
      <c r="A527" s="1"/>
      <c r="B527" s="1"/>
      <c r="C527" s="1"/>
      <c r="D527" s="1"/>
      <c r="E527" s="1"/>
      <c r="F527" s="1"/>
      <c r="P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142"/>
    </row>
    <row r="528" ht="17.25" customHeight="1">
      <c r="A528" s="1"/>
      <c r="B528" s="1"/>
      <c r="C528" s="1"/>
      <c r="D528" s="1"/>
      <c r="E528" s="1"/>
      <c r="F528" s="1"/>
      <c r="P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142"/>
    </row>
    <row r="529" ht="17.25" customHeight="1">
      <c r="A529" s="1"/>
      <c r="B529" s="1"/>
      <c r="C529" s="1"/>
      <c r="D529" s="1"/>
      <c r="E529" s="1"/>
      <c r="F529" s="1"/>
      <c r="P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142"/>
    </row>
    <row r="530" ht="17.25" customHeight="1">
      <c r="A530" s="1"/>
      <c r="B530" s="1"/>
      <c r="C530" s="1"/>
      <c r="D530" s="1"/>
      <c r="E530" s="1"/>
      <c r="F530" s="1"/>
      <c r="P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142"/>
    </row>
    <row r="531" ht="17.25" customHeight="1">
      <c r="A531" s="1"/>
      <c r="B531" s="1"/>
      <c r="C531" s="1"/>
      <c r="D531" s="1"/>
      <c r="E531" s="1"/>
      <c r="F531" s="1"/>
      <c r="P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142"/>
    </row>
    <row r="532" ht="17.25" customHeight="1">
      <c r="A532" s="1"/>
      <c r="B532" s="1"/>
      <c r="C532" s="1"/>
      <c r="D532" s="1"/>
      <c r="E532" s="1"/>
      <c r="F532" s="1"/>
      <c r="P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142"/>
    </row>
    <row r="533" ht="17.25" customHeight="1">
      <c r="A533" s="1"/>
      <c r="B533" s="1"/>
      <c r="C533" s="1"/>
      <c r="D533" s="1"/>
      <c r="E533" s="1"/>
      <c r="F533" s="1"/>
      <c r="P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142"/>
    </row>
    <row r="534" ht="17.25" customHeight="1">
      <c r="A534" s="1"/>
      <c r="B534" s="1"/>
      <c r="C534" s="1"/>
      <c r="D534" s="1"/>
      <c r="E534" s="1"/>
      <c r="F534" s="1"/>
      <c r="P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142"/>
    </row>
    <row r="535" ht="17.25" customHeight="1">
      <c r="A535" s="1"/>
      <c r="B535" s="1"/>
      <c r="C535" s="1"/>
      <c r="D535" s="1"/>
      <c r="E535" s="1"/>
      <c r="F535" s="1"/>
      <c r="P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142"/>
    </row>
    <row r="536" ht="17.25" customHeight="1">
      <c r="A536" s="1"/>
      <c r="B536" s="1"/>
      <c r="C536" s="1"/>
      <c r="D536" s="1"/>
      <c r="E536" s="1"/>
      <c r="F536" s="1"/>
      <c r="P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142"/>
    </row>
    <row r="537" ht="17.25" customHeight="1">
      <c r="A537" s="1"/>
      <c r="B537" s="1"/>
      <c r="C537" s="1"/>
      <c r="D537" s="1"/>
      <c r="E537" s="1"/>
      <c r="F537" s="1"/>
      <c r="P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142"/>
    </row>
    <row r="538" ht="17.25" customHeight="1">
      <c r="A538" s="1"/>
      <c r="B538" s="1"/>
      <c r="C538" s="1"/>
      <c r="D538" s="1"/>
      <c r="E538" s="1"/>
      <c r="F538" s="1"/>
      <c r="P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142"/>
    </row>
    <row r="539" ht="17.25" customHeight="1">
      <c r="A539" s="1"/>
      <c r="B539" s="1"/>
      <c r="C539" s="1"/>
      <c r="D539" s="1"/>
      <c r="E539" s="1"/>
      <c r="F539" s="1"/>
      <c r="P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142"/>
    </row>
    <row r="540" ht="17.25" customHeight="1">
      <c r="A540" s="1"/>
      <c r="B540" s="1"/>
      <c r="C540" s="1"/>
      <c r="D540" s="1"/>
      <c r="E540" s="1"/>
      <c r="F540" s="1"/>
      <c r="P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142"/>
    </row>
    <row r="541" ht="17.25" customHeight="1">
      <c r="A541" s="1"/>
      <c r="B541" s="1"/>
      <c r="C541" s="1"/>
      <c r="D541" s="1"/>
      <c r="E541" s="1"/>
      <c r="F541" s="1"/>
      <c r="P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142"/>
    </row>
    <row r="542" ht="17.25" customHeight="1">
      <c r="A542" s="1"/>
      <c r="B542" s="1"/>
      <c r="C542" s="1"/>
      <c r="D542" s="1"/>
      <c r="E542" s="1"/>
      <c r="F542" s="1"/>
      <c r="P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142"/>
    </row>
    <row r="543" ht="17.25" customHeight="1">
      <c r="A543" s="1"/>
      <c r="B543" s="1"/>
      <c r="C543" s="1"/>
      <c r="D543" s="1"/>
      <c r="E543" s="1"/>
      <c r="F543" s="1"/>
      <c r="P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142"/>
    </row>
    <row r="544" ht="17.25" customHeight="1">
      <c r="A544" s="1"/>
      <c r="B544" s="1"/>
      <c r="C544" s="1"/>
      <c r="D544" s="1"/>
      <c r="E544" s="1"/>
      <c r="F544" s="1"/>
      <c r="P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142"/>
    </row>
    <row r="545" ht="17.25" customHeight="1">
      <c r="A545" s="1"/>
      <c r="B545" s="1"/>
      <c r="C545" s="1"/>
      <c r="D545" s="1"/>
      <c r="E545" s="1"/>
      <c r="F545" s="1"/>
      <c r="P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142"/>
    </row>
    <row r="546" ht="17.25" customHeight="1">
      <c r="A546" s="1"/>
      <c r="B546" s="1"/>
      <c r="C546" s="1"/>
      <c r="D546" s="1"/>
      <c r="E546" s="1"/>
      <c r="F546" s="1"/>
      <c r="P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142"/>
    </row>
    <row r="547" ht="17.25" customHeight="1">
      <c r="A547" s="1"/>
      <c r="B547" s="1"/>
      <c r="C547" s="1"/>
      <c r="D547" s="1"/>
      <c r="E547" s="1"/>
      <c r="F547" s="1"/>
      <c r="P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142"/>
    </row>
    <row r="548" ht="17.25" customHeight="1">
      <c r="A548" s="1"/>
      <c r="B548" s="1"/>
      <c r="C548" s="1"/>
      <c r="D548" s="1"/>
      <c r="E548" s="1"/>
      <c r="F548" s="1"/>
      <c r="P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142"/>
    </row>
    <row r="549" ht="17.25" customHeight="1">
      <c r="A549" s="1"/>
      <c r="B549" s="1"/>
      <c r="C549" s="1"/>
      <c r="D549" s="1"/>
      <c r="E549" s="1"/>
      <c r="F549" s="1"/>
      <c r="P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142"/>
    </row>
    <row r="550" ht="17.25" customHeight="1">
      <c r="A550" s="1"/>
      <c r="B550" s="1"/>
      <c r="C550" s="1"/>
      <c r="D550" s="1"/>
      <c r="E550" s="1"/>
      <c r="F550" s="1"/>
      <c r="P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142"/>
    </row>
    <row r="551" ht="17.25" customHeight="1">
      <c r="A551" s="1"/>
      <c r="B551" s="1"/>
      <c r="C551" s="1"/>
      <c r="D551" s="1"/>
      <c r="E551" s="1"/>
      <c r="F551" s="1"/>
      <c r="P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142"/>
    </row>
    <row r="552" ht="17.25" customHeight="1">
      <c r="A552" s="1"/>
      <c r="B552" s="1"/>
      <c r="C552" s="1"/>
      <c r="D552" s="1"/>
      <c r="E552" s="1"/>
      <c r="F552" s="1"/>
      <c r="P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142"/>
    </row>
    <row r="553" ht="17.25" customHeight="1">
      <c r="A553" s="1"/>
      <c r="B553" s="1"/>
      <c r="C553" s="1"/>
      <c r="D553" s="1"/>
      <c r="E553" s="1"/>
      <c r="F553" s="1"/>
      <c r="P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142"/>
    </row>
    <row r="554" ht="17.25" customHeight="1">
      <c r="A554" s="1"/>
      <c r="B554" s="1"/>
      <c r="C554" s="1"/>
      <c r="D554" s="1"/>
      <c r="E554" s="1"/>
      <c r="F554" s="1"/>
      <c r="P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142"/>
    </row>
    <row r="555" ht="17.25" customHeight="1">
      <c r="A555" s="1"/>
      <c r="B555" s="1"/>
      <c r="C555" s="1"/>
      <c r="D555" s="1"/>
      <c r="E555" s="1"/>
      <c r="F555" s="1"/>
      <c r="P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142"/>
    </row>
    <row r="556" ht="17.25" customHeight="1">
      <c r="A556" s="1"/>
      <c r="B556" s="1"/>
      <c r="C556" s="1"/>
      <c r="D556" s="1"/>
      <c r="E556" s="1"/>
      <c r="F556" s="1"/>
      <c r="P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142"/>
    </row>
    <row r="557" ht="17.25" customHeight="1">
      <c r="A557" s="1"/>
      <c r="B557" s="1"/>
      <c r="C557" s="1"/>
      <c r="D557" s="1"/>
      <c r="E557" s="1"/>
      <c r="F557" s="1"/>
      <c r="P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142"/>
    </row>
    <row r="558" ht="17.25" customHeight="1">
      <c r="A558" s="1"/>
      <c r="B558" s="1"/>
      <c r="C558" s="1"/>
      <c r="D558" s="1"/>
      <c r="E558" s="1"/>
      <c r="F558" s="1"/>
      <c r="P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142"/>
    </row>
    <row r="559" ht="17.25" customHeight="1">
      <c r="A559" s="1"/>
      <c r="B559" s="1"/>
      <c r="C559" s="1"/>
      <c r="D559" s="1"/>
      <c r="E559" s="1"/>
      <c r="F559" s="1"/>
      <c r="P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142"/>
    </row>
    <row r="560" ht="17.25" customHeight="1">
      <c r="A560" s="1"/>
      <c r="B560" s="1"/>
      <c r="C560" s="1"/>
      <c r="D560" s="1"/>
      <c r="E560" s="1"/>
      <c r="F560" s="1"/>
      <c r="P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142"/>
    </row>
    <row r="561" ht="17.25" customHeight="1">
      <c r="A561" s="1"/>
      <c r="B561" s="1"/>
      <c r="C561" s="1"/>
      <c r="D561" s="1"/>
      <c r="E561" s="1"/>
      <c r="F561" s="1"/>
      <c r="P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142"/>
    </row>
    <row r="562" ht="17.25" customHeight="1">
      <c r="A562" s="1"/>
      <c r="B562" s="1"/>
      <c r="C562" s="1"/>
      <c r="D562" s="1"/>
      <c r="E562" s="1"/>
      <c r="F562" s="1"/>
      <c r="P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142"/>
    </row>
    <row r="563" ht="17.25" customHeight="1">
      <c r="A563" s="1"/>
      <c r="B563" s="1"/>
      <c r="C563" s="1"/>
      <c r="D563" s="1"/>
      <c r="E563" s="1"/>
      <c r="F563" s="1"/>
      <c r="P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142"/>
    </row>
    <row r="564" ht="17.25" customHeight="1">
      <c r="A564" s="1"/>
      <c r="B564" s="1"/>
      <c r="C564" s="1"/>
      <c r="D564" s="1"/>
      <c r="E564" s="1"/>
      <c r="F564" s="1"/>
      <c r="P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142"/>
    </row>
    <row r="565" ht="17.25" customHeight="1">
      <c r="A565" s="1"/>
      <c r="B565" s="1"/>
      <c r="C565" s="1"/>
      <c r="D565" s="1"/>
      <c r="E565" s="1"/>
      <c r="F565" s="1"/>
      <c r="P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142"/>
    </row>
    <row r="566" ht="17.25" customHeight="1">
      <c r="A566" s="1"/>
      <c r="B566" s="1"/>
      <c r="C566" s="1"/>
      <c r="D566" s="1"/>
      <c r="E566" s="1"/>
      <c r="F566" s="1"/>
      <c r="P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142"/>
    </row>
    <row r="567" ht="17.25" customHeight="1">
      <c r="A567" s="1"/>
      <c r="B567" s="1"/>
      <c r="C567" s="1"/>
      <c r="D567" s="1"/>
      <c r="E567" s="1"/>
      <c r="F567" s="1"/>
      <c r="P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142"/>
    </row>
    <row r="568" ht="17.25" customHeight="1">
      <c r="A568" s="1"/>
      <c r="B568" s="1"/>
      <c r="C568" s="1"/>
      <c r="D568" s="1"/>
      <c r="E568" s="1"/>
      <c r="F568" s="1"/>
      <c r="P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142"/>
    </row>
    <row r="569" ht="17.25" customHeight="1">
      <c r="A569" s="1"/>
      <c r="B569" s="1"/>
      <c r="C569" s="1"/>
      <c r="D569" s="1"/>
      <c r="E569" s="1"/>
      <c r="F569" s="1"/>
      <c r="P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142"/>
    </row>
    <row r="570" ht="17.25" customHeight="1">
      <c r="A570" s="1"/>
      <c r="B570" s="1"/>
      <c r="C570" s="1"/>
      <c r="D570" s="1"/>
      <c r="E570" s="1"/>
      <c r="F570" s="1"/>
      <c r="P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142"/>
    </row>
    <row r="571" ht="17.25" customHeight="1">
      <c r="A571" s="1"/>
      <c r="B571" s="1"/>
      <c r="C571" s="1"/>
      <c r="D571" s="1"/>
      <c r="E571" s="1"/>
      <c r="F571" s="1"/>
      <c r="P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142"/>
    </row>
    <row r="572" ht="17.25" customHeight="1">
      <c r="A572" s="1"/>
      <c r="B572" s="1"/>
      <c r="C572" s="1"/>
      <c r="D572" s="1"/>
      <c r="E572" s="1"/>
      <c r="F572" s="1"/>
      <c r="P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142"/>
    </row>
    <row r="573" ht="17.25" customHeight="1">
      <c r="A573" s="1"/>
      <c r="B573" s="1"/>
      <c r="C573" s="1"/>
      <c r="D573" s="1"/>
      <c r="E573" s="1"/>
      <c r="F573" s="1"/>
      <c r="P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142"/>
    </row>
    <row r="574" ht="17.25" customHeight="1">
      <c r="A574" s="1"/>
      <c r="B574" s="1"/>
      <c r="C574" s="1"/>
      <c r="D574" s="1"/>
      <c r="E574" s="1"/>
      <c r="F574" s="1"/>
      <c r="P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142"/>
    </row>
    <row r="575" ht="17.25" customHeight="1">
      <c r="A575" s="1"/>
      <c r="B575" s="1"/>
      <c r="C575" s="1"/>
      <c r="D575" s="1"/>
      <c r="E575" s="1"/>
      <c r="F575" s="1"/>
      <c r="P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142"/>
    </row>
    <row r="576" ht="17.25" customHeight="1">
      <c r="A576" s="1"/>
      <c r="B576" s="1"/>
      <c r="C576" s="1"/>
      <c r="D576" s="1"/>
      <c r="E576" s="1"/>
      <c r="F576" s="1"/>
      <c r="P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142"/>
    </row>
    <row r="577" ht="17.25" customHeight="1">
      <c r="A577" s="1"/>
      <c r="B577" s="1"/>
      <c r="C577" s="1"/>
      <c r="D577" s="1"/>
      <c r="E577" s="1"/>
      <c r="F577" s="1"/>
      <c r="P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142"/>
    </row>
    <row r="578" ht="17.25" customHeight="1">
      <c r="A578" s="1"/>
      <c r="B578" s="1"/>
      <c r="C578" s="1"/>
      <c r="D578" s="1"/>
      <c r="E578" s="1"/>
      <c r="F578" s="1"/>
      <c r="P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142"/>
    </row>
    <row r="579" ht="17.25" customHeight="1">
      <c r="A579" s="1"/>
      <c r="B579" s="1"/>
      <c r="C579" s="1"/>
      <c r="D579" s="1"/>
      <c r="E579" s="1"/>
      <c r="F579" s="1"/>
      <c r="P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142"/>
    </row>
    <row r="580" ht="17.25" customHeight="1">
      <c r="A580" s="1"/>
      <c r="B580" s="1"/>
      <c r="C580" s="1"/>
      <c r="D580" s="1"/>
      <c r="E580" s="1"/>
      <c r="F580" s="1"/>
      <c r="P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142"/>
    </row>
    <row r="581" ht="17.25" customHeight="1">
      <c r="A581" s="1"/>
      <c r="B581" s="1"/>
      <c r="C581" s="1"/>
      <c r="D581" s="1"/>
      <c r="E581" s="1"/>
      <c r="F581" s="1"/>
      <c r="P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142"/>
    </row>
    <row r="582" ht="17.25" customHeight="1">
      <c r="A582" s="1"/>
      <c r="B582" s="1"/>
      <c r="C582" s="1"/>
      <c r="D582" s="1"/>
      <c r="E582" s="1"/>
      <c r="F582" s="1"/>
      <c r="P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142"/>
    </row>
    <row r="583" ht="17.25" customHeight="1">
      <c r="A583" s="1"/>
      <c r="B583" s="1"/>
      <c r="C583" s="1"/>
      <c r="D583" s="1"/>
      <c r="E583" s="1"/>
      <c r="F583" s="1"/>
      <c r="P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142"/>
    </row>
    <row r="584" ht="17.25" customHeight="1">
      <c r="A584" s="1"/>
      <c r="B584" s="1"/>
      <c r="C584" s="1"/>
      <c r="D584" s="1"/>
      <c r="E584" s="1"/>
      <c r="F584" s="1"/>
      <c r="P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142"/>
    </row>
    <row r="585" ht="17.25" customHeight="1">
      <c r="A585" s="1"/>
      <c r="B585" s="1"/>
      <c r="C585" s="1"/>
      <c r="D585" s="1"/>
      <c r="E585" s="1"/>
      <c r="F585" s="1"/>
      <c r="P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142"/>
    </row>
    <row r="586" ht="17.25" customHeight="1">
      <c r="A586" s="1"/>
      <c r="B586" s="1"/>
      <c r="C586" s="1"/>
      <c r="D586" s="1"/>
      <c r="E586" s="1"/>
      <c r="F586" s="1"/>
      <c r="P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142"/>
    </row>
    <row r="587" ht="17.25" customHeight="1">
      <c r="A587" s="1"/>
      <c r="B587" s="1"/>
      <c r="C587" s="1"/>
      <c r="D587" s="1"/>
      <c r="E587" s="1"/>
      <c r="F587" s="1"/>
      <c r="P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142"/>
    </row>
    <row r="588" ht="17.25" customHeight="1">
      <c r="A588" s="1"/>
      <c r="B588" s="1"/>
      <c r="C588" s="1"/>
      <c r="D588" s="1"/>
      <c r="E588" s="1"/>
      <c r="F588" s="1"/>
      <c r="P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142"/>
    </row>
    <row r="589" ht="17.25" customHeight="1">
      <c r="A589" s="1"/>
      <c r="B589" s="1"/>
      <c r="C589" s="1"/>
      <c r="D589" s="1"/>
      <c r="E589" s="1"/>
      <c r="F589" s="1"/>
      <c r="P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142"/>
    </row>
    <row r="590" ht="17.25" customHeight="1">
      <c r="A590" s="1"/>
      <c r="B590" s="1"/>
      <c r="C590" s="1"/>
      <c r="D590" s="1"/>
      <c r="E590" s="1"/>
      <c r="F590" s="1"/>
      <c r="P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142"/>
    </row>
    <row r="591" ht="17.25" customHeight="1">
      <c r="A591" s="1"/>
      <c r="B591" s="1"/>
      <c r="C591" s="1"/>
      <c r="D591" s="1"/>
      <c r="E591" s="1"/>
      <c r="F591" s="1"/>
      <c r="P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142"/>
    </row>
    <row r="592" ht="17.25" customHeight="1">
      <c r="A592" s="1"/>
      <c r="B592" s="1"/>
      <c r="C592" s="1"/>
      <c r="D592" s="1"/>
      <c r="E592" s="1"/>
      <c r="F592" s="1"/>
      <c r="P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142"/>
    </row>
    <row r="593" ht="17.25" customHeight="1">
      <c r="A593" s="1"/>
      <c r="B593" s="1"/>
      <c r="C593" s="1"/>
      <c r="D593" s="1"/>
      <c r="E593" s="1"/>
      <c r="F593" s="1"/>
      <c r="P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142"/>
    </row>
    <row r="594" ht="17.25" customHeight="1">
      <c r="A594" s="1"/>
      <c r="B594" s="1"/>
      <c r="C594" s="1"/>
      <c r="D594" s="1"/>
      <c r="E594" s="1"/>
      <c r="F594" s="1"/>
      <c r="P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142"/>
    </row>
    <row r="595" ht="17.25" customHeight="1">
      <c r="A595" s="1"/>
      <c r="B595" s="1"/>
      <c r="C595" s="1"/>
      <c r="D595" s="1"/>
      <c r="E595" s="1"/>
      <c r="F595" s="1"/>
      <c r="P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142"/>
    </row>
    <row r="596" ht="17.25" customHeight="1">
      <c r="A596" s="1"/>
      <c r="B596" s="1"/>
      <c r="C596" s="1"/>
      <c r="D596" s="1"/>
      <c r="E596" s="1"/>
      <c r="F596" s="1"/>
      <c r="P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142"/>
    </row>
    <row r="597" ht="17.25" customHeight="1">
      <c r="A597" s="1"/>
      <c r="B597" s="1"/>
      <c r="C597" s="1"/>
      <c r="D597" s="1"/>
      <c r="E597" s="1"/>
      <c r="F597" s="1"/>
      <c r="P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142"/>
    </row>
    <row r="598" ht="17.25" customHeight="1">
      <c r="A598" s="1"/>
      <c r="B598" s="1"/>
      <c r="C598" s="1"/>
      <c r="D598" s="1"/>
      <c r="E598" s="1"/>
      <c r="F598" s="1"/>
      <c r="P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142"/>
    </row>
    <row r="599" ht="17.25" customHeight="1">
      <c r="A599" s="1"/>
      <c r="B599" s="1"/>
      <c r="C599" s="1"/>
      <c r="D599" s="1"/>
      <c r="E599" s="1"/>
      <c r="F599" s="1"/>
      <c r="P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142"/>
    </row>
    <row r="600" ht="17.25" customHeight="1">
      <c r="A600" s="1"/>
      <c r="B600" s="1"/>
      <c r="C600" s="1"/>
      <c r="D600" s="1"/>
      <c r="E600" s="1"/>
      <c r="F600" s="1"/>
      <c r="P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142"/>
    </row>
    <row r="601" ht="17.25" customHeight="1">
      <c r="A601" s="1"/>
      <c r="B601" s="1"/>
      <c r="C601" s="1"/>
      <c r="D601" s="1"/>
      <c r="E601" s="1"/>
      <c r="F601" s="1"/>
      <c r="P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142"/>
    </row>
    <row r="602" ht="17.25" customHeight="1">
      <c r="A602" s="1"/>
      <c r="B602" s="1"/>
      <c r="C602" s="1"/>
      <c r="D602" s="1"/>
      <c r="E602" s="1"/>
      <c r="F602" s="1"/>
      <c r="P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142"/>
    </row>
    <row r="603" ht="17.25" customHeight="1">
      <c r="A603" s="1"/>
      <c r="B603" s="1"/>
      <c r="C603" s="1"/>
      <c r="D603" s="1"/>
      <c r="E603" s="1"/>
      <c r="F603" s="1"/>
      <c r="P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142"/>
    </row>
    <row r="604" ht="17.25" customHeight="1">
      <c r="A604" s="1"/>
      <c r="B604" s="1"/>
      <c r="C604" s="1"/>
      <c r="D604" s="1"/>
      <c r="E604" s="1"/>
      <c r="F604" s="1"/>
      <c r="P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142"/>
    </row>
    <row r="605" ht="17.25" customHeight="1">
      <c r="A605" s="1"/>
      <c r="B605" s="1"/>
      <c r="C605" s="1"/>
      <c r="D605" s="1"/>
      <c r="E605" s="1"/>
      <c r="F605" s="1"/>
      <c r="P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142"/>
    </row>
    <row r="606" ht="17.25" customHeight="1">
      <c r="A606" s="1"/>
      <c r="B606" s="1"/>
      <c r="C606" s="1"/>
      <c r="D606" s="1"/>
      <c r="E606" s="1"/>
      <c r="F606" s="1"/>
      <c r="P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142"/>
    </row>
    <row r="607" ht="17.25" customHeight="1">
      <c r="A607" s="1"/>
      <c r="B607" s="1"/>
      <c r="C607" s="1"/>
      <c r="D607" s="1"/>
      <c r="E607" s="1"/>
      <c r="F607" s="1"/>
      <c r="P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142"/>
    </row>
    <row r="608" ht="17.25" customHeight="1">
      <c r="A608" s="1"/>
      <c r="B608" s="1"/>
      <c r="C608" s="1"/>
      <c r="D608" s="1"/>
      <c r="E608" s="1"/>
      <c r="F608" s="1"/>
      <c r="P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142"/>
    </row>
    <row r="609" ht="17.25" customHeight="1">
      <c r="A609" s="1"/>
      <c r="B609" s="1"/>
      <c r="C609" s="1"/>
      <c r="D609" s="1"/>
      <c r="E609" s="1"/>
      <c r="F609" s="1"/>
      <c r="P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142"/>
    </row>
    <row r="610" ht="17.25" customHeight="1">
      <c r="A610" s="1"/>
      <c r="B610" s="1"/>
      <c r="C610" s="1"/>
      <c r="D610" s="1"/>
      <c r="E610" s="1"/>
      <c r="F610" s="1"/>
      <c r="P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142"/>
    </row>
    <row r="611" ht="17.25" customHeight="1">
      <c r="A611" s="1"/>
      <c r="B611" s="1"/>
      <c r="C611" s="1"/>
      <c r="D611" s="1"/>
      <c r="E611" s="1"/>
      <c r="F611" s="1"/>
      <c r="P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142"/>
    </row>
    <row r="612" ht="17.25" customHeight="1">
      <c r="A612" s="1"/>
      <c r="B612" s="1"/>
      <c r="C612" s="1"/>
      <c r="D612" s="1"/>
      <c r="E612" s="1"/>
      <c r="F612" s="1"/>
      <c r="P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142"/>
    </row>
    <row r="613" ht="17.25" customHeight="1">
      <c r="A613" s="1"/>
      <c r="B613" s="1"/>
      <c r="C613" s="1"/>
      <c r="D613" s="1"/>
      <c r="E613" s="1"/>
      <c r="F613" s="1"/>
      <c r="P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142"/>
    </row>
    <row r="614" ht="17.25" customHeight="1">
      <c r="A614" s="1"/>
      <c r="B614" s="1"/>
      <c r="C614" s="1"/>
      <c r="D614" s="1"/>
      <c r="E614" s="1"/>
      <c r="F614" s="1"/>
      <c r="P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142"/>
    </row>
    <row r="615" ht="17.25" customHeight="1">
      <c r="A615" s="1"/>
      <c r="B615" s="1"/>
      <c r="C615" s="1"/>
      <c r="D615" s="1"/>
      <c r="E615" s="1"/>
      <c r="F615" s="1"/>
      <c r="P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142"/>
    </row>
    <row r="616" ht="17.25" customHeight="1">
      <c r="A616" s="1"/>
      <c r="B616" s="1"/>
      <c r="C616" s="1"/>
      <c r="D616" s="1"/>
      <c r="E616" s="1"/>
      <c r="F616" s="1"/>
      <c r="P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142"/>
    </row>
    <row r="617" ht="17.25" customHeight="1">
      <c r="A617" s="1"/>
      <c r="B617" s="1"/>
      <c r="C617" s="1"/>
      <c r="D617" s="1"/>
      <c r="E617" s="1"/>
      <c r="F617" s="1"/>
      <c r="P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142"/>
    </row>
    <row r="618" ht="17.25" customHeight="1">
      <c r="A618" s="1"/>
      <c r="B618" s="1"/>
      <c r="C618" s="1"/>
      <c r="D618" s="1"/>
      <c r="E618" s="1"/>
      <c r="F618" s="1"/>
      <c r="P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142"/>
    </row>
    <row r="619" ht="17.25" customHeight="1">
      <c r="A619" s="1"/>
      <c r="B619" s="1"/>
      <c r="C619" s="1"/>
      <c r="D619" s="1"/>
      <c r="E619" s="1"/>
      <c r="F619" s="1"/>
      <c r="P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142"/>
    </row>
    <row r="620" ht="17.25" customHeight="1">
      <c r="A620" s="1"/>
      <c r="B620" s="1"/>
      <c r="C620" s="1"/>
      <c r="D620" s="1"/>
      <c r="E620" s="1"/>
      <c r="F620" s="1"/>
      <c r="P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142"/>
    </row>
    <row r="621" ht="17.25" customHeight="1">
      <c r="A621" s="1"/>
      <c r="B621" s="1"/>
      <c r="C621" s="1"/>
      <c r="D621" s="1"/>
      <c r="E621" s="1"/>
      <c r="F621" s="1"/>
      <c r="P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142"/>
    </row>
    <row r="622" ht="17.25" customHeight="1">
      <c r="A622" s="1"/>
      <c r="B622" s="1"/>
      <c r="C622" s="1"/>
      <c r="D622" s="1"/>
      <c r="E622" s="1"/>
      <c r="F622" s="1"/>
      <c r="P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142"/>
    </row>
    <row r="623" ht="17.25" customHeight="1">
      <c r="A623" s="1"/>
      <c r="B623" s="1"/>
      <c r="C623" s="1"/>
      <c r="D623" s="1"/>
      <c r="E623" s="1"/>
      <c r="F623" s="1"/>
      <c r="P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142"/>
    </row>
    <row r="624" ht="17.25" customHeight="1">
      <c r="A624" s="1"/>
      <c r="B624" s="1"/>
      <c r="C624" s="1"/>
      <c r="D624" s="1"/>
      <c r="E624" s="1"/>
      <c r="F624" s="1"/>
      <c r="P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142"/>
    </row>
    <row r="625" ht="17.25" customHeight="1">
      <c r="A625" s="1"/>
      <c r="B625" s="1"/>
      <c r="C625" s="1"/>
      <c r="D625" s="1"/>
      <c r="E625" s="1"/>
      <c r="F625" s="1"/>
      <c r="P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142"/>
    </row>
    <row r="626" ht="17.25" customHeight="1">
      <c r="A626" s="1"/>
      <c r="B626" s="1"/>
      <c r="C626" s="1"/>
      <c r="D626" s="1"/>
      <c r="E626" s="1"/>
      <c r="F626" s="1"/>
      <c r="P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142"/>
    </row>
    <row r="627" ht="17.25" customHeight="1">
      <c r="A627" s="1"/>
      <c r="B627" s="1"/>
      <c r="C627" s="1"/>
      <c r="D627" s="1"/>
      <c r="E627" s="1"/>
      <c r="F627" s="1"/>
      <c r="P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142"/>
    </row>
    <row r="628" ht="17.25" customHeight="1">
      <c r="A628" s="1"/>
      <c r="B628" s="1"/>
      <c r="C628" s="1"/>
      <c r="D628" s="1"/>
      <c r="E628" s="1"/>
      <c r="F628" s="1"/>
      <c r="P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142"/>
    </row>
    <row r="629" ht="17.25" customHeight="1">
      <c r="A629" s="1"/>
      <c r="B629" s="1"/>
      <c r="C629" s="1"/>
      <c r="D629" s="1"/>
      <c r="E629" s="1"/>
      <c r="F629" s="1"/>
      <c r="P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142"/>
    </row>
    <row r="630" ht="17.25" customHeight="1">
      <c r="A630" s="1"/>
      <c r="B630" s="1"/>
      <c r="C630" s="1"/>
      <c r="D630" s="1"/>
      <c r="E630" s="1"/>
      <c r="F630" s="1"/>
      <c r="P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142"/>
    </row>
    <row r="631" ht="17.25" customHeight="1">
      <c r="A631" s="1"/>
      <c r="B631" s="1"/>
      <c r="C631" s="1"/>
      <c r="D631" s="1"/>
      <c r="E631" s="1"/>
      <c r="F631" s="1"/>
      <c r="P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142"/>
    </row>
    <row r="632" ht="17.25" customHeight="1">
      <c r="A632" s="1"/>
      <c r="B632" s="1"/>
      <c r="C632" s="1"/>
      <c r="D632" s="1"/>
      <c r="E632" s="1"/>
      <c r="F632" s="1"/>
      <c r="P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142"/>
    </row>
    <row r="633" ht="17.25" customHeight="1">
      <c r="A633" s="1"/>
      <c r="B633" s="1"/>
      <c r="C633" s="1"/>
      <c r="D633" s="1"/>
      <c r="E633" s="1"/>
      <c r="F633" s="1"/>
      <c r="P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142"/>
    </row>
    <row r="634" ht="17.25" customHeight="1">
      <c r="A634" s="1"/>
      <c r="B634" s="1"/>
      <c r="C634" s="1"/>
      <c r="D634" s="1"/>
      <c r="E634" s="1"/>
      <c r="F634" s="1"/>
      <c r="P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142"/>
    </row>
    <row r="635" ht="17.25" customHeight="1">
      <c r="A635" s="1"/>
      <c r="B635" s="1"/>
      <c r="C635" s="1"/>
      <c r="D635" s="1"/>
      <c r="E635" s="1"/>
      <c r="F635" s="1"/>
      <c r="P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142"/>
    </row>
    <row r="636" ht="17.25" customHeight="1">
      <c r="A636" s="1"/>
      <c r="B636" s="1"/>
      <c r="C636" s="1"/>
      <c r="D636" s="1"/>
      <c r="E636" s="1"/>
      <c r="F636" s="1"/>
      <c r="P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142"/>
    </row>
    <row r="637" ht="17.25" customHeight="1">
      <c r="A637" s="1"/>
      <c r="B637" s="1"/>
      <c r="C637" s="1"/>
      <c r="D637" s="1"/>
      <c r="E637" s="1"/>
      <c r="F637" s="1"/>
      <c r="P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142"/>
    </row>
    <row r="638" ht="17.25" customHeight="1">
      <c r="A638" s="1"/>
      <c r="B638" s="1"/>
      <c r="C638" s="1"/>
      <c r="D638" s="1"/>
      <c r="E638" s="1"/>
      <c r="F638" s="1"/>
      <c r="P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142"/>
    </row>
    <row r="639" ht="17.25" customHeight="1">
      <c r="A639" s="1"/>
      <c r="B639" s="1"/>
      <c r="C639" s="1"/>
      <c r="D639" s="1"/>
      <c r="E639" s="1"/>
      <c r="F639" s="1"/>
      <c r="P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142"/>
    </row>
    <row r="640" ht="17.25" customHeight="1">
      <c r="A640" s="1"/>
      <c r="B640" s="1"/>
      <c r="C640" s="1"/>
      <c r="D640" s="1"/>
      <c r="E640" s="1"/>
      <c r="F640" s="1"/>
      <c r="P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142"/>
    </row>
    <row r="641" ht="17.25" customHeight="1">
      <c r="A641" s="1"/>
      <c r="B641" s="1"/>
      <c r="C641" s="1"/>
      <c r="D641" s="1"/>
      <c r="E641" s="1"/>
      <c r="F641" s="1"/>
      <c r="P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142"/>
    </row>
    <row r="642" ht="17.25" customHeight="1">
      <c r="A642" s="1"/>
      <c r="B642" s="1"/>
      <c r="C642" s="1"/>
      <c r="D642" s="1"/>
      <c r="E642" s="1"/>
      <c r="F642" s="1"/>
      <c r="P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142"/>
    </row>
    <row r="643" ht="17.25" customHeight="1">
      <c r="A643" s="1"/>
      <c r="B643" s="1"/>
      <c r="C643" s="1"/>
      <c r="D643" s="1"/>
      <c r="E643" s="1"/>
      <c r="F643" s="1"/>
      <c r="P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142"/>
    </row>
    <row r="644" ht="17.25" customHeight="1">
      <c r="A644" s="1"/>
      <c r="B644" s="1"/>
      <c r="C644" s="1"/>
      <c r="D644" s="1"/>
      <c r="E644" s="1"/>
      <c r="F644" s="1"/>
      <c r="P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142"/>
    </row>
    <row r="645" ht="17.25" customHeight="1">
      <c r="A645" s="1"/>
      <c r="B645" s="1"/>
      <c r="C645" s="1"/>
      <c r="D645" s="1"/>
      <c r="E645" s="1"/>
      <c r="F645" s="1"/>
      <c r="P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142"/>
    </row>
    <row r="646" ht="17.25" customHeight="1">
      <c r="A646" s="1"/>
      <c r="B646" s="1"/>
      <c r="C646" s="1"/>
      <c r="D646" s="1"/>
      <c r="E646" s="1"/>
      <c r="F646" s="1"/>
      <c r="P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142"/>
    </row>
    <row r="647" ht="17.25" customHeight="1">
      <c r="A647" s="1"/>
      <c r="B647" s="1"/>
      <c r="C647" s="1"/>
      <c r="D647" s="1"/>
      <c r="E647" s="1"/>
      <c r="F647" s="1"/>
      <c r="P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142"/>
    </row>
    <row r="648" ht="17.25" customHeight="1">
      <c r="A648" s="1"/>
      <c r="B648" s="1"/>
      <c r="C648" s="1"/>
      <c r="D648" s="1"/>
      <c r="E648" s="1"/>
      <c r="F648" s="1"/>
      <c r="P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142"/>
    </row>
    <row r="649" ht="17.25" customHeight="1">
      <c r="A649" s="1"/>
      <c r="B649" s="1"/>
      <c r="C649" s="1"/>
      <c r="D649" s="1"/>
      <c r="E649" s="1"/>
      <c r="F649" s="1"/>
      <c r="P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142"/>
    </row>
    <row r="650" ht="17.25" customHeight="1">
      <c r="A650" s="1"/>
      <c r="B650" s="1"/>
      <c r="C650" s="1"/>
      <c r="D650" s="1"/>
      <c r="E650" s="1"/>
      <c r="F650" s="1"/>
      <c r="P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142"/>
    </row>
    <row r="651" ht="17.25" customHeight="1">
      <c r="A651" s="1"/>
      <c r="B651" s="1"/>
      <c r="C651" s="1"/>
      <c r="D651" s="1"/>
      <c r="E651" s="1"/>
      <c r="F651" s="1"/>
      <c r="P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142"/>
    </row>
    <row r="652" ht="17.25" customHeight="1">
      <c r="A652" s="1"/>
      <c r="B652" s="1"/>
      <c r="C652" s="1"/>
      <c r="D652" s="1"/>
      <c r="E652" s="1"/>
      <c r="F652" s="1"/>
      <c r="P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142"/>
    </row>
    <row r="653" ht="17.25" customHeight="1">
      <c r="A653" s="1"/>
      <c r="B653" s="1"/>
      <c r="C653" s="1"/>
      <c r="D653" s="1"/>
      <c r="E653" s="1"/>
      <c r="F653" s="1"/>
      <c r="P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142"/>
    </row>
    <row r="654" ht="17.25" customHeight="1">
      <c r="A654" s="1"/>
      <c r="B654" s="1"/>
      <c r="C654" s="1"/>
      <c r="D654" s="1"/>
      <c r="E654" s="1"/>
      <c r="F654" s="1"/>
      <c r="P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142"/>
    </row>
    <row r="655" ht="17.25" customHeight="1">
      <c r="A655" s="1"/>
      <c r="B655" s="1"/>
      <c r="C655" s="1"/>
      <c r="D655" s="1"/>
      <c r="E655" s="1"/>
      <c r="F655" s="1"/>
      <c r="P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142"/>
    </row>
    <row r="656" ht="17.25" customHeight="1">
      <c r="A656" s="1"/>
      <c r="B656" s="1"/>
      <c r="C656" s="1"/>
      <c r="D656" s="1"/>
      <c r="E656" s="1"/>
      <c r="F656" s="1"/>
      <c r="P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142"/>
    </row>
    <row r="657" ht="17.25" customHeight="1">
      <c r="A657" s="1"/>
      <c r="B657" s="1"/>
      <c r="C657" s="1"/>
      <c r="D657" s="1"/>
      <c r="E657" s="1"/>
      <c r="F657" s="1"/>
      <c r="P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142"/>
    </row>
    <row r="658" ht="17.25" customHeight="1">
      <c r="A658" s="1"/>
      <c r="B658" s="1"/>
      <c r="C658" s="1"/>
      <c r="D658" s="1"/>
      <c r="E658" s="1"/>
      <c r="F658" s="1"/>
      <c r="P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142"/>
    </row>
    <row r="659" ht="17.25" customHeight="1">
      <c r="A659" s="1"/>
      <c r="B659" s="1"/>
      <c r="C659" s="1"/>
      <c r="D659" s="1"/>
      <c r="E659" s="1"/>
      <c r="F659" s="1"/>
      <c r="P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142"/>
    </row>
    <row r="660" ht="17.25" customHeight="1">
      <c r="A660" s="1"/>
      <c r="B660" s="1"/>
      <c r="C660" s="1"/>
      <c r="D660" s="1"/>
      <c r="E660" s="1"/>
      <c r="F660" s="1"/>
      <c r="P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142"/>
    </row>
    <row r="661" ht="17.25" customHeight="1">
      <c r="A661" s="1"/>
      <c r="B661" s="1"/>
      <c r="C661" s="1"/>
      <c r="D661" s="1"/>
      <c r="E661" s="1"/>
      <c r="F661" s="1"/>
      <c r="P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142"/>
    </row>
    <row r="662" ht="17.25" customHeight="1">
      <c r="A662" s="1"/>
      <c r="B662" s="1"/>
      <c r="C662" s="1"/>
      <c r="D662" s="1"/>
      <c r="E662" s="1"/>
      <c r="F662" s="1"/>
      <c r="P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142"/>
    </row>
    <row r="663" ht="17.25" customHeight="1">
      <c r="A663" s="1"/>
      <c r="B663" s="1"/>
      <c r="C663" s="1"/>
      <c r="D663" s="1"/>
      <c r="E663" s="1"/>
      <c r="F663" s="1"/>
      <c r="P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142"/>
    </row>
    <row r="664" ht="17.25" customHeight="1">
      <c r="A664" s="1"/>
      <c r="B664" s="1"/>
      <c r="C664" s="1"/>
      <c r="D664" s="1"/>
      <c r="E664" s="1"/>
      <c r="F664" s="1"/>
      <c r="P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142"/>
    </row>
    <row r="665" ht="17.25" customHeight="1">
      <c r="A665" s="1"/>
      <c r="B665" s="1"/>
      <c r="C665" s="1"/>
      <c r="D665" s="1"/>
      <c r="E665" s="1"/>
      <c r="F665" s="1"/>
      <c r="P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142"/>
    </row>
    <row r="666" ht="17.25" customHeight="1">
      <c r="A666" s="1"/>
      <c r="B666" s="1"/>
      <c r="C666" s="1"/>
      <c r="D666" s="1"/>
      <c r="E666" s="1"/>
      <c r="F666" s="1"/>
      <c r="P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142"/>
    </row>
    <row r="667" ht="17.25" customHeight="1">
      <c r="A667" s="1"/>
      <c r="B667" s="1"/>
      <c r="C667" s="1"/>
      <c r="D667" s="1"/>
      <c r="E667" s="1"/>
      <c r="F667" s="1"/>
      <c r="P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142"/>
    </row>
    <row r="668" ht="17.25" customHeight="1">
      <c r="A668" s="1"/>
      <c r="B668" s="1"/>
      <c r="C668" s="1"/>
      <c r="D668" s="1"/>
      <c r="E668" s="1"/>
      <c r="F668" s="1"/>
      <c r="P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142"/>
    </row>
    <row r="669" ht="17.25" customHeight="1">
      <c r="A669" s="1"/>
      <c r="B669" s="1"/>
      <c r="C669" s="1"/>
      <c r="D669" s="1"/>
      <c r="E669" s="1"/>
      <c r="F669" s="1"/>
      <c r="P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142"/>
    </row>
    <row r="670" ht="17.25" customHeight="1">
      <c r="A670" s="1"/>
      <c r="B670" s="1"/>
      <c r="C670" s="1"/>
      <c r="D670" s="1"/>
      <c r="E670" s="1"/>
      <c r="F670" s="1"/>
      <c r="P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142"/>
    </row>
    <row r="671" ht="17.25" customHeight="1">
      <c r="A671" s="1"/>
      <c r="B671" s="1"/>
      <c r="C671" s="1"/>
      <c r="D671" s="1"/>
      <c r="E671" s="1"/>
      <c r="F671" s="1"/>
      <c r="P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142"/>
    </row>
    <row r="672" ht="17.25" customHeight="1">
      <c r="A672" s="1"/>
      <c r="B672" s="1"/>
      <c r="C672" s="1"/>
      <c r="D672" s="1"/>
      <c r="E672" s="1"/>
      <c r="F672" s="1"/>
      <c r="P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142"/>
    </row>
    <row r="673" ht="17.25" customHeight="1">
      <c r="A673" s="1"/>
      <c r="B673" s="1"/>
      <c r="C673" s="1"/>
      <c r="D673" s="1"/>
      <c r="E673" s="1"/>
      <c r="F673" s="1"/>
      <c r="P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142"/>
    </row>
    <row r="674" ht="17.25" customHeight="1">
      <c r="A674" s="1"/>
      <c r="B674" s="1"/>
      <c r="C674" s="1"/>
      <c r="D674" s="1"/>
      <c r="E674" s="1"/>
      <c r="F674" s="1"/>
      <c r="P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142"/>
    </row>
    <row r="675" ht="17.25" customHeight="1">
      <c r="A675" s="1"/>
      <c r="B675" s="1"/>
      <c r="C675" s="1"/>
      <c r="D675" s="1"/>
      <c r="E675" s="1"/>
      <c r="F675" s="1"/>
      <c r="P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142"/>
    </row>
    <row r="676" ht="17.25" customHeight="1">
      <c r="A676" s="1"/>
      <c r="B676" s="1"/>
      <c r="C676" s="1"/>
      <c r="D676" s="1"/>
      <c r="E676" s="1"/>
      <c r="F676" s="1"/>
      <c r="P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142"/>
    </row>
    <row r="677" ht="17.25" customHeight="1">
      <c r="A677" s="1"/>
      <c r="B677" s="1"/>
      <c r="C677" s="1"/>
      <c r="D677" s="1"/>
      <c r="E677" s="1"/>
      <c r="F677" s="1"/>
      <c r="P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142"/>
    </row>
    <row r="678" ht="17.25" customHeight="1">
      <c r="A678" s="1"/>
      <c r="B678" s="1"/>
      <c r="C678" s="1"/>
      <c r="D678" s="1"/>
      <c r="E678" s="1"/>
      <c r="F678" s="1"/>
      <c r="P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142"/>
    </row>
    <row r="679" ht="17.25" customHeight="1">
      <c r="A679" s="1"/>
      <c r="B679" s="1"/>
      <c r="C679" s="1"/>
      <c r="D679" s="1"/>
      <c r="E679" s="1"/>
      <c r="F679" s="1"/>
      <c r="P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142"/>
    </row>
    <row r="680" ht="17.25" customHeight="1">
      <c r="A680" s="1"/>
      <c r="B680" s="1"/>
      <c r="C680" s="1"/>
      <c r="D680" s="1"/>
      <c r="E680" s="1"/>
      <c r="F680" s="1"/>
      <c r="P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142"/>
    </row>
    <row r="681" ht="17.25" customHeight="1">
      <c r="A681" s="1"/>
      <c r="B681" s="1"/>
      <c r="C681" s="1"/>
      <c r="D681" s="1"/>
      <c r="E681" s="1"/>
      <c r="F681" s="1"/>
      <c r="P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142"/>
    </row>
    <row r="682" ht="17.25" customHeight="1">
      <c r="A682" s="1"/>
      <c r="B682" s="1"/>
      <c r="C682" s="1"/>
      <c r="D682" s="1"/>
      <c r="E682" s="1"/>
      <c r="F682" s="1"/>
      <c r="P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142"/>
    </row>
    <row r="683" ht="17.25" customHeight="1">
      <c r="A683" s="1"/>
      <c r="B683" s="1"/>
      <c r="C683" s="1"/>
      <c r="D683" s="1"/>
      <c r="E683" s="1"/>
      <c r="F683" s="1"/>
      <c r="P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142"/>
    </row>
    <row r="684" ht="17.25" customHeight="1">
      <c r="A684" s="1"/>
      <c r="B684" s="1"/>
      <c r="C684" s="1"/>
      <c r="D684" s="1"/>
      <c r="E684" s="1"/>
      <c r="F684" s="1"/>
      <c r="P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142"/>
    </row>
    <row r="685" ht="17.25" customHeight="1">
      <c r="A685" s="1"/>
      <c r="B685" s="1"/>
      <c r="C685" s="1"/>
      <c r="D685" s="1"/>
      <c r="E685" s="1"/>
      <c r="F685" s="1"/>
      <c r="P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142"/>
    </row>
    <row r="686" ht="17.25" customHeight="1">
      <c r="A686" s="1"/>
      <c r="B686" s="1"/>
      <c r="C686" s="1"/>
      <c r="D686" s="1"/>
      <c r="E686" s="1"/>
      <c r="F686" s="1"/>
      <c r="P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142"/>
    </row>
    <row r="687" ht="17.25" customHeight="1">
      <c r="A687" s="1"/>
      <c r="B687" s="1"/>
      <c r="C687" s="1"/>
      <c r="D687" s="1"/>
      <c r="E687" s="1"/>
      <c r="F687" s="1"/>
      <c r="P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142"/>
    </row>
    <row r="688" ht="17.25" customHeight="1">
      <c r="A688" s="1"/>
      <c r="B688" s="1"/>
      <c r="C688" s="1"/>
      <c r="D688" s="1"/>
      <c r="E688" s="1"/>
      <c r="F688" s="1"/>
      <c r="P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142"/>
    </row>
    <row r="689" ht="17.25" customHeight="1">
      <c r="A689" s="1"/>
      <c r="B689" s="1"/>
      <c r="C689" s="1"/>
      <c r="D689" s="1"/>
      <c r="E689" s="1"/>
      <c r="F689" s="1"/>
      <c r="P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142"/>
    </row>
    <row r="690" ht="17.25" customHeight="1">
      <c r="A690" s="1"/>
      <c r="B690" s="1"/>
      <c r="C690" s="1"/>
      <c r="D690" s="1"/>
      <c r="E690" s="1"/>
      <c r="F690" s="1"/>
      <c r="P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142"/>
    </row>
    <row r="691" ht="17.25" customHeight="1">
      <c r="A691" s="1"/>
      <c r="B691" s="1"/>
      <c r="C691" s="1"/>
      <c r="D691" s="1"/>
      <c r="E691" s="1"/>
      <c r="F691" s="1"/>
      <c r="P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142"/>
    </row>
    <row r="692" ht="17.25" customHeight="1">
      <c r="A692" s="1"/>
      <c r="B692" s="1"/>
      <c r="C692" s="1"/>
      <c r="D692" s="1"/>
      <c r="E692" s="1"/>
      <c r="F692" s="1"/>
      <c r="P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142"/>
    </row>
    <row r="693" ht="17.25" customHeight="1">
      <c r="A693" s="1"/>
      <c r="B693" s="1"/>
      <c r="C693" s="1"/>
      <c r="D693" s="1"/>
      <c r="E693" s="1"/>
      <c r="F693" s="1"/>
      <c r="P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142"/>
    </row>
    <row r="694" ht="17.25" customHeight="1">
      <c r="A694" s="1"/>
      <c r="B694" s="1"/>
      <c r="C694" s="1"/>
      <c r="D694" s="1"/>
      <c r="E694" s="1"/>
      <c r="F694" s="1"/>
      <c r="P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142"/>
    </row>
    <row r="695" ht="17.25" customHeight="1">
      <c r="A695" s="1"/>
      <c r="B695" s="1"/>
      <c r="C695" s="1"/>
      <c r="D695" s="1"/>
      <c r="E695" s="1"/>
      <c r="F695" s="1"/>
      <c r="P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142"/>
    </row>
    <row r="696" ht="17.25" customHeight="1">
      <c r="A696" s="1"/>
      <c r="B696" s="1"/>
      <c r="C696" s="1"/>
      <c r="D696" s="1"/>
      <c r="E696" s="1"/>
      <c r="F696" s="1"/>
      <c r="P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142"/>
    </row>
    <row r="697" ht="17.25" customHeight="1">
      <c r="A697" s="1"/>
      <c r="B697" s="1"/>
      <c r="C697" s="1"/>
      <c r="D697" s="1"/>
      <c r="E697" s="1"/>
      <c r="F697" s="1"/>
      <c r="P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142"/>
    </row>
    <row r="698" ht="17.25" customHeight="1">
      <c r="A698" s="1"/>
      <c r="B698" s="1"/>
      <c r="C698" s="1"/>
      <c r="D698" s="1"/>
      <c r="E698" s="1"/>
      <c r="F698" s="1"/>
      <c r="P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142"/>
    </row>
    <row r="699" ht="17.25" customHeight="1">
      <c r="A699" s="1"/>
      <c r="B699" s="1"/>
      <c r="C699" s="1"/>
      <c r="D699" s="1"/>
      <c r="E699" s="1"/>
      <c r="F699" s="1"/>
      <c r="P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142"/>
    </row>
    <row r="700" ht="17.25" customHeight="1">
      <c r="A700" s="1"/>
      <c r="B700" s="1"/>
      <c r="C700" s="1"/>
      <c r="D700" s="1"/>
      <c r="E700" s="1"/>
      <c r="F700" s="1"/>
      <c r="P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142"/>
    </row>
    <row r="701" ht="17.25" customHeight="1">
      <c r="A701" s="1"/>
      <c r="B701" s="1"/>
      <c r="C701" s="1"/>
      <c r="D701" s="1"/>
      <c r="E701" s="1"/>
      <c r="F701" s="1"/>
      <c r="P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142"/>
    </row>
    <row r="702" ht="17.25" customHeight="1">
      <c r="A702" s="1"/>
      <c r="B702" s="1"/>
      <c r="C702" s="1"/>
      <c r="D702" s="1"/>
      <c r="E702" s="1"/>
      <c r="F702" s="1"/>
      <c r="P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142"/>
    </row>
    <row r="703" ht="17.25" customHeight="1">
      <c r="A703" s="1"/>
      <c r="B703" s="1"/>
      <c r="C703" s="1"/>
      <c r="D703" s="1"/>
      <c r="E703" s="1"/>
      <c r="F703" s="1"/>
      <c r="P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142"/>
    </row>
    <row r="704" ht="17.25" customHeight="1">
      <c r="A704" s="1"/>
      <c r="B704" s="1"/>
      <c r="C704" s="1"/>
      <c r="D704" s="1"/>
      <c r="E704" s="1"/>
      <c r="F704" s="1"/>
      <c r="P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142"/>
    </row>
    <row r="705" ht="17.25" customHeight="1">
      <c r="A705" s="1"/>
      <c r="B705" s="1"/>
      <c r="C705" s="1"/>
      <c r="D705" s="1"/>
      <c r="E705" s="1"/>
      <c r="F705" s="1"/>
      <c r="P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142"/>
    </row>
    <row r="706" ht="17.25" customHeight="1">
      <c r="A706" s="1"/>
      <c r="B706" s="1"/>
      <c r="C706" s="1"/>
      <c r="D706" s="1"/>
      <c r="E706" s="1"/>
      <c r="F706" s="1"/>
      <c r="P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142"/>
    </row>
    <row r="707" ht="17.25" customHeight="1">
      <c r="A707" s="1"/>
      <c r="B707" s="1"/>
      <c r="C707" s="1"/>
      <c r="D707" s="1"/>
      <c r="E707" s="1"/>
      <c r="F707" s="1"/>
      <c r="P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142"/>
    </row>
    <row r="708" ht="17.25" customHeight="1">
      <c r="A708" s="1"/>
      <c r="B708" s="1"/>
      <c r="C708" s="1"/>
      <c r="D708" s="1"/>
      <c r="E708" s="1"/>
      <c r="F708" s="1"/>
      <c r="P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142"/>
    </row>
    <row r="709" ht="17.25" customHeight="1">
      <c r="A709" s="1"/>
      <c r="B709" s="1"/>
      <c r="C709" s="1"/>
      <c r="D709" s="1"/>
      <c r="E709" s="1"/>
      <c r="F709" s="1"/>
      <c r="P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142"/>
    </row>
    <row r="710" ht="17.25" customHeight="1">
      <c r="A710" s="1"/>
      <c r="B710" s="1"/>
      <c r="C710" s="1"/>
      <c r="D710" s="1"/>
      <c r="E710" s="1"/>
      <c r="F710" s="1"/>
      <c r="P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142"/>
    </row>
    <row r="711" ht="17.25" customHeight="1">
      <c r="A711" s="1"/>
      <c r="B711" s="1"/>
      <c r="C711" s="1"/>
      <c r="D711" s="1"/>
      <c r="E711" s="1"/>
      <c r="F711" s="1"/>
      <c r="P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142"/>
    </row>
    <row r="712" ht="17.25" customHeight="1">
      <c r="A712" s="1"/>
      <c r="B712" s="1"/>
      <c r="C712" s="1"/>
      <c r="D712" s="1"/>
      <c r="E712" s="1"/>
      <c r="F712" s="1"/>
      <c r="P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142"/>
    </row>
    <row r="713" ht="17.25" customHeight="1">
      <c r="A713" s="1"/>
      <c r="B713" s="1"/>
      <c r="C713" s="1"/>
      <c r="D713" s="1"/>
      <c r="E713" s="1"/>
      <c r="F713" s="1"/>
      <c r="P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142"/>
    </row>
    <row r="714" ht="17.25" customHeight="1">
      <c r="A714" s="1"/>
      <c r="B714" s="1"/>
      <c r="C714" s="1"/>
      <c r="D714" s="1"/>
      <c r="E714" s="1"/>
      <c r="F714" s="1"/>
      <c r="P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142"/>
    </row>
    <row r="715" ht="17.25" customHeight="1">
      <c r="A715" s="1"/>
      <c r="B715" s="1"/>
      <c r="C715" s="1"/>
      <c r="D715" s="1"/>
      <c r="E715" s="1"/>
      <c r="F715" s="1"/>
      <c r="P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142"/>
    </row>
    <row r="716" ht="17.25" customHeight="1">
      <c r="A716" s="1"/>
      <c r="B716" s="1"/>
      <c r="C716" s="1"/>
      <c r="D716" s="1"/>
      <c r="E716" s="1"/>
      <c r="F716" s="1"/>
      <c r="P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142"/>
    </row>
    <row r="717" ht="17.25" customHeight="1">
      <c r="A717" s="1"/>
      <c r="B717" s="1"/>
      <c r="C717" s="1"/>
      <c r="D717" s="1"/>
      <c r="E717" s="1"/>
      <c r="F717" s="1"/>
      <c r="P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142"/>
    </row>
    <row r="718" ht="17.25" customHeight="1">
      <c r="A718" s="1"/>
      <c r="B718" s="1"/>
      <c r="C718" s="1"/>
      <c r="D718" s="1"/>
      <c r="E718" s="1"/>
      <c r="F718" s="1"/>
      <c r="P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142"/>
    </row>
    <row r="719" ht="17.25" customHeight="1">
      <c r="A719" s="1"/>
      <c r="B719" s="1"/>
      <c r="C719" s="1"/>
      <c r="D719" s="1"/>
      <c r="E719" s="1"/>
      <c r="F719" s="1"/>
      <c r="P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142"/>
    </row>
    <row r="720" ht="17.25" customHeight="1">
      <c r="A720" s="1"/>
      <c r="B720" s="1"/>
      <c r="C720" s="1"/>
      <c r="D720" s="1"/>
      <c r="E720" s="1"/>
      <c r="F720" s="1"/>
      <c r="P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142"/>
    </row>
    <row r="721" ht="17.25" customHeight="1">
      <c r="A721" s="1"/>
      <c r="B721" s="1"/>
      <c r="C721" s="1"/>
      <c r="D721" s="1"/>
      <c r="E721" s="1"/>
      <c r="F721" s="1"/>
      <c r="P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142"/>
    </row>
    <row r="722" ht="17.25" customHeight="1">
      <c r="A722" s="1"/>
      <c r="B722" s="1"/>
      <c r="C722" s="1"/>
      <c r="D722" s="1"/>
      <c r="E722" s="1"/>
      <c r="F722" s="1"/>
      <c r="P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142"/>
    </row>
    <row r="723" ht="17.25" customHeight="1">
      <c r="A723" s="1"/>
      <c r="B723" s="1"/>
      <c r="C723" s="1"/>
      <c r="D723" s="1"/>
      <c r="E723" s="1"/>
      <c r="F723" s="1"/>
      <c r="P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142"/>
    </row>
    <row r="724" ht="17.25" customHeight="1">
      <c r="A724" s="1"/>
      <c r="B724" s="1"/>
      <c r="C724" s="1"/>
      <c r="D724" s="1"/>
      <c r="E724" s="1"/>
      <c r="F724" s="1"/>
      <c r="P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142"/>
    </row>
    <row r="725" ht="17.25" customHeight="1">
      <c r="A725" s="1"/>
      <c r="B725" s="1"/>
      <c r="C725" s="1"/>
      <c r="D725" s="1"/>
      <c r="E725" s="1"/>
      <c r="F725" s="1"/>
      <c r="P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142"/>
    </row>
    <row r="726" ht="17.25" customHeight="1">
      <c r="A726" s="1"/>
      <c r="B726" s="1"/>
      <c r="C726" s="1"/>
      <c r="D726" s="1"/>
      <c r="E726" s="1"/>
      <c r="F726" s="1"/>
      <c r="P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142"/>
    </row>
    <row r="727" ht="17.25" customHeight="1">
      <c r="A727" s="1"/>
      <c r="B727" s="1"/>
      <c r="C727" s="1"/>
      <c r="D727" s="1"/>
      <c r="E727" s="1"/>
      <c r="F727" s="1"/>
      <c r="P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142"/>
    </row>
    <row r="728" ht="17.25" customHeight="1">
      <c r="A728" s="1"/>
      <c r="B728" s="1"/>
      <c r="C728" s="1"/>
      <c r="D728" s="1"/>
      <c r="E728" s="1"/>
      <c r="F728" s="1"/>
      <c r="P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142"/>
    </row>
    <row r="729" ht="17.25" customHeight="1">
      <c r="A729" s="1"/>
      <c r="B729" s="1"/>
      <c r="C729" s="1"/>
      <c r="D729" s="1"/>
      <c r="E729" s="1"/>
      <c r="F729" s="1"/>
      <c r="P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142"/>
    </row>
    <row r="730" ht="17.25" customHeight="1">
      <c r="A730" s="1"/>
      <c r="B730" s="1"/>
      <c r="C730" s="1"/>
      <c r="D730" s="1"/>
      <c r="E730" s="1"/>
      <c r="F730" s="1"/>
      <c r="P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142"/>
    </row>
    <row r="731" ht="17.25" customHeight="1">
      <c r="A731" s="1"/>
      <c r="B731" s="1"/>
      <c r="C731" s="1"/>
      <c r="D731" s="1"/>
      <c r="E731" s="1"/>
      <c r="F731" s="1"/>
      <c r="P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142"/>
    </row>
    <row r="732" ht="17.25" customHeight="1">
      <c r="A732" s="1"/>
      <c r="B732" s="1"/>
      <c r="C732" s="1"/>
      <c r="D732" s="1"/>
      <c r="E732" s="1"/>
      <c r="F732" s="1"/>
      <c r="P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142"/>
    </row>
    <row r="733" ht="17.25" customHeight="1">
      <c r="A733" s="1"/>
      <c r="B733" s="1"/>
      <c r="C733" s="1"/>
      <c r="D733" s="1"/>
      <c r="E733" s="1"/>
      <c r="F733" s="1"/>
      <c r="P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142"/>
    </row>
    <row r="734" ht="17.25" customHeight="1">
      <c r="A734" s="1"/>
      <c r="B734" s="1"/>
      <c r="C734" s="1"/>
      <c r="D734" s="1"/>
      <c r="E734" s="1"/>
      <c r="F734" s="1"/>
      <c r="P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142"/>
    </row>
    <row r="735" ht="17.25" customHeight="1">
      <c r="A735" s="1"/>
      <c r="B735" s="1"/>
      <c r="C735" s="1"/>
      <c r="D735" s="1"/>
      <c r="E735" s="1"/>
      <c r="F735" s="1"/>
      <c r="P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142"/>
    </row>
    <row r="736" ht="17.25" customHeight="1">
      <c r="A736" s="1"/>
      <c r="B736" s="1"/>
      <c r="C736" s="1"/>
      <c r="D736" s="1"/>
      <c r="E736" s="1"/>
      <c r="F736" s="1"/>
      <c r="P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142"/>
    </row>
    <row r="737" ht="17.25" customHeight="1">
      <c r="A737" s="1"/>
      <c r="B737" s="1"/>
      <c r="C737" s="1"/>
      <c r="D737" s="1"/>
      <c r="E737" s="1"/>
      <c r="F737" s="1"/>
      <c r="P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142"/>
    </row>
    <row r="738" ht="17.25" customHeight="1">
      <c r="A738" s="1"/>
      <c r="B738" s="1"/>
      <c r="C738" s="1"/>
      <c r="D738" s="1"/>
      <c r="E738" s="1"/>
      <c r="F738" s="1"/>
      <c r="P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142"/>
    </row>
    <row r="739" ht="17.25" customHeight="1">
      <c r="A739" s="1"/>
      <c r="B739" s="1"/>
      <c r="C739" s="1"/>
      <c r="D739" s="1"/>
      <c r="E739" s="1"/>
      <c r="F739" s="1"/>
      <c r="P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142"/>
    </row>
    <row r="740" ht="17.25" customHeight="1">
      <c r="A740" s="1"/>
      <c r="B740" s="1"/>
      <c r="C740" s="1"/>
      <c r="D740" s="1"/>
      <c r="E740" s="1"/>
      <c r="F740" s="1"/>
      <c r="P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142"/>
    </row>
    <row r="741" ht="17.25" customHeight="1">
      <c r="A741" s="1"/>
      <c r="B741" s="1"/>
      <c r="C741" s="1"/>
      <c r="D741" s="1"/>
      <c r="E741" s="1"/>
      <c r="F741" s="1"/>
      <c r="P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142"/>
    </row>
    <row r="742" ht="17.25" customHeight="1">
      <c r="A742" s="1"/>
      <c r="B742" s="1"/>
      <c r="C742" s="1"/>
      <c r="D742" s="1"/>
      <c r="E742" s="1"/>
      <c r="F742" s="1"/>
      <c r="P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142"/>
    </row>
    <row r="743" ht="17.25" customHeight="1">
      <c r="A743" s="1"/>
      <c r="B743" s="1"/>
      <c r="C743" s="1"/>
      <c r="D743" s="1"/>
      <c r="E743" s="1"/>
      <c r="F743" s="1"/>
      <c r="P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142"/>
    </row>
    <row r="744" ht="17.25" customHeight="1">
      <c r="A744" s="1"/>
      <c r="B744" s="1"/>
      <c r="C744" s="1"/>
      <c r="D744" s="1"/>
      <c r="E744" s="1"/>
      <c r="F744" s="1"/>
      <c r="P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142"/>
    </row>
    <row r="745" ht="17.25" customHeight="1">
      <c r="A745" s="1"/>
      <c r="B745" s="1"/>
      <c r="C745" s="1"/>
      <c r="D745" s="1"/>
      <c r="E745" s="1"/>
      <c r="F745" s="1"/>
      <c r="P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142"/>
    </row>
    <row r="746" ht="17.25" customHeight="1">
      <c r="A746" s="1"/>
      <c r="B746" s="1"/>
      <c r="C746" s="1"/>
      <c r="D746" s="1"/>
      <c r="E746" s="1"/>
      <c r="F746" s="1"/>
      <c r="P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142"/>
    </row>
    <row r="747" ht="17.25" customHeight="1">
      <c r="A747" s="1"/>
      <c r="B747" s="1"/>
      <c r="C747" s="1"/>
      <c r="D747" s="1"/>
      <c r="E747" s="1"/>
      <c r="F747" s="1"/>
      <c r="P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142"/>
    </row>
    <row r="748" ht="17.25" customHeight="1">
      <c r="A748" s="1"/>
      <c r="B748" s="1"/>
      <c r="C748" s="1"/>
      <c r="D748" s="1"/>
      <c r="E748" s="1"/>
      <c r="F748" s="1"/>
      <c r="P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142"/>
    </row>
    <row r="749" ht="17.25" customHeight="1">
      <c r="A749" s="1"/>
      <c r="B749" s="1"/>
      <c r="C749" s="1"/>
      <c r="D749" s="1"/>
      <c r="E749" s="1"/>
      <c r="F749" s="1"/>
      <c r="P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142"/>
    </row>
    <row r="750" ht="17.25" customHeight="1">
      <c r="A750" s="1"/>
      <c r="B750" s="1"/>
      <c r="C750" s="1"/>
      <c r="D750" s="1"/>
      <c r="E750" s="1"/>
      <c r="F750" s="1"/>
      <c r="P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142"/>
    </row>
    <row r="751" ht="17.25" customHeight="1">
      <c r="A751" s="1"/>
      <c r="B751" s="1"/>
      <c r="C751" s="1"/>
      <c r="D751" s="1"/>
      <c r="E751" s="1"/>
      <c r="F751" s="1"/>
      <c r="P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142"/>
    </row>
    <row r="752" ht="17.25" customHeight="1">
      <c r="A752" s="1"/>
      <c r="B752" s="1"/>
      <c r="C752" s="1"/>
      <c r="D752" s="1"/>
      <c r="E752" s="1"/>
      <c r="F752" s="1"/>
      <c r="P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142"/>
    </row>
    <row r="753" ht="17.25" customHeight="1">
      <c r="A753" s="1"/>
      <c r="B753" s="1"/>
      <c r="C753" s="1"/>
      <c r="D753" s="1"/>
      <c r="E753" s="1"/>
      <c r="F753" s="1"/>
      <c r="P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142"/>
    </row>
    <row r="754" ht="17.25" customHeight="1">
      <c r="A754" s="1"/>
      <c r="B754" s="1"/>
      <c r="C754" s="1"/>
      <c r="D754" s="1"/>
      <c r="E754" s="1"/>
      <c r="F754" s="1"/>
      <c r="P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142"/>
    </row>
    <row r="755" ht="17.25" customHeight="1">
      <c r="A755" s="1"/>
      <c r="B755" s="1"/>
      <c r="C755" s="1"/>
      <c r="D755" s="1"/>
      <c r="E755" s="1"/>
      <c r="F755" s="1"/>
      <c r="P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142"/>
    </row>
    <row r="756" ht="17.25" customHeight="1">
      <c r="A756" s="1"/>
      <c r="B756" s="1"/>
      <c r="C756" s="1"/>
      <c r="D756" s="1"/>
      <c r="E756" s="1"/>
      <c r="F756" s="1"/>
      <c r="P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142"/>
    </row>
    <row r="757" ht="17.25" customHeight="1">
      <c r="A757" s="1"/>
      <c r="B757" s="1"/>
      <c r="C757" s="1"/>
      <c r="D757" s="1"/>
      <c r="E757" s="1"/>
      <c r="F757" s="1"/>
      <c r="P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142"/>
    </row>
    <row r="758" ht="17.25" customHeight="1">
      <c r="A758" s="1"/>
      <c r="B758" s="1"/>
      <c r="C758" s="1"/>
      <c r="D758" s="1"/>
      <c r="E758" s="1"/>
      <c r="F758" s="1"/>
      <c r="P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142"/>
    </row>
    <row r="759" ht="17.25" customHeight="1">
      <c r="A759" s="1"/>
      <c r="B759" s="1"/>
      <c r="C759" s="1"/>
      <c r="D759" s="1"/>
      <c r="E759" s="1"/>
      <c r="F759" s="1"/>
      <c r="P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142"/>
    </row>
    <row r="760" ht="17.25" customHeight="1">
      <c r="A760" s="1"/>
      <c r="B760" s="1"/>
      <c r="C760" s="1"/>
      <c r="D760" s="1"/>
      <c r="E760" s="1"/>
      <c r="F760" s="1"/>
      <c r="P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142"/>
    </row>
    <row r="761" ht="17.25" customHeight="1">
      <c r="A761" s="1"/>
      <c r="B761" s="1"/>
      <c r="C761" s="1"/>
      <c r="D761" s="1"/>
      <c r="E761" s="1"/>
      <c r="F761" s="1"/>
      <c r="P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142"/>
    </row>
    <row r="762" ht="17.25" customHeight="1">
      <c r="A762" s="1"/>
      <c r="B762" s="1"/>
      <c r="C762" s="1"/>
      <c r="D762" s="1"/>
      <c r="E762" s="1"/>
      <c r="F762" s="1"/>
      <c r="P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142"/>
    </row>
    <row r="763" ht="17.25" customHeight="1">
      <c r="A763" s="1"/>
      <c r="B763" s="1"/>
      <c r="C763" s="1"/>
      <c r="D763" s="1"/>
      <c r="E763" s="1"/>
      <c r="F763" s="1"/>
      <c r="P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142"/>
    </row>
    <row r="764" ht="17.25" customHeight="1">
      <c r="A764" s="1"/>
      <c r="B764" s="1"/>
      <c r="C764" s="1"/>
      <c r="D764" s="1"/>
      <c r="E764" s="1"/>
      <c r="F764" s="1"/>
      <c r="P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142"/>
    </row>
    <row r="765" ht="17.25" customHeight="1">
      <c r="A765" s="1"/>
      <c r="B765" s="1"/>
      <c r="C765" s="1"/>
      <c r="D765" s="1"/>
      <c r="E765" s="1"/>
      <c r="F765" s="1"/>
      <c r="P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142"/>
    </row>
    <row r="766" ht="17.25" customHeight="1">
      <c r="A766" s="1"/>
      <c r="B766" s="1"/>
      <c r="C766" s="1"/>
      <c r="D766" s="1"/>
      <c r="E766" s="1"/>
      <c r="F766" s="1"/>
      <c r="P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142"/>
    </row>
    <row r="767" ht="17.25" customHeight="1">
      <c r="A767" s="1"/>
      <c r="B767" s="1"/>
      <c r="C767" s="1"/>
      <c r="D767" s="1"/>
      <c r="E767" s="1"/>
      <c r="F767" s="1"/>
      <c r="P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142"/>
    </row>
    <row r="768" ht="17.25" customHeight="1">
      <c r="A768" s="1"/>
      <c r="B768" s="1"/>
      <c r="C768" s="1"/>
      <c r="D768" s="1"/>
      <c r="E768" s="1"/>
      <c r="F768" s="1"/>
      <c r="P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142"/>
    </row>
    <row r="769" ht="17.25" customHeight="1">
      <c r="A769" s="1"/>
      <c r="B769" s="1"/>
      <c r="C769" s="1"/>
      <c r="D769" s="1"/>
      <c r="E769" s="1"/>
      <c r="F769" s="1"/>
      <c r="P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142"/>
    </row>
    <row r="770" ht="17.25" customHeight="1">
      <c r="A770" s="1"/>
      <c r="B770" s="1"/>
      <c r="C770" s="1"/>
      <c r="D770" s="1"/>
      <c r="E770" s="1"/>
      <c r="F770" s="1"/>
      <c r="P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142"/>
    </row>
    <row r="771" ht="17.25" customHeight="1">
      <c r="A771" s="1"/>
      <c r="B771" s="1"/>
      <c r="C771" s="1"/>
      <c r="D771" s="1"/>
      <c r="E771" s="1"/>
      <c r="F771" s="1"/>
      <c r="P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142"/>
    </row>
    <row r="772" ht="17.25" customHeight="1">
      <c r="A772" s="1"/>
      <c r="B772" s="1"/>
      <c r="C772" s="1"/>
      <c r="D772" s="1"/>
      <c r="E772" s="1"/>
      <c r="F772" s="1"/>
      <c r="P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142"/>
    </row>
    <row r="773" ht="17.25" customHeight="1">
      <c r="A773" s="1"/>
      <c r="B773" s="1"/>
      <c r="C773" s="1"/>
      <c r="D773" s="1"/>
      <c r="E773" s="1"/>
      <c r="F773" s="1"/>
      <c r="P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142"/>
    </row>
    <row r="774" ht="17.25" customHeight="1">
      <c r="A774" s="1"/>
      <c r="B774" s="1"/>
      <c r="C774" s="1"/>
      <c r="D774" s="1"/>
      <c r="E774" s="1"/>
      <c r="F774" s="1"/>
      <c r="P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142"/>
    </row>
    <row r="775" ht="17.25" customHeight="1">
      <c r="A775" s="1"/>
      <c r="B775" s="1"/>
      <c r="C775" s="1"/>
      <c r="D775" s="1"/>
      <c r="E775" s="1"/>
      <c r="F775" s="1"/>
      <c r="P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142"/>
    </row>
    <row r="776" ht="17.25" customHeight="1">
      <c r="A776" s="1"/>
      <c r="B776" s="1"/>
      <c r="C776" s="1"/>
      <c r="D776" s="1"/>
      <c r="E776" s="1"/>
      <c r="F776" s="1"/>
      <c r="P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142"/>
    </row>
    <row r="777" ht="17.25" customHeight="1">
      <c r="A777" s="1"/>
      <c r="B777" s="1"/>
      <c r="C777" s="1"/>
      <c r="D777" s="1"/>
      <c r="E777" s="1"/>
      <c r="F777" s="1"/>
      <c r="P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142"/>
    </row>
    <row r="778" ht="17.25" customHeight="1">
      <c r="A778" s="1"/>
      <c r="B778" s="1"/>
      <c r="C778" s="1"/>
      <c r="D778" s="1"/>
      <c r="E778" s="1"/>
      <c r="F778" s="1"/>
      <c r="P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142"/>
    </row>
    <row r="779" ht="17.25" customHeight="1">
      <c r="A779" s="1"/>
      <c r="B779" s="1"/>
      <c r="C779" s="1"/>
      <c r="D779" s="1"/>
      <c r="E779" s="1"/>
      <c r="F779" s="1"/>
      <c r="P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142"/>
    </row>
    <row r="780" ht="17.25" customHeight="1">
      <c r="A780" s="1"/>
      <c r="B780" s="1"/>
      <c r="C780" s="1"/>
      <c r="D780" s="1"/>
      <c r="E780" s="1"/>
      <c r="F780" s="1"/>
      <c r="P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142"/>
    </row>
    <row r="781" ht="17.25" customHeight="1">
      <c r="A781" s="1"/>
      <c r="B781" s="1"/>
      <c r="C781" s="1"/>
      <c r="D781" s="1"/>
      <c r="E781" s="1"/>
      <c r="F781" s="1"/>
      <c r="P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142"/>
    </row>
    <row r="782" ht="17.25" customHeight="1">
      <c r="A782" s="1"/>
      <c r="B782" s="1"/>
      <c r="C782" s="1"/>
      <c r="D782" s="1"/>
      <c r="E782" s="1"/>
      <c r="F782" s="1"/>
      <c r="P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142"/>
    </row>
    <row r="783" ht="17.25" customHeight="1">
      <c r="A783" s="1"/>
      <c r="B783" s="1"/>
      <c r="C783" s="1"/>
      <c r="D783" s="1"/>
      <c r="E783" s="1"/>
      <c r="F783" s="1"/>
      <c r="P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142"/>
    </row>
    <row r="784" ht="17.25" customHeight="1">
      <c r="A784" s="1"/>
      <c r="B784" s="1"/>
      <c r="C784" s="1"/>
      <c r="D784" s="1"/>
      <c r="E784" s="1"/>
      <c r="F784" s="1"/>
      <c r="P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142"/>
    </row>
    <row r="785" ht="17.25" customHeight="1">
      <c r="A785" s="1"/>
      <c r="B785" s="1"/>
      <c r="C785" s="1"/>
      <c r="D785" s="1"/>
      <c r="E785" s="1"/>
      <c r="F785" s="1"/>
      <c r="P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142"/>
    </row>
    <row r="786" ht="17.25" customHeight="1">
      <c r="A786" s="1"/>
      <c r="B786" s="1"/>
      <c r="C786" s="1"/>
      <c r="D786" s="1"/>
      <c r="E786" s="1"/>
      <c r="F786" s="1"/>
      <c r="P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142"/>
    </row>
    <row r="787" ht="17.25" customHeight="1">
      <c r="A787" s="1"/>
      <c r="B787" s="1"/>
      <c r="C787" s="1"/>
      <c r="D787" s="1"/>
      <c r="E787" s="1"/>
      <c r="F787" s="1"/>
      <c r="P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142"/>
    </row>
    <row r="788" ht="17.25" customHeight="1">
      <c r="A788" s="1"/>
      <c r="B788" s="1"/>
      <c r="C788" s="1"/>
      <c r="D788" s="1"/>
      <c r="E788" s="1"/>
      <c r="F788" s="1"/>
      <c r="P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142"/>
    </row>
    <row r="789" ht="17.25" customHeight="1">
      <c r="A789" s="1"/>
      <c r="B789" s="1"/>
      <c r="C789" s="1"/>
      <c r="D789" s="1"/>
      <c r="E789" s="1"/>
      <c r="F789" s="1"/>
      <c r="P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142"/>
    </row>
    <row r="790" ht="17.25" customHeight="1">
      <c r="A790" s="1"/>
      <c r="B790" s="1"/>
      <c r="C790" s="1"/>
      <c r="D790" s="1"/>
      <c r="E790" s="1"/>
      <c r="F790" s="1"/>
      <c r="P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142"/>
    </row>
    <row r="791" ht="17.25" customHeight="1">
      <c r="A791" s="1"/>
      <c r="B791" s="1"/>
      <c r="C791" s="1"/>
      <c r="D791" s="1"/>
      <c r="E791" s="1"/>
      <c r="F791" s="1"/>
      <c r="P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142"/>
    </row>
    <row r="792" ht="17.25" customHeight="1">
      <c r="A792" s="1"/>
      <c r="B792" s="1"/>
      <c r="C792" s="1"/>
      <c r="D792" s="1"/>
      <c r="E792" s="1"/>
      <c r="F792" s="1"/>
      <c r="P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142"/>
    </row>
    <row r="793" ht="17.25" customHeight="1">
      <c r="A793" s="1"/>
      <c r="B793" s="1"/>
      <c r="C793" s="1"/>
      <c r="D793" s="1"/>
      <c r="E793" s="1"/>
      <c r="F793" s="1"/>
      <c r="P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142"/>
    </row>
    <row r="794" ht="17.25" customHeight="1">
      <c r="A794" s="1"/>
      <c r="B794" s="1"/>
      <c r="C794" s="1"/>
      <c r="D794" s="1"/>
      <c r="E794" s="1"/>
      <c r="F794" s="1"/>
      <c r="P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142"/>
    </row>
    <row r="795" ht="17.25" customHeight="1">
      <c r="A795" s="1"/>
      <c r="B795" s="1"/>
      <c r="C795" s="1"/>
      <c r="D795" s="1"/>
      <c r="E795" s="1"/>
      <c r="F795" s="1"/>
      <c r="P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142"/>
    </row>
    <row r="796" ht="17.25" customHeight="1">
      <c r="A796" s="1"/>
      <c r="B796" s="1"/>
      <c r="C796" s="1"/>
      <c r="D796" s="1"/>
      <c r="E796" s="1"/>
      <c r="F796" s="1"/>
      <c r="P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142"/>
    </row>
    <row r="797" ht="17.25" customHeight="1">
      <c r="A797" s="1"/>
      <c r="B797" s="1"/>
      <c r="C797" s="1"/>
      <c r="D797" s="1"/>
      <c r="E797" s="1"/>
      <c r="F797" s="1"/>
      <c r="P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142"/>
    </row>
    <row r="798" ht="17.25" customHeight="1">
      <c r="A798" s="1"/>
      <c r="B798" s="1"/>
      <c r="C798" s="1"/>
      <c r="D798" s="1"/>
      <c r="E798" s="1"/>
      <c r="F798" s="1"/>
      <c r="P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142"/>
    </row>
    <row r="799" ht="17.25" customHeight="1">
      <c r="A799" s="1"/>
      <c r="B799" s="1"/>
      <c r="C799" s="1"/>
      <c r="D799" s="1"/>
      <c r="E799" s="1"/>
      <c r="F799" s="1"/>
      <c r="P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142"/>
    </row>
    <row r="800" ht="17.25" customHeight="1">
      <c r="A800" s="1"/>
      <c r="B800" s="1"/>
      <c r="C800" s="1"/>
      <c r="D800" s="1"/>
      <c r="E800" s="1"/>
      <c r="F800" s="1"/>
      <c r="P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142"/>
    </row>
    <row r="801" ht="17.25" customHeight="1">
      <c r="A801" s="1"/>
      <c r="B801" s="1"/>
      <c r="C801" s="1"/>
      <c r="D801" s="1"/>
      <c r="E801" s="1"/>
      <c r="F801" s="1"/>
      <c r="P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142"/>
    </row>
    <row r="802" ht="17.25" customHeight="1">
      <c r="A802" s="1"/>
      <c r="B802" s="1"/>
      <c r="C802" s="1"/>
      <c r="D802" s="1"/>
      <c r="E802" s="1"/>
      <c r="F802" s="1"/>
      <c r="P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142"/>
    </row>
    <row r="803" ht="17.25" customHeight="1">
      <c r="A803" s="1"/>
      <c r="B803" s="1"/>
      <c r="C803" s="1"/>
      <c r="D803" s="1"/>
      <c r="E803" s="1"/>
      <c r="F803" s="1"/>
      <c r="P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142"/>
    </row>
    <row r="804" ht="17.25" customHeight="1">
      <c r="A804" s="1"/>
      <c r="B804" s="1"/>
      <c r="C804" s="1"/>
      <c r="D804" s="1"/>
      <c r="E804" s="1"/>
      <c r="F804" s="1"/>
      <c r="P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142"/>
    </row>
    <row r="805" ht="17.25" customHeight="1">
      <c r="A805" s="1"/>
      <c r="B805" s="1"/>
      <c r="C805" s="1"/>
      <c r="D805" s="1"/>
      <c r="E805" s="1"/>
      <c r="F805" s="1"/>
      <c r="P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142"/>
    </row>
    <row r="806" ht="17.25" customHeight="1">
      <c r="A806" s="1"/>
      <c r="B806" s="1"/>
      <c r="C806" s="1"/>
      <c r="D806" s="1"/>
      <c r="E806" s="1"/>
      <c r="F806" s="1"/>
      <c r="P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142"/>
    </row>
    <row r="807" ht="17.25" customHeight="1">
      <c r="A807" s="1"/>
      <c r="B807" s="1"/>
      <c r="C807" s="1"/>
      <c r="D807" s="1"/>
      <c r="E807" s="1"/>
      <c r="F807" s="1"/>
      <c r="P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142"/>
    </row>
    <row r="808" ht="17.25" customHeight="1">
      <c r="A808" s="1"/>
      <c r="B808" s="1"/>
      <c r="C808" s="1"/>
      <c r="D808" s="1"/>
      <c r="E808" s="1"/>
      <c r="F808" s="1"/>
      <c r="P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142"/>
    </row>
    <row r="809" ht="17.25" customHeight="1">
      <c r="A809" s="1"/>
      <c r="B809" s="1"/>
      <c r="C809" s="1"/>
      <c r="D809" s="1"/>
      <c r="E809" s="1"/>
      <c r="F809" s="1"/>
      <c r="P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142"/>
    </row>
    <row r="810" ht="17.25" customHeight="1">
      <c r="A810" s="1"/>
      <c r="B810" s="1"/>
      <c r="C810" s="1"/>
      <c r="D810" s="1"/>
      <c r="E810" s="1"/>
      <c r="F810" s="1"/>
      <c r="P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142"/>
    </row>
    <row r="811" ht="17.25" customHeight="1">
      <c r="A811" s="1"/>
      <c r="B811" s="1"/>
      <c r="C811" s="1"/>
      <c r="D811" s="1"/>
      <c r="E811" s="1"/>
      <c r="F811" s="1"/>
      <c r="P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142"/>
    </row>
    <row r="812" ht="17.25" customHeight="1">
      <c r="A812" s="1"/>
      <c r="B812" s="1"/>
      <c r="C812" s="1"/>
      <c r="D812" s="1"/>
      <c r="E812" s="1"/>
      <c r="F812" s="1"/>
      <c r="P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142"/>
    </row>
    <row r="813" ht="17.25" customHeight="1">
      <c r="A813" s="1"/>
      <c r="B813" s="1"/>
      <c r="C813" s="1"/>
      <c r="D813" s="1"/>
      <c r="E813" s="1"/>
      <c r="F813" s="1"/>
      <c r="P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142"/>
    </row>
    <row r="814" ht="17.25" customHeight="1">
      <c r="A814" s="1"/>
      <c r="B814" s="1"/>
      <c r="C814" s="1"/>
      <c r="D814" s="1"/>
      <c r="E814" s="1"/>
      <c r="F814" s="1"/>
      <c r="P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142"/>
    </row>
    <row r="815" ht="17.25" customHeight="1">
      <c r="A815" s="1"/>
      <c r="B815" s="1"/>
      <c r="C815" s="1"/>
      <c r="D815" s="1"/>
      <c r="E815" s="1"/>
      <c r="F815" s="1"/>
      <c r="P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142"/>
    </row>
    <row r="816" ht="17.25" customHeight="1">
      <c r="A816" s="1"/>
      <c r="B816" s="1"/>
      <c r="C816" s="1"/>
      <c r="D816" s="1"/>
      <c r="E816" s="1"/>
      <c r="F816" s="1"/>
      <c r="P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142"/>
    </row>
    <row r="817" ht="17.25" customHeight="1">
      <c r="A817" s="1"/>
      <c r="B817" s="1"/>
      <c r="C817" s="1"/>
      <c r="D817" s="1"/>
      <c r="E817" s="1"/>
      <c r="F817" s="1"/>
      <c r="P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142"/>
    </row>
    <row r="818" ht="17.25" customHeight="1">
      <c r="A818" s="1"/>
      <c r="B818" s="1"/>
      <c r="C818" s="1"/>
      <c r="D818" s="1"/>
      <c r="E818" s="1"/>
      <c r="F818" s="1"/>
      <c r="P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142"/>
    </row>
    <row r="819" ht="17.25" customHeight="1">
      <c r="A819" s="1"/>
      <c r="B819" s="1"/>
      <c r="C819" s="1"/>
      <c r="D819" s="1"/>
      <c r="E819" s="1"/>
      <c r="F819" s="1"/>
      <c r="P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142"/>
    </row>
    <row r="820" ht="17.25" customHeight="1">
      <c r="A820" s="1"/>
      <c r="B820" s="1"/>
      <c r="C820" s="1"/>
      <c r="D820" s="1"/>
      <c r="E820" s="1"/>
      <c r="F820" s="1"/>
      <c r="P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142"/>
    </row>
    <row r="821" ht="17.25" customHeight="1">
      <c r="A821" s="1"/>
      <c r="B821" s="1"/>
      <c r="C821" s="1"/>
      <c r="D821" s="1"/>
      <c r="E821" s="1"/>
      <c r="F821" s="1"/>
      <c r="P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142"/>
    </row>
    <row r="822" ht="17.25" customHeight="1">
      <c r="A822" s="1"/>
      <c r="B822" s="1"/>
      <c r="C822" s="1"/>
      <c r="D822" s="1"/>
      <c r="E822" s="1"/>
      <c r="F822" s="1"/>
      <c r="P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142"/>
    </row>
    <row r="823" ht="17.25" customHeight="1">
      <c r="A823" s="1"/>
      <c r="B823" s="1"/>
      <c r="C823" s="1"/>
      <c r="D823" s="1"/>
      <c r="E823" s="1"/>
      <c r="F823" s="1"/>
      <c r="P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142"/>
    </row>
    <row r="824" ht="17.25" customHeight="1">
      <c r="A824" s="1"/>
      <c r="B824" s="1"/>
      <c r="C824" s="1"/>
      <c r="D824" s="1"/>
      <c r="E824" s="1"/>
      <c r="F824" s="1"/>
      <c r="P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142"/>
    </row>
    <row r="825" ht="17.25" customHeight="1">
      <c r="A825" s="1"/>
      <c r="B825" s="1"/>
      <c r="C825" s="1"/>
      <c r="D825" s="1"/>
      <c r="E825" s="1"/>
      <c r="F825" s="1"/>
      <c r="P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142"/>
    </row>
    <row r="826" ht="17.25" customHeight="1">
      <c r="A826" s="1"/>
      <c r="B826" s="1"/>
      <c r="C826" s="1"/>
      <c r="D826" s="1"/>
      <c r="E826" s="1"/>
      <c r="F826" s="1"/>
      <c r="P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142"/>
    </row>
    <row r="827" ht="17.25" customHeight="1">
      <c r="A827" s="1"/>
      <c r="B827" s="1"/>
      <c r="C827" s="1"/>
      <c r="D827" s="1"/>
      <c r="E827" s="1"/>
      <c r="F827" s="1"/>
      <c r="P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142"/>
    </row>
    <row r="828" ht="17.25" customHeight="1">
      <c r="A828" s="1"/>
      <c r="B828" s="1"/>
      <c r="C828" s="1"/>
      <c r="D828" s="1"/>
      <c r="E828" s="1"/>
      <c r="F828" s="1"/>
      <c r="P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142"/>
    </row>
    <row r="829" ht="17.25" customHeight="1">
      <c r="A829" s="1"/>
      <c r="B829" s="1"/>
      <c r="C829" s="1"/>
      <c r="D829" s="1"/>
      <c r="E829" s="1"/>
      <c r="F829" s="1"/>
      <c r="P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142"/>
    </row>
    <row r="830" ht="17.25" customHeight="1">
      <c r="A830" s="1"/>
      <c r="B830" s="1"/>
      <c r="C830" s="1"/>
      <c r="D830" s="1"/>
      <c r="E830" s="1"/>
      <c r="F830" s="1"/>
      <c r="P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142"/>
    </row>
    <row r="831" ht="17.25" customHeight="1">
      <c r="A831" s="1"/>
      <c r="B831" s="1"/>
      <c r="C831" s="1"/>
      <c r="D831" s="1"/>
      <c r="E831" s="1"/>
      <c r="F831" s="1"/>
      <c r="P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142"/>
    </row>
    <row r="832" ht="17.25" customHeight="1">
      <c r="A832" s="1"/>
      <c r="B832" s="1"/>
      <c r="C832" s="1"/>
      <c r="D832" s="1"/>
      <c r="E832" s="1"/>
      <c r="F832" s="1"/>
      <c r="P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142"/>
    </row>
    <row r="833" ht="17.25" customHeight="1">
      <c r="A833" s="1"/>
      <c r="B833" s="1"/>
      <c r="C833" s="1"/>
      <c r="D833" s="1"/>
      <c r="E833" s="1"/>
      <c r="F833" s="1"/>
      <c r="P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142"/>
    </row>
    <row r="834" ht="17.25" customHeight="1">
      <c r="A834" s="1"/>
      <c r="B834" s="1"/>
      <c r="C834" s="1"/>
      <c r="D834" s="1"/>
      <c r="E834" s="1"/>
      <c r="F834" s="1"/>
      <c r="P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142"/>
    </row>
    <row r="835" ht="17.25" customHeight="1">
      <c r="A835" s="1"/>
      <c r="B835" s="1"/>
      <c r="C835" s="1"/>
      <c r="D835" s="1"/>
      <c r="E835" s="1"/>
      <c r="F835" s="1"/>
      <c r="P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142"/>
    </row>
    <row r="836" ht="17.25" customHeight="1">
      <c r="A836" s="1"/>
      <c r="B836" s="1"/>
      <c r="C836" s="1"/>
      <c r="D836" s="1"/>
      <c r="E836" s="1"/>
      <c r="F836" s="1"/>
      <c r="P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142"/>
    </row>
    <row r="837" ht="17.25" customHeight="1">
      <c r="A837" s="1"/>
      <c r="B837" s="1"/>
      <c r="C837" s="1"/>
      <c r="D837" s="1"/>
      <c r="E837" s="1"/>
      <c r="F837" s="1"/>
      <c r="P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142"/>
    </row>
    <row r="838" ht="17.25" customHeight="1">
      <c r="A838" s="1"/>
      <c r="B838" s="1"/>
      <c r="C838" s="1"/>
      <c r="D838" s="1"/>
      <c r="E838" s="1"/>
      <c r="F838" s="1"/>
      <c r="P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142"/>
    </row>
    <row r="839" ht="17.25" customHeight="1">
      <c r="A839" s="1"/>
      <c r="B839" s="1"/>
      <c r="C839" s="1"/>
      <c r="D839" s="1"/>
      <c r="E839" s="1"/>
      <c r="F839" s="1"/>
      <c r="P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142"/>
    </row>
    <row r="840" ht="17.25" customHeight="1">
      <c r="A840" s="1"/>
      <c r="B840" s="1"/>
      <c r="C840" s="1"/>
      <c r="D840" s="1"/>
      <c r="E840" s="1"/>
      <c r="F840" s="1"/>
      <c r="P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142"/>
    </row>
    <row r="841" ht="17.25" customHeight="1">
      <c r="A841" s="1"/>
      <c r="B841" s="1"/>
      <c r="C841" s="1"/>
      <c r="D841" s="1"/>
      <c r="E841" s="1"/>
      <c r="F841" s="1"/>
      <c r="P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142"/>
    </row>
    <row r="842" ht="17.25" customHeight="1">
      <c r="A842" s="1"/>
      <c r="B842" s="1"/>
      <c r="C842" s="1"/>
      <c r="D842" s="1"/>
      <c r="E842" s="1"/>
      <c r="F842" s="1"/>
      <c r="P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142"/>
    </row>
    <row r="843" ht="17.25" customHeight="1">
      <c r="A843" s="1"/>
      <c r="B843" s="1"/>
      <c r="C843" s="1"/>
      <c r="D843" s="1"/>
      <c r="E843" s="1"/>
      <c r="F843" s="1"/>
      <c r="P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142"/>
    </row>
    <row r="844" ht="17.25" customHeight="1">
      <c r="A844" s="1"/>
      <c r="B844" s="1"/>
      <c r="C844" s="1"/>
      <c r="D844" s="1"/>
      <c r="E844" s="1"/>
      <c r="F844" s="1"/>
      <c r="P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142"/>
    </row>
    <row r="845" ht="17.25" customHeight="1">
      <c r="A845" s="1"/>
      <c r="B845" s="1"/>
      <c r="C845" s="1"/>
      <c r="D845" s="1"/>
      <c r="E845" s="1"/>
      <c r="F845" s="1"/>
      <c r="P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142"/>
    </row>
    <row r="846" ht="17.25" customHeight="1">
      <c r="A846" s="1"/>
      <c r="B846" s="1"/>
      <c r="C846" s="1"/>
      <c r="D846" s="1"/>
      <c r="E846" s="1"/>
      <c r="F846" s="1"/>
      <c r="P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142"/>
    </row>
    <row r="847" ht="17.25" customHeight="1">
      <c r="A847" s="1"/>
      <c r="B847" s="1"/>
      <c r="C847" s="1"/>
      <c r="D847" s="1"/>
      <c r="E847" s="1"/>
      <c r="F847" s="1"/>
      <c r="P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142"/>
    </row>
    <row r="848" ht="17.25" customHeight="1">
      <c r="A848" s="1"/>
      <c r="B848" s="1"/>
      <c r="C848" s="1"/>
      <c r="D848" s="1"/>
      <c r="E848" s="1"/>
      <c r="F848" s="1"/>
      <c r="P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142"/>
    </row>
    <row r="849" ht="17.25" customHeight="1">
      <c r="A849" s="1"/>
      <c r="B849" s="1"/>
      <c r="C849" s="1"/>
      <c r="D849" s="1"/>
      <c r="E849" s="1"/>
      <c r="F849" s="1"/>
      <c r="P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142"/>
    </row>
    <row r="850" ht="17.25" customHeight="1">
      <c r="A850" s="1"/>
      <c r="B850" s="1"/>
      <c r="C850" s="1"/>
      <c r="D850" s="1"/>
      <c r="E850" s="1"/>
      <c r="F850" s="1"/>
      <c r="P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142"/>
    </row>
    <row r="851" ht="17.25" customHeight="1">
      <c r="A851" s="1"/>
      <c r="B851" s="1"/>
      <c r="C851" s="1"/>
      <c r="D851" s="1"/>
      <c r="E851" s="1"/>
      <c r="F851" s="1"/>
      <c r="P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142"/>
    </row>
    <row r="852" ht="17.25" customHeight="1">
      <c r="A852" s="1"/>
      <c r="B852" s="1"/>
      <c r="C852" s="1"/>
      <c r="D852" s="1"/>
      <c r="E852" s="1"/>
      <c r="F852" s="1"/>
      <c r="P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142"/>
    </row>
    <row r="853" ht="17.25" customHeight="1">
      <c r="A853" s="1"/>
      <c r="B853" s="1"/>
      <c r="C853" s="1"/>
      <c r="D853" s="1"/>
      <c r="E853" s="1"/>
      <c r="F853" s="1"/>
      <c r="P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142"/>
    </row>
    <row r="854" ht="17.25" customHeight="1">
      <c r="A854" s="1"/>
      <c r="B854" s="1"/>
      <c r="C854" s="1"/>
      <c r="D854" s="1"/>
      <c r="E854" s="1"/>
      <c r="F854" s="1"/>
      <c r="P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142"/>
    </row>
    <row r="855" ht="17.25" customHeight="1">
      <c r="A855" s="1"/>
      <c r="B855" s="1"/>
      <c r="C855" s="1"/>
      <c r="D855" s="1"/>
      <c r="E855" s="1"/>
      <c r="F855" s="1"/>
      <c r="P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142"/>
    </row>
    <row r="856" ht="17.25" customHeight="1">
      <c r="A856" s="1"/>
      <c r="B856" s="1"/>
      <c r="C856" s="1"/>
      <c r="D856" s="1"/>
      <c r="E856" s="1"/>
      <c r="F856" s="1"/>
      <c r="P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142"/>
    </row>
    <row r="857" ht="17.25" customHeight="1">
      <c r="A857" s="1"/>
      <c r="B857" s="1"/>
      <c r="C857" s="1"/>
      <c r="D857" s="1"/>
      <c r="E857" s="1"/>
      <c r="F857" s="1"/>
      <c r="P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142"/>
    </row>
    <row r="858" ht="17.25" customHeight="1">
      <c r="A858" s="1"/>
      <c r="B858" s="1"/>
      <c r="C858" s="1"/>
      <c r="D858" s="1"/>
      <c r="E858" s="1"/>
      <c r="F858" s="1"/>
      <c r="P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142"/>
    </row>
    <row r="859" ht="17.25" customHeight="1">
      <c r="A859" s="1"/>
      <c r="B859" s="1"/>
      <c r="C859" s="1"/>
      <c r="D859" s="1"/>
      <c r="E859" s="1"/>
      <c r="F859" s="1"/>
      <c r="P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142"/>
    </row>
    <row r="860" ht="17.25" customHeight="1">
      <c r="A860" s="1"/>
      <c r="B860" s="1"/>
      <c r="C860" s="1"/>
      <c r="D860" s="1"/>
      <c r="E860" s="1"/>
      <c r="F860" s="1"/>
      <c r="P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142"/>
    </row>
    <row r="861" ht="17.25" customHeight="1">
      <c r="A861" s="1"/>
      <c r="B861" s="1"/>
      <c r="C861" s="1"/>
      <c r="D861" s="1"/>
      <c r="E861" s="1"/>
      <c r="F861" s="1"/>
      <c r="P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142"/>
    </row>
    <row r="862" ht="17.25" customHeight="1">
      <c r="A862" s="1"/>
      <c r="B862" s="1"/>
      <c r="C862" s="1"/>
      <c r="D862" s="1"/>
      <c r="E862" s="1"/>
      <c r="F862" s="1"/>
      <c r="P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142"/>
    </row>
    <row r="863" ht="17.25" customHeight="1">
      <c r="A863" s="1"/>
      <c r="B863" s="1"/>
      <c r="C863" s="1"/>
      <c r="D863" s="1"/>
      <c r="E863" s="1"/>
      <c r="F863" s="1"/>
      <c r="P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142"/>
    </row>
    <row r="864" ht="17.25" customHeight="1">
      <c r="A864" s="1"/>
      <c r="B864" s="1"/>
      <c r="C864" s="1"/>
      <c r="D864" s="1"/>
      <c r="E864" s="1"/>
      <c r="F864" s="1"/>
      <c r="P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142"/>
    </row>
    <row r="865" ht="17.25" customHeight="1">
      <c r="A865" s="1"/>
      <c r="B865" s="1"/>
      <c r="C865" s="1"/>
      <c r="D865" s="1"/>
      <c r="E865" s="1"/>
      <c r="F865" s="1"/>
      <c r="P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142"/>
    </row>
    <row r="866" ht="17.25" customHeight="1">
      <c r="A866" s="1"/>
      <c r="B866" s="1"/>
      <c r="C866" s="1"/>
      <c r="D866" s="1"/>
      <c r="E866" s="1"/>
      <c r="F866" s="1"/>
      <c r="P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142"/>
    </row>
    <row r="867" ht="17.25" customHeight="1">
      <c r="A867" s="1"/>
      <c r="B867" s="1"/>
      <c r="C867" s="1"/>
      <c r="D867" s="1"/>
      <c r="E867" s="1"/>
      <c r="F867" s="1"/>
      <c r="P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142"/>
    </row>
    <row r="868" ht="17.25" customHeight="1">
      <c r="A868" s="1"/>
      <c r="B868" s="1"/>
      <c r="C868" s="1"/>
      <c r="D868" s="1"/>
      <c r="E868" s="1"/>
      <c r="F868" s="1"/>
      <c r="P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142"/>
    </row>
    <row r="869" ht="17.25" customHeight="1">
      <c r="A869" s="1"/>
      <c r="B869" s="1"/>
      <c r="C869" s="1"/>
      <c r="D869" s="1"/>
      <c r="E869" s="1"/>
      <c r="F869" s="1"/>
      <c r="P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142"/>
    </row>
    <row r="870" ht="17.25" customHeight="1">
      <c r="A870" s="1"/>
      <c r="B870" s="1"/>
      <c r="C870" s="1"/>
      <c r="D870" s="1"/>
      <c r="E870" s="1"/>
      <c r="F870" s="1"/>
      <c r="P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142"/>
    </row>
    <row r="871" ht="17.25" customHeight="1">
      <c r="A871" s="1"/>
      <c r="B871" s="1"/>
      <c r="C871" s="1"/>
      <c r="D871" s="1"/>
      <c r="E871" s="1"/>
      <c r="F871" s="1"/>
      <c r="P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142"/>
    </row>
    <row r="872" ht="17.25" customHeight="1">
      <c r="A872" s="1"/>
      <c r="B872" s="1"/>
      <c r="C872" s="1"/>
      <c r="D872" s="1"/>
      <c r="E872" s="1"/>
      <c r="F872" s="1"/>
      <c r="P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142"/>
    </row>
    <row r="873" ht="17.25" customHeight="1">
      <c r="A873" s="1"/>
      <c r="B873" s="1"/>
      <c r="C873" s="1"/>
      <c r="D873" s="1"/>
      <c r="E873" s="1"/>
      <c r="F873" s="1"/>
      <c r="P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142"/>
    </row>
    <row r="874" ht="17.25" customHeight="1">
      <c r="A874" s="1"/>
      <c r="B874" s="1"/>
      <c r="C874" s="1"/>
      <c r="D874" s="1"/>
      <c r="E874" s="1"/>
      <c r="F874" s="1"/>
      <c r="P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142"/>
    </row>
    <row r="875" ht="17.25" customHeight="1">
      <c r="A875" s="1"/>
      <c r="B875" s="1"/>
      <c r="C875" s="1"/>
      <c r="D875" s="1"/>
      <c r="E875" s="1"/>
      <c r="F875" s="1"/>
      <c r="P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142"/>
    </row>
    <row r="876" ht="17.25" customHeight="1">
      <c r="A876" s="1"/>
      <c r="B876" s="1"/>
      <c r="C876" s="1"/>
      <c r="D876" s="1"/>
      <c r="E876" s="1"/>
      <c r="F876" s="1"/>
      <c r="P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142"/>
    </row>
    <row r="877" ht="17.25" customHeight="1">
      <c r="A877" s="1"/>
      <c r="B877" s="1"/>
      <c r="C877" s="1"/>
      <c r="D877" s="1"/>
      <c r="E877" s="1"/>
      <c r="F877" s="1"/>
      <c r="P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142"/>
    </row>
    <row r="878" ht="17.25" customHeight="1">
      <c r="A878" s="1"/>
      <c r="B878" s="1"/>
      <c r="C878" s="1"/>
      <c r="D878" s="1"/>
      <c r="E878" s="1"/>
      <c r="F878" s="1"/>
      <c r="P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142"/>
    </row>
    <row r="879" ht="17.25" customHeight="1">
      <c r="A879" s="1"/>
      <c r="B879" s="1"/>
      <c r="C879" s="1"/>
      <c r="D879" s="1"/>
      <c r="E879" s="1"/>
      <c r="F879" s="1"/>
      <c r="P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142"/>
    </row>
    <row r="880" ht="17.25" customHeight="1">
      <c r="A880" s="1"/>
      <c r="B880" s="1"/>
      <c r="C880" s="1"/>
      <c r="D880" s="1"/>
      <c r="E880" s="1"/>
      <c r="F880" s="1"/>
      <c r="P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142"/>
    </row>
    <row r="881" ht="17.25" customHeight="1">
      <c r="A881" s="1"/>
      <c r="B881" s="1"/>
      <c r="C881" s="1"/>
      <c r="D881" s="1"/>
      <c r="E881" s="1"/>
      <c r="F881" s="1"/>
      <c r="P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142"/>
    </row>
    <row r="882" ht="17.25" customHeight="1">
      <c r="A882" s="1"/>
      <c r="B882" s="1"/>
      <c r="C882" s="1"/>
      <c r="D882" s="1"/>
      <c r="E882" s="1"/>
      <c r="F882" s="1"/>
      <c r="P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142"/>
    </row>
    <row r="883" ht="17.25" customHeight="1">
      <c r="A883" s="1"/>
      <c r="B883" s="1"/>
      <c r="C883" s="1"/>
      <c r="D883" s="1"/>
      <c r="E883" s="1"/>
      <c r="F883" s="1"/>
      <c r="P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142"/>
    </row>
    <row r="884" ht="17.25" customHeight="1">
      <c r="A884" s="1"/>
      <c r="B884" s="1"/>
      <c r="C884" s="1"/>
      <c r="D884" s="1"/>
      <c r="E884" s="1"/>
      <c r="F884" s="1"/>
      <c r="P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142"/>
    </row>
    <row r="885" ht="17.25" customHeight="1">
      <c r="A885" s="1"/>
      <c r="B885" s="1"/>
      <c r="C885" s="1"/>
      <c r="D885" s="1"/>
      <c r="E885" s="1"/>
      <c r="F885" s="1"/>
      <c r="P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142"/>
    </row>
    <row r="886" ht="17.25" customHeight="1">
      <c r="A886" s="1"/>
      <c r="B886" s="1"/>
      <c r="C886" s="1"/>
      <c r="D886" s="1"/>
      <c r="E886" s="1"/>
      <c r="F886" s="1"/>
      <c r="P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142"/>
    </row>
    <row r="887" ht="17.25" customHeight="1">
      <c r="A887" s="1"/>
      <c r="B887" s="1"/>
      <c r="C887" s="1"/>
      <c r="D887" s="1"/>
      <c r="E887" s="1"/>
      <c r="F887" s="1"/>
      <c r="P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142"/>
    </row>
    <row r="888" ht="17.25" customHeight="1">
      <c r="A888" s="1"/>
      <c r="B888" s="1"/>
      <c r="C888" s="1"/>
      <c r="D888" s="1"/>
      <c r="E888" s="1"/>
      <c r="F888" s="1"/>
      <c r="P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142"/>
    </row>
    <row r="889" ht="17.25" customHeight="1">
      <c r="A889" s="1"/>
      <c r="B889" s="1"/>
      <c r="C889" s="1"/>
      <c r="D889" s="1"/>
      <c r="E889" s="1"/>
      <c r="F889" s="1"/>
      <c r="P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142"/>
    </row>
    <row r="890" ht="17.25" customHeight="1">
      <c r="A890" s="1"/>
      <c r="B890" s="1"/>
      <c r="C890" s="1"/>
      <c r="D890" s="1"/>
      <c r="E890" s="1"/>
      <c r="F890" s="1"/>
      <c r="P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142"/>
    </row>
    <row r="891" ht="17.25" customHeight="1">
      <c r="A891" s="1"/>
      <c r="B891" s="1"/>
      <c r="C891" s="1"/>
      <c r="D891" s="1"/>
      <c r="E891" s="1"/>
      <c r="F891" s="1"/>
      <c r="P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142"/>
    </row>
    <row r="892" ht="17.25" customHeight="1">
      <c r="A892" s="1"/>
      <c r="B892" s="1"/>
      <c r="C892" s="1"/>
      <c r="D892" s="1"/>
      <c r="E892" s="1"/>
      <c r="F892" s="1"/>
      <c r="P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142"/>
    </row>
    <row r="893" ht="17.25" customHeight="1">
      <c r="A893" s="1"/>
      <c r="B893" s="1"/>
      <c r="C893" s="1"/>
      <c r="D893" s="1"/>
      <c r="E893" s="1"/>
      <c r="F893" s="1"/>
      <c r="P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142"/>
    </row>
    <row r="894" ht="17.25" customHeight="1">
      <c r="A894" s="1"/>
      <c r="B894" s="1"/>
      <c r="C894" s="1"/>
      <c r="D894" s="1"/>
      <c r="E894" s="1"/>
      <c r="F894" s="1"/>
      <c r="P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142"/>
    </row>
    <row r="895" ht="17.25" customHeight="1">
      <c r="A895" s="1"/>
      <c r="B895" s="1"/>
      <c r="C895" s="1"/>
      <c r="D895" s="1"/>
      <c r="E895" s="1"/>
      <c r="F895" s="1"/>
      <c r="P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142"/>
    </row>
    <row r="896" ht="17.25" customHeight="1">
      <c r="A896" s="1"/>
      <c r="B896" s="1"/>
      <c r="C896" s="1"/>
      <c r="D896" s="1"/>
      <c r="E896" s="1"/>
      <c r="F896" s="1"/>
      <c r="P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142"/>
    </row>
    <row r="897" ht="17.25" customHeight="1">
      <c r="A897" s="1"/>
      <c r="B897" s="1"/>
      <c r="C897" s="1"/>
      <c r="D897" s="1"/>
      <c r="E897" s="1"/>
      <c r="F897" s="1"/>
      <c r="P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142"/>
    </row>
    <row r="898" ht="17.25" customHeight="1">
      <c r="A898" s="1"/>
      <c r="B898" s="1"/>
      <c r="C898" s="1"/>
      <c r="D898" s="1"/>
      <c r="E898" s="1"/>
      <c r="F898" s="1"/>
      <c r="P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142"/>
    </row>
    <row r="899" ht="17.25" customHeight="1">
      <c r="A899" s="1"/>
      <c r="B899" s="1"/>
      <c r="C899" s="1"/>
      <c r="D899" s="1"/>
      <c r="E899" s="1"/>
      <c r="F899" s="1"/>
      <c r="P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142"/>
    </row>
    <row r="900" ht="17.25" customHeight="1">
      <c r="A900" s="1"/>
      <c r="B900" s="1"/>
      <c r="C900" s="1"/>
      <c r="D900" s="1"/>
      <c r="E900" s="1"/>
      <c r="F900" s="1"/>
      <c r="P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142"/>
    </row>
    <row r="901" ht="17.25" customHeight="1">
      <c r="A901" s="1"/>
      <c r="B901" s="1"/>
      <c r="C901" s="1"/>
      <c r="D901" s="1"/>
      <c r="E901" s="1"/>
      <c r="F901" s="1"/>
      <c r="P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142"/>
    </row>
    <row r="902" ht="17.25" customHeight="1">
      <c r="A902" s="1"/>
      <c r="B902" s="1"/>
      <c r="C902" s="1"/>
      <c r="D902" s="1"/>
      <c r="E902" s="1"/>
      <c r="F902" s="1"/>
      <c r="P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142"/>
    </row>
    <row r="903" ht="17.25" customHeight="1">
      <c r="A903" s="1"/>
      <c r="B903" s="1"/>
      <c r="C903" s="1"/>
      <c r="D903" s="1"/>
      <c r="E903" s="1"/>
      <c r="F903" s="1"/>
      <c r="P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142"/>
    </row>
    <row r="904" ht="17.25" customHeight="1">
      <c r="A904" s="1"/>
      <c r="B904" s="1"/>
      <c r="C904" s="1"/>
      <c r="D904" s="1"/>
      <c r="E904" s="1"/>
      <c r="F904" s="1"/>
      <c r="P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142"/>
    </row>
    <row r="905" ht="17.25" customHeight="1">
      <c r="A905" s="1"/>
      <c r="B905" s="1"/>
      <c r="C905" s="1"/>
      <c r="D905" s="1"/>
      <c r="E905" s="1"/>
      <c r="F905" s="1"/>
      <c r="P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142"/>
    </row>
    <row r="906" ht="17.25" customHeight="1">
      <c r="A906" s="1"/>
      <c r="B906" s="1"/>
      <c r="C906" s="1"/>
      <c r="D906" s="1"/>
      <c r="E906" s="1"/>
      <c r="F906" s="1"/>
      <c r="P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142"/>
    </row>
    <row r="907" ht="17.25" customHeight="1">
      <c r="A907" s="1"/>
      <c r="B907" s="1"/>
      <c r="C907" s="1"/>
      <c r="D907" s="1"/>
      <c r="E907" s="1"/>
      <c r="F907" s="1"/>
      <c r="P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142"/>
    </row>
    <row r="908" ht="17.25" customHeight="1">
      <c r="A908" s="1"/>
      <c r="B908" s="1"/>
      <c r="C908" s="1"/>
      <c r="D908" s="1"/>
      <c r="E908" s="1"/>
      <c r="F908" s="1"/>
      <c r="P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142"/>
    </row>
    <row r="909" ht="17.25" customHeight="1">
      <c r="A909" s="1"/>
      <c r="B909" s="1"/>
      <c r="C909" s="1"/>
      <c r="D909" s="1"/>
      <c r="E909" s="1"/>
      <c r="F909" s="1"/>
      <c r="P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142"/>
    </row>
    <row r="910" ht="17.25" customHeight="1">
      <c r="A910" s="1"/>
      <c r="B910" s="1"/>
      <c r="C910" s="1"/>
      <c r="D910" s="1"/>
      <c r="E910" s="1"/>
      <c r="F910" s="1"/>
      <c r="P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142"/>
    </row>
    <row r="911" ht="17.25" customHeight="1">
      <c r="A911" s="1"/>
      <c r="B911" s="1"/>
      <c r="C911" s="1"/>
      <c r="D911" s="1"/>
      <c r="E911" s="1"/>
      <c r="F911" s="1"/>
      <c r="P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142"/>
    </row>
    <row r="912" ht="17.25" customHeight="1">
      <c r="A912" s="1"/>
      <c r="B912" s="1"/>
      <c r="C912" s="1"/>
      <c r="D912" s="1"/>
      <c r="E912" s="1"/>
      <c r="F912" s="1"/>
      <c r="P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142"/>
    </row>
    <row r="913" ht="17.25" customHeight="1">
      <c r="A913" s="1"/>
      <c r="B913" s="1"/>
      <c r="C913" s="1"/>
      <c r="D913" s="1"/>
      <c r="E913" s="1"/>
      <c r="F913" s="1"/>
      <c r="P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142"/>
    </row>
    <row r="914" ht="17.25" customHeight="1">
      <c r="A914" s="1"/>
      <c r="B914" s="1"/>
      <c r="C914" s="1"/>
      <c r="D914" s="1"/>
      <c r="E914" s="1"/>
      <c r="F914" s="1"/>
      <c r="P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142"/>
    </row>
    <row r="915" ht="17.25" customHeight="1">
      <c r="A915" s="1"/>
      <c r="B915" s="1"/>
      <c r="C915" s="1"/>
      <c r="D915" s="1"/>
      <c r="E915" s="1"/>
      <c r="F915" s="1"/>
      <c r="P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142"/>
    </row>
    <row r="916" ht="17.25" customHeight="1">
      <c r="A916" s="1"/>
      <c r="B916" s="1"/>
      <c r="C916" s="1"/>
      <c r="D916" s="1"/>
      <c r="E916" s="1"/>
      <c r="F916" s="1"/>
      <c r="P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142"/>
    </row>
    <row r="917" ht="17.25" customHeight="1">
      <c r="A917" s="1"/>
      <c r="B917" s="1"/>
      <c r="C917" s="1"/>
      <c r="D917" s="1"/>
      <c r="E917" s="1"/>
      <c r="F917" s="1"/>
      <c r="P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142"/>
    </row>
    <row r="918" ht="17.25" customHeight="1">
      <c r="A918" s="1"/>
      <c r="B918" s="1"/>
      <c r="C918" s="1"/>
      <c r="D918" s="1"/>
      <c r="E918" s="1"/>
      <c r="F918" s="1"/>
      <c r="P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142"/>
    </row>
    <row r="919" ht="17.25" customHeight="1">
      <c r="A919" s="1"/>
      <c r="B919" s="1"/>
      <c r="C919" s="1"/>
      <c r="D919" s="1"/>
      <c r="E919" s="1"/>
      <c r="F919" s="1"/>
      <c r="P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142"/>
    </row>
    <row r="920" ht="17.25" customHeight="1">
      <c r="A920" s="1"/>
      <c r="B920" s="1"/>
      <c r="C920" s="1"/>
      <c r="D920" s="1"/>
      <c r="E920" s="1"/>
      <c r="F920" s="1"/>
      <c r="P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142"/>
    </row>
    <row r="921" ht="17.25" customHeight="1">
      <c r="A921" s="1"/>
      <c r="B921" s="1"/>
      <c r="C921" s="1"/>
      <c r="D921" s="1"/>
      <c r="E921" s="1"/>
      <c r="F921" s="1"/>
      <c r="P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142"/>
    </row>
    <row r="922" ht="17.25" customHeight="1">
      <c r="A922" s="1"/>
      <c r="B922" s="1"/>
      <c r="C922" s="1"/>
      <c r="D922" s="1"/>
      <c r="E922" s="1"/>
      <c r="F922" s="1"/>
      <c r="P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142"/>
    </row>
    <row r="923" ht="17.25" customHeight="1">
      <c r="A923" s="1"/>
      <c r="B923" s="1"/>
      <c r="C923" s="1"/>
      <c r="D923" s="1"/>
      <c r="E923" s="1"/>
      <c r="F923" s="1"/>
      <c r="P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142"/>
    </row>
    <row r="924" ht="17.25" customHeight="1">
      <c r="A924" s="1"/>
      <c r="B924" s="1"/>
      <c r="C924" s="1"/>
      <c r="D924" s="1"/>
      <c r="E924" s="1"/>
      <c r="F924" s="1"/>
      <c r="P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142"/>
    </row>
    <row r="925" ht="17.25" customHeight="1">
      <c r="A925" s="1"/>
      <c r="B925" s="1"/>
      <c r="C925" s="1"/>
      <c r="D925" s="1"/>
      <c r="E925" s="1"/>
      <c r="F925" s="1"/>
      <c r="P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142"/>
    </row>
    <row r="926" ht="17.25" customHeight="1">
      <c r="A926" s="1"/>
      <c r="B926" s="1"/>
      <c r="C926" s="1"/>
      <c r="D926" s="1"/>
      <c r="E926" s="1"/>
      <c r="F926" s="1"/>
      <c r="P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142"/>
    </row>
    <row r="927" ht="17.25" customHeight="1">
      <c r="A927" s="1"/>
      <c r="B927" s="1"/>
      <c r="C927" s="1"/>
      <c r="D927" s="1"/>
      <c r="E927" s="1"/>
      <c r="F927" s="1"/>
      <c r="P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142"/>
    </row>
    <row r="928" ht="17.25" customHeight="1">
      <c r="A928" s="1"/>
      <c r="B928" s="1"/>
      <c r="C928" s="1"/>
      <c r="D928" s="1"/>
      <c r="E928" s="1"/>
      <c r="F928" s="1"/>
      <c r="P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142"/>
    </row>
    <row r="929" ht="17.25" customHeight="1">
      <c r="A929" s="1"/>
      <c r="B929" s="1"/>
      <c r="C929" s="1"/>
      <c r="D929" s="1"/>
      <c r="E929" s="1"/>
      <c r="F929" s="1"/>
      <c r="P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142"/>
    </row>
    <row r="930" ht="17.25" customHeight="1">
      <c r="A930" s="1"/>
      <c r="B930" s="1"/>
      <c r="C930" s="1"/>
      <c r="D930" s="1"/>
      <c r="E930" s="1"/>
      <c r="F930" s="1"/>
      <c r="P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142"/>
    </row>
    <row r="931" ht="17.25" customHeight="1">
      <c r="A931" s="1"/>
      <c r="B931" s="1"/>
      <c r="C931" s="1"/>
      <c r="D931" s="1"/>
      <c r="E931" s="1"/>
      <c r="F931" s="1"/>
      <c r="P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142"/>
    </row>
    <row r="932" ht="17.25" customHeight="1">
      <c r="A932" s="1"/>
      <c r="B932" s="1"/>
      <c r="C932" s="1"/>
      <c r="D932" s="1"/>
      <c r="E932" s="1"/>
      <c r="F932" s="1"/>
      <c r="P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142"/>
    </row>
    <row r="933" ht="17.25" customHeight="1">
      <c r="A933" s="1"/>
      <c r="B933" s="1"/>
      <c r="C933" s="1"/>
      <c r="D933" s="1"/>
      <c r="E933" s="1"/>
      <c r="F933" s="1"/>
      <c r="P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142"/>
    </row>
    <row r="934" ht="17.25" customHeight="1">
      <c r="A934" s="1"/>
      <c r="B934" s="1"/>
      <c r="C934" s="1"/>
      <c r="D934" s="1"/>
      <c r="E934" s="1"/>
      <c r="F934" s="1"/>
      <c r="P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142"/>
    </row>
    <row r="935" ht="17.25" customHeight="1">
      <c r="A935" s="1"/>
      <c r="B935" s="1"/>
      <c r="C935" s="1"/>
      <c r="D935" s="1"/>
      <c r="E935" s="1"/>
      <c r="F935" s="1"/>
      <c r="P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142"/>
    </row>
    <row r="936" ht="17.25" customHeight="1">
      <c r="A936" s="1"/>
      <c r="B936" s="1"/>
      <c r="C936" s="1"/>
      <c r="D936" s="1"/>
      <c r="E936" s="1"/>
      <c r="F936" s="1"/>
      <c r="P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142"/>
    </row>
    <row r="937" ht="17.25" customHeight="1">
      <c r="A937" s="1"/>
      <c r="B937" s="1"/>
      <c r="C937" s="1"/>
      <c r="D937" s="1"/>
      <c r="E937" s="1"/>
      <c r="F937" s="1"/>
      <c r="P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142"/>
    </row>
    <row r="938" ht="17.25" customHeight="1">
      <c r="A938" s="1"/>
      <c r="B938" s="1"/>
      <c r="C938" s="1"/>
      <c r="D938" s="1"/>
      <c r="E938" s="1"/>
      <c r="F938" s="1"/>
      <c r="P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142"/>
    </row>
    <row r="939" ht="17.25" customHeight="1">
      <c r="A939" s="1"/>
      <c r="B939" s="1"/>
      <c r="C939" s="1"/>
      <c r="D939" s="1"/>
      <c r="E939" s="1"/>
      <c r="F939" s="1"/>
      <c r="P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142"/>
    </row>
    <row r="940" ht="17.25" customHeight="1">
      <c r="A940" s="1"/>
      <c r="B940" s="1"/>
      <c r="C940" s="1"/>
      <c r="D940" s="1"/>
      <c r="E940" s="1"/>
      <c r="F940" s="1"/>
      <c r="P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142"/>
    </row>
    <row r="941" ht="17.25" customHeight="1">
      <c r="A941" s="1"/>
      <c r="B941" s="1"/>
      <c r="C941" s="1"/>
      <c r="D941" s="1"/>
      <c r="E941" s="1"/>
      <c r="F941" s="1"/>
      <c r="P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142"/>
    </row>
    <row r="942" ht="17.25" customHeight="1">
      <c r="A942" s="1"/>
      <c r="B942" s="1"/>
      <c r="C942" s="1"/>
      <c r="D942" s="1"/>
      <c r="E942" s="1"/>
      <c r="F942" s="1"/>
      <c r="P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142"/>
    </row>
    <row r="943" ht="17.25" customHeight="1">
      <c r="A943" s="1"/>
      <c r="B943" s="1"/>
      <c r="C943" s="1"/>
      <c r="D943" s="1"/>
      <c r="E943" s="1"/>
      <c r="F943" s="1"/>
      <c r="P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142"/>
    </row>
    <row r="944" ht="17.25" customHeight="1">
      <c r="A944" s="1"/>
      <c r="B944" s="1"/>
      <c r="C944" s="1"/>
      <c r="D944" s="1"/>
      <c r="E944" s="1"/>
      <c r="F944" s="1"/>
      <c r="P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142"/>
    </row>
    <row r="945" ht="17.25" customHeight="1">
      <c r="A945" s="1"/>
      <c r="B945" s="1"/>
      <c r="C945" s="1"/>
      <c r="D945" s="1"/>
      <c r="E945" s="1"/>
      <c r="F945" s="1"/>
      <c r="P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142"/>
    </row>
    <row r="946" ht="17.25" customHeight="1">
      <c r="A946" s="1"/>
      <c r="B946" s="1"/>
      <c r="C946" s="1"/>
      <c r="D946" s="1"/>
      <c r="E946" s="1"/>
      <c r="F946" s="1"/>
      <c r="P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142"/>
    </row>
    <row r="947" ht="17.25" customHeight="1">
      <c r="A947" s="1"/>
      <c r="B947" s="1"/>
      <c r="C947" s="1"/>
      <c r="D947" s="1"/>
      <c r="E947" s="1"/>
      <c r="F947" s="1"/>
      <c r="P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142"/>
    </row>
    <row r="948" ht="17.25" customHeight="1">
      <c r="A948" s="1"/>
      <c r="B948" s="1"/>
      <c r="C948" s="1"/>
      <c r="D948" s="1"/>
      <c r="E948" s="1"/>
      <c r="F948" s="1"/>
      <c r="P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142"/>
    </row>
    <row r="949" ht="17.25" customHeight="1">
      <c r="A949" s="1"/>
      <c r="B949" s="1"/>
      <c r="C949" s="1"/>
      <c r="D949" s="1"/>
      <c r="E949" s="1"/>
      <c r="F949" s="1"/>
      <c r="P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142"/>
    </row>
    <row r="950" ht="17.25" customHeight="1">
      <c r="A950" s="1"/>
      <c r="B950" s="1"/>
      <c r="C950" s="1"/>
      <c r="D950" s="1"/>
      <c r="E950" s="1"/>
      <c r="F950" s="1"/>
      <c r="P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142"/>
    </row>
    <row r="951" ht="17.25" customHeight="1">
      <c r="A951" s="1"/>
      <c r="B951" s="1"/>
      <c r="C951" s="1"/>
      <c r="D951" s="1"/>
      <c r="E951" s="1"/>
      <c r="F951" s="1"/>
      <c r="P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142"/>
    </row>
    <row r="952" ht="17.25" customHeight="1">
      <c r="A952" s="1"/>
      <c r="B952" s="1"/>
      <c r="C952" s="1"/>
      <c r="D952" s="1"/>
      <c r="E952" s="1"/>
      <c r="F952" s="1"/>
      <c r="P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142"/>
    </row>
    <row r="953" ht="17.25" customHeight="1">
      <c r="A953" s="1"/>
      <c r="B953" s="1"/>
      <c r="C953" s="1"/>
      <c r="D953" s="1"/>
      <c r="E953" s="1"/>
      <c r="F953" s="1"/>
      <c r="P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142"/>
    </row>
    <row r="954" ht="17.25" customHeight="1">
      <c r="A954" s="1"/>
      <c r="B954" s="1"/>
      <c r="C954" s="1"/>
      <c r="D954" s="1"/>
      <c r="E954" s="1"/>
      <c r="F954" s="1"/>
      <c r="P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142"/>
    </row>
    <row r="955" ht="17.25" customHeight="1">
      <c r="A955" s="1"/>
      <c r="B955" s="1"/>
      <c r="C955" s="1"/>
      <c r="D955" s="1"/>
      <c r="E955" s="1"/>
      <c r="F955" s="1"/>
      <c r="P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142"/>
    </row>
    <row r="956" ht="17.25" customHeight="1">
      <c r="A956" s="1"/>
      <c r="B956" s="1"/>
      <c r="C956" s="1"/>
      <c r="D956" s="1"/>
      <c r="E956" s="1"/>
      <c r="F956" s="1"/>
      <c r="P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142"/>
    </row>
    <row r="957" ht="17.25" customHeight="1">
      <c r="A957" s="1"/>
      <c r="B957" s="1"/>
      <c r="C957" s="1"/>
      <c r="D957" s="1"/>
      <c r="E957" s="1"/>
      <c r="F957" s="1"/>
      <c r="P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142"/>
    </row>
    <row r="958" ht="17.25" customHeight="1">
      <c r="A958" s="1"/>
      <c r="B958" s="1"/>
      <c r="C958" s="1"/>
      <c r="D958" s="1"/>
      <c r="E958" s="1"/>
      <c r="F958" s="1"/>
      <c r="P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142"/>
    </row>
    <row r="959" ht="17.25" customHeight="1">
      <c r="A959" s="1"/>
      <c r="B959" s="1"/>
      <c r="C959" s="1"/>
      <c r="D959" s="1"/>
      <c r="E959" s="1"/>
      <c r="F959" s="1"/>
      <c r="P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142"/>
    </row>
    <row r="960" ht="17.25" customHeight="1">
      <c r="A960" s="1"/>
      <c r="B960" s="1"/>
      <c r="C960" s="1"/>
      <c r="D960" s="1"/>
      <c r="E960" s="1"/>
      <c r="F960" s="1"/>
      <c r="P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142"/>
    </row>
    <row r="961" ht="17.25" customHeight="1">
      <c r="A961" s="1"/>
      <c r="B961" s="1"/>
      <c r="C961" s="1"/>
      <c r="D961" s="1"/>
      <c r="E961" s="1"/>
      <c r="F961" s="1"/>
      <c r="P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142"/>
    </row>
    <row r="962" ht="17.25" customHeight="1">
      <c r="A962" s="1"/>
      <c r="B962" s="1"/>
      <c r="C962" s="1"/>
      <c r="D962" s="1"/>
      <c r="E962" s="1"/>
      <c r="F962" s="1"/>
      <c r="P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142"/>
    </row>
    <row r="963" ht="17.25" customHeight="1">
      <c r="A963" s="1"/>
      <c r="B963" s="1"/>
      <c r="C963" s="1"/>
      <c r="D963" s="1"/>
      <c r="E963" s="1"/>
      <c r="F963" s="1"/>
      <c r="P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142"/>
    </row>
    <row r="964" ht="17.25" customHeight="1">
      <c r="A964" s="1"/>
      <c r="B964" s="1"/>
      <c r="C964" s="1"/>
      <c r="D964" s="1"/>
      <c r="E964" s="1"/>
      <c r="F964" s="1"/>
      <c r="P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142"/>
    </row>
    <row r="965" ht="17.25" customHeight="1">
      <c r="A965" s="1"/>
      <c r="B965" s="1"/>
      <c r="C965" s="1"/>
      <c r="D965" s="1"/>
      <c r="E965" s="1"/>
      <c r="F965" s="1"/>
      <c r="P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142"/>
    </row>
    <row r="966" ht="17.25" customHeight="1">
      <c r="A966" s="1"/>
      <c r="B966" s="1"/>
      <c r="C966" s="1"/>
      <c r="D966" s="1"/>
      <c r="E966" s="1"/>
      <c r="F966" s="1"/>
      <c r="P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142"/>
    </row>
    <row r="967" ht="17.25" customHeight="1">
      <c r="A967" s="1"/>
      <c r="B967" s="1"/>
      <c r="C967" s="1"/>
      <c r="D967" s="1"/>
      <c r="E967" s="1"/>
      <c r="F967" s="1"/>
      <c r="P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142"/>
    </row>
    <row r="968" ht="17.25" customHeight="1">
      <c r="A968" s="1"/>
      <c r="B968" s="1"/>
      <c r="C968" s="1"/>
      <c r="D968" s="1"/>
      <c r="E968" s="1"/>
      <c r="F968" s="1"/>
      <c r="P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142"/>
    </row>
    <row r="969" ht="17.25" customHeight="1">
      <c r="A969" s="1"/>
      <c r="B969" s="1"/>
      <c r="C969" s="1"/>
      <c r="D969" s="1"/>
      <c r="E969" s="1"/>
      <c r="F969" s="1"/>
      <c r="P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142"/>
    </row>
    <row r="970" ht="17.25" customHeight="1">
      <c r="A970" s="1"/>
      <c r="B970" s="1"/>
      <c r="C970" s="1"/>
      <c r="D970" s="1"/>
      <c r="E970" s="1"/>
      <c r="F970" s="1"/>
      <c r="P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142"/>
    </row>
    <row r="971" ht="17.25" customHeight="1">
      <c r="A971" s="1"/>
      <c r="B971" s="1"/>
      <c r="C971" s="1"/>
      <c r="D971" s="1"/>
      <c r="E971" s="1"/>
      <c r="F971" s="1"/>
      <c r="P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142"/>
    </row>
    <row r="972" ht="17.25" customHeight="1">
      <c r="A972" s="1"/>
      <c r="B972" s="1"/>
      <c r="C972" s="1"/>
      <c r="D972" s="1"/>
      <c r="E972" s="1"/>
      <c r="F972" s="1"/>
      <c r="P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142"/>
    </row>
    <row r="973" ht="17.25" customHeight="1">
      <c r="A973" s="1"/>
      <c r="B973" s="1"/>
      <c r="C973" s="1"/>
      <c r="D973" s="1"/>
      <c r="E973" s="1"/>
      <c r="F973" s="1"/>
      <c r="P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142"/>
    </row>
    <row r="974" ht="17.25" customHeight="1">
      <c r="A974" s="1"/>
      <c r="B974" s="1"/>
      <c r="C974" s="1"/>
      <c r="D974" s="1"/>
      <c r="E974" s="1"/>
      <c r="F974" s="1"/>
      <c r="P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142"/>
    </row>
    <row r="975" ht="17.25" customHeight="1">
      <c r="A975" s="1"/>
      <c r="B975" s="1"/>
      <c r="C975" s="1"/>
      <c r="D975" s="1"/>
      <c r="E975" s="1"/>
      <c r="F975" s="1"/>
      <c r="P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142"/>
    </row>
    <row r="976" ht="17.25" customHeight="1">
      <c r="A976" s="1"/>
      <c r="B976" s="1"/>
      <c r="C976" s="1"/>
      <c r="D976" s="1"/>
      <c r="E976" s="1"/>
      <c r="F976" s="1"/>
      <c r="P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142"/>
    </row>
    <row r="977" ht="17.25" customHeight="1">
      <c r="A977" s="1"/>
      <c r="B977" s="1"/>
      <c r="C977" s="1"/>
      <c r="D977" s="1"/>
      <c r="E977" s="1"/>
      <c r="F977" s="1"/>
      <c r="P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142"/>
    </row>
    <row r="978" ht="17.25" customHeight="1">
      <c r="A978" s="1"/>
      <c r="B978" s="1"/>
      <c r="C978" s="1"/>
      <c r="D978" s="1"/>
      <c r="E978" s="1"/>
      <c r="F978" s="1"/>
      <c r="P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142"/>
    </row>
    <row r="979" ht="17.25" customHeight="1">
      <c r="A979" s="1"/>
      <c r="B979" s="1"/>
      <c r="C979" s="1"/>
      <c r="D979" s="1"/>
      <c r="E979" s="1"/>
      <c r="F979" s="1"/>
      <c r="P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142"/>
    </row>
    <row r="980" ht="17.25" customHeight="1">
      <c r="A980" s="1"/>
      <c r="B980" s="1"/>
      <c r="C980" s="1"/>
      <c r="D980" s="1"/>
      <c r="E980" s="1"/>
      <c r="F980" s="1"/>
      <c r="P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142"/>
    </row>
    <row r="981" ht="17.25" customHeight="1">
      <c r="A981" s="1"/>
      <c r="B981" s="1"/>
      <c r="C981" s="1"/>
      <c r="D981" s="1"/>
      <c r="E981" s="1"/>
      <c r="F981" s="1"/>
      <c r="P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142"/>
    </row>
    <row r="982" ht="17.25" customHeight="1">
      <c r="A982" s="1"/>
      <c r="B982" s="1"/>
      <c r="C982" s="1"/>
      <c r="D982" s="1"/>
      <c r="E982" s="1"/>
      <c r="F982" s="1"/>
      <c r="P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142"/>
    </row>
    <row r="983" ht="17.25" customHeight="1">
      <c r="A983" s="1"/>
      <c r="B983" s="1"/>
      <c r="C983" s="1"/>
      <c r="D983" s="1"/>
      <c r="E983" s="1"/>
      <c r="F983" s="1"/>
      <c r="P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142"/>
    </row>
    <row r="984" ht="17.25" customHeight="1">
      <c r="A984" s="1"/>
      <c r="B984" s="1"/>
      <c r="C984" s="1"/>
      <c r="D984" s="1"/>
      <c r="E984" s="1"/>
      <c r="F984" s="1"/>
      <c r="P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142"/>
    </row>
    <row r="985" ht="17.25" customHeight="1">
      <c r="A985" s="1"/>
      <c r="B985" s="1"/>
      <c r="C985" s="1"/>
      <c r="D985" s="1"/>
      <c r="E985" s="1"/>
      <c r="F985" s="1"/>
      <c r="P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142"/>
    </row>
    <row r="986" ht="17.25" customHeight="1">
      <c r="A986" s="1"/>
      <c r="B986" s="1"/>
      <c r="C986" s="1"/>
      <c r="D986" s="1"/>
      <c r="E986" s="1"/>
      <c r="F986" s="1"/>
      <c r="P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142"/>
    </row>
    <row r="987" ht="17.25" customHeight="1">
      <c r="A987" s="1"/>
      <c r="B987" s="1"/>
      <c r="C987" s="1"/>
      <c r="D987" s="1"/>
      <c r="E987" s="1"/>
      <c r="F987" s="1"/>
      <c r="P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142"/>
    </row>
    <row r="988" ht="17.25" customHeight="1">
      <c r="A988" s="1"/>
      <c r="B988" s="1"/>
      <c r="C988" s="1"/>
      <c r="D988" s="1"/>
      <c r="E988" s="1"/>
      <c r="F988" s="1"/>
      <c r="P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142"/>
    </row>
    <row r="989" ht="17.25" customHeight="1">
      <c r="A989" s="1"/>
      <c r="B989" s="1"/>
      <c r="C989" s="1"/>
      <c r="D989" s="1"/>
      <c r="E989" s="1"/>
      <c r="F989" s="1"/>
      <c r="P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142"/>
    </row>
    <row r="990" ht="17.25" customHeight="1">
      <c r="A990" s="1"/>
      <c r="B990" s="1"/>
      <c r="C990" s="1"/>
      <c r="D990" s="1"/>
      <c r="E990" s="1"/>
      <c r="F990" s="1"/>
      <c r="P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142"/>
    </row>
    <row r="991" ht="17.25" customHeight="1">
      <c r="A991" s="1"/>
      <c r="B991" s="1"/>
      <c r="C991" s="1"/>
      <c r="D991" s="1"/>
      <c r="E991" s="1"/>
      <c r="F991" s="1"/>
      <c r="P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142"/>
    </row>
    <row r="992" ht="17.25" customHeight="1">
      <c r="A992" s="1"/>
      <c r="B992" s="1"/>
      <c r="C992" s="1"/>
      <c r="D992" s="1"/>
      <c r="E992" s="1"/>
      <c r="F992" s="1"/>
      <c r="P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142"/>
    </row>
    <row r="993" ht="17.25" customHeight="1">
      <c r="A993" s="1"/>
      <c r="B993" s="1"/>
      <c r="C993" s="1"/>
      <c r="D993" s="1"/>
      <c r="E993" s="1"/>
      <c r="F993" s="1"/>
      <c r="P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142"/>
    </row>
    <row r="994" ht="17.25" customHeight="1">
      <c r="A994" s="1"/>
      <c r="B994" s="1"/>
      <c r="C994" s="1"/>
      <c r="D994" s="1"/>
      <c r="E994" s="1"/>
      <c r="F994" s="1"/>
      <c r="P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142"/>
    </row>
    <row r="995" ht="17.25" customHeight="1">
      <c r="A995" s="1"/>
      <c r="B995" s="1"/>
      <c r="C995" s="1"/>
      <c r="D995" s="1"/>
      <c r="E995" s="1"/>
      <c r="F995" s="1"/>
      <c r="P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142"/>
    </row>
    <row r="996" ht="17.25" customHeight="1">
      <c r="A996" s="1"/>
      <c r="B996" s="1"/>
      <c r="C996" s="1"/>
      <c r="D996" s="1"/>
      <c r="E996" s="1"/>
      <c r="F996" s="1"/>
      <c r="P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142"/>
    </row>
    <row r="997" ht="17.25" customHeight="1">
      <c r="A997" s="1"/>
      <c r="B997" s="1"/>
      <c r="C997" s="1"/>
      <c r="D997" s="1"/>
      <c r="E997" s="1"/>
      <c r="F997" s="1"/>
      <c r="P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142"/>
    </row>
    <row r="998" ht="17.25" customHeight="1">
      <c r="A998" s="1"/>
      <c r="B998" s="1"/>
      <c r="C998" s="1"/>
      <c r="D998" s="1"/>
      <c r="E998" s="1"/>
      <c r="F998" s="1"/>
      <c r="P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142"/>
    </row>
    <row r="999" ht="17.25" customHeight="1">
      <c r="A999" s="1"/>
      <c r="B999" s="1"/>
      <c r="C999" s="1"/>
      <c r="D999" s="1"/>
      <c r="E999" s="1"/>
      <c r="F999" s="1"/>
      <c r="P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142"/>
    </row>
    <row r="1000" ht="17.25" customHeight="1">
      <c r="A1000" s="1"/>
      <c r="B1000" s="1"/>
      <c r="C1000" s="1"/>
      <c r="D1000" s="1"/>
      <c r="E1000" s="1"/>
      <c r="F1000" s="1"/>
      <c r="P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142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479166388511658" footer="0.0" header="0.0" left="0.7086111307144165" right="0.7086111307144165" top="0.7479166388511658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4" width="12.57"/>
    <col customWidth="1" hidden="1" min="15" max="15" width="12.57"/>
    <col customWidth="1" min="16" max="16" width="12.57"/>
    <col customWidth="1" min="17" max="26" width="11.43"/>
    <col customWidth="1" hidden="1" min="27" max="47" width="11.43"/>
    <col customWidth="1" min="48" max="48" width="12.57"/>
    <col customWidth="1" min="49" max="49" width="10.29"/>
    <col customWidth="1" min="50" max="52" width="9.0"/>
  </cols>
  <sheetData>
    <row r="1" ht="12.0" customHeight="1">
      <c r="A1" s="1"/>
      <c r="B1" s="1"/>
      <c r="C1" s="1"/>
      <c r="D1" s="1"/>
      <c r="E1" s="1"/>
      <c r="F1" s="1"/>
      <c r="P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142"/>
    </row>
    <row r="2" ht="30.0" customHeight="1">
      <c r="A2" s="4" t="s">
        <v>29</v>
      </c>
      <c r="B2" s="5"/>
      <c r="C2" s="1"/>
      <c r="D2" s="1"/>
      <c r="E2" s="1"/>
      <c r="F2" s="1"/>
      <c r="P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142"/>
    </row>
    <row r="3" ht="18.0" customHeight="1">
      <c r="A3" s="6" t="s">
        <v>1</v>
      </c>
      <c r="B3" s="7"/>
      <c r="C3" s="143"/>
      <c r="D3" s="9">
        <v>45322.0</v>
      </c>
      <c r="E3" s="10">
        <v>44620.0</v>
      </c>
      <c r="F3" s="10">
        <v>44651.0</v>
      </c>
      <c r="G3" s="10">
        <v>44681.0</v>
      </c>
      <c r="H3" s="10">
        <v>44712.0</v>
      </c>
      <c r="I3" s="10">
        <v>44742.0</v>
      </c>
      <c r="J3" s="10">
        <v>44773.0</v>
      </c>
      <c r="K3" s="10">
        <v>44804.0</v>
      </c>
      <c r="L3" s="10">
        <v>44834.0</v>
      </c>
      <c r="M3" s="10">
        <v>44865.0</v>
      </c>
      <c r="N3" s="10">
        <v>44895.0</v>
      </c>
      <c r="O3" s="10">
        <v>44926.0</v>
      </c>
      <c r="P3" s="289" t="s">
        <v>4</v>
      </c>
      <c r="Q3" s="13">
        <v>45962.0</v>
      </c>
      <c r="R3" s="13">
        <v>45963.0</v>
      </c>
      <c r="S3" s="13">
        <v>45964.0</v>
      </c>
      <c r="T3" s="13">
        <v>45965.0</v>
      </c>
      <c r="U3" s="13">
        <v>45966.0</v>
      </c>
      <c r="V3" s="13">
        <v>45967.0</v>
      </c>
      <c r="W3" s="13">
        <v>45968.0</v>
      </c>
      <c r="X3" s="13">
        <v>45969.0</v>
      </c>
      <c r="Y3" s="13">
        <v>45970.0</v>
      </c>
      <c r="Z3" s="13">
        <v>45971.0</v>
      </c>
      <c r="AA3" s="13">
        <v>45972.0</v>
      </c>
      <c r="AB3" s="13">
        <v>45973.0</v>
      </c>
      <c r="AC3" s="13">
        <v>45974.0</v>
      </c>
      <c r="AD3" s="13">
        <v>45975.0</v>
      </c>
      <c r="AE3" s="13">
        <v>45976.0</v>
      </c>
      <c r="AF3" s="13">
        <v>45977.0</v>
      </c>
      <c r="AG3" s="13">
        <v>45978.0</v>
      </c>
      <c r="AH3" s="13">
        <v>45979.0</v>
      </c>
      <c r="AI3" s="13">
        <v>45980.0</v>
      </c>
      <c r="AJ3" s="13">
        <v>45981.0</v>
      </c>
      <c r="AK3" s="13">
        <v>45982.0</v>
      </c>
      <c r="AL3" s="13">
        <v>45983.0</v>
      </c>
      <c r="AM3" s="13">
        <v>45984.0</v>
      </c>
      <c r="AN3" s="13">
        <v>45985.0</v>
      </c>
      <c r="AO3" s="13">
        <v>45986.0</v>
      </c>
      <c r="AP3" s="13">
        <v>45987.0</v>
      </c>
      <c r="AQ3" s="13">
        <v>45988.0</v>
      </c>
      <c r="AR3" s="13">
        <v>45989.0</v>
      </c>
      <c r="AS3" s="13">
        <v>45990.0</v>
      </c>
      <c r="AT3" s="13">
        <v>45991.0</v>
      </c>
      <c r="AU3" s="13">
        <v>45992.0</v>
      </c>
      <c r="AV3" s="14" t="s">
        <v>22</v>
      </c>
      <c r="AW3" s="16"/>
      <c r="AX3" s="16"/>
      <c r="AY3" s="16"/>
      <c r="AZ3" s="16"/>
    </row>
    <row r="4" ht="18.0" customHeight="1">
      <c r="A4" s="17" t="s">
        <v>6</v>
      </c>
      <c r="B4" s="17" t="s">
        <v>7</v>
      </c>
      <c r="C4" s="94" t="s">
        <v>8</v>
      </c>
      <c r="D4" s="19">
        <v>120.0</v>
      </c>
      <c r="E4" s="20">
        <f t="shared" ref="E4:O4" si="1">D24</f>
        <v>120</v>
      </c>
      <c r="F4" s="20">
        <f t="shared" si="1"/>
        <v>156</v>
      </c>
      <c r="G4" s="20">
        <f t="shared" si="1"/>
        <v>80</v>
      </c>
      <c r="H4" s="20">
        <f t="shared" si="1"/>
        <v>0</v>
      </c>
      <c r="I4" s="20">
        <f t="shared" si="1"/>
        <v>12</v>
      </c>
      <c r="J4" s="20">
        <f t="shared" si="1"/>
        <v>0</v>
      </c>
      <c r="K4" s="20">
        <f t="shared" si="1"/>
        <v>0</v>
      </c>
      <c r="L4" s="20">
        <f t="shared" si="1"/>
        <v>0</v>
      </c>
      <c r="M4" s="20">
        <f t="shared" si="1"/>
        <v>20</v>
      </c>
      <c r="N4" s="20">
        <f t="shared" si="1"/>
        <v>20</v>
      </c>
      <c r="O4" s="21">
        <f t="shared" si="1"/>
        <v>20</v>
      </c>
      <c r="P4" s="22">
        <v>20.0</v>
      </c>
      <c r="Q4" s="147">
        <f t="shared" ref="Q4:AU4" si="2">+P24</f>
        <v>20</v>
      </c>
      <c r="R4" s="148">
        <f t="shared" si="2"/>
        <v>20</v>
      </c>
      <c r="S4" s="148">
        <f t="shared" si="2"/>
        <v>20</v>
      </c>
      <c r="T4" s="148">
        <f t="shared" si="2"/>
        <v>20</v>
      </c>
      <c r="U4" s="148">
        <f t="shared" si="2"/>
        <v>20</v>
      </c>
      <c r="V4" s="148">
        <f t="shared" si="2"/>
        <v>20</v>
      </c>
      <c r="W4" s="148">
        <f t="shared" si="2"/>
        <v>20</v>
      </c>
      <c r="X4" s="148">
        <f t="shared" si="2"/>
        <v>20</v>
      </c>
      <c r="Y4" s="148">
        <f t="shared" si="2"/>
        <v>20</v>
      </c>
      <c r="Z4" s="148">
        <f t="shared" si="2"/>
        <v>20</v>
      </c>
      <c r="AA4" s="148">
        <f t="shared" si="2"/>
        <v>20</v>
      </c>
      <c r="AB4" s="148">
        <f t="shared" si="2"/>
        <v>20</v>
      </c>
      <c r="AC4" s="148">
        <f t="shared" si="2"/>
        <v>20</v>
      </c>
      <c r="AD4" s="148">
        <f t="shared" si="2"/>
        <v>20</v>
      </c>
      <c r="AE4" s="148">
        <f t="shared" si="2"/>
        <v>20</v>
      </c>
      <c r="AF4" s="148">
        <f t="shared" si="2"/>
        <v>20</v>
      </c>
      <c r="AG4" s="148">
        <f t="shared" si="2"/>
        <v>20</v>
      </c>
      <c r="AH4" s="148">
        <f t="shared" si="2"/>
        <v>20</v>
      </c>
      <c r="AI4" s="148">
        <f t="shared" si="2"/>
        <v>20</v>
      </c>
      <c r="AJ4" s="148">
        <f t="shared" si="2"/>
        <v>20</v>
      </c>
      <c r="AK4" s="148">
        <f t="shared" si="2"/>
        <v>20</v>
      </c>
      <c r="AL4" s="148">
        <f t="shared" si="2"/>
        <v>20</v>
      </c>
      <c r="AM4" s="148">
        <f t="shared" si="2"/>
        <v>20</v>
      </c>
      <c r="AN4" s="148">
        <f t="shared" si="2"/>
        <v>20</v>
      </c>
      <c r="AO4" s="148">
        <f t="shared" si="2"/>
        <v>20</v>
      </c>
      <c r="AP4" s="148">
        <f t="shared" si="2"/>
        <v>20</v>
      </c>
      <c r="AQ4" s="148">
        <f t="shared" si="2"/>
        <v>20</v>
      </c>
      <c r="AR4" s="148">
        <f t="shared" si="2"/>
        <v>20</v>
      </c>
      <c r="AS4" s="148">
        <f t="shared" si="2"/>
        <v>20</v>
      </c>
      <c r="AT4" s="148">
        <f t="shared" si="2"/>
        <v>20</v>
      </c>
      <c r="AU4" s="148">
        <f t="shared" si="2"/>
        <v>20</v>
      </c>
      <c r="AV4" s="25">
        <f t="shared" ref="AV4:AV8" si="5">P24</f>
        <v>20</v>
      </c>
    </row>
    <row r="5" ht="18.0" customHeight="1">
      <c r="A5" s="28"/>
      <c r="B5" s="29"/>
      <c r="C5" s="100" t="s">
        <v>9</v>
      </c>
      <c r="D5" s="221">
        <v>0.0</v>
      </c>
      <c r="E5" s="304">
        <f t="shared" ref="E5:O5" si="3">D25</f>
        <v>0</v>
      </c>
      <c r="F5" s="304">
        <f t="shared" si="3"/>
        <v>0</v>
      </c>
      <c r="G5" s="304">
        <f t="shared" si="3"/>
        <v>0</v>
      </c>
      <c r="H5" s="304">
        <f t="shared" si="3"/>
        <v>200</v>
      </c>
      <c r="I5" s="304">
        <f t="shared" si="3"/>
        <v>440</v>
      </c>
      <c r="J5" s="304">
        <f t="shared" si="3"/>
        <v>200</v>
      </c>
      <c r="K5" s="304">
        <f t="shared" si="3"/>
        <v>200</v>
      </c>
      <c r="L5" s="304">
        <f t="shared" si="3"/>
        <v>200</v>
      </c>
      <c r="M5" s="304">
        <f t="shared" si="3"/>
        <v>200</v>
      </c>
      <c r="N5" s="304">
        <f t="shared" si="3"/>
        <v>200</v>
      </c>
      <c r="O5" s="305">
        <f t="shared" si="3"/>
        <v>200</v>
      </c>
      <c r="P5" s="153">
        <v>200.0</v>
      </c>
      <c r="Q5" s="154">
        <f t="shared" ref="Q5:AU5" si="4">+P25</f>
        <v>200</v>
      </c>
      <c r="R5" s="155">
        <f t="shared" si="4"/>
        <v>200</v>
      </c>
      <c r="S5" s="155">
        <f t="shared" si="4"/>
        <v>200</v>
      </c>
      <c r="T5" s="155">
        <f t="shared" si="4"/>
        <v>200</v>
      </c>
      <c r="U5" s="155">
        <f t="shared" si="4"/>
        <v>200</v>
      </c>
      <c r="V5" s="155">
        <f t="shared" si="4"/>
        <v>120</v>
      </c>
      <c r="W5" s="155">
        <f t="shared" si="4"/>
        <v>120</v>
      </c>
      <c r="X5" s="155">
        <f t="shared" si="4"/>
        <v>120</v>
      </c>
      <c r="Y5" s="155">
        <f t="shared" si="4"/>
        <v>120</v>
      </c>
      <c r="Z5" s="155">
        <f t="shared" si="4"/>
        <v>120</v>
      </c>
      <c r="AA5" s="155">
        <f t="shared" si="4"/>
        <v>120</v>
      </c>
      <c r="AB5" s="155">
        <f t="shared" si="4"/>
        <v>120</v>
      </c>
      <c r="AC5" s="155">
        <f t="shared" si="4"/>
        <v>120</v>
      </c>
      <c r="AD5" s="155">
        <f t="shared" si="4"/>
        <v>120</v>
      </c>
      <c r="AE5" s="155">
        <f t="shared" si="4"/>
        <v>120</v>
      </c>
      <c r="AF5" s="155">
        <f t="shared" si="4"/>
        <v>120</v>
      </c>
      <c r="AG5" s="155">
        <f t="shared" si="4"/>
        <v>120</v>
      </c>
      <c r="AH5" s="155">
        <f t="shared" si="4"/>
        <v>120</v>
      </c>
      <c r="AI5" s="155">
        <f t="shared" si="4"/>
        <v>120</v>
      </c>
      <c r="AJ5" s="155">
        <f t="shared" si="4"/>
        <v>120</v>
      </c>
      <c r="AK5" s="155">
        <f t="shared" si="4"/>
        <v>120</v>
      </c>
      <c r="AL5" s="155">
        <f t="shared" si="4"/>
        <v>120</v>
      </c>
      <c r="AM5" s="155">
        <f t="shared" si="4"/>
        <v>120</v>
      </c>
      <c r="AN5" s="155">
        <f t="shared" si="4"/>
        <v>120</v>
      </c>
      <c r="AO5" s="155">
        <f t="shared" si="4"/>
        <v>120</v>
      </c>
      <c r="AP5" s="155">
        <f t="shared" si="4"/>
        <v>120</v>
      </c>
      <c r="AQ5" s="155">
        <f t="shared" si="4"/>
        <v>120</v>
      </c>
      <c r="AR5" s="155">
        <f t="shared" si="4"/>
        <v>120</v>
      </c>
      <c r="AS5" s="155">
        <f t="shared" si="4"/>
        <v>120</v>
      </c>
      <c r="AT5" s="155">
        <f t="shared" si="4"/>
        <v>120</v>
      </c>
      <c r="AU5" s="155">
        <f t="shared" si="4"/>
        <v>120</v>
      </c>
      <c r="AV5" s="157">
        <f t="shared" si="5"/>
        <v>200</v>
      </c>
    </row>
    <row r="6" ht="18.0" customHeight="1">
      <c r="A6" s="28"/>
      <c r="B6" s="38" t="s">
        <v>10</v>
      </c>
      <c r="C6" s="106" t="s">
        <v>8</v>
      </c>
      <c r="D6" s="19">
        <v>181.0</v>
      </c>
      <c r="E6" s="20">
        <f t="shared" ref="E6:O6" si="6">D26</f>
        <v>133</v>
      </c>
      <c r="F6" s="20">
        <f t="shared" si="6"/>
        <v>95</v>
      </c>
      <c r="G6" s="20">
        <f t="shared" si="6"/>
        <v>146</v>
      </c>
      <c r="H6" s="20">
        <f t="shared" si="6"/>
        <v>135</v>
      </c>
      <c r="I6" s="20">
        <f t="shared" si="6"/>
        <v>95</v>
      </c>
      <c r="J6" s="20">
        <f t="shared" si="6"/>
        <v>75</v>
      </c>
      <c r="K6" s="20">
        <f t="shared" si="6"/>
        <v>323</v>
      </c>
      <c r="L6" s="20">
        <f t="shared" si="6"/>
        <v>75</v>
      </c>
      <c r="M6" s="20">
        <f t="shared" si="6"/>
        <v>57</v>
      </c>
      <c r="N6" s="20">
        <f t="shared" si="6"/>
        <v>57</v>
      </c>
      <c r="O6" s="21">
        <f t="shared" si="6"/>
        <v>57</v>
      </c>
      <c r="P6" s="22">
        <v>57.0</v>
      </c>
      <c r="Q6" s="147">
        <f t="shared" ref="Q6:AU6" si="7">+P26</f>
        <v>57</v>
      </c>
      <c r="R6" s="148">
        <f t="shared" si="7"/>
        <v>57</v>
      </c>
      <c r="S6" s="148">
        <f t="shared" si="7"/>
        <v>57</v>
      </c>
      <c r="T6" s="148">
        <f t="shared" si="7"/>
        <v>57</v>
      </c>
      <c r="U6" s="148">
        <f t="shared" si="7"/>
        <v>-2</v>
      </c>
      <c r="V6" s="148">
        <f t="shared" si="7"/>
        <v>-2</v>
      </c>
      <c r="W6" s="148">
        <f t="shared" si="7"/>
        <v>-2</v>
      </c>
      <c r="X6" s="148">
        <f t="shared" si="7"/>
        <v>-2</v>
      </c>
      <c r="Y6" s="148">
        <f t="shared" si="7"/>
        <v>-2</v>
      </c>
      <c r="Z6" s="148">
        <f t="shared" si="7"/>
        <v>-2</v>
      </c>
      <c r="AA6" s="148">
        <f t="shared" si="7"/>
        <v>-42</v>
      </c>
      <c r="AB6" s="148">
        <f t="shared" si="7"/>
        <v>-42</v>
      </c>
      <c r="AC6" s="148">
        <f t="shared" si="7"/>
        <v>-42</v>
      </c>
      <c r="AD6" s="148">
        <f t="shared" si="7"/>
        <v>-42</v>
      </c>
      <c r="AE6" s="148">
        <f t="shared" si="7"/>
        <v>-42</v>
      </c>
      <c r="AF6" s="148">
        <f t="shared" si="7"/>
        <v>-42</v>
      </c>
      <c r="AG6" s="148">
        <f t="shared" si="7"/>
        <v>-42</v>
      </c>
      <c r="AH6" s="148">
        <f t="shared" si="7"/>
        <v>-42</v>
      </c>
      <c r="AI6" s="148">
        <f t="shared" si="7"/>
        <v>-42</v>
      </c>
      <c r="AJ6" s="148">
        <f t="shared" si="7"/>
        <v>-42</v>
      </c>
      <c r="AK6" s="148">
        <f t="shared" si="7"/>
        <v>-42</v>
      </c>
      <c r="AL6" s="148">
        <f t="shared" si="7"/>
        <v>-42</v>
      </c>
      <c r="AM6" s="148">
        <f t="shared" si="7"/>
        <v>-42</v>
      </c>
      <c r="AN6" s="148">
        <f t="shared" si="7"/>
        <v>-42</v>
      </c>
      <c r="AO6" s="148">
        <f t="shared" si="7"/>
        <v>-42</v>
      </c>
      <c r="AP6" s="148">
        <f t="shared" si="7"/>
        <v>-42</v>
      </c>
      <c r="AQ6" s="148">
        <f t="shared" si="7"/>
        <v>-42</v>
      </c>
      <c r="AR6" s="148">
        <f t="shared" si="7"/>
        <v>-42</v>
      </c>
      <c r="AS6" s="148">
        <f t="shared" si="7"/>
        <v>-42</v>
      </c>
      <c r="AT6" s="148">
        <f t="shared" si="7"/>
        <v>-42</v>
      </c>
      <c r="AU6" s="148">
        <f t="shared" si="7"/>
        <v>-42</v>
      </c>
      <c r="AV6" s="25">
        <f t="shared" si="5"/>
        <v>57</v>
      </c>
    </row>
    <row r="7" ht="18.0" customHeight="1">
      <c r="A7" s="28"/>
      <c r="B7" s="40"/>
      <c r="C7" s="209" t="s">
        <v>9</v>
      </c>
      <c r="D7" s="266">
        <v>14980.0</v>
      </c>
      <c r="E7" s="304">
        <f t="shared" ref="E7:O7" si="8">D27</f>
        <v>10500</v>
      </c>
      <c r="F7" s="304">
        <f t="shared" si="8"/>
        <v>12972</v>
      </c>
      <c r="G7" s="304">
        <f t="shared" si="8"/>
        <v>11915</v>
      </c>
      <c r="H7" s="304">
        <f t="shared" si="8"/>
        <v>11117</v>
      </c>
      <c r="I7" s="304">
        <f t="shared" si="8"/>
        <v>11109</v>
      </c>
      <c r="J7" s="304">
        <f t="shared" si="8"/>
        <v>12035</v>
      </c>
      <c r="K7" s="304">
        <f t="shared" si="8"/>
        <v>10633</v>
      </c>
      <c r="L7" s="304">
        <f t="shared" si="8"/>
        <v>15977</v>
      </c>
      <c r="M7" s="304">
        <f t="shared" si="8"/>
        <v>15824</v>
      </c>
      <c r="N7" s="304">
        <f t="shared" si="8"/>
        <v>14184</v>
      </c>
      <c r="O7" s="305">
        <f t="shared" si="8"/>
        <v>14184</v>
      </c>
      <c r="P7" s="161">
        <v>14184.0</v>
      </c>
      <c r="Q7" s="154">
        <f t="shared" ref="Q7:AU7" si="9">+P27</f>
        <v>14184</v>
      </c>
      <c r="R7" s="155">
        <f t="shared" si="9"/>
        <v>14184</v>
      </c>
      <c r="S7" s="155">
        <f t="shared" si="9"/>
        <v>14184</v>
      </c>
      <c r="T7" s="155">
        <f t="shared" si="9"/>
        <v>14224</v>
      </c>
      <c r="U7" s="155">
        <f t="shared" si="9"/>
        <v>7490</v>
      </c>
      <c r="V7" s="155">
        <f t="shared" si="9"/>
        <v>5730</v>
      </c>
      <c r="W7" s="155">
        <f t="shared" si="9"/>
        <v>5770</v>
      </c>
      <c r="X7" s="155">
        <f t="shared" si="9"/>
        <v>2934</v>
      </c>
      <c r="Y7" s="155">
        <f t="shared" si="9"/>
        <v>2934</v>
      </c>
      <c r="Z7" s="155">
        <f t="shared" si="9"/>
        <v>2934</v>
      </c>
      <c r="AA7" s="155">
        <f t="shared" si="9"/>
        <v>2654</v>
      </c>
      <c r="AB7" s="155">
        <f t="shared" si="9"/>
        <v>2654</v>
      </c>
      <c r="AC7" s="155">
        <f t="shared" si="9"/>
        <v>2654</v>
      </c>
      <c r="AD7" s="155">
        <f t="shared" si="9"/>
        <v>2654</v>
      </c>
      <c r="AE7" s="155">
        <f t="shared" si="9"/>
        <v>2654</v>
      </c>
      <c r="AF7" s="155">
        <f t="shared" si="9"/>
        <v>2654</v>
      </c>
      <c r="AG7" s="155">
        <f t="shared" si="9"/>
        <v>2654</v>
      </c>
      <c r="AH7" s="155">
        <f t="shared" si="9"/>
        <v>2654</v>
      </c>
      <c r="AI7" s="155">
        <f t="shared" si="9"/>
        <v>2654</v>
      </c>
      <c r="AJ7" s="155">
        <f t="shared" si="9"/>
        <v>2654</v>
      </c>
      <c r="AK7" s="155">
        <f t="shared" si="9"/>
        <v>2654</v>
      </c>
      <c r="AL7" s="155">
        <f t="shared" si="9"/>
        <v>2654</v>
      </c>
      <c r="AM7" s="155">
        <f t="shared" si="9"/>
        <v>2654</v>
      </c>
      <c r="AN7" s="155">
        <f t="shared" si="9"/>
        <v>2654</v>
      </c>
      <c r="AO7" s="155">
        <f t="shared" si="9"/>
        <v>2654</v>
      </c>
      <c r="AP7" s="155">
        <f t="shared" si="9"/>
        <v>2654</v>
      </c>
      <c r="AQ7" s="155">
        <f t="shared" si="9"/>
        <v>2654</v>
      </c>
      <c r="AR7" s="155">
        <f t="shared" si="9"/>
        <v>2654</v>
      </c>
      <c r="AS7" s="155">
        <f t="shared" si="9"/>
        <v>2654</v>
      </c>
      <c r="AT7" s="155">
        <f t="shared" si="9"/>
        <v>2654</v>
      </c>
      <c r="AU7" s="155">
        <f t="shared" si="9"/>
        <v>2654</v>
      </c>
      <c r="AV7" s="263">
        <f t="shared" si="5"/>
        <v>14184</v>
      </c>
    </row>
    <row r="8" ht="18.0" customHeight="1">
      <c r="A8" s="29"/>
      <c r="B8" s="43" t="s">
        <v>11</v>
      </c>
      <c r="C8" s="213" t="s">
        <v>9</v>
      </c>
      <c r="D8" s="229">
        <v>11740.0</v>
      </c>
      <c r="E8" s="20">
        <f t="shared" ref="E8:O8" si="10">D28</f>
        <v>5656</v>
      </c>
      <c r="F8" s="20">
        <f t="shared" si="10"/>
        <v>12496</v>
      </c>
      <c r="G8" s="20">
        <f t="shared" si="10"/>
        <v>15776</v>
      </c>
      <c r="H8" s="20">
        <f t="shared" si="10"/>
        <v>11780</v>
      </c>
      <c r="I8" s="20">
        <f t="shared" si="10"/>
        <v>12032</v>
      </c>
      <c r="J8" s="20">
        <f t="shared" si="10"/>
        <v>17028</v>
      </c>
      <c r="K8" s="20">
        <f t="shared" si="10"/>
        <v>13232</v>
      </c>
      <c r="L8" s="20">
        <f t="shared" si="10"/>
        <v>13352</v>
      </c>
      <c r="M8" s="20">
        <f t="shared" si="10"/>
        <v>8180</v>
      </c>
      <c r="N8" s="20">
        <f t="shared" si="10"/>
        <v>8676</v>
      </c>
      <c r="O8" s="21">
        <f t="shared" si="10"/>
        <v>8676</v>
      </c>
      <c r="P8" s="42">
        <v>8676.0</v>
      </c>
      <c r="Q8" s="292">
        <f t="shared" ref="Q8:AU8" si="11">+P28</f>
        <v>8676</v>
      </c>
      <c r="R8" s="293">
        <f t="shared" si="11"/>
        <v>8676</v>
      </c>
      <c r="S8" s="293">
        <f t="shared" si="11"/>
        <v>8676</v>
      </c>
      <c r="T8" s="293">
        <f t="shared" si="11"/>
        <v>-2348</v>
      </c>
      <c r="U8" s="293">
        <f t="shared" si="11"/>
        <v>-2348</v>
      </c>
      <c r="V8" s="293">
        <f t="shared" si="11"/>
        <v>-2348</v>
      </c>
      <c r="W8" s="293">
        <f t="shared" si="11"/>
        <v>5556</v>
      </c>
      <c r="X8" s="293">
        <f t="shared" si="11"/>
        <v>5556</v>
      </c>
      <c r="Y8" s="293">
        <f t="shared" si="11"/>
        <v>5556</v>
      </c>
      <c r="Z8" s="293">
        <f t="shared" si="11"/>
        <v>5556</v>
      </c>
      <c r="AA8" s="293">
        <f t="shared" si="11"/>
        <v>2700</v>
      </c>
      <c r="AB8" s="293">
        <f t="shared" si="11"/>
        <v>2700</v>
      </c>
      <c r="AC8" s="293">
        <f t="shared" si="11"/>
        <v>2700</v>
      </c>
      <c r="AD8" s="293">
        <f t="shared" si="11"/>
        <v>2700</v>
      </c>
      <c r="AE8" s="293">
        <f t="shared" si="11"/>
        <v>2700</v>
      </c>
      <c r="AF8" s="293">
        <f t="shared" si="11"/>
        <v>2700</v>
      </c>
      <c r="AG8" s="293">
        <f t="shared" si="11"/>
        <v>2700</v>
      </c>
      <c r="AH8" s="293">
        <f t="shared" si="11"/>
        <v>2700</v>
      </c>
      <c r="AI8" s="293">
        <f t="shared" si="11"/>
        <v>2700</v>
      </c>
      <c r="AJ8" s="293">
        <f t="shared" si="11"/>
        <v>2700</v>
      </c>
      <c r="AK8" s="293">
        <f t="shared" si="11"/>
        <v>2700</v>
      </c>
      <c r="AL8" s="293">
        <f t="shared" si="11"/>
        <v>2700</v>
      </c>
      <c r="AM8" s="293">
        <f t="shared" si="11"/>
        <v>2700</v>
      </c>
      <c r="AN8" s="293">
        <f t="shared" si="11"/>
        <v>2700</v>
      </c>
      <c r="AO8" s="293">
        <f t="shared" si="11"/>
        <v>2700</v>
      </c>
      <c r="AP8" s="293">
        <f t="shared" si="11"/>
        <v>2700</v>
      </c>
      <c r="AQ8" s="293">
        <f t="shared" si="11"/>
        <v>2700</v>
      </c>
      <c r="AR8" s="293">
        <f t="shared" si="11"/>
        <v>2700</v>
      </c>
      <c r="AS8" s="293">
        <f t="shared" si="11"/>
        <v>2700</v>
      </c>
      <c r="AT8" s="293">
        <f t="shared" si="11"/>
        <v>2700</v>
      </c>
      <c r="AU8" s="293">
        <f t="shared" si="11"/>
        <v>2700</v>
      </c>
      <c r="AV8" s="306">
        <f t="shared" si="5"/>
        <v>8676</v>
      </c>
    </row>
    <row r="9" ht="18.0" customHeight="1">
      <c r="A9" s="169" t="s">
        <v>12</v>
      </c>
      <c r="B9" s="169" t="s">
        <v>7</v>
      </c>
      <c r="C9" s="170" t="s">
        <v>8</v>
      </c>
      <c r="D9" s="47">
        <v>0.0</v>
      </c>
      <c r="E9" s="48">
        <v>16.0</v>
      </c>
      <c r="F9" s="48">
        <v>248.0</v>
      </c>
      <c r="G9" s="48">
        <v>0.0</v>
      </c>
      <c r="H9" s="48">
        <v>12.0</v>
      </c>
      <c r="I9" s="48">
        <v>0.0</v>
      </c>
      <c r="J9" s="48">
        <v>0.0</v>
      </c>
      <c r="K9" s="48">
        <v>0.0</v>
      </c>
      <c r="L9" s="48">
        <v>0.0</v>
      </c>
      <c r="M9" s="48">
        <v>0.0</v>
      </c>
      <c r="N9" s="48"/>
      <c r="O9" s="49"/>
      <c r="P9" s="173"/>
      <c r="Q9" s="174">
        <v>0.0</v>
      </c>
      <c r="R9" s="174">
        <v>0.0</v>
      </c>
      <c r="S9" s="174">
        <v>0.0</v>
      </c>
      <c r="T9" s="174">
        <v>0.0</v>
      </c>
      <c r="U9" s="174">
        <v>0.0</v>
      </c>
      <c r="V9" s="174">
        <v>0.0</v>
      </c>
      <c r="W9" s="174">
        <v>0.0</v>
      </c>
      <c r="X9" s="174">
        <v>0.0</v>
      </c>
      <c r="Y9" s="174">
        <v>0.0</v>
      </c>
      <c r="Z9" s="174">
        <v>0.0</v>
      </c>
      <c r="AA9" s="174">
        <v>0.0</v>
      </c>
      <c r="AB9" s="174">
        <v>0.0</v>
      </c>
      <c r="AC9" s="174">
        <v>0.0</v>
      </c>
      <c r="AD9" s="174">
        <v>0.0</v>
      </c>
      <c r="AE9" s="174">
        <v>0.0</v>
      </c>
      <c r="AF9" s="174">
        <v>0.0</v>
      </c>
      <c r="AG9" s="174">
        <v>0.0</v>
      </c>
      <c r="AH9" s="174">
        <v>0.0</v>
      </c>
      <c r="AI9" s="174">
        <v>0.0</v>
      </c>
      <c r="AJ9" s="174">
        <v>0.0</v>
      </c>
      <c r="AK9" s="174">
        <v>0.0</v>
      </c>
      <c r="AL9" s="174">
        <v>0.0</v>
      </c>
      <c r="AM9" s="174">
        <v>0.0</v>
      </c>
      <c r="AN9" s="174">
        <v>0.0</v>
      </c>
      <c r="AO9" s="174">
        <v>0.0</v>
      </c>
      <c r="AP9" s="174">
        <v>0.0</v>
      </c>
      <c r="AQ9" s="174">
        <v>0.0</v>
      </c>
      <c r="AR9" s="174">
        <v>0.0</v>
      </c>
      <c r="AS9" s="174">
        <v>0.0</v>
      </c>
      <c r="AT9" s="174">
        <v>0.0</v>
      </c>
      <c r="AU9" s="174">
        <v>0.0</v>
      </c>
      <c r="AV9" s="52">
        <f t="shared" ref="AV9:AV23" si="12">SUM(Q9:AU9)</f>
        <v>0</v>
      </c>
      <c r="AX9" s="27"/>
      <c r="AY9" s="27"/>
      <c r="AZ9" s="27"/>
    </row>
    <row r="10" ht="18.0" customHeight="1">
      <c r="A10" s="28"/>
      <c r="B10" s="29"/>
      <c r="C10" s="175" t="s">
        <v>9</v>
      </c>
      <c r="D10" s="295">
        <v>0.0</v>
      </c>
      <c r="E10" s="296">
        <v>0.0</v>
      </c>
      <c r="F10" s="296">
        <v>480.0</v>
      </c>
      <c r="G10" s="296">
        <v>200.0</v>
      </c>
      <c r="H10" s="296">
        <v>856.0</v>
      </c>
      <c r="I10" s="296">
        <v>80.0</v>
      </c>
      <c r="J10" s="296">
        <v>100.0</v>
      </c>
      <c r="K10" s="296">
        <v>0.0</v>
      </c>
      <c r="L10" s="296">
        <v>0.0</v>
      </c>
      <c r="M10" s="296">
        <v>0.0</v>
      </c>
      <c r="N10" s="297"/>
      <c r="O10" s="298"/>
      <c r="P10" s="299"/>
      <c r="Q10" s="181">
        <v>0.0</v>
      </c>
      <c r="R10" s="181">
        <v>0.0</v>
      </c>
      <c r="S10" s="181">
        <v>0.0</v>
      </c>
      <c r="T10" s="181">
        <v>0.0</v>
      </c>
      <c r="U10" s="181">
        <v>0.0</v>
      </c>
      <c r="V10" s="181">
        <v>0.0</v>
      </c>
      <c r="W10" s="181">
        <v>0.0</v>
      </c>
      <c r="X10" s="181">
        <v>0.0</v>
      </c>
      <c r="Y10" s="181">
        <v>0.0</v>
      </c>
      <c r="Z10" s="181">
        <v>0.0</v>
      </c>
      <c r="AA10" s="181">
        <v>0.0</v>
      </c>
      <c r="AB10" s="181">
        <v>0.0</v>
      </c>
      <c r="AC10" s="181">
        <v>0.0</v>
      </c>
      <c r="AD10" s="181">
        <v>0.0</v>
      </c>
      <c r="AE10" s="181">
        <v>0.0</v>
      </c>
      <c r="AF10" s="181">
        <v>0.0</v>
      </c>
      <c r="AG10" s="181">
        <v>0.0</v>
      </c>
      <c r="AH10" s="181">
        <v>0.0</v>
      </c>
      <c r="AI10" s="181">
        <v>0.0</v>
      </c>
      <c r="AJ10" s="181">
        <v>0.0</v>
      </c>
      <c r="AK10" s="181">
        <v>0.0</v>
      </c>
      <c r="AL10" s="181">
        <v>0.0</v>
      </c>
      <c r="AM10" s="181">
        <v>0.0</v>
      </c>
      <c r="AN10" s="181">
        <v>0.0</v>
      </c>
      <c r="AO10" s="181">
        <v>0.0</v>
      </c>
      <c r="AP10" s="181">
        <v>0.0</v>
      </c>
      <c r="AQ10" s="181">
        <v>0.0</v>
      </c>
      <c r="AR10" s="181">
        <v>0.0</v>
      </c>
      <c r="AS10" s="181">
        <v>0.0</v>
      </c>
      <c r="AT10" s="181">
        <v>0.0</v>
      </c>
      <c r="AU10" s="181">
        <v>0.0</v>
      </c>
      <c r="AV10" s="63">
        <f t="shared" si="12"/>
        <v>0</v>
      </c>
      <c r="AX10" s="27"/>
      <c r="AY10" s="27"/>
      <c r="AZ10" s="27"/>
    </row>
    <row r="11" ht="18.0" customHeight="1">
      <c r="A11" s="28"/>
      <c r="B11" s="182" t="s">
        <v>10</v>
      </c>
      <c r="C11" s="183" t="s">
        <v>8</v>
      </c>
      <c r="D11" s="53">
        <v>0.0</v>
      </c>
      <c r="E11" s="54">
        <v>0.0</v>
      </c>
      <c r="F11" s="54">
        <v>52.0</v>
      </c>
      <c r="G11" s="54">
        <v>213.0</v>
      </c>
      <c r="H11" s="54">
        <v>12.0</v>
      </c>
      <c r="I11" s="54">
        <v>520.0</v>
      </c>
      <c r="J11" s="54">
        <v>92.0</v>
      </c>
      <c r="K11" s="54">
        <v>361.0</v>
      </c>
      <c r="L11" s="54">
        <v>0.0</v>
      </c>
      <c r="M11" s="54">
        <v>128.0</v>
      </c>
      <c r="N11" s="54"/>
      <c r="O11" s="75"/>
      <c r="P11" s="187"/>
      <c r="Q11" s="174">
        <v>0.0</v>
      </c>
      <c r="R11" s="174">
        <v>0.0</v>
      </c>
      <c r="S11" s="174">
        <v>0.0</v>
      </c>
      <c r="T11" s="174">
        <v>0.0</v>
      </c>
      <c r="U11" s="174">
        <v>0.0</v>
      </c>
      <c r="V11" s="174">
        <v>0.0</v>
      </c>
      <c r="W11" s="174">
        <v>0.0</v>
      </c>
      <c r="X11" s="174">
        <v>0.0</v>
      </c>
      <c r="Y11" s="174">
        <v>0.0</v>
      </c>
      <c r="Z11" s="174">
        <v>0.0</v>
      </c>
      <c r="AA11" s="174">
        <v>0.0</v>
      </c>
      <c r="AB11" s="174">
        <v>0.0</v>
      </c>
      <c r="AC11" s="174">
        <v>0.0</v>
      </c>
      <c r="AD11" s="174">
        <v>0.0</v>
      </c>
      <c r="AE11" s="174">
        <v>0.0</v>
      </c>
      <c r="AF11" s="174">
        <v>0.0</v>
      </c>
      <c r="AG11" s="174">
        <v>0.0</v>
      </c>
      <c r="AH11" s="174">
        <v>0.0</v>
      </c>
      <c r="AI11" s="174">
        <v>0.0</v>
      </c>
      <c r="AJ11" s="174">
        <v>0.0</v>
      </c>
      <c r="AK11" s="174">
        <v>0.0</v>
      </c>
      <c r="AL11" s="174">
        <v>0.0</v>
      </c>
      <c r="AM11" s="174">
        <v>0.0</v>
      </c>
      <c r="AN11" s="174">
        <v>0.0</v>
      </c>
      <c r="AO11" s="174">
        <v>0.0</v>
      </c>
      <c r="AP11" s="174">
        <v>0.0</v>
      </c>
      <c r="AQ11" s="174">
        <v>0.0</v>
      </c>
      <c r="AR11" s="174">
        <v>0.0</v>
      </c>
      <c r="AS11" s="174">
        <v>0.0</v>
      </c>
      <c r="AT11" s="174">
        <v>0.0</v>
      </c>
      <c r="AU11" s="174">
        <v>0.0</v>
      </c>
      <c r="AV11" s="78">
        <f t="shared" si="12"/>
        <v>0</v>
      </c>
      <c r="AX11" s="27"/>
      <c r="AY11" s="27"/>
      <c r="AZ11" s="27"/>
    </row>
    <row r="12" ht="18.0" customHeight="1">
      <c r="A12" s="28"/>
      <c r="B12" s="40"/>
      <c r="C12" s="188" t="s">
        <v>9</v>
      </c>
      <c r="D12" s="295">
        <v>4728.0</v>
      </c>
      <c r="E12" s="296">
        <v>15532.0</v>
      </c>
      <c r="F12" s="296">
        <v>4739.0</v>
      </c>
      <c r="G12" s="296">
        <v>6626.0</v>
      </c>
      <c r="H12" s="296">
        <v>6640.0</v>
      </c>
      <c r="I12" s="296">
        <v>8823.0</v>
      </c>
      <c r="J12" s="296">
        <v>4283.0</v>
      </c>
      <c r="K12" s="296">
        <v>11240.0</v>
      </c>
      <c r="L12" s="296">
        <v>6400.0</v>
      </c>
      <c r="M12" s="296">
        <v>3044.0</v>
      </c>
      <c r="N12" s="297"/>
      <c r="O12" s="307"/>
      <c r="P12" s="299"/>
      <c r="Q12" s="181">
        <v>0.0</v>
      </c>
      <c r="R12" s="181">
        <v>0.0</v>
      </c>
      <c r="S12" s="181">
        <v>1136.0</v>
      </c>
      <c r="T12" s="181">
        <v>0.0</v>
      </c>
      <c r="U12" s="181">
        <v>0.0</v>
      </c>
      <c r="V12" s="181">
        <v>520.0</v>
      </c>
      <c r="W12" s="181">
        <v>0.0</v>
      </c>
      <c r="X12" s="181">
        <v>0.0</v>
      </c>
      <c r="Y12" s="181">
        <v>0.0</v>
      </c>
      <c r="Z12" s="181">
        <v>0.0</v>
      </c>
      <c r="AA12" s="181">
        <v>0.0</v>
      </c>
      <c r="AB12" s="181">
        <v>0.0</v>
      </c>
      <c r="AC12" s="181">
        <v>0.0</v>
      </c>
      <c r="AD12" s="181">
        <v>0.0</v>
      </c>
      <c r="AE12" s="181">
        <v>0.0</v>
      </c>
      <c r="AF12" s="181">
        <v>0.0</v>
      </c>
      <c r="AG12" s="181">
        <v>0.0</v>
      </c>
      <c r="AH12" s="181">
        <v>0.0</v>
      </c>
      <c r="AI12" s="181">
        <v>0.0</v>
      </c>
      <c r="AJ12" s="181">
        <v>0.0</v>
      </c>
      <c r="AK12" s="181">
        <v>0.0</v>
      </c>
      <c r="AL12" s="181">
        <v>0.0</v>
      </c>
      <c r="AM12" s="181">
        <v>0.0</v>
      </c>
      <c r="AN12" s="181">
        <v>0.0</v>
      </c>
      <c r="AO12" s="181">
        <v>0.0</v>
      </c>
      <c r="AP12" s="181">
        <v>0.0</v>
      </c>
      <c r="AQ12" s="181">
        <v>0.0</v>
      </c>
      <c r="AR12" s="181">
        <v>0.0</v>
      </c>
      <c r="AS12" s="181">
        <v>0.0</v>
      </c>
      <c r="AT12" s="181">
        <v>0.0</v>
      </c>
      <c r="AU12" s="181">
        <v>0.0</v>
      </c>
      <c r="AV12" s="194">
        <f t="shared" si="12"/>
        <v>1656</v>
      </c>
      <c r="AX12" s="27"/>
      <c r="AY12" s="27"/>
      <c r="AZ12" s="27"/>
    </row>
    <row r="13" ht="18.0" customHeight="1">
      <c r="A13" s="29"/>
      <c r="B13" s="195" t="s">
        <v>11</v>
      </c>
      <c r="C13" s="196" t="s">
        <v>9</v>
      </c>
      <c r="D13" s="81">
        <v>18556.0</v>
      </c>
      <c r="E13" s="70">
        <v>24880.0</v>
      </c>
      <c r="F13" s="70">
        <v>25324.0</v>
      </c>
      <c r="G13" s="70">
        <v>26436.0</v>
      </c>
      <c r="H13" s="70">
        <v>18424.0</v>
      </c>
      <c r="I13" s="70">
        <v>21372.0</v>
      </c>
      <c r="J13" s="70">
        <v>22412.0</v>
      </c>
      <c r="K13" s="70">
        <v>19136.0</v>
      </c>
      <c r="L13" s="70">
        <v>17264.0</v>
      </c>
      <c r="M13" s="70">
        <v>16432.0</v>
      </c>
      <c r="N13" s="70"/>
      <c r="O13" s="82"/>
      <c r="P13" s="200"/>
      <c r="Q13" s="174">
        <v>0.0</v>
      </c>
      <c r="R13" s="174">
        <v>0.0</v>
      </c>
      <c r="S13" s="174">
        <v>4992.0</v>
      </c>
      <c r="T13" s="174">
        <v>0.0</v>
      </c>
      <c r="U13" s="174">
        <v>0.0</v>
      </c>
      <c r="V13" s="174">
        <v>7904.0</v>
      </c>
      <c r="W13" s="174">
        <v>0.0</v>
      </c>
      <c r="X13" s="174">
        <v>0.0</v>
      </c>
      <c r="Y13" s="174">
        <v>0.0</v>
      </c>
      <c r="Z13" s="174">
        <v>0.0</v>
      </c>
      <c r="AA13" s="174">
        <v>0.0</v>
      </c>
      <c r="AB13" s="174">
        <v>0.0</v>
      </c>
      <c r="AC13" s="174">
        <v>0.0</v>
      </c>
      <c r="AD13" s="174">
        <v>0.0</v>
      </c>
      <c r="AE13" s="174">
        <v>0.0</v>
      </c>
      <c r="AF13" s="174">
        <v>0.0</v>
      </c>
      <c r="AG13" s="174">
        <v>0.0</v>
      </c>
      <c r="AH13" s="174">
        <v>0.0</v>
      </c>
      <c r="AI13" s="174">
        <v>0.0</v>
      </c>
      <c r="AJ13" s="174">
        <v>0.0</v>
      </c>
      <c r="AK13" s="174">
        <v>0.0</v>
      </c>
      <c r="AL13" s="174">
        <v>0.0</v>
      </c>
      <c r="AM13" s="174">
        <v>0.0</v>
      </c>
      <c r="AN13" s="174">
        <v>0.0</v>
      </c>
      <c r="AO13" s="174">
        <v>0.0</v>
      </c>
      <c r="AP13" s="174">
        <v>0.0</v>
      </c>
      <c r="AQ13" s="174">
        <v>0.0</v>
      </c>
      <c r="AR13" s="174">
        <v>0.0</v>
      </c>
      <c r="AS13" s="174">
        <v>0.0</v>
      </c>
      <c r="AT13" s="174">
        <v>0.0</v>
      </c>
      <c r="AU13" s="174">
        <v>0.0</v>
      </c>
      <c r="AV13" s="85">
        <f t="shared" si="12"/>
        <v>12896</v>
      </c>
      <c r="AX13" s="27"/>
      <c r="AY13" s="27"/>
    </row>
    <row r="14" ht="18.0" customHeight="1">
      <c r="A14" s="169" t="s">
        <v>13</v>
      </c>
      <c r="B14" s="169" t="s">
        <v>7</v>
      </c>
      <c r="C14" s="301" t="s">
        <v>8</v>
      </c>
      <c r="D14" s="47">
        <v>23.0</v>
      </c>
      <c r="E14" s="48">
        <v>640.0</v>
      </c>
      <c r="F14" s="48">
        <v>496.0</v>
      </c>
      <c r="G14" s="48">
        <v>744.0</v>
      </c>
      <c r="H14" s="48">
        <v>40.0</v>
      </c>
      <c r="I14" s="48">
        <v>72.0</v>
      </c>
      <c r="J14" s="48">
        <v>1008.0</v>
      </c>
      <c r="K14" s="48">
        <v>208.0</v>
      </c>
      <c r="L14" s="48">
        <v>308.0</v>
      </c>
      <c r="M14" s="48">
        <v>844.0</v>
      </c>
      <c r="N14" s="48"/>
      <c r="O14" s="72"/>
      <c r="P14" s="173"/>
      <c r="Q14" s="174">
        <v>0.0</v>
      </c>
      <c r="R14" s="174">
        <v>0.0</v>
      </c>
      <c r="S14" s="174">
        <v>0.0</v>
      </c>
      <c r="T14" s="174">
        <v>0.0</v>
      </c>
      <c r="U14" s="174">
        <v>0.0</v>
      </c>
      <c r="V14" s="174">
        <v>0.0</v>
      </c>
      <c r="W14" s="174">
        <v>0.0</v>
      </c>
      <c r="X14" s="174">
        <v>0.0</v>
      </c>
      <c r="Y14" s="174">
        <v>0.0</v>
      </c>
      <c r="Z14" s="174">
        <v>0.0</v>
      </c>
      <c r="AA14" s="174">
        <v>0.0</v>
      </c>
      <c r="AB14" s="174">
        <v>0.0</v>
      </c>
      <c r="AC14" s="174">
        <v>0.0</v>
      </c>
      <c r="AD14" s="174">
        <v>0.0</v>
      </c>
      <c r="AE14" s="174">
        <v>0.0</v>
      </c>
      <c r="AF14" s="174">
        <v>0.0</v>
      </c>
      <c r="AG14" s="174">
        <v>0.0</v>
      </c>
      <c r="AH14" s="174">
        <v>0.0</v>
      </c>
      <c r="AI14" s="174">
        <v>0.0</v>
      </c>
      <c r="AJ14" s="174">
        <v>0.0</v>
      </c>
      <c r="AK14" s="174">
        <v>0.0</v>
      </c>
      <c r="AL14" s="174">
        <v>0.0</v>
      </c>
      <c r="AM14" s="174">
        <v>0.0</v>
      </c>
      <c r="AN14" s="174">
        <v>0.0</v>
      </c>
      <c r="AO14" s="174">
        <v>0.0</v>
      </c>
      <c r="AP14" s="174">
        <v>0.0</v>
      </c>
      <c r="AQ14" s="174">
        <v>0.0</v>
      </c>
      <c r="AR14" s="174">
        <v>0.0</v>
      </c>
      <c r="AS14" s="174">
        <v>0.0</v>
      </c>
      <c r="AT14" s="174">
        <v>0.0</v>
      </c>
      <c r="AU14" s="174">
        <v>0.0</v>
      </c>
      <c r="AV14" s="52">
        <f t="shared" si="12"/>
        <v>0</v>
      </c>
      <c r="AX14" s="27"/>
      <c r="AY14" s="27"/>
    </row>
    <row r="15" ht="18.0" customHeight="1">
      <c r="A15" s="28"/>
      <c r="B15" s="29"/>
      <c r="C15" s="302" t="s">
        <v>9</v>
      </c>
      <c r="D15" s="303">
        <v>1620.0</v>
      </c>
      <c r="E15" s="297">
        <v>2520.0</v>
      </c>
      <c r="F15" s="297">
        <v>1672.0</v>
      </c>
      <c r="G15" s="297">
        <v>880.0</v>
      </c>
      <c r="H15" s="297">
        <v>908.0</v>
      </c>
      <c r="I15" s="297">
        <v>480.0</v>
      </c>
      <c r="J15" s="297">
        <v>300.0</v>
      </c>
      <c r="K15" s="297">
        <v>760.0</v>
      </c>
      <c r="L15" s="297">
        <v>840.0</v>
      </c>
      <c r="M15" s="297">
        <v>320.0</v>
      </c>
      <c r="N15" s="297"/>
      <c r="O15" s="307"/>
      <c r="P15" s="299"/>
      <c r="Q15" s="181">
        <v>0.0</v>
      </c>
      <c r="R15" s="181">
        <v>0.0</v>
      </c>
      <c r="S15" s="181">
        <v>0.0</v>
      </c>
      <c r="T15" s="181">
        <v>0.0</v>
      </c>
      <c r="U15" s="181">
        <v>80.0</v>
      </c>
      <c r="V15" s="181">
        <v>0.0</v>
      </c>
      <c r="W15" s="181">
        <v>0.0</v>
      </c>
      <c r="X15" s="181">
        <v>0.0</v>
      </c>
      <c r="Y15" s="181">
        <v>0.0</v>
      </c>
      <c r="Z15" s="181">
        <v>0.0</v>
      </c>
      <c r="AA15" s="181">
        <v>0.0</v>
      </c>
      <c r="AB15" s="181">
        <v>0.0</v>
      </c>
      <c r="AC15" s="181">
        <v>0.0</v>
      </c>
      <c r="AD15" s="181">
        <v>0.0</v>
      </c>
      <c r="AE15" s="181">
        <v>0.0</v>
      </c>
      <c r="AF15" s="181">
        <v>0.0</v>
      </c>
      <c r="AG15" s="181">
        <v>0.0</v>
      </c>
      <c r="AH15" s="181">
        <v>0.0</v>
      </c>
      <c r="AI15" s="181">
        <v>0.0</v>
      </c>
      <c r="AJ15" s="181">
        <v>0.0</v>
      </c>
      <c r="AK15" s="181">
        <v>0.0</v>
      </c>
      <c r="AL15" s="181">
        <v>0.0</v>
      </c>
      <c r="AM15" s="181">
        <v>0.0</v>
      </c>
      <c r="AN15" s="181">
        <v>0.0</v>
      </c>
      <c r="AO15" s="181">
        <v>0.0</v>
      </c>
      <c r="AP15" s="181">
        <v>0.0</v>
      </c>
      <c r="AQ15" s="181">
        <v>0.0</v>
      </c>
      <c r="AR15" s="181">
        <v>0.0</v>
      </c>
      <c r="AS15" s="181">
        <v>0.0</v>
      </c>
      <c r="AT15" s="181">
        <v>0.0</v>
      </c>
      <c r="AU15" s="181">
        <v>0.0</v>
      </c>
      <c r="AV15" s="63">
        <f t="shared" si="12"/>
        <v>80</v>
      </c>
      <c r="AX15" s="27"/>
      <c r="AY15" s="27"/>
    </row>
    <row r="16" ht="18.0" customHeight="1">
      <c r="A16" s="28"/>
      <c r="B16" s="182" t="s">
        <v>10</v>
      </c>
      <c r="C16" s="183" t="s">
        <v>8</v>
      </c>
      <c r="D16" s="47">
        <v>969.0</v>
      </c>
      <c r="E16" s="48">
        <v>657.0</v>
      </c>
      <c r="F16" s="48">
        <v>2607.0</v>
      </c>
      <c r="G16" s="48">
        <v>1495.0</v>
      </c>
      <c r="H16" s="48">
        <v>1579.0</v>
      </c>
      <c r="I16" s="48">
        <v>1549.0</v>
      </c>
      <c r="J16" s="48">
        <v>718.0</v>
      </c>
      <c r="K16" s="48">
        <v>1057.0</v>
      </c>
      <c r="L16" s="48">
        <v>221.0</v>
      </c>
      <c r="M16" s="48">
        <v>482.0</v>
      </c>
      <c r="N16" s="48"/>
      <c r="O16" s="72"/>
      <c r="P16" s="173"/>
      <c r="Q16" s="174">
        <v>0.0</v>
      </c>
      <c r="R16" s="174">
        <v>0.0</v>
      </c>
      <c r="S16" s="174">
        <v>0.0</v>
      </c>
      <c r="T16" s="174">
        <v>59.0</v>
      </c>
      <c r="U16" s="174">
        <v>0.0</v>
      </c>
      <c r="V16" s="174">
        <v>0.0</v>
      </c>
      <c r="W16" s="174">
        <v>0.0</v>
      </c>
      <c r="X16" s="174">
        <v>0.0</v>
      </c>
      <c r="Y16" s="174">
        <v>0.0</v>
      </c>
      <c r="Z16" s="174">
        <v>40.0</v>
      </c>
      <c r="AA16" s="174">
        <v>0.0</v>
      </c>
      <c r="AB16" s="174">
        <v>0.0</v>
      </c>
      <c r="AC16" s="174">
        <v>0.0</v>
      </c>
      <c r="AD16" s="174">
        <v>0.0</v>
      </c>
      <c r="AE16" s="174">
        <v>0.0</v>
      </c>
      <c r="AF16" s="174">
        <v>0.0</v>
      </c>
      <c r="AG16" s="174">
        <v>0.0</v>
      </c>
      <c r="AH16" s="174">
        <v>0.0</v>
      </c>
      <c r="AI16" s="174">
        <v>0.0</v>
      </c>
      <c r="AJ16" s="174">
        <v>0.0</v>
      </c>
      <c r="AK16" s="174">
        <v>0.0</v>
      </c>
      <c r="AL16" s="174">
        <v>0.0</v>
      </c>
      <c r="AM16" s="174">
        <v>0.0</v>
      </c>
      <c r="AN16" s="174">
        <v>0.0</v>
      </c>
      <c r="AO16" s="174">
        <v>0.0</v>
      </c>
      <c r="AP16" s="174">
        <v>0.0</v>
      </c>
      <c r="AQ16" s="174">
        <v>0.0</v>
      </c>
      <c r="AR16" s="174">
        <v>0.0</v>
      </c>
      <c r="AS16" s="174">
        <v>0.0</v>
      </c>
      <c r="AT16" s="174">
        <v>0.0</v>
      </c>
      <c r="AU16" s="174">
        <v>0.0</v>
      </c>
      <c r="AV16" s="78">
        <f t="shared" si="12"/>
        <v>99</v>
      </c>
      <c r="AX16" s="27"/>
      <c r="AY16" s="27"/>
    </row>
    <row r="17" ht="18.0" customHeight="1">
      <c r="A17" s="28"/>
      <c r="B17" s="40"/>
      <c r="C17" s="188" t="s">
        <v>9</v>
      </c>
      <c r="D17" s="303">
        <v>46287.0</v>
      </c>
      <c r="E17" s="297">
        <v>61574.0</v>
      </c>
      <c r="F17" s="297">
        <v>49133.0</v>
      </c>
      <c r="G17" s="297">
        <v>66649.0</v>
      </c>
      <c r="H17" s="297">
        <v>72747.0</v>
      </c>
      <c r="I17" s="297">
        <v>74104.0</v>
      </c>
      <c r="J17" s="297">
        <v>35736.0</v>
      </c>
      <c r="K17" s="297">
        <v>35968.0</v>
      </c>
      <c r="L17" s="297">
        <v>49043.0</v>
      </c>
      <c r="M17" s="297">
        <v>28252.0</v>
      </c>
      <c r="N17" s="297"/>
      <c r="O17" s="307"/>
      <c r="P17" s="299"/>
      <c r="Q17" s="181">
        <v>0.0</v>
      </c>
      <c r="R17" s="181">
        <v>0.0</v>
      </c>
      <c r="S17" s="181">
        <v>1096.0</v>
      </c>
      <c r="T17" s="181">
        <v>6734.0</v>
      </c>
      <c r="U17" s="181">
        <v>1760.0</v>
      </c>
      <c r="V17" s="181">
        <v>480.0</v>
      </c>
      <c r="W17" s="181">
        <v>2836.0</v>
      </c>
      <c r="X17" s="181">
        <v>0.0</v>
      </c>
      <c r="Y17" s="181">
        <v>0.0</v>
      </c>
      <c r="Z17" s="181">
        <v>280.0</v>
      </c>
      <c r="AA17" s="181">
        <v>0.0</v>
      </c>
      <c r="AB17" s="181">
        <v>0.0</v>
      </c>
      <c r="AC17" s="181">
        <v>0.0</v>
      </c>
      <c r="AD17" s="181">
        <v>0.0</v>
      </c>
      <c r="AE17" s="181">
        <v>0.0</v>
      </c>
      <c r="AF17" s="181">
        <v>0.0</v>
      </c>
      <c r="AG17" s="181">
        <v>0.0</v>
      </c>
      <c r="AH17" s="181">
        <v>0.0</v>
      </c>
      <c r="AI17" s="181">
        <v>0.0</v>
      </c>
      <c r="AJ17" s="181">
        <v>0.0</v>
      </c>
      <c r="AK17" s="181">
        <v>0.0</v>
      </c>
      <c r="AL17" s="181">
        <v>0.0</v>
      </c>
      <c r="AM17" s="181">
        <v>0.0</v>
      </c>
      <c r="AN17" s="181">
        <v>0.0</v>
      </c>
      <c r="AO17" s="181">
        <v>0.0</v>
      </c>
      <c r="AP17" s="181">
        <v>0.0</v>
      </c>
      <c r="AQ17" s="181">
        <v>0.0</v>
      </c>
      <c r="AR17" s="181">
        <v>0.0</v>
      </c>
      <c r="AS17" s="181">
        <v>0.0</v>
      </c>
      <c r="AT17" s="181">
        <v>0.0</v>
      </c>
      <c r="AU17" s="181">
        <v>0.0</v>
      </c>
      <c r="AV17" s="194">
        <f t="shared" si="12"/>
        <v>13186</v>
      </c>
      <c r="AX17" s="27"/>
      <c r="AY17" s="27"/>
    </row>
    <row r="18" ht="18.0" customHeight="1">
      <c r="A18" s="29"/>
      <c r="B18" s="195" t="s">
        <v>11</v>
      </c>
      <c r="C18" s="196" t="s">
        <v>9</v>
      </c>
      <c r="D18" s="81">
        <v>24640.0</v>
      </c>
      <c r="E18" s="70">
        <v>18456.0</v>
      </c>
      <c r="F18" s="70">
        <v>24124.0</v>
      </c>
      <c r="G18" s="70">
        <v>32528.0</v>
      </c>
      <c r="H18" s="70">
        <v>22784.0</v>
      </c>
      <c r="I18" s="70">
        <v>19144.0</v>
      </c>
      <c r="J18" s="70">
        <v>29980.0</v>
      </c>
      <c r="K18" s="70">
        <v>21208.0</v>
      </c>
      <c r="L18" s="70">
        <v>26320.0</v>
      </c>
      <c r="M18" s="70">
        <v>17612.0</v>
      </c>
      <c r="N18" s="70"/>
      <c r="O18" s="82"/>
      <c r="P18" s="200"/>
      <c r="Q18" s="202">
        <v>0.0</v>
      </c>
      <c r="R18" s="202">
        <v>0.0</v>
      </c>
      <c r="S18" s="202">
        <v>16016.0</v>
      </c>
      <c r="T18" s="202">
        <v>0.0</v>
      </c>
      <c r="U18" s="202">
        <v>0.0</v>
      </c>
      <c r="V18" s="202">
        <v>0.0</v>
      </c>
      <c r="W18" s="202">
        <v>0.0</v>
      </c>
      <c r="X18" s="202">
        <v>0.0</v>
      </c>
      <c r="Y18" s="202">
        <v>0.0</v>
      </c>
      <c r="Z18" s="202">
        <v>2856.0</v>
      </c>
      <c r="AA18" s="202">
        <v>0.0</v>
      </c>
      <c r="AB18" s="202">
        <v>0.0</v>
      </c>
      <c r="AC18" s="202">
        <v>0.0</v>
      </c>
      <c r="AD18" s="202">
        <v>0.0</v>
      </c>
      <c r="AE18" s="202">
        <v>0.0</v>
      </c>
      <c r="AF18" s="202">
        <v>0.0</v>
      </c>
      <c r="AG18" s="202">
        <v>0.0</v>
      </c>
      <c r="AH18" s="202">
        <v>0.0</v>
      </c>
      <c r="AI18" s="202">
        <v>0.0</v>
      </c>
      <c r="AJ18" s="202">
        <v>0.0</v>
      </c>
      <c r="AK18" s="202">
        <v>0.0</v>
      </c>
      <c r="AL18" s="202">
        <v>0.0</v>
      </c>
      <c r="AM18" s="202">
        <v>0.0</v>
      </c>
      <c r="AN18" s="202">
        <v>0.0</v>
      </c>
      <c r="AO18" s="202">
        <v>0.0</v>
      </c>
      <c r="AP18" s="202">
        <v>0.0</v>
      </c>
      <c r="AQ18" s="202">
        <v>0.0</v>
      </c>
      <c r="AR18" s="202">
        <v>0.0</v>
      </c>
      <c r="AS18" s="202">
        <v>0.0</v>
      </c>
      <c r="AT18" s="202">
        <v>0.0</v>
      </c>
      <c r="AU18" s="202">
        <v>0.0</v>
      </c>
      <c r="AV18" s="85">
        <f t="shared" si="12"/>
        <v>18872</v>
      </c>
      <c r="AX18" s="27"/>
      <c r="AY18" s="27"/>
      <c r="AZ18" s="27"/>
    </row>
    <row r="19" ht="18.0" customHeight="1">
      <c r="A19" s="17" t="s">
        <v>14</v>
      </c>
      <c r="B19" s="17" t="s">
        <v>7</v>
      </c>
      <c r="C19" s="94" t="s">
        <v>8</v>
      </c>
      <c r="D19" s="47">
        <v>-23.0</v>
      </c>
      <c r="E19" s="48">
        <v>-660.0</v>
      </c>
      <c r="F19" s="48">
        <v>-172.0</v>
      </c>
      <c r="G19" s="48">
        <v>-664.0</v>
      </c>
      <c r="H19" s="48">
        <v>-40.0</v>
      </c>
      <c r="I19" s="48">
        <v>-60.0</v>
      </c>
      <c r="J19" s="48">
        <v>-1008.0</v>
      </c>
      <c r="K19" s="48">
        <v>-208.0</v>
      </c>
      <c r="L19" s="48">
        <v>-328.0</v>
      </c>
      <c r="M19" s="48">
        <v>-844.0</v>
      </c>
      <c r="N19" s="48"/>
      <c r="O19" s="72"/>
      <c r="P19" s="203"/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4">
        <v>0.0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  <c r="AR19" s="204">
        <v>0.0</v>
      </c>
      <c r="AS19" s="204">
        <v>0.0</v>
      </c>
      <c r="AT19" s="204">
        <v>0.0</v>
      </c>
      <c r="AU19" s="204"/>
      <c r="AV19" s="52">
        <f t="shared" si="12"/>
        <v>0</v>
      </c>
    </row>
    <row r="20" ht="18.0" customHeight="1">
      <c r="A20" s="28"/>
      <c r="B20" s="29"/>
      <c r="C20" s="100" t="s">
        <v>9</v>
      </c>
      <c r="D20" s="303">
        <v>-1620.0</v>
      </c>
      <c r="E20" s="297">
        <v>-2520.0</v>
      </c>
      <c r="F20" s="297">
        <v>-1192.0</v>
      </c>
      <c r="G20" s="297">
        <v>-880.0</v>
      </c>
      <c r="H20" s="297">
        <v>-292.0</v>
      </c>
      <c r="I20" s="297">
        <v>-160.0</v>
      </c>
      <c r="J20" s="297">
        <v>-200.0</v>
      </c>
      <c r="K20" s="297">
        <v>-760.0</v>
      </c>
      <c r="L20" s="297">
        <v>-840.0</v>
      </c>
      <c r="M20" s="297">
        <v>-320.0</v>
      </c>
      <c r="N20" s="296"/>
      <c r="O20" s="307"/>
      <c r="P20" s="205"/>
      <c r="Q20" s="206">
        <v>0.0</v>
      </c>
      <c r="R20" s="206">
        <v>0.0</v>
      </c>
      <c r="S20" s="206">
        <v>0.0</v>
      </c>
      <c r="T20" s="206">
        <v>0.0</v>
      </c>
      <c r="U20" s="206">
        <v>0.0</v>
      </c>
      <c r="V20" s="206">
        <v>0.0</v>
      </c>
      <c r="W20" s="206">
        <v>0.0</v>
      </c>
      <c r="X20" s="206">
        <v>0.0</v>
      </c>
      <c r="Y20" s="206">
        <v>0.0</v>
      </c>
      <c r="Z20" s="206">
        <v>0.0</v>
      </c>
      <c r="AA20" s="206">
        <v>0.0</v>
      </c>
      <c r="AB20" s="206">
        <v>0.0</v>
      </c>
      <c r="AC20" s="206">
        <v>0.0</v>
      </c>
      <c r="AD20" s="206">
        <v>0.0</v>
      </c>
      <c r="AE20" s="206">
        <v>0.0</v>
      </c>
      <c r="AF20" s="206">
        <v>0.0</v>
      </c>
      <c r="AG20" s="206">
        <v>0.0</v>
      </c>
      <c r="AH20" s="206">
        <v>0.0</v>
      </c>
      <c r="AI20" s="206">
        <v>0.0</v>
      </c>
      <c r="AJ20" s="206">
        <v>0.0</v>
      </c>
      <c r="AK20" s="206">
        <v>0.0</v>
      </c>
      <c r="AL20" s="206">
        <v>0.0</v>
      </c>
      <c r="AM20" s="206">
        <v>0.0</v>
      </c>
      <c r="AN20" s="206">
        <v>0.0</v>
      </c>
      <c r="AO20" s="206">
        <v>0.0</v>
      </c>
      <c r="AP20" s="206">
        <v>0.0</v>
      </c>
      <c r="AQ20" s="206">
        <v>0.0</v>
      </c>
      <c r="AR20" s="206">
        <v>0.0</v>
      </c>
      <c r="AS20" s="206">
        <v>0.0</v>
      </c>
      <c r="AT20" s="206">
        <v>0.0</v>
      </c>
      <c r="AU20" s="206"/>
      <c r="AV20" s="63">
        <f t="shared" si="12"/>
        <v>0</v>
      </c>
    </row>
    <row r="21" ht="18.0" customHeight="1">
      <c r="A21" s="28"/>
      <c r="B21" s="38" t="s">
        <v>10</v>
      </c>
      <c r="C21" s="106" t="s">
        <v>8</v>
      </c>
      <c r="D21" s="315">
        <v>-921.0</v>
      </c>
      <c r="E21" s="313">
        <v>-619.0</v>
      </c>
      <c r="F21" s="313">
        <v>-2606.0</v>
      </c>
      <c r="G21" s="313">
        <v>-1271.0</v>
      </c>
      <c r="H21" s="313">
        <v>-1527.0</v>
      </c>
      <c r="I21" s="313">
        <v>-1009.0</v>
      </c>
      <c r="J21" s="313">
        <v>-874.0</v>
      </c>
      <c r="K21" s="313">
        <v>-448.0</v>
      </c>
      <c r="L21" s="313">
        <v>-203.0</v>
      </c>
      <c r="M21" s="313">
        <v>-354.0</v>
      </c>
      <c r="N21" s="313"/>
      <c r="O21" s="75"/>
      <c r="P21" s="207"/>
      <c r="Q21" s="208">
        <v>0.0</v>
      </c>
      <c r="R21" s="208">
        <v>0.0</v>
      </c>
      <c r="S21" s="208">
        <v>0.0</v>
      </c>
      <c r="T21" s="208">
        <v>0.0</v>
      </c>
      <c r="U21" s="208">
        <v>0.0</v>
      </c>
      <c r="V21" s="208">
        <v>0.0</v>
      </c>
      <c r="W21" s="208">
        <v>0.0</v>
      </c>
      <c r="X21" s="208">
        <v>0.0</v>
      </c>
      <c r="Y21" s="208">
        <v>0.0</v>
      </c>
      <c r="Z21" s="208">
        <v>0.0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0.0</v>
      </c>
      <c r="AH21" s="208">
        <v>0.0</v>
      </c>
      <c r="AI21" s="208">
        <v>0.0</v>
      </c>
      <c r="AJ21" s="208">
        <v>0.0</v>
      </c>
      <c r="AK21" s="208">
        <v>0.0</v>
      </c>
      <c r="AL21" s="208">
        <v>0.0</v>
      </c>
      <c r="AM21" s="208">
        <v>0.0</v>
      </c>
      <c r="AN21" s="208">
        <v>0.0</v>
      </c>
      <c r="AO21" s="208">
        <v>0.0</v>
      </c>
      <c r="AP21" s="208">
        <v>0.0</v>
      </c>
      <c r="AQ21" s="208">
        <v>0.0</v>
      </c>
      <c r="AR21" s="208">
        <v>0.0</v>
      </c>
      <c r="AS21" s="208">
        <v>0.0</v>
      </c>
      <c r="AT21" s="208">
        <v>0.0</v>
      </c>
      <c r="AU21" s="208"/>
      <c r="AV21" s="78">
        <f t="shared" si="12"/>
        <v>0</v>
      </c>
    </row>
    <row r="22" ht="18.0" customHeight="1">
      <c r="A22" s="28"/>
      <c r="B22" s="40"/>
      <c r="C22" s="209" t="s">
        <v>9</v>
      </c>
      <c r="D22" s="295">
        <v>-37079.0</v>
      </c>
      <c r="E22" s="296">
        <v>-48514.0</v>
      </c>
      <c r="F22" s="296">
        <v>-43337.0</v>
      </c>
      <c r="G22" s="296">
        <v>-59225.0</v>
      </c>
      <c r="H22" s="296">
        <v>-66099.0</v>
      </c>
      <c r="I22" s="296">
        <v>-66207.0</v>
      </c>
      <c r="J22" s="296">
        <v>-30051.0</v>
      </c>
      <c r="K22" s="296">
        <v>-30072.0</v>
      </c>
      <c r="L22" s="296">
        <v>-42490.0</v>
      </c>
      <c r="M22" s="296">
        <v>-23568.0</v>
      </c>
      <c r="N22" s="296"/>
      <c r="O22" s="316"/>
      <c r="P22" s="210"/>
      <c r="Q22" s="211">
        <v>0.0</v>
      </c>
      <c r="R22" s="211">
        <v>0.0</v>
      </c>
      <c r="S22" s="211">
        <v>0.0</v>
      </c>
      <c r="T22" s="211">
        <v>0.0</v>
      </c>
      <c r="U22" s="211">
        <v>0.0</v>
      </c>
      <c r="V22" s="211">
        <v>0.0</v>
      </c>
      <c r="W22" s="211">
        <v>0.0</v>
      </c>
      <c r="X22" s="211">
        <v>0.0</v>
      </c>
      <c r="Y22" s="211">
        <v>0.0</v>
      </c>
      <c r="Z22" s="211">
        <v>0.0</v>
      </c>
      <c r="AA22" s="211">
        <v>0.0</v>
      </c>
      <c r="AB22" s="211">
        <v>0.0</v>
      </c>
      <c r="AC22" s="211">
        <v>0.0</v>
      </c>
      <c r="AD22" s="211">
        <v>0.0</v>
      </c>
      <c r="AE22" s="211">
        <v>0.0</v>
      </c>
      <c r="AF22" s="211">
        <v>0.0</v>
      </c>
      <c r="AG22" s="211">
        <v>0.0</v>
      </c>
      <c r="AH22" s="211">
        <v>0.0</v>
      </c>
      <c r="AI22" s="211">
        <v>0.0</v>
      </c>
      <c r="AJ22" s="211">
        <v>0.0</v>
      </c>
      <c r="AK22" s="211">
        <v>0.0</v>
      </c>
      <c r="AL22" s="211">
        <v>0.0</v>
      </c>
      <c r="AM22" s="211">
        <v>0.0</v>
      </c>
      <c r="AN22" s="211">
        <v>0.0</v>
      </c>
      <c r="AO22" s="211">
        <v>0.0</v>
      </c>
      <c r="AP22" s="211">
        <v>0.0</v>
      </c>
      <c r="AQ22" s="211">
        <v>0.0</v>
      </c>
      <c r="AR22" s="211">
        <v>0.0</v>
      </c>
      <c r="AS22" s="211">
        <v>0.0</v>
      </c>
      <c r="AT22" s="211">
        <v>0.0</v>
      </c>
      <c r="AU22" s="211"/>
      <c r="AV22" s="194">
        <f t="shared" si="12"/>
        <v>0</v>
      </c>
    </row>
    <row r="23" ht="18.0" customHeight="1">
      <c r="A23" s="29"/>
      <c r="B23" s="43" t="s">
        <v>11</v>
      </c>
      <c r="C23" s="213" t="s">
        <v>9</v>
      </c>
      <c r="D23" s="81">
        <v>0.0</v>
      </c>
      <c r="E23" s="70">
        <v>-416.0</v>
      </c>
      <c r="F23" s="70">
        <v>-2080.0</v>
      </c>
      <c r="G23" s="70">
        <v>-2096.0</v>
      </c>
      <c r="H23" s="70">
        <v>-4612.0</v>
      </c>
      <c r="I23" s="70">
        <v>-2768.0</v>
      </c>
      <c r="J23" s="70">
        <v>-3772.0</v>
      </c>
      <c r="K23" s="70">
        <v>-2192.0</v>
      </c>
      <c r="L23" s="70">
        <v>-3884.0</v>
      </c>
      <c r="M23" s="70">
        <v>-1676.0</v>
      </c>
      <c r="N23" s="313"/>
      <c r="O23" s="314"/>
      <c r="P23" s="216"/>
      <c r="Q23" s="217">
        <v>0.0</v>
      </c>
      <c r="R23" s="217">
        <v>0.0</v>
      </c>
      <c r="S23" s="217">
        <v>0.0</v>
      </c>
      <c r="T23" s="217">
        <v>0.0</v>
      </c>
      <c r="U23" s="217">
        <v>0.0</v>
      </c>
      <c r="V23" s="217">
        <v>0.0</v>
      </c>
      <c r="W23" s="217">
        <v>0.0</v>
      </c>
      <c r="X23" s="217">
        <v>0.0</v>
      </c>
      <c r="Y23" s="217">
        <v>0.0</v>
      </c>
      <c r="Z23" s="217">
        <v>0.0</v>
      </c>
      <c r="AA23" s="217">
        <v>0.0</v>
      </c>
      <c r="AB23" s="217">
        <v>0.0</v>
      </c>
      <c r="AC23" s="217">
        <v>0.0</v>
      </c>
      <c r="AD23" s="217">
        <v>0.0</v>
      </c>
      <c r="AE23" s="217">
        <v>0.0</v>
      </c>
      <c r="AF23" s="217">
        <v>0.0</v>
      </c>
      <c r="AG23" s="217">
        <v>0.0</v>
      </c>
      <c r="AH23" s="217">
        <v>0.0</v>
      </c>
      <c r="AI23" s="217">
        <v>0.0</v>
      </c>
      <c r="AJ23" s="217">
        <v>0.0</v>
      </c>
      <c r="AK23" s="217">
        <v>0.0</v>
      </c>
      <c r="AL23" s="217">
        <v>0.0</v>
      </c>
      <c r="AM23" s="217">
        <v>0.0</v>
      </c>
      <c r="AN23" s="217">
        <v>0.0</v>
      </c>
      <c r="AO23" s="217">
        <v>0.0</v>
      </c>
      <c r="AP23" s="217">
        <v>0.0</v>
      </c>
      <c r="AQ23" s="217">
        <v>0.0</v>
      </c>
      <c r="AR23" s="217">
        <v>0.0</v>
      </c>
      <c r="AS23" s="217">
        <v>0.0</v>
      </c>
      <c r="AT23" s="217">
        <v>0.0</v>
      </c>
      <c r="AU23" s="217"/>
      <c r="AV23" s="67">
        <f t="shared" si="12"/>
        <v>0</v>
      </c>
    </row>
    <row r="24" ht="18.0" customHeight="1">
      <c r="A24" s="17" t="s">
        <v>15</v>
      </c>
      <c r="B24" s="17" t="s">
        <v>7</v>
      </c>
      <c r="C24" s="94" t="s">
        <v>8</v>
      </c>
      <c r="D24" s="19">
        <f t="shared" ref="D24:AV24" si="13">+D4+D9-D14-D19</f>
        <v>120</v>
      </c>
      <c r="E24" s="20">
        <f t="shared" si="13"/>
        <v>156</v>
      </c>
      <c r="F24" s="20">
        <f t="shared" si="13"/>
        <v>80</v>
      </c>
      <c r="G24" s="20">
        <f t="shared" si="13"/>
        <v>0</v>
      </c>
      <c r="H24" s="20">
        <f t="shared" si="13"/>
        <v>12</v>
      </c>
      <c r="I24" s="20">
        <f t="shared" si="13"/>
        <v>0</v>
      </c>
      <c r="J24" s="20">
        <f t="shared" si="13"/>
        <v>0</v>
      </c>
      <c r="K24" s="20">
        <f t="shared" si="13"/>
        <v>0</v>
      </c>
      <c r="L24" s="20">
        <f t="shared" si="13"/>
        <v>20</v>
      </c>
      <c r="M24" s="20">
        <f t="shared" si="13"/>
        <v>20</v>
      </c>
      <c r="N24" s="20">
        <f t="shared" si="13"/>
        <v>20</v>
      </c>
      <c r="O24" s="21">
        <f t="shared" si="13"/>
        <v>20</v>
      </c>
      <c r="P24" s="274">
        <f t="shared" si="13"/>
        <v>20</v>
      </c>
      <c r="Q24" s="23">
        <f t="shared" si="13"/>
        <v>20</v>
      </c>
      <c r="R24" s="24">
        <f t="shared" si="13"/>
        <v>20</v>
      </c>
      <c r="S24" s="24">
        <f t="shared" si="13"/>
        <v>20</v>
      </c>
      <c r="T24" s="24">
        <f t="shared" si="13"/>
        <v>20</v>
      </c>
      <c r="U24" s="24">
        <f t="shared" si="13"/>
        <v>20</v>
      </c>
      <c r="V24" s="24">
        <f t="shared" si="13"/>
        <v>20</v>
      </c>
      <c r="W24" s="24">
        <f t="shared" si="13"/>
        <v>20</v>
      </c>
      <c r="X24" s="24">
        <f t="shared" si="13"/>
        <v>20</v>
      </c>
      <c r="Y24" s="24">
        <f t="shared" si="13"/>
        <v>20</v>
      </c>
      <c r="Z24" s="24">
        <f t="shared" si="13"/>
        <v>20</v>
      </c>
      <c r="AA24" s="24">
        <f t="shared" si="13"/>
        <v>20</v>
      </c>
      <c r="AB24" s="24">
        <f t="shared" si="13"/>
        <v>20</v>
      </c>
      <c r="AC24" s="24">
        <f t="shared" si="13"/>
        <v>20</v>
      </c>
      <c r="AD24" s="24">
        <f t="shared" si="13"/>
        <v>20</v>
      </c>
      <c r="AE24" s="24">
        <f t="shared" si="13"/>
        <v>20</v>
      </c>
      <c r="AF24" s="24">
        <f t="shared" si="13"/>
        <v>20</v>
      </c>
      <c r="AG24" s="24">
        <f t="shared" si="13"/>
        <v>20</v>
      </c>
      <c r="AH24" s="24">
        <f t="shared" si="13"/>
        <v>20</v>
      </c>
      <c r="AI24" s="24">
        <f t="shared" si="13"/>
        <v>20</v>
      </c>
      <c r="AJ24" s="24">
        <f t="shared" si="13"/>
        <v>20</v>
      </c>
      <c r="AK24" s="24">
        <f t="shared" si="13"/>
        <v>20</v>
      </c>
      <c r="AL24" s="24">
        <f t="shared" si="13"/>
        <v>20</v>
      </c>
      <c r="AM24" s="24">
        <f t="shared" si="13"/>
        <v>20</v>
      </c>
      <c r="AN24" s="24">
        <f t="shared" si="13"/>
        <v>20</v>
      </c>
      <c r="AO24" s="24">
        <f t="shared" si="13"/>
        <v>20</v>
      </c>
      <c r="AP24" s="24">
        <f t="shared" si="13"/>
        <v>20</v>
      </c>
      <c r="AQ24" s="24">
        <f t="shared" si="13"/>
        <v>20</v>
      </c>
      <c r="AR24" s="24">
        <f t="shared" si="13"/>
        <v>20</v>
      </c>
      <c r="AS24" s="24">
        <f t="shared" si="13"/>
        <v>20</v>
      </c>
      <c r="AT24" s="24">
        <f t="shared" si="13"/>
        <v>20</v>
      </c>
      <c r="AU24" s="24">
        <f t="shared" si="13"/>
        <v>20</v>
      </c>
      <c r="AV24" s="220">
        <f t="shared" si="13"/>
        <v>20</v>
      </c>
    </row>
    <row r="25" ht="18.0" customHeight="1">
      <c r="A25" s="28"/>
      <c r="B25" s="29"/>
      <c r="C25" s="100" t="s">
        <v>9</v>
      </c>
      <c r="D25" s="221">
        <f t="shared" ref="D25:AV25" si="14">+D5+D10-D15-D20</f>
        <v>0</v>
      </c>
      <c r="E25" s="222">
        <f t="shared" si="14"/>
        <v>0</v>
      </c>
      <c r="F25" s="222">
        <f t="shared" si="14"/>
        <v>0</v>
      </c>
      <c r="G25" s="222">
        <f t="shared" si="14"/>
        <v>200</v>
      </c>
      <c r="H25" s="222">
        <f t="shared" si="14"/>
        <v>440</v>
      </c>
      <c r="I25" s="222">
        <f t="shared" si="14"/>
        <v>200</v>
      </c>
      <c r="J25" s="222">
        <f t="shared" si="14"/>
        <v>200</v>
      </c>
      <c r="K25" s="222">
        <f t="shared" si="14"/>
        <v>200</v>
      </c>
      <c r="L25" s="222">
        <f t="shared" si="14"/>
        <v>200</v>
      </c>
      <c r="M25" s="222">
        <f t="shared" si="14"/>
        <v>200</v>
      </c>
      <c r="N25" s="222">
        <f t="shared" si="14"/>
        <v>200</v>
      </c>
      <c r="O25" s="223">
        <f t="shared" si="14"/>
        <v>200</v>
      </c>
      <c r="P25" s="275">
        <f t="shared" si="14"/>
        <v>200</v>
      </c>
      <c r="Q25" s="35">
        <f t="shared" si="14"/>
        <v>200</v>
      </c>
      <c r="R25" s="36">
        <f t="shared" si="14"/>
        <v>200</v>
      </c>
      <c r="S25" s="36">
        <f t="shared" si="14"/>
        <v>200</v>
      </c>
      <c r="T25" s="36">
        <f t="shared" si="14"/>
        <v>200</v>
      </c>
      <c r="U25" s="36">
        <f t="shared" si="14"/>
        <v>120</v>
      </c>
      <c r="V25" s="36">
        <f t="shared" si="14"/>
        <v>120</v>
      </c>
      <c r="W25" s="36">
        <f t="shared" si="14"/>
        <v>120</v>
      </c>
      <c r="X25" s="36">
        <f t="shared" si="14"/>
        <v>120</v>
      </c>
      <c r="Y25" s="36">
        <f t="shared" si="14"/>
        <v>120</v>
      </c>
      <c r="Z25" s="36">
        <f t="shared" si="14"/>
        <v>120</v>
      </c>
      <c r="AA25" s="36">
        <f t="shared" si="14"/>
        <v>120</v>
      </c>
      <c r="AB25" s="36">
        <f t="shared" si="14"/>
        <v>120</v>
      </c>
      <c r="AC25" s="36">
        <f t="shared" si="14"/>
        <v>120</v>
      </c>
      <c r="AD25" s="36">
        <f t="shared" si="14"/>
        <v>120</v>
      </c>
      <c r="AE25" s="36">
        <f t="shared" si="14"/>
        <v>120</v>
      </c>
      <c r="AF25" s="36">
        <f t="shared" si="14"/>
        <v>120</v>
      </c>
      <c r="AG25" s="36">
        <f t="shared" si="14"/>
        <v>120</v>
      </c>
      <c r="AH25" s="36">
        <f t="shared" si="14"/>
        <v>120</v>
      </c>
      <c r="AI25" s="36">
        <f t="shared" si="14"/>
        <v>120</v>
      </c>
      <c r="AJ25" s="36">
        <f t="shared" si="14"/>
        <v>120</v>
      </c>
      <c r="AK25" s="36">
        <f t="shared" si="14"/>
        <v>120</v>
      </c>
      <c r="AL25" s="36">
        <f t="shared" si="14"/>
        <v>120</v>
      </c>
      <c r="AM25" s="36">
        <f t="shared" si="14"/>
        <v>120</v>
      </c>
      <c r="AN25" s="36">
        <f t="shared" si="14"/>
        <v>120</v>
      </c>
      <c r="AO25" s="36">
        <f t="shared" si="14"/>
        <v>120</v>
      </c>
      <c r="AP25" s="36">
        <f t="shared" si="14"/>
        <v>120</v>
      </c>
      <c r="AQ25" s="36">
        <f t="shared" si="14"/>
        <v>120</v>
      </c>
      <c r="AR25" s="36">
        <f t="shared" si="14"/>
        <v>120</v>
      </c>
      <c r="AS25" s="36">
        <f t="shared" si="14"/>
        <v>120</v>
      </c>
      <c r="AT25" s="36">
        <f t="shared" si="14"/>
        <v>120</v>
      </c>
      <c r="AU25" s="36">
        <f t="shared" si="14"/>
        <v>120</v>
      </c>
      <c r="AV25" s="225">
        <f t="shared" si="14"/>
        <v>120</v>
      </c>
    </row>
    <row r="26" ht="18.0" customHeight="1">
      <c r="A26" s="28"/>
      <c r="B26" s="17" t="s">
        <v>10</v>
      </c>
      <c r="C26" s="94" t="s">
        <v>8</v>
      </c>
      <c r="D26" s="31">
        <f t="shared" ref="D26:AV26" si="15">+D6+D11-D16-D21</f>
        <v>133</v>
      </c>
      <c r="E26" s="32">
        <f t="shared" si="15"/>
        <v>95</v>
      </c>
      <c r="F26" s="32">
        <f t="shared" si="15"/>
        <v>146</v>
      </c>
      <c r="G26" s="32">
        <f t="shared" si="15"/>
        <v>135</v>
      </c>
      <c r="H26" s="32">
        <f t="shared" si="15"/>
        <v>95</v>
      </c>
      <c r="I26" s="32">
        <f t="shared" si="15"/>
        <v>75</v>
      </c>
      <c r="J26" s="32">
        <f t="shared" si="15"/>
        <v>323</v>
      </c>
      <c r="K26" s="32">
        <f t="shared" si="15"/>
        <v>75</v>
      </c>
      <c r="L26" s="32">
        <f t="shared" si="15"/>
        <v>57</v>
      </c>
      <c r="M26" s="32">
        <f t="shared" si="15"/>
        <v>57</v>
      </c>
      <c r="N26" s="32">
        <f t="shared" si="15"/>
        <v>57</v>
      </c>
      <c r="O26" s="33">
        <f t="shared" si="15"/>
        <v>57</v>
      </c>
      <c r="P26" s="274">
        <f t="shared" si="15"/>
        <v>57</v>
      </c>
      <c r="Q26" s="74">
        <f t="shared" si="15"/>
        <v>57</v>
      </c>
      <c r="R26" s="66">
        <f t="shared" si="15"/>
        <v>57</v>
      </c>
      <c r="S26" s="66">
        <f t="shared" si="15"/>
        <v>57</v>
      </c>
      <c r="T26" s="66">
        <f t="shared" si="15"/>
        <v>-2</v>
      </c>
      <c r="U26" s="66">
        <f t="shared" si="15"/>
        <v>-2</v>
      </c>
      <c r="V26" s="66">
        <f t="shared" si="15"/>
        <v>-2</v>
      </c>
      <c r="W26" s="66">
        <f t="shared" si="15"/>
        <v>-2</v>
      </c>
      <c r="X26" s="66">
        <f t="shared" si="15"/>
        <v>-2</v>
      </c>
      <c r="Y26" s="66">
        <f t="shared" si="15"/>
        <v>-2</v>
      </c>
      <c r="Z26" s="66">
        <f t="shared" si="15"/>
        <v>-42</v>
      </c>
      <c r="AA26" s="66">
        <f t="shared" si="15"/>
        <v>-42</v>
      </c>
      <c r="AB26" s="66">
        <f t="shared" si="15"/>
        <v>-42</v>
      </c>
      <c r="AC26" s="66">
        <f t="shared" si="15"/>
        <v>-42</v>
      </c>
      <c r="AD26" s="66">
        <f t="shared" si="15"/>
        <v>-42</v>
      </c>
      <c r="AE26" s="66">
        <f t="shared" si="15"/>
        <v>-42</v>
      </c>
      <c r="AF26" s="66">
        <f t="shared" si="15"/>
        <v>-42</v>
      </c>
      <c r="AG26" s="66">
        <f t="shared" si="15"/>
        <v>-42</v>
      </c>
      <c r="AH26" s="66">
        <f t="shared" si="15"/>
        <v>-42</v>
      </c>
      <c r="AI26" s="66">
        <f t="shared" si="15"/>
        <v>-42</v>
      </c>
      <c r="AJ26" s="66">
        <f t="shared" si="15"/>
        <v>-42</v>
      </c>
      <c r="AK26" s="66">
        <f t="shared" si="15"/>
        <v>-42</v>
      </c>
      <c r="AL26" s="66">
        <f t="shared" si="15"/>
        <v>-42</v>
      </c>
      <c r="AM26" s="66">
        <f t="shared" si="15"/>
        <v>-42</v>
      </c>
      <c r="AN26" s="66">
        <f t="shared" si="15"/>
        <v>-42</v>
      </c>
      <c r="AO26" s="66">
        <f t="shared" si="15"/>
        <v>-42</v>
      </c>
      <c r="AP26" s="66">
        <f t="shared" si="15"/>
        <v>-42</v>
      </c>
      <c r="AQ26" s="66">
        <f t="shared" si="15"/>
        <v>-42</v>
      </c>
      <c r="AR26" s="66">
        <f t="shared" si="15"/>
        <v>-42</v>
      </c>
      <c r="AS26" s="66">
        <f t="shared" si="15"/>
        <v>-42</v>
      </c>
      <c r="AT26" s="66">
        <f t="shared" si="15"/>
        <v>-42</v>
      </c>
      <c r="AU26" s="66">
        <f t="shared" si="15"/>
        <v>-42</v>
      </c>
      <c r="AV26" s="67">
        <f t="shared" si="15"/>
        <v>-42</v>
      </c>
    </row>
    <row r="27" ht="18.0" customHeight="1">
      <c r="A27" s="28"/>
      <c r="B27" s="29"/>
      <c r="C27" s="100" t="s">
        <v>9</v>
      </c>
      <c r="D27" s="221">
        <f t="shared" ref="D27:AV27" si="16">+D7+D12-D17-D22</f>
        <v>10500</v>
      </c>
      <c r="E27" s="222">
        <f t="shared" si="16"/>
        <v>12972</v>
      </c>
      <c r="F27" s="222">
        <f t="shared" si="16"/>
        <v>11915</v>
      </c>
      <c r="G27" s="222">
        <f t="shared" si="16"/>
        <v>11117</v>
      </c>
      <c r="H27" s="222">
        <f t="shared" si="16"/>
        <v>11109</v>
      </c>
      <c r="I27" s="222">
        <f t="shared" si="16"/>
        <v>12035</v>
      </c>
      <c r="J27" s="222">
        <f t="shared" si="16"/>
        <v>10633</v>
      </c>
      <c r="K27" s="222">
        <f t="shared" si="16"/>
        <v>15977</v>
      </c>
      <c r="L27" s="222">
        <f t="shared" si="16"/>
        <v>15824</v>
      </c>
      <c r="M27" s="222">
        <f t="shared" si="16"/>
        <v>14184</v>
      </c>
      <c r="N27" s="222">
        <f t="shared" si="16"/>
        <v>14184</v>
      </c>
      <c r="O27" s="223">
        <f t="shared" si="16"/>
        <v>14184</v>
      </c>
      <c r="P27" s="275">
        <f t="shared" si="16"/>
        <v>14184</v>
      </c>
      <c r="Q27" s="35">
        <f t="shared" si="16"/>
        <v>14184</v>
      </c>
      <c r="R27" s="36">
        <f t="shared" si="16"/>
        <v>14184</v>
      </c>
      <c r="S27" s="36">
        <f t="shared" si="16"/>
        <v>14224</v>
      </c>
      <c r="T27" s="36">
        <f t="shared" si="16"/>
        <v>7490</v>
      </c>
      <c r="U27" s="36">
        <f t="shared" si="16"/>
        <v>5730</v>
      </c>
      <c r="V27" s="36">
        <f t="shared" si="16"/>
        <v>5770</v>
      </c>
      <c r="W27" s="36">
        <f t="shared" si="16"/>
        <v>2934</v>
      </c>
      <c r="X27" s="36">
        <f t="shared" si="16"/>
        <v>2934</v>
      </c>
      <c r="Y27" s="36">
        <f t="shared" si="16"/>
        <v>2934</v>
      </c>
      <c r="Z27" s="36">
        <f t="shared" si="16"/>
        <v>2654</v>
      </c>
      <c r="AA27" s="36">
        <f t="shared" si="16"/>
        <v>2654</v>
      </c>
      <c r="AB27" s="36">
        <f t="shared" si="16"/>
        <v>2654</v>
      </c>
      <c r="AC27" s="36">
        <f t="shared" si="16"/>
        <v>2654</v>
      </c>
      <c r="AD27" s="36">
        <f t="shared" si="16"/>
        <v>2654</v>
      </c>
      <c r="AE27" s="36">
        <f t="shared" si="16"/>
        <v>2654</v>
      </c>
      <c r="AF27" s="36">
        <f t="shared" si="16"/>
        <v>2654</v>
      </c>
      <c r="AG27" s="36">
        <f t="shared" si="16"/>
        <v>2654</v>
      </c>
      <c r="AH27" s="36">
        <f t="shared" si="16"/>
        <v>2654</v>
      </c>
      <c r="AI27" s="36">
        <f t="shared" si="16"/>
        <v>2654</v>
      </c>
      <c r="AJ27" s="36">
        <f t="shared" si="16"/>
        <v>2654</v>
      </c>
      <c r="AK27" s="36">
        <f t="shared" si="16"/>
        <v>2654</v>
      </c>
      <c r="AL27" s="36">
        <f t="shared" si="16"/>
        <v>2654</v>
      </c>
      <c r="AM27" s="36">
        <f t="shared" si="16"/>
        <v>2654</v>
      </c>
      <c r="AN27" s="36">
        <f t="shared" si="16"/>
        <v>2654</v>
      </c>
      <c r="AO27" s="36">
        <f t="shared" si="16"/>
        <v>2654</v>
      </c>
      <c r="AP27" s="36">
        <f t="shared" si="16"/>
        <v>2654</v>
      </c>
      <c r="AQ27" s="36">
        <f t="shared" si="16"/>
        <v>2654</v>
      </c>
      <c r="AR27" s="36">
        <f t="shared" si="16"/>
        <v>2654</v>
      </c>
      <c r="AS27" s="36">
        <f t="shared" si="16"/>
        <v>2654</v>
      </c>
      <c r="AT27" s="36">
        <f t="shared" si="16"/>
        <v>2654</v>
      </c>
      <c r="AU27" s="36">
        <f t="shared" si="16"/>
        <v>2654</v>
      </c>
      <c r="AV27" s="63">
        <f t="shared" si="16"/>
        <v>2654</v>
      </c>
    </row>
    <row r="28" ht="18.0" customHeight="1">
      <c r="A28" s="29"/>
      <c r="B28" s="43" t="s">
        <v>11</v>
      </c>
      <c r="C28" s="213" t="s">
        <v>9</v>
      </c>
      <c r="D28" s="229">
        <f t="shared" ref="D28:AV28" si="17">+D8+D13-D18-D23</f>
        <v>5656</v>
      </c>
      <c r="E28" s="230">
        <f t="shared" si="17"/>
        <v>12496</v>
      </c>
      <c r="F28" s="230">
        <f t="shared" si="17"/>
        <v>15776</v>
      </c>
      <c r="G28" s="230">
        <f t="shared" si="17"/>
        <v>11780</v>
      </c>
      <c r="H28" s="230">
        <f t="shared" si="17"/>
        <v>12032</v>
      </c>
      <c r="I28" s="230">
        <f t="shared" si="17"/>
        <v>17028</v>
      </c>
      <c r="J28" s="230">
        <f t="shared" si="17"/>
        <v>13232</v>
      </c>
      <c r="K28" s="230">
        <f t="shared" si="17"/>
        <v>13352</v>
      </c>
      <c r="L28" s="230">
        <f t="shared" si="17"/>
        <v>8180</v>
      </c>
      <c r="M28" s="230">
        <f t="shared" si="17"/>
        <v>8676</v>
      </c>
      <c r="N28" s="230">
        <f t="shared" si="17"/>
        <v>8676</v>
      </c>
      <c r="O28" s="231">
        <f t="shared" si="17"/>
        <v>8676</v>
      </c>
      <c r="P28" s="288">
        <f t="shared" si="17"/>
        <v>8676</v>
      </c>
      <c r="Q28" s="84">
        <f t="shared" si="17"/>
        <v>8676</v>
      </c>
      <c r="R28" s="71">
        <f t="shared" si="17"/>
        <v>8676</v>
      </c>
      <c r="S28" s="71">
        <f t="shared" si="17"/>
        <v>-2348</v>
      </c>
      <c r="T28" s="71">
        <f t="shared" si="17"/>
        <v>-2348</v>
      </c>
      <c r="U28" s="71">
        <f t="shared" si="17"/>
        <v>-2348</v>
      </c>
      <c r="V28" s="71">
        <f t="shared" si="17"/>
        <v>5556</v>
      </c>
      <c r="W28" s="71">
        <f t="shared" si="17"/>
        <v>5556</v>
      </c>
      <c r="X28" s="71">
        <f t="shared" si="17"/>
        <v>5556</v>
      </c>
      <c r="Y28" s="71">
        <f t="shared" si="17"/>
        <v>5556</v>
      </c>
      <c r="Z28" s="71">
        <f t="shared" si="17"/>
        <v>2700</v>
      </c>
      <c r="AA28" s="71">
        <f t="shared" si="17"/>
        <v>2700</v>
      </c>
      <c r="AB28" s="71">
        <f t="shared" si="17"/>
        <v>2700</v>
      </c>
      <c r="AC28" s="71">
        <f t="shared" si="17"/>
        <v>2700</v>
      </c>
      <c r="AD28" s="71">
        <f t="shared" si="17"/>
        <v>2700</v>
      </c>
      <c r="AE28" s="71">
        <f t="shared" si="17"/>
        <v>2700</v>
      </c>
      <c r="AF28" s="71">
        <f t="shared" si="17"/>
        <v>2700</v>
      </c>
      <c r="AG28" s="71">
        <f t="shared" si="17"/>
        <v>2700</v>
      </c>
      <c r="AH28" s="71">
        <f t="shared" si="17"/>
        <v>2700</v>
      </c>
      <c r="AI28" s="71">
        <f t="shared" si="17"/>
        <v>2700</v>
      </c>
      <c r="AJ28" s="71">
        <f t="shared" si="17"/>
        <v>2700</v>
      </c>
      <c r="AK28" s="71">
        <f t="shared" si="17"/>
        <v>2700</v>
      </c>
      <c r="AL28" s="71">
        <f t="shared" si="17"/>
        <v>2700</v>
      </c>
      <c r="AM28" s="71">
        <f t="shared" si="17"/>
        <v>2700</v>
      </c>
      <c r="AN28" s="71">
        <f t="shared" si="17"/>
        <v>2700</v>
      </c>
      <c r="AO28" s="71">
        <f t="shared" si="17"/>
        <v>2700</v>
      </c>
      <c r="AP28" s="71">
        <f t="shared" si="17"/>
        <v>2700</v>
      </c>
      <c r="AQ28" s="71">
        <f t="shared" si="17"/>
        <v>2700</v>
      </c>
      <c r="AR28" s="71">
        <f t="shared" si="17"/>
        <v>2700</v>
      </c>
      <c r="AS28" s="71">
        <f t="shared" si="17"/>
        <v>2700</v>
      </c>
      <c r="AT28" s="71">
        <f t="shared" si="17"/>
        <v>2700</v>
      </c>
      <c r="AU28" s="71">
        <f t="shared" si="17"/>
        <v>2700</v>
      </c>
      <c r="AV28" s="63">
        <f t="shared" si="17"/>
        <v>2700</v>
      </c>
    </row>
    <row r="29" ht="18.0" customHeight="1">
      <c r="A29" s="1"/>
      <c r="B29" s="1"/>
      <c r="C29" s="1"/>
      <c r="D29" s="27">
        <f t="shared" ref="D29:O29" si="18">SUM(D24:D28)</f>
        <v>16409</v>
      </c>
      <c r="E29" s="27">
        <f t="shared" si="18"/>
        <v>25719</v>
      </c>
      <c r="F29" s="27">
        <f t="shared" si="18"/>
        <v>27917</v>
      </c>
      <c r="G29" s="27">
        <f t="shared" si="18"/>
        <v>23232</v>
      </c>
      <c r="H29" s="27">
        <f t="shared" si="18"/>
        <v>23688</v>
      </c>
      <c r="I29" s="27">
        <f t="shared" si="18"/>
        <v>29338</v>
      </c>
      <c r="J29" s="27">
        <f t="shared" si="18"/>
        <v>24388</v>
      </c>
      <c r="K29" s="27">
        <f t="shared" si="18"/>
        <v>29604</v>
      </c>
      <c r="L29" s="27">
        <f t="shared" si="18"/>
        <v>24281</v>
      </c>
      <c r="M29" s="27">
        <f t="shared" si="18"/>
        <v>23137</v>
      </c>
      <c r="N29" s="27">
        <f t="shared" si="18"/>
        <v>23137</v>
      </c>
      <c r="O29" s="27">
        <f t="shared" si="18"/>
        <v>23137</v>
      </c>
      <c r="P29" s="27"/>
      <c r="Q29" s="27">
        <f t="shared" ref="Q29:AV29" si="19">SUM(Q24:Q28)</f>
        <v>23137</v>
      </c>
      <c r="R29" s="27">
        <f t="shared" si="19"/>
        <v>23137</v>
      </c>
      <c r="S29" s="27">
        <f t="shared" si="19"/>
        <v>12153</v>
      </c>
      <c r="T29" s="27">
        <f t="shared" si="19"/>
        <v>5360</v>
      </c>
      <c r="U29" s="27">
        <f t="shared" si="19"/>
        <v>3520</v>
      </c>
      <c r="V29" s="27">
        <f t="shared" si="19"/>
        <v>11464</v>
      </c>
      <c r="W29" s="27">
        <f t="shared" si="19"/>
        <v>8628</v>
      </c>
      <c r="X29" s="27">
        <f t="shared" si="19"/>
        <v>8628</v>
      </c>
      <c r="Y29" s="27">
        <f t="shared" si="19"/>
        <v>8628</v>
      </c>
      <c r="Z29" s="27">
        <f t="shared" si="19"/>
        <v>5452</v>
      </c>
      <c r="AA29" s="27">
        <f t="shared" si="19"/>
        <v>5452</v>
      </c>
      <c r="AB29" s="27">
        <f t="shared" si="19"/>
        <v>5452</v>
      </c>
      <c r="AC29" s="27">
        <f t="shared" si="19"/>
        <v>5452</v>
      </c>
      <c r="AD29" s="27">
        <f t="shared" si="19"/>
        <v>5452</v>
      </c>
      <c r="AE29" s="27">
        <f t="shared" si="19"/>
        <v>5452</v>
      </c>
      <c r="AF29" s="27">
        <f t="shared" si="19"/>
        <v>5452</v>
      </c>
      <c r="AG29" s="27">
        <f t="shared" si="19"/>
        <v>5452</v>
      </c>
      <c r="AH29" s="27">
        <f t="shared" si="19"/>
        <v>5452</v>
      </c>
      <c r="AI29" s="27">
        <f t="shared" si="19"/>
        <v>5452</v>
      </c>
      <c r="AJ29" s="27">
        <f t="shared" si="19"/>
        <v>5452</v>
      </c>
      <c r="AK29" s="27">
        <f t="shared" si="19"/>
        <v>5452</v>
      </c>
      <c r="AL29" s="27">
        <f t="shared" si="19"/>
        <v>5452</v>
      </c>
      <c r="AM29" s="27">
        <f t="shared" si="19"/>
        <v>5452</v>
      </c>
      <c r="AN29" s="27">
        <f t="shared" si="19"/>
        <v>5452</v>
      </c>
      <c r="AO29" s="27">
        <f t="shared" si="19"/>
        <v>5452</v>
      </c>
      <c r="AP29" s="27">
        <f t="shared" si="19"/>
        <v>5452</v>
      </c>
      <c r="AQ29" s="27">
        <f t="shared" si="19"/>
        <v>5452</v>
      </c>
      <c r="AR29" s="27">
        <f t="shared" si="19"/>
        <v>5452</v>
      </c>
      <c r="AS29" s="27">
        <f t="shared" si="19"/>
        <v>5452</v>
      </c>
      <c r="AT29" s="27">
        <f t="shared" si="19"/>
        <v>5452</v>
      </c>
      <c r="AU29" s="27">
        <f t="shared" si="19"/>
        <v>5452</v>
      </c>
      <c r="AV29" s="27">
        <f t="shared" si="19"/>
        <v>5452</v>
      </c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142"/>
    </row>
    <row r="31" ht="18.0" customHeight="1">
      <c r="A31" s="93" t="s">
        <v>16</v>
      </c>
      <c r="B31" s="17" t="s">
        <v>7</v>
      </c>
      <c r="C31" s="94" t="s">
        <v>8</v>
      </c>
      <c r="D31" s="201">
        <v>1.0</v>
      </c>
      <c r="E31" s="171">
        <f t="shared" ref="E31:O31" si="20">ROUND(E24/200,0)</f>
        <v>1</v>
      </c>
      <c r="F31" s="171">
        <f t="shared" si="20"/>
        <v>0</v>
      </c>
      <c r="G31" s="171">
        <f t="shared" si="20"/>
        <v>0</v>
      </c>
      <c r="H31" s="171">
        <f t="shared" si="20"/>
        <v>0</v>
      </c>
      <c r="I31" s="171">
        <f t="shared" si="20"/>
        <v>0</v>
      </c>
      <c r="J31" s="171">
        <f t="shared" si="20"/>
        <v>0</v>
      </c>
      <c r="K31" s="171">
        <f t="shared" si="20"/>
        <v>0</v>
      </c>
      <c r="L31" s="171">
        <f t="shared" si="20"/>
        <v>0</v>
      </c>
      <c r="M31" s="171">
        <f t="shared" si="20"/>
        <v>0</v>
      </c>
      <c r="N31" s="171">
        <f t="shared" si="20"/>
        <v>0</v>
      </c>
      <c r="O31" s="171">
        <f t="shared" si="20"/>
        <v>0</v>
      </c>
      <c r="P31" s="201">
        <f t="shared" ref="P31:AV31" si="21">P24/200</f>
        <v>0.1</v>
      </c>
      <c r="Q31" s="201">
        <f t="shared" si="21"/>
        <v>0.1</v>
      </c>
      <c r="R31" s="171">
        <f t="shared" si="21"/>
        <v>0.1</v>
      </c>
      <c r="S31" s="171">
        <f t="shared" si="21"/>
        <v>0.1</v>
      </c>
      <c r="T31" s="171">
        <f t="shared" si="21"/>
        <v>0.1</v>
      </c>
      <c r="U31" s="171">
        <f t="shared" si="21"/>
        <v>0.1</v>
      </c>
      <c r="V31" s="171">
        <f t="shared" si="21"/>
        <v>0.1</v>
      </c>
      <c r="W31" s="171">
        <f t="shared" si="21"/>
        <v>0.1</v>
      </c>
      <c r="X31" s="171">
        <f t="shared" si="21"/>
        <v>0.1</v>
      </c>
      <c r="Y31" s="171">
        <f t="shared" si="21"/>
        <v>0.1</v>
      </c>
      <c r="Z31" s="171">
        <f t="shared" si="21"/>
        <v>0.1</v>
      </c>
      <c r="AA31" s="171">
        <f t="shared" si="21"/>
        <v>0.1</v>
      </c>
      <c r="AB31" s="171">
        <f t="shared" si="21"/>
        <v>0.1</v>
      </c>
      <c r="AC31" s="171">
        <f t="shared" si="21"/>
        <v>0.1</v>
      </c>
      <c r="AD31" s="171">
        <f t="shared" si="21"/>
        <v>0.1</v>
      </c>
      <c r="AE31" s="171">
        <f t="shared" si="21"/>
        <v>0.1</v>
      </c>
      <c r="AF31" s="171">
        <f t="shared" si="21"/>
        <v>0.1</v>
      </c>
      <c r="AG31" s="171">
        <f t="shared" si="21"/>
        <v>0.1</v>
      </c>
      <c r="AH31" s="171">
        <f t="shared" si="21"/>
        <v>0.1</v>
      </c>
      <c r="AI31" s="171">
        <f t="shared" si="21"/>
        <v>0.1</v>
      </c>
      <c r="AJ31" s="171">
        <f t="shared" si="21"/>
        <v>0.1</v>
      </c>
      <c r="AK31" s="171">
        <f t="shared" si="21"/>
        <v>0.1</v>
      </c>
      <c r="AL31" s="171">
        <f t="shared" si="21"/>
        <v>0.1</v>
      </c>
      <c r="AM31" s="171">
        <f t="shared" si="21"/>
        <v>0.1</v>
      </c>
      <c r="AN31" s="171">
        <f t="shared" si="21"/>
        <v>0.1</v>
      </c>
      <c r="AO31" s="171">
        <f t="shared" si="21"/>
        <v>0.1</v>
      </c>
      <c r="AP31" s="171">
        <f t="shared" si="21"/>
        <v>0.1</v>
      </c>
      <c r="AQ31" s="171">
        <f t="shared" si="21"/>
        <v>0.1</v>
      </c>
      <c r="AR31" s="171">
        <f t="shared" si="21"/>
        <v>0.1</v>
      </c>
      <c r="AS31" s="171">
        <f t="shared" si="21"/>
        <v>0.1</v>
      </c>
      <c r="AT31" s="171">
        <f t="shared" si="21"/>
        <v>0.1</v>
      </c>
      <c r="AU31" s="171">
        <f t="shared" si="21"/>
        <v>0.1</v>
      </c>
      <c r="AV31" s="201">
        <f t="shared" si="21"/>
        <v>0.1</v>
      </c>
    </row>
    <row r="32" ht="18.0" customHeight="1">
      <c r="A32" s="28"/>
      <c r="B32" s="29"/>
      <c r="C32" s="100" t="s">
        <v>9</v>
      </c>
      <c r="D32" s="240">
        <v>0.0</v>
      </c>
      <c r="E32" s="241">
        <f t="shared" ref="E32:AV32" si="22">E25/200</f>
        <v>0</v>
      </c>
      <c r="F32" s="241">
        <f t="shared" si="22"/>
        <v>0</v>
      </c>
      <c r="G32" s="241">
        <f t="shared" si="22"/>
        <v>1</v>
      </c>
      <c r="H32" s="241">
        <f t="shared" si="22"/>
        <v>2.2</v>
      </c>
      <c r="I32" s="241">
        <f t="shared" si="22"/>
        <v>1</v>
      </c>
      <c r="J32" s="241">
        <f t="shared" si="22"/>
        <v>1</v>
      </c>
      <c r="K32" s="241">
        <f t="shared" si="22"/>
        <v>1</v>
      </c>
      <c r="L32" s="241">
        <f t="shared" si="22"/>
        <v>1</v>
      </c>
      <c r="M32" s="241">
        <f t="shared" si="22"/>
        <v>1</v>
      </c>
      <c r="N32" s="241">
        <f t="shared" si="22"/>
        <v>1</v>
      </c>
      <c r="O32" s="241">
        <f t="shared" si="22"/>
        <v>1</v>
      </c>
      <c r="P32" s="240">
        <f t="shared" si="22"/>
        <v>1</v>
      </c>
      <c r="Q32" s="176">
        <f t="shared" si="22"/>
        <v>1</v>
      </c>
      <c r="R32" s="177">
        <f t="shared" si="22"/>
        <v>1</v>
      </c>
      <c r="S32" s="177">
        <f t="shared" si="22"/>
        <v>1</v>
      </c>
      <c r="T32" s="177">
        <f t="shared" si="22"/>
        <v>1</v>
      </c>
      <c r="U32" s="177">
        <f t="shared" si="22"/>
        <v>0.6</v>
      </c>
      <c r="V32" s="177">
        <f t="shared" si="22"/>
        <v>0.6</v>
      </c>
      <c r="W32" s="177">
        <f t="shared" si="22"/>
        <v>0.6</v>
      </c>
      <c r="X32" s="177">
        <f t="shared" si="22"/>
        <v>0.6</v>
      </c>
      <c r="Y32" s="177">
        <f t="shared" si="22"/>
        <v>0.6</v>
      </c>
      <c r="Z32" s="177">
        <f t="shared" si="22"/>
        <v>0.6</v>
      </c>
      <c r="AA32" s="177">
        <f t="shared" si="22"/>
        <v>0.6</v>
      </c>
      <c r="AB32" s="177">
        <f t="shared" si="22"/>
        <v>0.6</v>
      </c>
      <c r="AC32" s="177">
        <f t="shared" si="22"/>
        <v>0.6</v>
      </c>
      <c r="AD32" s="177">
        <f t="shared" si="22"/>
        <v>0.6</v>
      </c>
      <c r="AE32" s="177">
        <f t="shared" si="22"/>
        <v>0.6</v>
      </c>
      <c r="AF32" s="177">
        <f t="shared" si="22"/>
        <v>0.6</v>
      </c>
      <c r="AG32" s="177">
        <f t="shared" si="22"/>
        <v>0.6</v>
      </c>
      <c r="AH32" s="177">
        <f t="shared" si="22"/>
        <v>0.6</v>
      </c>
      <c r="AI32" s="177">
        <f t="shared" si="22"/>
        <v>0.6</v>
      </c>
      <c r="AJ32" s="177">
        <f t="shared" si="22"/>
        <v>0.6</v>
      </c>
      <c r="AK32" s="177">
        <f t="shared" si="22"/>
        <v>0.6</v>
      </c>
      <c r="AL32" s="177">
        <f t="shared" si="22"/>
        <v>0.6</v>
      </c>
      <c r="AM32" s="177">
        <f t="shared" si="22"/>
        <v>0.6</v>
      </c>
      <c r="AN32" s="177">
        <f t="shared" si="22"/>
        <v>0.6</v>
      </c>
      <c r="AO32" s="177">
        <f t="shared" si="22"/>
        <v>0.6</v>
      </c>
      <c r="AP32" s="177">
        <f t="shared" si="22"/>
        <v>0.6</v>
      </c>
      <c r="AQ32" s="177">
        <f t="shared" si="22"/>
        <v>0.6</v>
      </c>
      <c r="AR32" s="177">
        <f t="shared" si="22"/>
        <v>0.6</v>
      </c>
      <c r="AS32" s="177">
        <f t="shared" si="22"/>
        <v>0.6</v>
      </c>
      <c r="AT32" s="177">
        <f t="shared" si="22"/>
        <v>0.6</v>
      </c>
      <c r="AU32" s="177">
        <f t="shared" si="22"/>
        <v>0.6</v>
      </c>
      <c r="AV32" s="176">
        <f t="shared" si="22"/>
        <v>0.6</v>
      </c>
    </row>
    <row r="33" ht="18.0" customHeight="1">
      <c r="A33" s="28"/>
      <c r="B33" s="38" t="s">
        <v>10</v>
      </c>
      <c r="C33" s="106" t="s">
        <v>8</v>
      </c>
      <c r="D33" s="184">
        <v>1.0</v>
      </c>
      <c r="E33" s="185">
        <f t="shared" ref="E33:P33" si="23">ROUND(E26/200,0)</f>
        <v>0</v>
      </c>
      <c r="F33" s="185">
        <f t="shared" si="23"/>
        <v>1</v>
      </c>
      <c r="G33" s="185">
        <f t="shared" si="23"/>
        <v>1</v>
      </c>
      <c r="H33" s="185">
        <f t="shared" si="23"/>
        <v>0</v>
      </c>
      <c r="I33" s="185">
        <f t="shared" si="23"/>
        <v>0</v>
      </c>
      <c r="J33" s="185">
        <f t="shared" si="23"/>
        <v>2</v>
      </c>
      <c r="K33" s="185">
        <f t="shared" si="23"/>
        <v>0</v>
      </c>
      <c r="L33" s="185">
        <f t="shared" si="23"/>
        <v>0</v>
      </c>
      <c r="M33" s="185">
        <f t="shared" si="23"/>
        <v>0</v>
      </c>
      <c r="N33" s="185">
        <f t="shared" si="23"/>
        <v>0</v>
      </c>
      <c r="O33" s="185">
        <f t="shared" si="23"/>
        <v>0</v>
      </c>
      <c r="P33" s="184">
        <f t="shared" si="23"/>
        <v>0</v>
      </c>
      <c r="Q33" s="184">
        <f t="shared" ref="Q33:AV33" si="24">Q26/200</f>
        <v>0.285</v>
      </c>
      <c r="R33" s="185">
        <f t="shared" si="24"/>
        <v>0.285</v>
      </c>
      <c r="S33" s="185">
        <f t="shared" si="24"/>
        <v>0.285</v>
      </c>
      <c r="T33" s="185">
        <f t="shared" si="24"/>
        <v>-0.01</v>
      </c>
      <c r="U33" s="185">
        <f t="shared" si="24"/>
        <v>-0.01</v>
      </c>
      <c r="V33" s="185">
        <f t="shared" si="24"/>
        <v>-0.01</v>
      </c>
      <c r="W33" s="185">
        <f t="shared" si="24"/>
        <v>-0.01</v>
      </c>
      <c r="X33" s="185">
        <f t="shared" si="24"/>
        <v>-0.01</v>
      </c>
      <c r="Y33" s="185">
        <f t="shared" si="24"/>
        <v>-0.01</v>
      </c>
      <c r="Z33" s="185">
        <f t="shared" si="24"/>
        <v>-0.21</v>
      </c>
      <c r="AA33" s="185">
        <f t="shared" si="24"/>
        <v>-0.21</v>
      </c>
      <c r="AB33" s="185">
        <f t="shared" si="24"/>
        <v>-0.21</v>
      </c>
      <c r="AC33" s="185">
        <f t="shared" si="24"/>
        <v>-0.21</v>
      </c>
      <c r="AD33" s="185">
        <f t="shared" si="24"/>
        <v>-0.21</v>
      </c>
      <c r="AE33" s="185">
        <f t="shared" si="24"/>
        <v>-0.21</v>
      </c>
      <c r="AF33" s="185">
        <f t="shared" si="24"/>
        <v>-0.21</v>
      </c>
      <c r="AG33" s="185">
        <f t="shared" si="24"/>
        <v>-0.21</v>
      </c>
      <c r="AH33" s="185">
        <f t="shared" si="24"/>
        <v>-0.21</v>
      </c>
      <c r="AI33" s="185">
        <f t="shared" si="24"/>
        <v>-0.21</v>
      </c>
      <c r="AJ33" s="185">
        <f t="shared" si="24"/>
        <v>-0.21</v>
      </c>
      <c r="AK33" s="185">
        <f t="shared" si="24"/>
        <v>-0.21</v>
      </c>
      <c r="AL33" s="185">
        <f t="shared" si="24"/>
        <v>-0.21</v>
      </c>
      <c r="AM33" s="185">
        <f t="shared" si="24"/>
        <v>-0.21</v>
      </c>
      <c r="AN33" s="185">
        <f t="shared" si="24"/>
        <v>-0.21</v>
      </c>
      <c r="AO33" s="185">
        <f t="shared" si="24"/>
        <v>-0.21</v>
      </c>
      <c r="AP33" s="185">
        <f t="shared" si="24"/>
        <v>-0.21</v>
      </c>
      <c r="AQ33" s="185">
        <f t="shared" si="24"/>
        <v>-0.21</v>
      </c>
      <c r="AR33" s="185">
        <f t="shared" si="24"/>
        <v>-0.21</v>
      </c>
      <c r="AS33" s="185">
        <f t="shared" si="24"/>
        <v>-0.21</v>
      </c>
      <c r="AT33" s="185">
        <f t="shared" si="24"/>
        <v>-0.21</v>
      </c>
      <c r="AU33" s="185">
        <f t="shared" si="24"/>
        <v>-0.21</v>
      </c>
      <c r="AV33" s="184">
        <f t="shared" si="24"/>
        <v>-0.21</v>
      </c>
    </row>
    <row r="34" ht="18.0" customHeight="1">
      <c r="A34" s="28"/>
      <c r="B34" s="29"/>
      <c r="C34" s="100" t="s">
        <v>9</v>
      </c>
      <c r="D34" s="176">
        <v>74.9</v>
      </c>
      <c r="E34" s="177">
        <f t="shared" ref="E34:AV34" si="25">E27/200</f>
        <v>64.86</v>
      </c>
      <c r="F34" s="177">
        <f t="shared" si="25"/>
        <v>59.575</v>
      </c>
      <c r="G34" s="177">
        <f t="shared" si="25"/>
        <v>55.585</v>
      </c>
      <c r="H34" s="177">
        <f t="shared" si="25"/>
        <v>55.545</v>
      </c>
      <c r="I34" s="177">
        <f t="shared" si="25"/>
        <v>60.175</v>
      </c>
      <c r="J34" s="177">
        <f t="shared" si="25"/>
        <v>53.165</v>
      </c>
      <c r="K34" s="177">
        <f t="shared" si="25"/>
        <v>79.885</v>
      </c>
      <c r="L34" s="177">
        <f t="shared" si="25"/>
        <v>79.12</v>
      </c>
      <c r="M34" s="177">
        <f t="shared" si="25"/>
        <v>70.92</v>
      </c>
      <c r="N34" s="177">
        <f t="shared" si="25"/>
        <v>70.92</v>
      </c>
      <c r="O34" s="177">
        <f t="shared" si="25"/>
        <v>70.92</v>
      </c>
      <c r="P34" s="176">
        <f t="shared" si="25"/>
        <v>70.92</v>
      </c>
      <c r="Q34" s="176">
        <f t="shared" si="25"/>
        <v>70.92</v>
      </c>
      <c r="R34" s="177">
        <f t="shared" si="25"/>
        <v>70.92</v>
      </c>
      <c r="S34" s="177">
        <f t="shared" si="25"/>
        <v>71.12</v>
      </c>
      <c r="T34" s="177">
        <f t="shared" si="25"/>
        <v>37.45</v>
      </c>
      <c r="U34" s="177">
        <f t="shared" si="25"/>
        <v>28.65</v>
      </c>
      <c r="V34" s="177">
        <f t="shared" si="25"/>
        <v>28.85</v>
      </c>
      <c r="W34" s="177">
        <f t="shared" si="25"/>
        <v>14.67</v>
      </c>
      <c r="X34" s="177">
        <f t="shared" si="25"/>
        <v>14.67</v>
      </c>
      <c r="Y34" s="177">
        <f t="shared" si="25"/>
        <v>14.67</v>
      </c>
      <c r="Z34" s="177">
        <f t="shared" si="25"/>
        <v>13.27</v>
      </c>
      <c r="AA34" s="177">
        <f t="shared" si="25"/>
        <v>13.27</v>
      </c>
      <c r="AB34" s="177">
        <f t="shared" si="25"/>
        <v>13.27</v>
      </c>
      <c r="AC34" s="177">
        <f t="shared" si="25"/>
        <v>13.27</v>
      </c>
      <c r="AD34" s="177">
        <f t="shared" si="25"/>
        <v>13.27</v>
      </c>
      <c r="AE34" s="177">
        <f t="shared" si="25"/>
        <v>13.27</v>
      </c>
      <c r="AF34" s="177">
        <f t="shared" si="25"/>
        <v>13.27</v>
      </c>
      <c r="AG34" s="177">
        <f t="shared" si="25"/>
        <v>13.27</v>
      </c>
      <c r="AH34" s="177">
        <f t="shared" si="25"/>
        <v>13.27</v>
      </c>
      <c r="AI34" s="177">
        <f t="shared" si="25"/>
        <v>13.27</v>
      </c>
      <c r="AJ34" s="177">
        <f t="shared" si="25"/>
        <v>13.27</v>
      </c>
      <c r="AK34" s="177">
        <f t="shared" si="25"/>
        <v>13.27</v>
      </c>
      <c r="AL34" s="177">
        <f t="shared" si="25"/>
        <v>13.27</v>
      </c>
      <c r="AM34" s="177">
        <f t="shared" si="25"/>
        <v>13.27</v>
      </c>
      <c r="AN34" s="177">
        <f t="shared" si="25"/>
        <v>13.27</v>
      </c>
      <c r="AO34" s="177">
        <f t="shared" si="25"/>
        <v>13.27</v>
      </c>
      <c r="AP34" s="177">
        <f t="shared" si="25"/>
        <v>13.27</v>
      </c>
      <c r="AQ34" s="177">
        <f t="shared" si="25"/>
        <v>13.27</v>
      </c>
      <c r="AR34" s="177">
        <f t="shared" si="25"/>
        <v>13.27</v>
      </c>
      <c r="AS34" s="177">
        <f t="shared" si="25"/>
        <v>13.27</v>
      </c>
      <c r="AT34" s="177">
        <f t="shared" si="25"/>
        <v>13.27</v>
      </c>
      <c r="AU34" s="177">
        <f t="shared" si="25"/>
        <v>13.27</v>
      </c>
      <c r="AV34" s="176">
        <f t="shared" si="25"/>
        <v>13.27</v>
      </c>
    </row>
    <row r="35" ht="18.0" customHeight="1">
      <c r="A35" s="29"/>
      <c r="B35" s="43" t="s">
        <v>11</v>
      </c>
      <c r="C35" s="43" t="s">
        <v>9</v>
      </c>
      <c r="D35" s="197">
        <v>58.7</v>
      </c>
      <c r="E35" s="198">
        <f t="shared" ref="E35:AV35" si="26">E28/200</f>
        <v>62.48</v>
      </c>
      <c r="F35" s="198">
        <f t="shared" si="26"/>
        <v>78.88</v>
      </c>
      <c r="G35" s="198">
        <f t="shared" si="26"/>
        <v>58.9</v>
      </c>
      <c r="H35" s="198">
        <f t="shared" si="26"/>
        <v>60.16</v>
      </c>
      <c r="I35" s="198">
        <f t="shared" si="26"/>
        <v>85.14</v>
      </c>
      <c r="J35" s="198">
        <f t="shared" si="26"/>
        <v>66.16</v>
      </c>
      <c r="K35" s="198">
        <f t="shared" si="26"/>
        <v>66.76</v>
      </c>
      <c r="L35" s="198">
        <f t="shared" si="26"/>
        <v>40.9</v>
      </c>
      <c r="M35" s="198">
        <f t="shared" si="26"/>
        <v>43.38</v>
      </c>
      <c r="N35" s="198">
        <f t="shared" si="26"/>
        <v>43.38</v>
      </c>
      <c r="O35" s="198">
        <f t="shared" si="26"/>
        <v>43.38</v>
      </c>
      <c r="P35" s="197">
        <f t="shared" si="26"/>
        <v>43.38</v>
      </c>
      <c r="Q35" s="197">
        <f t="shared" si="26"/>
        <v>43.38</v>
      </c>
      <c r="R35" s="198">
        <f t="shared" si="26"/>
        <v>43.38</v>
      </c>
      <c r="S35" s="198">
        <f t="shared" si="26"/>
        <v>-11.74</v>
      </c>
      <c r="T35" s="198">
        <f t="shared" si="26"/>
        <v>-11.74</v>
      </c>
      <c r="U35" s="198">
        <f t="shared" si="26"/>
        <v>-11.74</v>
      </c>
      <c r="V35" s="198">
        <f t="shared" si="26"/>
        <v>27.78</v>
      </c>
      <c r="W35" s="198">
        <f t="shared" si="26"/>
        <v>27.78</v>
      </c>
      <c r="X35" s="198">
        <f t="shared" si="26"/>
        <v>27.78</v>
      </c>
      <c r="Y35" s="198">
        <f t="shared" si="26"/>
        <v>27.78</v>
      </c>
      <c r="Z35" s="198">
        <f t="shared" si="26"/>
        <v>13.5</v>
      </c>
      <c r="AA35" s="198">
        <f t="shared" si="26"/>
        <v>13.5</v>
      </c>
      <c r="AB35" s="198">
        <f t="shared" si="26"/>
        <v>13.5</v>
      </c>
      <c r="AC35" s="198">
        <f t="shared" si="26"/>
        <v>13.5</v>
      </c>
      <c r="AD35" s="198">
        <f t="shared" si="26"/>
        <v>13.5</v>
      </c>
      <c r="AE35" s="198">
        <f t="shared" si="26"/>
        <v>13.5</v>
      </c>
      <c r="AF35" s="198">
        <f t="shared" si="26"/>
        <v>13.5</v>
      </c>
      <c r="AG35" s="198">
        <f t="shared" si="26"/>
        <v>13.5</v>
      </c>
      <c r="AH35" s="198">
        <f t="shared" si="26"/>
        <v>13.5</v>
      </c>
      <c r="AI35" s="198">
        <f t="shared" si="26"/>
        <v>13.5</v>
      </c>
      <c r="AJ35" s="198">
        <f t="shared" si="26"/>
        <v>13.5</v>
      </c>
      <c r="AK35" s="198">
        <f t="shared" si="26"/>
        <v>13.5</v>
      </c>
      <c r="AL35" s="198">
        <f t="shared" si="26"/>
        <v>13.5</v>
      </c>
      <c r="AM35" s="198">
        <f t="shared" si="26"/>
        <v>13.5</v>
      </c>
      <c r="AN35" s="198">
        <f t="shared" si="26"/>
        <v>13.5</v>
      </c>
      <c r="AO35" s="198">
        <f t="shared" si="26"/>
        <v>13.5</v>
      </c>
      <c r="AP35" s="198">
        <f t="shared" si="26"/>
        <v>13.5</v>
      </c>
      <c r="AQ35" s="198">
        <f t="shared" si="26"/>
        <v>13.5</v>
      </c>
      <c r="AR35" s="198">
        <f t="shared" si="26"/>
        <v>13.5</v>
      </c>
      <c r="AS35" s="198">
        <f t="shared" si="26"/>
        <v>13.5</v>
      </c>
      <c r="AT35" s="198">
        <f t="shared" si="26"/>
        <v>13.5</v>
      </c>
      <c r="AU35" s="198">
        <f t="shared" si="26"/>
        <v>13.5</v>
      </c>
      <c r="AV35" s="197">
        <f t="shared" si="26"/>
        <v>13.5</v>
      </c>
    </row>
    <row r="36" ht="17.25" customHeight="1">
      <c r="A36" s="1"/>
      <c r="B36" s="1"/>
      <c r="C36" s="1"/>
      <c r="D36" s="1"/>
      <c r="E36" s="1"/>
      <c r="F36" s="1"/>
      <c r="G36" s="118"/>
      <c r="H36" s="118"/>
      <c r="I36" s="118"/>
      <c r="J36" s="118"/>
      <c r="K36" s="118"/>
      <c r="L36" s="118"/>
      <c r="M36" s="118"/>
      <c r="N36" s="118"/>
      <c r="O36" s="118"/>
      <c r="P36" s="257"/>
      <c r="Q36" s="118"/>
      <c r="R36" s="118"/>
      <c r="S36" s="118"/>
      <c r="T36" s="257"/>
      <c r="U36" s="25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142"/>
    </row>
    <row r="37" ht="17.25" customHeight="1">
      <c r="A37" s="1"/>
      <c r="B37" s="1"/>
      <c r="C37" s="1"/>
      <c r="D37" s="1"/>
      <c r="E37" s="1"/>
      <c r="F37" s="1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142"/>
    </row>
    <row r="38" ht="17.25" customHeight="1">
      <c r="A38" s="1"/>
      <c r="B38" s="1"/>
      <c r="C38" s="1"/>
      <c r="D38" s="1"/>
      <c r="E38" s="1"/>
      <c r="F38" s="1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142"/>
    </row>
    <row r="39" ht="17.25" customHeight="1">
      <c r="A39" s="1"/>
      <c r="B39" s="1"/>
      <c r="C39" s="1"/>
      <c r="D39" s="1"/>
      <c r="E39" s="1"/>
      <c r="F39" s="1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</row>
    <row r="40" ht="17.25" customHeight="1">
      <c r="A40" s="1"/>
      <c r="B40" s="1"/>
      <c r="C40" s="1"/>
      <c r="D40" s="1"/>
      <c r="E40" s="1"/>
      <c r="F40" s="1"/>
      <c r="P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</row>
    <row r="41" ht="17.25" customHeight="1">
      <c r="A41" s="1"/>
      <c r="B41" s="1"/>
      <c r="C41" s="1"/>
      <c r="D41" s="1"/>
      <c r="E41" s="1"/>
      <c r="F41" s="1"/>
      <c r="P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 ht="17.25" customHeight="1">
      <c r="A42" s="1"/>
      <c r="B42" s="1"/>
      <c r="C42" s="1"/>
      <c r="D42" s="1"/>
      <c r="E42" s="1"/>
      <c r="F42" s="1"/>
      <c r="P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 ht="17.25" customHeight="1">
      <c r="A43" s="1"/>
      <c r="B43" s="1"/>
      <c r="C43" s="1"/>
      <c r="D43" s="1"/>
      <c r="E43" s="1"/>
      <c r="F43" s="1"/>
      <c r="P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 ht="17.25" customHeight="1">
      <c r="A44" s="1"/>
      <c r="B44" s="1"/>
      <c r="C44" s="1"/>
      <c r="D44" s="1"/>
      <c r="E44" s="1"/>
      <c r="F44" s="1"/>
      <c r="P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142"/>
    </row>
    <row r="45" ht="17.25" customHeight="1">
      <c r="A45" s="1"/>
      <c r="B45" s="1"/>
      <c r="C45" s="1"/>
      <c r="D45" s="1"/>
      <c r="E45" s="1"/>
      <c r="F45" s="1"/>
      <c r="P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142"/>
    </row>
    <row r="46" ht="17.25" customHeight="1">
      <c r="A46" s="1"/>
      <c r="B46" s="1"/>
      <c r="C46" s="1"/>
      <c r="D46" s="1"/>
      <c r="E46" s="1"/>
      <c r="F46" s="1"/>
      <c r="P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142"/>
    </row>
    <row r="47" ht="17.25" customHeight="1">
      <c r="A47" s="1"/>
      <c r="B47" s="1"/>
      <c r="C47" s="1"/>
      <c r="D47" s="1"/>
      <c r="E47" s="1"/>
      <c r="F47" s="1"/>
      <c r="P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142"/>
    </row>
    <row r="48" ht="17.25" customHeight="1">
      <c r="A48" s="1"/>
      <c r="B48" s="1"/>
      <c r="C48" s="1"/>
      <c r="D48" s="1"/>
      <c r="E48" s="1"/>
      <c r="F48" s="1"/>
      <c r="P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142"/>
    </row>
    <row r="49" ht="17.25" customHeight="1">
      <c r="A49" s="1"/>
      <c r="B49" s="1"/>
      <c r="C49" s="1"/>
      <c r="D49" s="1"/>
      <c r="E49" s="1"/>
      <c r="F49" s="1"/>
      <c r="P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142"/>
    </row>
    <row r="50" ht="17.25" customHeight="1">
      <c r="A50" s="1"/>
      <c r="B50" s="1"/>
      <c r="C50" s="1"/>
      <c r="D50" s="1"/>
      <c r="E50" s="1"/>
      <c r="F50" s="1"/>
      <c r="P50" s="27"/>
    </row>
    <row r="51" ht="17.25" customHeight="1">
      <c r="A51" s="1"/>
      <c r="B51" s="1"/>
      <c r="C51" s="1"/>
      <c r="D51" s="1"/>
      <c r="E51" s="1"/>
      <c r="F51" s="1"/>
      <c r="P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142"/>
    </row>
    <row r="52" ht="17.25" customHeight="1">
      <c r="A52" s="1"/>
      <c r="B52" s="1"/>
      <c r="C52" s="1"/>
      <c r="D52" s="1"/>
      <c r="E52" s="1"/>
      <c r="F52" s="1"/>
      <c r="P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142"/>
    </row>
    <row r="53" ht="17.25" customHeight="1">
      <c r="A53" s="1"/>
      <c r="B53" s="1"/>
      <c r="C53" s="1"/>
      <c r="D53" s="1"/>
      <c r="E53" s="1"/>
      <c r="F53" s="1"/>
      <c r="P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142"/>
    </row>
    <row r="54" ht="17.25" customHeight="1">
      <c r="A54" s="1"/>
      <c r="B54" s="1"/>
      <c r="C54" s="1"/>
      <c r="D54" s="1"/>
      <c r="E54" s="1"/>
      <c r="F54" s="1"/>
      <c r="P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142"/>
    </row>
    <row r="55" ht="17.25" customHeight="1">
      <c r="A55" s="1"/>
      <c r="B55" s="1"/>
      <c r="C55" s="1"/>
      <c r="D55" s="1"/>
      <c r="E55" s="1"/>
      <c r="F55" s="1"/>
      <c r="P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142"/>
    </row>
    <row r="56" ht="17.25" customHeight="1">
      <c r="A56" s="1"/>
      <c r="B56" s="1"/>
      <c r="C56" s="1"/>
      <c r="D56" s="1"/>
      <c r="E56" s="1"/>
      <c r="F56" s="1"/>
      <c r="P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142"/>
    </row>
    <row r="57" ht="17.25" customHeight="1">
      <c r="A57" s="1"/>
      <c r="B57" s="1"/>
      <c r="C57" s="1"/>
      <c r="D57" s="1"/>
      <c r="E57" s="1"/>
      <c r="F57" s="1"/>
      <c r="P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142"/>
    </row>
    <row r="58" ht="17.25" customHeight="1">
      <c r="A58" s="1"/>
      <c r="B58" s="1"/>
      <c r="C58" s="1"/>
      <c r="D58" s="1"/>
      <c r="E58" s="1"/>
      <c r="F58" s="1"/>
      <c r="P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142"/>
    </row>
    <row r="59" ht="17.25" customHeight="1">
      <c r="A59" s="1"/>
      <c r="B59" s="1"/>
      <c r="C59" s="1"/>
      <c r="D59" s="1"/>
      <c r="E59" s="1"/>
      <c r="F59" s="1"/>
      <c r="P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142"/>
    </row>
    <row r="60" ht="17.25" customHeight="1">
      <c r="A60" s="1"/>
      <c r="B60" s="1"/>
      <c r="C60" s="1"/>
      <c r="D60" s="1"/>
      <c r="E60" s="1"/>
      <c r="F60" s="1"/>
      <c r="P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142"/>
    </row>
    <row r="61" ht="17.25" customHeight="1">
      <c r="A61" s="1"/>
      <c r="B61" s="1"/>
      <c r="C61" s="1"/>
      <c r="D61" s="1"/>
      <c r="E61" s="1"/>
      <c r="F61" s="1"/>
      <c r="P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142"/>
    </row>
    <row r="62" ht="17.25" customHeight="1">
      <c r="A62" s="1"/>
      <c r="B62" s="1"/>
      <c r="C62" s="1"/>
      <c r="D62" s="1"/>
      <c r="E62" s="1"/>
      <c r="F62" s="1"/>
      <c r="P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142"/>
    </row>
    <row r="63" ht="17.25" customHeight="1">
      <c r="A63" s="1"/>
      <c r="B63" s="1"/>
      <c r="C63" s="1"/>
      <c r="D63" s="1"/>
      <c r="E63" s="1"/>
      <c r="F63" s="1"/>
      <c r="P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142"/>
    </row>
    <row r="64" ht="17.25" customHeight="1">
      <c r="A64" s="1"/>
      <c r="B64" s="1"/>
      <c r="C64" s="1"/>
      <c r="D64" s="1"/>
      <c r="E64" s="1"/>
      <c r="F64" s="1"/>
      <c r="P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142"/>
    </row>
    <row r="65" ht="17.25" customHeight="1">
      <c r="A65" s="1"/>
      <c r="B65" s="1"/>
      <c r="C65" s="1"/>
      <c r="D65" s="1"/>
      <c r="E65" s="1"/>
      <c r="F65" s="1"/>
      <c r="P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142"/>
    </row>
    <row r="66" ht="17.25" customHeight="1">
      <c r="A66" s="1"/>
      <c r="B66" s="1"/>
      <c r="C66" s="1"/>
      <c r="D66" s="1"/>
      <c r="E66" s="1"/>
      <c r="F66" s="1"/>
      <c r="P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142"/>
    </row>
    <row r="67" ht="17.25" customHeight="1">
      <c r="A67" s="1"/>
      <c r="B67" s="1"/>
      <c r="C67" s="1"/>
      <c r="D67" s="1"/>
      <c r="E67" s="1"/>
      <c r="F67" s="1"/>
      <c r="P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142"/>
    </row>
    <row r="68" ht="17.25" customHeight="1">
      <c r="A68" s="1"/>
      <c r="B68" s="1"/>
      <c r="C68" s="1"/>
      <c r="D68" s="1"/>
      <c r="E68" s="1"/>
      <c r="F68" s="1"/>
      <c r="P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142"/>
    </row>
    <row r="69" ht="17.25" customHeight="1">
      <c r="A69" s="1"/>
      <c r="B69" s="1"/>
      <c r="C69" s="1"/>
      <c r="D69" s="1"/>
      <c r="E69" s="1"/>
      <c r="F69" s="1"/>
      <c r="P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142"/>
    </row>
    <row r="70" ht="17.25" customHeight="1">
      <c r="A70" s="1"/>
      <c r="B70" s="1"/>
      <c r="C70" s="1"/>
      <c r="D70" s="1"/>
      <c r="E70" s="1"/>
      <c r="F70" s="1"/>
      <c r="P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142"/>
    </row>
    <row r="71" ht="17.25" customHeight="1">
      <c r="A71" s="1"/>
      <c r="B71" s="1"/>
      <c r="C71" s="1"/>
      <c r="D71" s="1"/>
      <c r="E71" s="1"/>
      <c r="F71" s="1"/>
      <c r="P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142"/>
    </row>
    <row r="72" ht="17.25" customHeight="1">
      <c r="A72" s="1"/>
      <c r="B72" s="1"/>
      <c r="C72" s="1"/>
      <c r="D72" s="1"/>
      <c r="E72" s="1"/>
      <c r="F72" s="1"/>
      <c r="P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142"/>
    </row>
    <row r="73" ht="17.25" customHeight="1">
      <c r="A73" s="1"/>
      <c r="B73" s="1"/>
      <c r="C73" s="1"/>
      <c r="D73" s="1"/>
      <c r="E73" s="1"/>
      <c r="F73" s="1"/>
      <c r="P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142"/>
    </row>
    <row r="74" ht="17.25" customHeight="1">
      <c r="A74" s="1"/>
      <c r="B74" s="1"/>
      <c r="C74" s="1"/>
      <c r="D74" s="1"/>
      <c r="E74" s="1"/>
      <c r="F74" s="1"/>
      <c r="P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142"/>
    </row>
    <row r="75" ht="17.25" customHeight="1">
      <c r="A75" s="1"/>
      <c r="B75" s="1"/>
      <c r="C75" s="1"/>
      <c r="D75" s="1"/>
      <c r="E75" s="1"/>
      <c r="F75" s="1"/>
      <c r="P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142"/>
    </row>
    <row r="76" ht="17.25" customHeight="1">
      <c r="A76" s="1"/>
      <c r="B76" s="1"/>
      <c r="C76" s="1"/>
      <c r="D76" s="1"/>
      <c r="E76" s="1"/>
      <c r="F76" s="1"/>
      <c r="P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142"/>
    </row>
    <row r="77" ht="17.25" customHeight="1">
      <c r="A77" s="1"/>
      <c r="B77" s="1"/>
      <c r="C77" s="1"/>
      <c r="D77" s="1"/>
      <c r="E77" s="1"/>
      <c r="F77" s="1"/>
      <c r="P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142"/>
    </row>
    <row r="78" ht="17.25" customHeight="1">
      <c r="A78" s="1"/>
      <c r="B78" s="1"/>
      <c r="C78" s="1"/>
      <c r="D78" s="1"/>
      <c r="E78" s="1"/>
      <c r="F78" s="1"/>
      <c r="P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142"/>
    </row>
    <row r="79" ht="17.25" customHeight="1">
      <c r="A79" s="1"/>
      <c r="B79" s="1"/>
      <c r="C79" s="1"/>
      <c r="D79" s="1"/>
      <c r="E79" s="1"/>
      <c r="F79" s="1"/>
      <c r="P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142"/>
    </row>
    <row r="80" ht="17.25" customHeight="1">
      <c r="A80" s="1"/>
      <c r="B80" s="1"/>
      <c r="C80" s="1"/>
      <c r="D80" s="1"/>
      <c r="E80" s="1"/>
      <c r="F80" s="1"/>
      <c r="P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142"/>
    </row>
    <row r="81" ht="17.25" customHeight="1">
      <c r="A81" s="1"/>
      <c r="B81" s="1"/>
      <c r="C81" s="1"/>
      <c r="D81" s="1"/>
      <c r="E81" s="1"/>
      <c r="F81" s="1"/>
      <c r="P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142"/>
    </row>
    <row r="82" ht="17.25" customHeight="1">
      <c r="A82" s="1"/>
      <c r="B82" s="1"/>
      <c r="C82" s="1"/>
      <c r="D82" s="1"/>
      <c r="E82" s="1"/>
      <c r="F82" s="1"/>
      <c r="P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142"/>
    </row>
    <row r="83" ht="17.25" customHeight="1">
      <c r="A83" s="1"/>
      <c r="B83" s="1"/>
      <c r="C83" s="1"/>
      <c r="D83" s="1"/>
      <c r="E83" s="1"/>
      <c r="F83" s="1"/>
      <c r="P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142"/>
    </row>
    <row r="84" ht="17.25" customHeight="1">
      <c r="A84" s="1"/>
      <c r="B84" s="1"/>
      <c r="C84" s="1"/>
      <c r="D84" s="1"/>
      <c r="E84" s="1"/>
      <c r="F84" s="1"/>
      <c r="P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142"/>
    </row>
    <row r="85" ht="17.25" customHeight="1">
      <c r="A85" s="1"/>
      <c r="B85" s="1"/>
      <c r="C85" s="1"/>
      <c r="D85" s="1"/>
      <c r="E85" s="1"/>
      <c r="F85" s="1"/>
      <c r="P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142"/>
    </row>
    <row r="86" ht="17.25" customHeight="1">
      <c r="A86" s="1"/>
      <c r="B86" s="1"/>
      <c r="C86" s="1"/>
      <c r="D86" s="1"/>
      <c r="E86" s="1"/>
      <c r="F86" s="1"/>
      <c r="P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142"/>
    </row>
    <row r="87" ht="17.25" customHeight="1">
      <c r="A87" s="1"/>
      <c r="B87" s="1"/>
      <c r="C87" s="1"/>
      <c r="D87" s="1"/>
      <c r="E87" s="1"/>
      <c r="F87" s="1"/>
      <c r="P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142"/>
    </row>
    <row r="88" ht="17.25" customHeight="1">
      <c r="A88" s="1"/>
      <c r="B88" s="1"/>
      <c r="C88" s="1"/>
      <c r="D88" s="1"/>
      <c r="E88" s="1"/>
      <c r="F88" s="1"/>
      <c r="P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142"/>
    </row>
    <row r="89" ht="17.25" customHeight="1">
      <c r="A89" s="1"/>
      <c r="B89" s="1"/>
      <c r="C89" s="1"/>
      <c r="D89" s="1"/>
      <c r="E89" s="1"/>
      <c r="F89" s="1"/>
      <c r="P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142"/>
    </row>
    <row r="90" ht="17.25" customHeight="1">
      <c r="A90" s="1"/>
      <c r="B90" s="1"/>
      <c r="C90" s="1"/>
      <c r="D90" s="1"/>
      <c r="E90" s="1"/>
      <c r="F90" s="1"/>
      <c r="P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142"/>
    </row>
    <row r="91" ht="17.25" customHeight="1">
      <c r="A91" s="1"/>
      <c r="B91" s="1"/>
      <c r="C91" s="1"/>
      <c r="D91" s="1"/>
      <c r="E91" s="1"/>
      <c r="F91" s="1"/>
      <c r="P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142"/>
    </row>
    <row r="92" ht="17.25" customHeight="1">
      <c r="A92" s="1"/>
      <c r="B92" s="1"/>
      <c r="C92" s="1"/>
      <c r="D92" s="1"/>
      <c r="E92" s="1"/>
      <c r="F92" s="1"/>
      <c r="P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142"/>
    </row>
    <row r="93" ht="17.25" customHeight="1">
      <c r="A93" s="1"/>
      <c r="B93" s="1"/>
      <c r="C93" s="1"/>
      <c r="D93" s="1"/>
      <c r="E93" s="1"/>
      <c r="F93" s="1"/>
      <c r="P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142"/>
    </row>
    <row r="94" ht="17.25" customHeight="1">
      <c r="A94" s="1"/>
      <c r="B94" s="1"/>
      <c r="C94" s="1"/>
      <c r="D94" s="1"/>
      <c r="E94" s="1"/>
      <c r="F94" s="1"/>
      <c r="P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142"/>
    </row>
    <row r="95" ht="17.25" customHeight="1">
      <c r="A95" s="1"/>
      <c r="B95" s="1"/>
      <c r="C95" s="1"/>
      <c r="D95" s="1"/>
      <c r="E95" s="1"/>
      <c r="F95" s="1"/>
      <c r="P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142"/>
    </row>
    <row r="96" ht="17.25" customHeight="1">
      <c r="A96" s="1"/>
      <c r="B96" s="1"/>
      <c r="C96" s="1"/>
      <c r="D96" s="1"/>
      <c r="E96" s="1"/>
      <c r="F96" s="1"/>
      <c r="P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142"/>
    </row>
    <row r="97" ht="17.25" customHeight="1">
      <c r="A97" s="1"/>
      <c r="B97" s="1"/>
      <c r="C97" s="1"/>
      <c r="D97" s="1"/>
      <c r="E97" s="1"/>
      <c r="F97" s="1"/>
      <c r="P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142"/>
    </row>
    <row r="98" ht="17.25" customHeight="1">
      <c r="A98" s="1"/>
      <c r="B98" s="1"/>
      <c r="C98" s="1"/>
      <c r="D98" s="1"/>
      <c r="E98" s="1"/>
      <c r="F98" s="1"/>
      <c r="P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142"/>
    </row>
    <row r="99" ht="17.25" customHeight="1">
      <c r="A99" s="1"/>
      <c r="B99" s="1"/>
      <c r="C99" s="1"/>
      <c r="D99" s="1"/>
      <c r="E99" s="1"/>
      <c r="F99" s="1"/>
      <c r="P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142"/>
    </row>
    <row r="100" ht="17.25" customHeight="1">
      <c r="A100" s="1"/>
      <c r="B100" s="1"/>
      <c r="C100" s="1"/>
      <c r="D100" s="1"/>
      <c r="E100" s="1"/>
      <c r="F100" s="1"/>
      <c r="P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142"/>
    </row>
    <row r="101" ht="17.25" customHeight="1">
      <c r="A101" s="1"/>
      <c r="B101" s="1"/>
      <c r="C101" s="1"/>
      <c r="D101" s="1"/>
      <c r="E101" s="1"/>
      <c r="F101" s="1"/>
      <c r="P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142"/>
    </row>
    <row r="102" ht="17.25" customHeight="1">
      <c r="A102" s="1"/>
      <c r="B102" s="1"/>
      <c r="C102" s="1"/>
      <c r="D102" s="1"/>
      <c r="E102" s="1"/>
      <c r="F102" s="1"/>
      <c r="P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142"/>
    </row>
    <row r="103" ht="17.25" customHeight="1">
      <c r="A103" s="1"/>
      <c r="B103" s="1"/>
      <c r="C103" s="1"/>
      <c r="D103" s="1"/>
      <c r="E103" s="1"/>
      <c r="F103" s="1"/>
      <c r="P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142"/>
    </row>
    <row r="104" ht="17.25" customHeight="1">
      <c r="A104" s="1"/>
      <c r="B104" s="1"/>
      <c r="C104" s="1"/>
      <c r="D104" s="1"/>
      <c r="E104" s="1"/>
      <c r="F104" s="1"/>
      <c r="P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142"/>
    </row>
    <row r="105" ht="17.25" customHeight="1">
      <c r="A105" s="1"/>
      <c r="B105" s="1"/>
      <c r="C105" s="1"/>
      <c r="D105" s="1"/>
      <c r="E105" s="1"/>
      <c r="F105" s="1"/>
      <c r="P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142"/>
    </row>
    <row r="106" ht="17.25" customHeight="1">
      <c r="A106" s="1"/>
      <c r="B106" s="1"/>
      <c r="C106" s="1"/>
      <c r="D106" s="1"/>
      <c r="E106" s="1"/>
      <c r="F106" s="1"/>
      <c r="P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142"/>
    </row>
    <row r="107" ht="17.25" customHeight="1">
      <c r="A107" s="1"/>
      <c r="B107" s="1"/>
      <c r="C107" s="1"/>
      <c r="D107" s="1"/>
      <c r="E107" s="1"/>
      <c r="F107" s="1"/>
      <c r="P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142"/>
    </row>
    <row r="108" ht="17.25" customHeight="1">
      <c r="A108" s="1"/>
      <c r="B108" s="1"/>
      <c r="C108" s="1"/>
      <c r="D108" s="1"/>
      <c r="E108" s="1"/>
      <c r="F108" s="1"/>
      <c r="P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142"/>
    </row>
    <row r="109" ht="17.25" customHeight="1">
      <c r="A109" s="1"/>
      <c r="B109" s="1"/>
      <c r="C109" s="1"/>
      <c r="D109" s="1"/>
      <c r="E109" s="1"/>
      <c r="F109" s="1"/>
      <c r="P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142"/>
    </row>
    <row r="110" ht="17.25" customHeight="1">
      <c r="A110" s="1"/>
      <c r="B110" s="1"/>
      <c r="C110" s="1"/>
      <c r="D110" s="1"/>
      <c r="E110" s="1"/>
      <c r="F110" s="1"/>
      <c r="P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142"/>
    </row>
    <row r="111" ht="17.25" customHeight="1">
      <c r="A111" s="1"/>
      <c r="B111" s="1"/>
      <c r="C111" s="1"/>
      <c r="D111" s="1"/>
      <c r="E111" s="1"/>
      <c r="F111" s="1"/>
      <c r="P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142"/>
    </row>
    <row r="112" ht="17.25" customHeight="1">
      <c r="A112" s="1"/>
      <c r="B112" s="1"/>
      <c r="C112" s="1"/>
      <c r="D112" s="1"/>
      <c r="E112" s="1"/>
      <c r="F112" s="1"/>
      <c r="P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142"/>
    </row>
    <row r="113" ht="17.25" customHeight="1">
      <c r="A113" s="1"/>
      <c r="B113" s="1"/>
      <c r="C113" s="1"/>
      <c r="D113" s="1"/>
      <c r="E113" s="1"/>
      <c r="F113" s="1"/>
      <c r="P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142"/>
    </row>
    <row r="114" ht="17.25" customHeight="1">
      <c r="A114" s="1"/>
      <c r="B114" s="1"/>
      <c r="C114" s="1"/>
      <c r="D114" s="1"/>
      <c r="E114" s="1"/>
      <c r="F114" s="1"/>
      <c r="P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142"/>
    </row>
    <row r="115" ht="17.25" customHeight="1">
      <c r="A115" s="1"/>
      <c r="B115" s="1"/>
      <c r="C115" s="1"/>
      <c r="D115" s="1"/>
      <c r="E115" s="1"/>
      <c r="F115" s="1"/>
      <c r="P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142"/>
    </row>
    <row r="116" ht="17.25" customHeight="1">
      <c r="A116" s="1"/>
      <c r="B116" s="1"/>
      <c r="C116" s="1"/>
      <c r="D116" s="1"/>
      <c r="E116" s="1"/>
      <c r="F116" s="1"/>
      <c r="P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142"/>
    </row>
    <row r="117" ht="17.25" customHeight="1">
      <c r="A117" s="1"/>
      <c r="B117" s="1"/>
      <c r="C117" s="1"/>
      <c r="D117" s="1"/>
      <c r="E117" s="1"/>
      <c r="F117" s="1"/>
      <c r="P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142"/>
    </row>
    <row r="118" ht="17.25" customHeight="1">
      <c r="A118" s="1"/>
      <c r="B118" s="1"/>
      <c r="C118" s="1"/>
      <c r="D118" s="1"/>
      <c r="E118" s="1"/>
      <c r="F118" s="1"/>
      <c r="P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142"/>
    </row>
    <row r="119" ht="17.25" customHeight="1">
      <c r="A119" s="1"/>
      <c r="B119" s="1"/>
      <c r="C119" s="1"/>
      <c r="D119" s="1"/>
      <c r="E119" s="1"/>
      <c r="F119" s="1"/>
      <c r="P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142"/>
    </row>
    <row r="120" ht="17.25" customHeight="1">
      <c r="A120" s="1"/>
      <c r="B120" s="1"/>
      <c r="C120" s="1"/>
      <c r="D120" s="1"/>
      <c r="E120" s="1"/>
      <c r="F120" s="1"/>
      <c r="P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142"/>
    </row>
    <row r="121" ht="17.25" customHeight="1">
      <c r="A121" s="1"/>
      <c r="B121" s="1"/>
      <c r="C121" s="1"/>
      <c r="D121" s="1"/>
      <c r="E121" s="1"/>
      <c r="F121" s="1"/>
      <c r="P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142"/>
    </row>
    <row r="122" ht="17.25" customHeight="1">
      <c r="A122" s="1"/>
      <c r="B122" s="1"/>
      <c r="C122" s="1"/>
      <c r="D122" s="1"/>
      <c r="E122" s="1"/>
      <c r="F122" s="1"/>
      <c r="P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142"/>
    </row>
    <row r="123" ht="17.25" customHeight="1">
      <c r="A123" s="1"/>
      <c r="B123" s="1"/>
      <c r="C123" s="1"/>
      <c r="D123" s="1"/>
      <c r="E123" s="1"/>
      <c r="F123" s="1"/>
      <c r="P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142"/>
    </row>
    <row r="124" ht="17.25" customHeight="1">
      <c r="A124" s="1"/>
      <c r="B124" s="1"/>
      <c r="C124" s="1"/>
      <c r="D124" s="1"/>
      <c r="E124" s="1"/>
      <c r="F124" s="1"/>
      <c r="P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142"/>
    </row>
    <row r="125" ht="17.25" customHeight="1">
      <c r="A125" s="1"/>
      <c r="B125" s="1"/>
      <c r="C125" s="1"/>
      <c r="D125" s="1"/>
      <c r="E125" s="1"/>
      <c r="F125" s="1"/>
      <c r="P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142"/>
    </row>
    <row r="126" ht="17.25" customHeight="1">
      <c r="A126" s="1"/>
      <c r="B126" s="1"/>
      <c r="C126" s="1"/>
      <c r="D126" s="1"/>
      <c r="E126" s="1"/>
      <c r="F126" s="1"/>
      <c r="P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142"/>
    </row>
    <row r="127" ht="17.25" customHeight="1">
      <c r="A127" s="1"/>
      <c r="B127" s="1"/>
      <c r="C127" s="1"/>
      <c r="D127" s="1"/>
      <c r="E127" s="1"/>
      <c r="F127" s="1"/>
      <c r="P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142"/>
    </row>
    <row r="128" ht="17.25" customHeight="1">
      <c r="A128" s="1"/>
      <c r="B128" s="1"/>
      <c r="C128" s="1"/>
      <c r="D128" s="1"/>
      <c r="E128" s="1"/>
      <c r="F128" s="1"/>
      <c r="P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142"/>
    </row>
    <row r="129" ht="17.25" customHeight="1">
      <c r="A129" s="1"/>
      <c r="B129" s="1"/>
      <c r="C129" s="1"/>
      <c r="D129" s="1"/>
      <c r="E129" s="1"/>
      <c r="F129" s="1"/>
      <c r="P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142"/>
    </row>
    <row r="130" ht="17.25" customHeight="1">
      <c r="A130" s="1"/>
      <c r="B130" s="1"/>
      <c r="C130" s="1"/>
      <c r="D130" s="1"/>
      <c r="E130" s="1"/>
      <c r="F130" s="1"/>
      <c r="P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142"/>
    </row>
    <row r="131" ht="17.25" customHeight="1">
      <c r="A131" s="1"/>
      <c r="B131" s="1"/>
      <c r="C131" s="1"/>
      <c r="D131" s="1"/>
      <c r="E131" s="1"/>
      <c r="F131" s="1"/>
      <c r="P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142"/>
    </row>
    <row r="132" ht="17.25" customHeight="1">
      <c r="A132" s="1"/>
      <c r="B132" s="1"/>
      <c r="C132" s="1"/>
      <c r="D132" s="1"/>
      <c r="E132" s="1"/>
      <c r="F132" s="1"/>
      <c r="P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142"/>
    </row>
    <row r="133" ht="17.25" customHeight="1">
      <c r="A133" s="1"/>
      <c r="B133" s="1"/>
      <c r="C133" s="1"/>
      <c r="D133" s="1"/>
      <c r="E133" s="1"/>
      <c r="F133" s="1"/>
      <c r="P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142"/>
    </row>
    <row r="134" ht="17.25" customHeight="1">
      <c r="A134" s="1"/>
      <c r="B134" s="1"/>
      <c r="C134" s="1"/>
      <c r="D134" s="1"/>
      <c r="E134" s="1"/>
      <c r="F134" s="1"/>
      <c r="P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142"/>
    </row>
    <row r="135" ht="17.25" customHeight="1">
      <c r="A135" s="1"/>
      <c r="B135" s="1"/>
      <c r="C135" s="1"/>
      <c r="D135" s="1"/>
      <c r="E135" s="1"/>
      <c r="F135" s="1"/>
      <c r="P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142"/>
    </row>
    <row r="136" ht="17.25" customHeight="1">
      <c r="A136" s="1"/>
      <c r="B136" s="1"/>
      <c r="C136" s="1"/>
      <c r="D136" s="1"/>
      <c r="E136" s="1"/>
      <c r="F136" s="1"/>
      <c r="P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142"/>
    </row>
    <row r="137" ht="17.25" customHeight="1">
      <c r="A137" s="1"/>
      <c r="B137" s="1"/>
      <c r="C137" s="1"/>
      <c r="D137" s="1"/>
      <c r="E137" s="1"/>
      <c r="F137" s="1"/>
      <c r="P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142"/>
    </row>
    <row r="138" ht="17.25" customHeight="1">
      <c r="A138" s="1"/>
      <c r="B138" s="1"/>
      <c r="C138" s="1"/>
      <c r="D138" s="1"/>
      <c r="E138" s="1"/>
      <c r="F138" s="1"/>
      <c r="P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142"/>
    </row>
    <row r="139" ht="17.25" customHeight="1">
      <c r="A139" s="1"/>
      <c r="B139" s="1"/>
      <c r="C139" s="1"/>
      <c r="D139" s="1"/>
      <c r="E139" s="1"/>
      <c r="F139" s="1"/>
      <c r="P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142"/>
    </row>
    <row r="140" ht="17.25" customHeight="1">
      <c r="A140" s="1"/>
      <c r="B140" s="1"/>
      <c r="C140" s="1"/>
      <c r="D140" s="1"/>
      <c r="E140" s="1"/>
      <c r="F140" s="1"/>
      <c r="P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142"/>
    </row>
    <row r="141" ht="17.25" customHeight="1">
      <c r="A141" s="1"/>
      <c r="B141" s="1"/>
      <c r="C141" s="1"/>
      <c r="D141" s="1"/>
      <c r="E141" s="1"/>
      <c r="F141" s="1"/>
      <c r="P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142"/>
    </row>
    <row r="142" ht="17.25" customHeight="1">
      <c r="A142" s="1"/>
      <c r="B142" s="1"/>
      <c r="C142" s="1"/>
      <c r="D142" s="1"/>
      <c r="E142" s="1"/>
      <c r="F142" s="1"/>
      <c r="P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142"/>
    </row>
    <row r="143" ht="17.25" customHeight="1">
      <c r="A143" s="1"/>
      <c r="B143" s="1"/>
      <c r="C143" s="1"/>
      <c r="D143" s="1"/>
      <c r="E143" s="1"/>
      <c r="F143" s="1"/>
      <c r="P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142"/>
    </row>
    <row r="144" ht="17.25" customHeight="1">
      <c r="A144" s="1"/>
      <c r="B144" s="1"/>
      <c r="C144" s="1"/>
      <c r="D144" s="1"/>
      <c r="E144" s="1"/>
      <c r="F144" s="1"/>
      <c r="P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142"/>
    </row>
    <row r="145" ht="17.25" customHeight="1">
      <c r="A145" s="1"/>
      <c r="B145" s="1"/>
      <c r="C145" s="1"/>
      <c r="D145" s="1"/>
      <c r="E145" s="1"/>
      <c r="F145" s="1"/>
      <c r="P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142"/>
    </row>
    <row r="146" ht="17.25" customHeight="1">
      <c r="A146" s="1"/>
      <c r="B146" s="1"/>
      <c r="C146" s="1"/>
      <c r="D146" s="1"/>
      <c r="E146" s="1"/>
      <c r="F146" s="1"/>
      <c r="P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142"/>
    </row>
    <row r="147" ht="17.25" customHeight="1">
      <c r="A147" s="1"/>
      <c r="B147" s="1"/>
      <c r="C147" s="1"/>
      <c r="D147" s="1"/>
      <c r="E147" s="1"/>
      <c r="F147" s="1"/>
      <c r="P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142"/>
    </row>
    <row r="148" ht="17.25" customHeight="1">
      <c r="A148" s="1"/>
      <c r="B148" s="1"/>
      <c r="C148" s="1"/>
      <c r="D148" s="1"/>
      <c r="E148" s="1"/>
      <c r="F148" s="1"/>
      <c r="P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142"/>
    </row>
    <row r="149" ht="17.25" customHeight="1">
      <c r="A149" s="1"/>
      <c r="B149" s="1"/>
      <c r="C149" s="1"/>
      <c r="D149" s="1"/>
      <c r="E149" s="1"/>
      <c r="F149" s="1"/>
      <c r="P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142"/>
    </row>
    <row r="150" ht="17.25" customHeight="1">
      <c r="A150" s="1"/>
      <c r="B150" s="1"/>
      <c r="C150" s="1"/>
      <c r="D150" s="1"/>
      <c r="E150" s="1"/>
      <c r="F150" s="1"/>
      <c r="P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142"/>
    </row>
    <row r="151" ht="17.25" customHeight="1">
      <c r="A151" s="1"/>
      <c r="B151" s="1"/>
      <c r="C151" s="1"/>
      <c r="D151" s="1"/>
      <c r="E151" s="1"/>
      <c r="F151" s="1"/>
      <c r="P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142"/>
    </row>
    <row r="152" ht="17.25" customHeight="1">
      <c r="A152" s="1"/>
      <c r="B152" s="1"/>
      <c r="C152" s="1"/>
      <c r="D152" s="1"/>
      <c r="E152" s="1"/>
      <c r="F152" s="1"/>
      <c r="P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142"/>
    </row>
    <row r="153" ht="17.25" customHeight="1">
      <c r="A153" s="1"/>
      <c r="B153" s="1"/>
      <c r="C153" s="1"/>
      <c r="D153" s="1"/>
      <c r="E153" s="1"/>
      <c r="F153" s="1"/>
      <c r="P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142"/>
    </row>
    <row r="154" ht="17.25" customHeight="1">
      <c r="A154" s="1"/>
      <c r="B154" s="1"/>
      <c r="C154" s="1"/>
      <c r="D154" s="1"/>
      <c r="E154" s="1"/>
      <c r="F154" s="1"/>
      <c r="P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142"/>
    </row>
    <row r="155" ht="17.25" customHeight="1">
      <c r="A155" s="1"/>
      <c r="B155" s="1"/>
      <c r="C155" s="1"/>
      <c r="D155" s="1"/>
      <c r="E155" s="1"/>
      <c r="F155" s="1"/>
      <c r="P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142"/>
    </row>
    <row r="156" ht="17.25" customHeight="1">
      <c r="A156" s="1"/>
      <c r="B156" s="1"/>
      <c r="C156" s="1"/>
      <c r="D156" s="1"/>
      <c r="E156" s="1"/>
      <c r="F156" s="1"/>
      <c r="P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142"/>
    </row>
    <row r="157" ht="17.25" customHeight="1">
      <c r="A157" s="1"/>
      <c r="B157" s="1"/>
      <c r="C157" s="1"/>
      <c r="D157" s="1"/>
      <c r="E157" s="1"/>
      <c r="F157" s="1"/>
      <c r="P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142"/>
    </row>
    <row r="158" ht="17.25" customHeight="1">
      <c r="A158" s="1"/>
      <c r="B158" s="1"/>
      <c r="C158" s="1"/>
      <c r="D158" s="1"/>
      <c r="E158" s="1"/>
      <c r="F158" s="1"/>
      <c r="P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142"/>
    </row>
    <row r="159" ht="17.25" customHeight="1">
      <c r="A159" s="1"/>
      <c r="B159" s="1"/>
      <c r="C159" s="1"/>
      <c r="D159" s="1"/>
      <c r="E159" s="1"/>
      <c r="F159" s="1"/>
      <c r="P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142"/>
    </row>
    <row r="160" ht="17.25" customHeight="1">
      <c r="A160" s="1"/>
      <c r="B160" s="1"/>
      <c r="C160" s="1"/>
      <c r="D160" s="1"/>
      <c r="E160" s="1"/>
      <c r="F160" s="1"/>
      <c r="P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142"/>
    </row>
    <row r="161" ht="17.25" customHeight="1">
      <c r="A161" s="1"/>
      <c r="B161" s="1"/>
      <c r="C161" s="1"/>
      <c r="D161" s="1"/>
      <c r="E161" s="1"/>
      <c r="F161" s="1"/>
      <c r="P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142"/>
    </row>
    <row r="162" ht="17.25" customHeight="1">
      <c r="A162" s="1"/>
      <c r="B162" s="1"/>
      <c r="C162" s="1"/>
      <c r="D162" s="1"/>
      <c r="E162" s="1"/>
      <c r="F162" s="1"/>
      <c r="P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142"/>
    </row>
    <row r="163" ht="17.25" customHeight="1">
      <c r="A163" s="1"/>
      <c r="B163" s="1"/>
      <c r="C163" s="1"/>
      <c r="D163" s="1"/>
      <c r="E163" s="1"/>
      <c r="F163" s="1"/>
      <c r="P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142"/>
    </row>
    <row r="164" ht="17.25" customHeight="1">
      <c r="A164" s="1"/>
      <c r="B164" s="1"/>
      <c r="C164" s="1"/>
      <c r="D164" s="1"/>
      <c r="E164" s="1"/>
      <c r="F164" s="1"/>
      <c r="P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142"/>
    </row>
    <row r="165" ht="17.25" customHeight="1">
      <c r="A165" s="1"/>
      <c r="B165" s="1"/>
      <c r="C165" s="1"/>
      <c r="D165" s="1"/>
      <c r="E165" s="1"/>
      <c r="F165" s="1"/>
      <c r="P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142"/>
    </row>
    <row r="166" ht="17.25" customHeight="1">
      <c r="A166" s="1"/>
      <c r="B166" s="1"/>
      <c r="C166" s="1"/>
      <c r="D166" s="1"/>
      <c r="E166" s="1"/>
      <c r="F166" s="1"/>
      <c r="P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142"/>
    </row>
    <row r="167" ht="17.25" customHeight="1">
      <c r="A167" s="1"/>
      <c r="B167" s="1"/>
      <c r="C167" s="1"/>
      <c r="D167" s="1"/>
      <c r="E167" s="1"/>
      <c r="F167" s="1"/>
      <c r="P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142"/>
    </row>
    <row r="168" ht="17.25" customHeight="1">
      <c r="A168" s="1"/>
      <c r="B168" s="1"/>
      <c r="C168" s="1"/>
      <c r="D168" s="1"/>
      <c r="E168" s="1"/>
      <c r="F168" s="1"/>
      <c r="P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142"/>
    </row>
    <row r="169" ht="17.25" customHeight="1">
      <c r="A169" s="1"/>
      <c r="B169" s="1"/>
      <c r="C169" s="1"/>
      <c r="D169" s="1"/>
      <c r="E169" s="1"/>
      <c r="F169" s="1"/>
      <c r="P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142"/>
    </row>
    <row r="170" ht="17.25" customHeight="1">
      <c r="A170" s="1"/>
      <c r="B170" s="1"/>
      <c r="C170" s="1"/>
      <c r="D170" s="1"/>
      <c r="E170" s="1"/>
      <c r="F170" s="1"/>
      <c r="P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142"/>
    </row>
    <row r="171" ht="17.25" customHeight="1">
      <c r="A171" s="1"/>
      <c r="B171" s="1"/>
      <c r="C171" s="1"/>
      <c r="D171" s="1"/>
      <c r="E171" s="1"/>
      <c r="F171" s="1"/>
      <c r="P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142"/>
    </row>
    <row r="172" ht="17.25" customHeight="1">
      <c r="A172" s="1"/>
      <c r="B172" s="1"/>
      <c r="C172" s="1"/>
      <c r="D172" s="1"/>
      <c r="E172" s="1"/>
      <c r="F172" s="1"/>
      <c r="P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142"/>
    </row>
    <row r="173" ht="17.25" customHeight="1">
      <c r="A173" s="1"/>
      <c r="B173" s="1"/>
      <c r="C173" s="1"/>
      <c r="D173" s="1"/>
      <c r="E173" s="1"/>
      <c r="F173" s="1"/>
      <c r="P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142"/>
    </row>
    <row r="174" ht="17.25" customHeight="1">
      <c r="A174" s="1"/>
      <c r="B174" s="1"/>
      <c r="C174" s="1"/>
      <c r="D174" s="1"/>
      <c r="E174" s="1"/>
      <c r="F174" s="1"/>
      <c r="P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142"/>
    </row>
    <row r="175" ht="17.25" customHeight="1">
      <c r="A175" s="1"/>
      <c r="B175" s="1"/>
      <c r="C175" s="1"/>
      <c r="D175" s="1"/>
      <c r="E175" s="1"/>
      <c r="F175" s="1"/>
      <c r="P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142"/>
    </row>
    <row r="176" ht="17.25" customHeight="1">
      <c r="A176" s="1"/>
      <c r="B176" s="1"/>
      <c r="C176" s="1"/>
      <c r="D176" s="1"/>
      <c r="E176" s="1"/>
      <c r="F176" s="1"/>
      <c r="P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142"/>
    </row>
    <row r="177" ht="17.25" customHeight="1">
      <c r="A177" s="1"/>
      <c r="B177" s="1"/>
      <c r="C177" s="1"/>
      <c r="D177" s="1"/>
      <c r="E177" s="1"/>
      <c r="F177" s="1"/>
      <c r="P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142"/>
    </row>
    <row r="178" ht="17.25" customHeight="1">
      <c r="A178" s="1"/>
      <c r="B178" s="1"/>
      <c r="C178" s="1"/>
      <c r="D178" s="1"/>
      <c r="E178" s="1"/>
      <c r="F178" s="1"/>
      <c r="P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142"/>
    </row>
    <row r="179" ht="17.25" customHeight="1">
      <c r="A179" s="1"/>
      <c r="B179" s="1"/>
      <c r="C179" s="1"/>
      <c r="D179" s="1"/>
      <c r="E179" s="1"/>
      <c r="F179" s="1"/>
      <c r="P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142"/>
    </row>
    <row r="180" ht="17.25" customHeight="1">
      <c r="A180" s="1"/>
      <c r="B180" s="1"/>
      <c r="C180" s="1"/>
      <c r="D180" s="1"/>
      <c r="E180" s="1"/>
      <c r="F180" s="1"/>
      <c r="P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142"/>
    </row>
    <row r="181" ht="17.25" customHeight="1">
      <c r="A181" s="1"/>
      <c r="B181" s="1"/>
      <c r="C181" s="1"/>
      <c r="D181" s="1"/>
      <c r="E181" s="1"/>
      <c r="F181" s="1"/>
      <c r="P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142"/>
    </row>
    <row r="182" ht="17.25" customHeight="1">
      <c r="A182" s="1"/>
      <c r="B182" s="1"/>
      <c r="C182" s="1"/>
      <c r="D182" s="1"/>
      <c r="E182" s="1"/>
      <c r="F182" s="1"/>
      <c r="P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142"/>
    </row>
    <row r="183" ht="17.25" customHeight="1">
      <c r="A183" s="1"/>
      <c r="B183" s="1"/>
      <c r="C183" s="1"/>
      <c r="D183" s="1"/>
      <c r="E183" s="1"/>
      <c r="F183" s="1"/>
      <c r="P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142"/>
    </row>
    <row r="184" ht="17.25" customHeight="1">
      <c r="A184" s="1"/>
      <c r="B184" s="1"/>
      <c r="C184" s="1"/>
      <c r="D184" s="1"/>
      <c r="E184" s="1"/>
      <c r="F184" s="1"/>
      <c r="P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142"/>
    </row>
    <row r="185" ht="17.25" customHeight="1">
      <c r="A185" s="1"/>
      <c r="B185" s="1"/>
      <c r="C185" s="1"/>
      <c r="D185" s="1"/>
      <c r="E185" s="1"/>
      <c r="F185" s="1"/>
      <c r="P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142"/>
    </row>
    <row r="186" ht="17.25" customHeight="1">
      <c r="A186" s="1"/>
      <c r="B186" s="1"/>
      <c r="C186" s="1"/>
      <c r="D186" s="1"/>
      <c r="E186" s="1"/>
      <c r="F186" s="1"/>
      <c r="P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142"/>
    </row>
    <row r="187" ht="17.25" customHeight="1">
      <c r="A187" s="1"/>
      <c r="B187" s="1"/>
      <c r="C187" s="1"/>
      <c r="D187" s="1"/>
      <c r="E187" s="1"/>
      <c r="F187" s="1"/>
      <c r="P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142"/>
    </row>
    <row r="188" ht="17.25" customHeight="1">
      <c r="A188" s="1"/>
      <c r="B188" s="1"/>
      <c r="C188" s="1"/>
      <c r="D188" s="1"/>
      <c r="E188" s="1"/>
      <c r="F188" s="1"/>
      <c r="P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142"/>
    </row>
    <row r="189" ht="17.25" customHeight="1">
      <c r="A189" s="1"/>
      <c r="B189" s="1"/>
      <c r="C189" s="1"/>
      <c r="D189" s="1"/>
      <c r="E189" s="1"/>
      <c r="F189" s="1"/>
      <c r="P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142"/>
    </row>
    <row r="190" ht="17.25" customHeight="1">
      <c r="A190" s="1"/>
      <c r="B190" s="1"/>
      <c r="C190" s="1"/>
      <c r="D190" s="1"/>
      <c r="E190" s="1"/>
      <c r="F190" s="1"/>
      <c r="P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142"/>
    </row>
    <row r="191" ht="17.25" customHeight="1">
      <c r="A191" s="1"/>
      <c r="B191" s="1"/>
      <c r="C191" s="1"/>
      <c r="D191" s="1"/>
      <c r="E191" s="1"/>
      <c r="F191" s="1"/>
      <c r="P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142"/>
    </row>
    <row r="192" ht="17.25" customHeight="1">
      <c r="A192" s="1"/>
      <c r="B192" s="1"/>
      <c r="C192" s="1"/>
      <c r="D192" s="1"/>
      <c r="E192" s="1"/>
      <c r="F192" s="1"/>
      <c r="P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142"/>
    </row>
    <row r="193" ht="17.25" customHeight="1">
      <c r="A193" s="1"/>
      <c r="B193" s="1"/>
      <c r="C193" s="1"/>
      <c r="D193" s="1"/>
      <c r="E193" s="1"/>
      <c r="F193" s="1"/>
      <c r="P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142"/>
    </row>
    <row r="194" ht="17.25" customHeight="1">
      <c r="A194" s="1"/>
      <c r="B194" s="1"/>
      <c r="C194" s="1"/>
      <c r="D194" s="1"/>
      <c r="E194" s="1"/>
      <c r="F194" s="1"/>
      <c r="P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142"/>
    </row>
    <row r="195" ht="17.25" customHeight="1">
      <c r="A195" s="1"/>
      <c r="B195" s="1"/>
      <c r="C195" s="1"/>
      <c r="D195" s="1"/>
      <c r="E195" s="1"/>
      <c r="F195" s="1"/>
      <c r="P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142"/>
    </row>
    <row r="196" ht="17.25" customHeight="1">
      <c r="A196" s="1"/>
      <c r="B196" s="1"/>
      <c r="C196" s="1"/>
      <c r="D196" s="1"/>
      <c r="E196" s="1"/>
      <c r="F196" s="1"/>
      <c r="P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142"/>
    </row>
    <row r="197" ht="17.25" customHeight="1">
      <c r="A197" s="1"/>
      <c r="B197" s="1"/>
      <c r="C197" s="1"/>
      <c r="D197" s="1"/>
      <c r="E197" s="1"/>
      <c r="F197" s="1"/>
      <c r="P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142"/>
    </row>
    <row r="198" ht="17.25" customHeight="1">
      <c r="A198" s="1"/>
      <c r="B198" s="1"/>
      <c r="C198" s="1"/>
      <c r="D198" s="1"/>
      <c r="E198" s="1"/>
      <c r="F198" s="1"/>
      <c r="P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142"/>
    </row>
    <row r="199" ht="17.25" customHeight="1">
      <c r="A199" s="1"/>
      <c r="B199" s="1"/>
      <c r="C199" s="1"/>
      <c r="D199" s="1"/>
      <c r="E199" s="1"/>
      <c r="F199" s="1"/>
      <c r="P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142"/>
    </row>
    <row r="200" ht="17.25" customHeight="1">
      <c r="A200" s="1"/>
      <c r="B200" s="1"/>
      <c r="C200" s="1"/>
      <c r="D200" s="1"/>
      <c r="E200" s="1"/>
      <c r="F200" s="1"/>
      <c r="P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142"/>
    </row>
    <row r="201" ht="17.25" customHeight="1">
      <c r="A201" s="1"/>
      <c r="B201" s="1"/>
      <c r="C201" s="1"/>
      <c r="D201" s="1"/>
      <c r="E201" s="1"/>
      <c r="F201" s="1"/>
      <c r="P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142"/>
    </row>
    <row r="202" ht="17.25" customHeight="1">
      <c r="A202" s="1"/>
      <c r="B202" s="1"/>
      <c r="C202" s="1"/>
      <c r="D202" s="1"/>
      <c r="E202" s="1"/>
      <c r="F202" s="1"/>
      <c r="P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142"/>
    </row>
    <row r="203" ht="17.25" customHeight="1">
      <c r="A203" s="1"/>
      <c r="B203" s="1"/>
      <c r="C203" s="1"/>
      <c r="D203" s="1"/>
      <c r="E203" s="1"/>
      <c r="F203" s="1"/>
      <c r="P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142"/>
    </row>
    <row r="204" ht="17.25" customHeight="1">
      <c r="A204" s="1"/>
      <c r="B204" s="1"/>
      <c r="C204" s="1"/>
      <c r="D204" s="1"/>
      <c r="E204" s="1"/>
      <c r="F204" s="1"/>
      <c r="P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142"/>
    </row>
    <row r="205" ht="17.25" customHeight="1">
      <c r="A205" s="1"/>
      <c r="B205" s="1"/>
      <c r="C205" s="1"/>
      <c r="D205" s="1"/>
      <c r="E205" s="1"/>
      <c r="F205" s="1"/>
      <c r="P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142"/>
    </row>
    <row r="206" ht="17.25" customHeight="1">
      <c r="A206" s="1"/>
      <c r="B206" s="1"/>
      <c r="C206" s="1"/>
      <c r="D206" s="1"/>
      <c r="E206" s="1"/>
      <c r="F206" s="1"/>
      <c r="P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142"/>
    </row>
    <row r="207" ht="17.25" customHeight="1">
      <c r="A207" s="1"/>
      <c r="B207" s="1"/>
      <c r="C207" s="1"/>
      <c r="D207" s="1"/>
      <c r="E207" s="1"/>
      <c r="F207" s="1"/>
      <c r="P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142"/>
    </row>
    <row r="208" ht="17.25" customHeight="1">
      <c r="A208" s="1"/>
      <c r="B208" s="1"/>
      <c r="C208" s="1"/>
      <c r="D208" s="1"/>
      <c r="E208" s="1"/>
      <c r="F208" s="1"/>
      <c r="P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142"/>
    </row>
    <row r="209" ht="17.25" customHeight="1">
      <c r="A209" s="1"/>
      <c r="B209" s="1"/>
      <c r="C209" s="1"/>
      <c r="D209" s="1"/>
      <c r="E209" s="1"/>
      <c r="F209" s="1"/>
      <c r="P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142"/>
    </row>
    <row r="210" ht="17.25" customHeight="1">
      <c r="A210" s="1"/>
      <c r="B210" s="1"/>
      <c r="C210" s="1"/>
      <c r="D210" s="1"/>
      <c r="E210" s="1"/>
      <c r="F210" s="1"/>
      <c r="P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142"/>
    </row>
    <row r="211" ht="17.25" customHeight="1">
      <c r="A211" s="1"/>
      <c r="B211" s="1"/>
      <c r="C211" s="1"/>
      <c r="D211" s="1"/>
      <c r="E211" s="1"/>
      <c r="F211" s="1"/>
      <c r="P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142"/>
    </row>
    <row r="212" ht="17.25" customHeight="1">
      <c r="A212" s="1"/>
      <c r="B212" s="1"/>
      <c r="C212" s="1"/>
      <c r="D212" s="1"/>
      <c r="E212" s="1"/>
      <c r="F212" s="1"/>
      <c r="P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142"/>
    </row>
    <row r="213" ht="17.25" customHeight="1">
      <c r="A213" s="1"/>
      <c r="B213" s="1"/>
      <c r="C213" s="1"/>
      <c r="D213" s="1"/>
      <c r="E213" s="1"/>
      <c r="F213" s="1"/>
      <c r="P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142"/>
    </row>
    <row r="214" ht="17.25" customHeight="1">
      <c r="A214" s="1"/>
      <c r="B214" s="1"/>
      <c r="C214" s="1"/>
      <c r="D214" s="1"/>
      <c r="E214" s="1"/>
      <c r="F214" s="1"/>
      <c r="P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142"/>
    </row>
    <row r="215" ht="17.25" customHeight="1">
      <c r="A215" s="1"/>
      <c r="B215" s="1"/>
      <c r="C215" s="1"/>
      <c r="D215" s="1"/>
      <c r="E215" s="1"/>
      <c r="F215" s="1"/>
      <c r="P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142"/>
    </row>
    <row r="216" ht="17.25" customHeight="1">
      <c r="A216" s="1"/>
      <c r="B216" s="1"/>
      <c r="C216" s="1"/>
      <c r="D216" s="1"/>
      <c r="E216" s="1"/>
      <c r="F216" s="1"/>
      <c r="P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142"/>
    </row>
    <row r="217" ht="17.25" customHeight="1">
      <c r="A217" s="1"/>
      <c r="B217" s="1"/>
      <c r="C217" s="1"/>
      <c r="D217" s="1"/>
      <c r="E217" s="1"/>
      <c r="F217" s="1"/>
      <c r="P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142"/>
    </row>
    <row r="218" ht="17.25" customHeight="1">
      <c r="A218" s="1"/>
      <c r="B218" s="1"/>
      <c r="C218" s="1"/>
      <c r="D218" s="1"/>
      <c r="E218" s="1"/>
      <c r="F218" s="1"/>
      <c r="P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142"/>
    </row>
    <row r="219" ht="17.25" customHeight="1">
      <c r="A219" s="1"/>
      <c r="B219" s="1"/>
      <c r="C219" s="1"/>
      <c r="D219" s="1"/>
      <c r="E219" s="1"/>
      <c r="F219" s="1"/>
      <c r="P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142"/>
    </row>
    <row r="220" ht="17.25" customHeight="1">
      <c r="A220" s="1"/>
      <c r="B220" s="1"/>
      <c r="C220" s="1"/>
      <c r="D220" s="1"/>
      <c r="E220" s="1"/>
      <c r="F220" s="1"/>
      <c r="P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142"/>
    </row>
    <row r="221" ht="17.25" customHeight="1">
      <c r="A221" s="1"/>
      <c r="B221" s="1"/>
      <c r="C221" s="1"/>
      <c r="D221" s="1"/>
      <c r="E221" s="1"/>
      <c r="F221" s="1"/>
      <c r="P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142"/>
    </row>
    <row r="222" ht="17.25" customHeight="1">
      <c r="A222" s="1"/>
      <c r="B222" s="1"/>
      <c r="C222" s="1"/>
      <c r="D222" s="1"/>
      <c r="E222" s="1"/>
      <c r="F222" s="1"/>
      <c r="P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142"/>
    </row>
    <row r="223" ht="17.25" customHeight="1">
      <c r="A223" s="1"/>
      <c r="B223" s="1"/>
      <c r="C223" s="1"/>
      <c r="D223" s="1"/>
      <c r="E223" s="1"/>
      <c r="F223" s="1"/>
      <c r="P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142"/>
    </row>
    <row r="224" ht="17.25" customHeight="1">
      <c r="A224" s="1"/>
      <c r="B224" s="1"/>
      <c r="C224" s="1"/>
      <c r="D224" s="1"/>
      <c r="E224" s="1"/>
      <c r="F224" s="1"/>
      <c r="P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142"/>
    </row>
    <row r="225" ht="17.25" customHeight="1">
      <c r="A225" s="1"/>
      <c r="B225" s="1"/>
      <c r="C225" s="1"/>
      <c r="D225" s="1"/>
      <c r="E225" s="1"/>
      <c r="F225" s="1"/>
      <c r="P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142"/>
    </row>
    <row r="226" ht="17.25" customHeight="1">
      <c r="A226" s="1"/>
      <c r="B226" s="1"/>
      <c r="C226" s="1"/>
      <c r="D226" s="1"/>
      <c r="E226" s="1"/>
      <c r="F226" s="1"/>
      <c r="P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142"/>
    </row>
    <row r="227" ht="17.25" customHeight="1">
      <c r="A227" s="1"/>
      <c r="B227" s="1"/>
      <c r="C227" s="1"/>
      <c r="D227" s="1"/>
      <c r="E227" s="1"/>
      <c r="F227" s="1"/>
      <c r="P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142"/>
    </row>
    <row r="228" ht="17.25" customHeight="1">
      <c r="A228" s="1"/>
      <c r="B228" s="1"/>
      <c r="C228" s="1"/>
      <c r="D228" s="1"/>
      <c r="E228" s="1"/>
      <c r="F228" s="1"/>
      <c r="P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142"/>
    </row>
    <row r="229" ht="17.25" customHeight="1">
      <c r="A229" s="1"/>
      <c r="B229" s="1"/>
      <c r="C229" s="1"/>
      <c r="D229" s="1"/>
      <c r="E229" s="1"/>
      <c r="F229" s="1"/>
      <c r="P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142"/>
    </row>
    <row r="230" ht="17.25" customHeight="1">
      <c r="A230" s="1"/>
      <c r="B230" s="1"/>
      <c r="C230" s="1"/>
      <c r="D230" s="1"/>
      <c r="E230" s="1"/>
      <c r="F230" s="1"/>
      <c r="P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142"/>
    </row>
    <row r="231" ht="17.25" customHeight="1">
      <c r="A231" s="1"/>
      <c r="B231" s="1"/>
      <c r="C231" s="1"/>
      <c r="D231" s="1"/>
      <c r="E231" s="1"/>
      <c r="F231" s="1"/>
      <c r="P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142"/>
    </row>
    <row r="232" ht="17.25" customHeight="1">
      <c r="A232" s="1"/>
      <c r="B232" s="1"/>
      <c r="C232" s="1"/>
      <c r="D232" s="1"/>
      <c r="E232" s="1"/>
      <c r="F232" s="1"/>
      <c r="P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142"/>
    </row>
    <row r="233" ht="17.25" customHeight="1">
      <c r="A233" s="1"/>
      <c r="B233" s="1"/>
      <c r="C233" s="1"/>
      <c r="D233" s="1"/>
      <c r="E233" s="1"/>
      <c r="F233" s="1"/>
      <c r="P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142"/>
    </row>
    <row r="234" ht="17.25" customHeight="1">
      <c r="A234" s="1"/>
      <c r="B234" s="1"/>
      <c r="C234" s="1"/>
      <c r="D234" s="1"/>
      <c r="E234" s="1"/>
      <c r="F234" s="1"/>
      <c r="P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142"/>
    </row>
    <row r="235" ht="17.25" customHeight="1">
      <c r="A235" s="1"/>
      <c r="B235" s="1"/>
      <c r="C235" s="1"/>
      <c r="D235" s="1"/>
      <c r="E235" s="1"/>
      <c r="F235" s="1"/>
      <c r="P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142"/>
    </row>
    <row r="236" ht="17.25" customHeight="1">
      <c r="A236" s="1"/>
      <c r="B236" s="1"/>
      <c r="C236" s="1"/>
      <c r="D236" s="1"/>
      <c r="E236" s="1"/>
      <c r="F236" s="1"/>
      <c r="P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142"/>
    </row>
    <row r="237" ht="17.25" customHeight="1">
      <c r="A237" s="1"/>
      <c r="B237" s="1"/>
      <c r="C237" s="1"/>
      <c r="D237" s="1"/>
      <c r="E237" s="1"/>
      <c r="F237" s="1"/>
      <c r="P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142"/>
    </row>
    <row r="238" ht="17.25" customHeight="1">
      <c r="A238" s="1"/>
      <c r="B238" s="1"/>
      <c r="C238" s="1"/>
      <c r="D238" s="1"/>
      <c r="E238" s="1"/>
      <c r="F238" s="1"/>
      <c r="P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142"/>
    </row>
    <row r="239" ht="17.25" customHeight="1">
      <c r="A239" s="1"/>
      <c r="B239" s="1"/>
      <c r="C239" s="1"/>
      <c r="D239" s="1"/>
      <c r="E239" s="1"/>
      <c r="F239" s="1"/>
      <c r="P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142"/>
    </row>
    <row r="240" ht="17.25" customHeight="1">
      <c r="A240" s="1"/>
      <c r="B240" s="1"/>
      <c r="C240" s="1"/>
      <c r="D240" s="1"/>
      <c r="E240" s="1"/>
      <c r="F240" s="1"/>
      <c r="P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142"/>
    </row>
    <row r="241" ht="17.25" customHeight="1">
      <c r="A241" s="1"/>
      <c r="B241" s="1"/>
      <c r="C241" s="1"/>
      <c r="D241" s="1"/>
      <c r="E241" s="1"/>
      <c r="F241" s="1"/>
      <c r="P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142"/>
    </row>
    <row r="242" ht="17.25" customHeight="1">
      <c r="A242" s="1"/>
      <c r="B242" s="1"/>
      <c r="C242" s="1"/>
      <c r="D242" s="1"/>
      <c r="E242" s="1"/>
      <c r="F242" s="1"/>
      <c r="P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142"/>
    </row>
    <row r="243" ht="17.25" customHeight="1">
      <c r="A243" s="1"/>
      <c r="B243" s="1"/>
      <c r="C243" s="1"/>
      <c r="D243" s="1"/>
      <c r="E243" s="1"/>
      <c r="F243" s="1"/>
      <c r="P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142"/>
    </row>
    <row r="244" ht="17.25" customHeight="1">
      <c r="A244" s="1"/>
      <c r="B244" s="1"/>
      <c r="C244" s="1"/>
      <c r="D244" s="1"/>
      <c r="E244" s="1"/>
      <c r="F244" s="1"/>
      <c r="P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142"/>
    </row>
    <row r="245" ht="17.25" customHeight="1">
      <c r="A245" s="1"/>
      <c r="B245" s="1"/>
      <c r="C245" s="1"/>
      <c r="D245" s="1"/>
      <c r="E245" s="1"/>
      <c r="F245" s="1"/>
      <c r="P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142"/>
    </row>
    <row r="246" ht="17.25" customHeight="1">
      <c r="A246" s="1"/>
      <c r="B246" s="1"/>
      <c r="C246" s="1"/>
      <c r="D246" s="1"/>
      <c r="E246" s="1"/>
      <c r="F246" s="1"/>
      <c r="P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142"/>
    </row>
    <row r="247" ht="17.25" customHeight="1">
      <c r="A247" s="1"/>
      <c r="B247" s="1"/>
      <c r="C247" s="1"/>
      <c r="D247" s="1"/>
      <c r="E247" s="1"/>
      <c r="F247" s="1"/>
      <c r="P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142"/>
    </row>
    <row r="248" ht="17.25" customHeight="1">
      <c r="A248" s="1"/>
      <c r="B248" s="1"/>
      <c r="C248" s="1"/>
      <c r="D248" s="1"/>
      <c r="E248" s="1"/>
      <c r="F248" s="1"/>
      <c r="P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142"/>
    </row>
    <row r="249" ht="17.25" customHeight="1">
      <c r="A249" s="1"/>
      <c r="B249" s="1"/>
      <c r="C249" s="1"/>
      <c r="D249" s="1"/>
      <c r="E249" s="1"/>
      <c r="F249" s="1"/>
      <c r="P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142"/>
    </row>
    <row r="250" ht="17.25" customHeight="1">
      <c r="A250" s="1"/>
      <c r="B250" s="1"/>
      <c r="C250" s="1"/>
      <c r="D250" s="1"/>
      <c r="E250" s="1"/>
      <c r="F250" s="1"/>
      <c r="P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142"/>
    </row>
    <row r="251" ht="17.25" customHeight="1">
      <c r="A251" s="1"/>
      <c r="B251" s="1"/>
      <c r="C251" s="1"/>
      <c r="D251" s="1"/>
      <c r="E251" s="1"/>
      <c r="F251" s="1"/>
      <c r="P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142"/>
    </row>
    <row r="252" ht="17.25" customHeight="1">
      <c r="A252" s="1"/>
      <c r="B252" s="1"/>
      <c r="C252" s="1"/>
      <c r="D252" s="1"/>
      <c r="E252" s="1"/>
      <c r="F252" s="1"/>
      <c r="P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142"/>
    </row>
    <row r="253" ht="17.25" customHeight="1">
      <c r="A253" s="1"/>
      <c r="B253" s="1"/>
      <c r="C253" s="1"/>
      <c r="D253" s="1"/>
      <c r="E253" s="1"/>
      <c r="F253" s="1"/>
      <c r="P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142"/>
    </row>
    <row r="254" ht="17.25" customHeight="1">
      <c r="A254" s="1"/>
      <c r="B254" s="1"/>
      <c r="C254" s="1"/>
      <c r="D254" s="1"/>
      <c r="E254" s="1"/>
      <c r="F254" s="1"/>
      <c r="P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142"/>
    </row>
    <row r="255" ht="17.25" customHeight="1">
      <c r="A255" s="1"/>
      <c r="B255" s="1"/>
      <c r="C255" s="1"/>
      <c r="D255" s="1"/>
      <c r="E255" s="1"/>
      <c r="F255" s="1"/>
      <c r="P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142"/>
    </row>
    <row r="256" ht="17.25" customHeight="1">
      <c r="A256" s="1"/>
      <c r="B256" s="1"/>
      <c r="C256" s="1"/>
      <c r="D256" s="1"/>
      <c r="E256" s="1"/>
      <c r="F256" s="1"/>
      <c r="P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142"/>
    </row>
    <row r="257" ht="17.25" customHeight="1">
      <c r="A257" s="1"/>
      <c r="B257" s="1"/>
      <c r="C257" s="1"/>
      <c r="D257" s="1"/>
      <c r="E257" s="1"/>
      <c r="F257" s="1"/>
      <c r="P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142"/>
    </row>
    <row r="258" ht="17.25" customHeight="1">
      <c r="A258" s="1"/>
      <c r="B258" s="1"/>
      <c r="C258" s="1"/>
      <c r="D258" s="1"/>
      <c r="E258" s="1"/>
      <c r="F258" s="1"/>
      <c r="P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142"/>
    </row>
    <row r="259" ht="17.25" customHeight="1">
      <c r="A259" s="1"/>
      <c r="B259" s="1"/>
      <c r="C259" s="1"/>
      <c r="D259" s="1"/>
      <c r="E259" s="1"/>
      <c r="F259" s="1"/>
      <c r="P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142"/>
    </row>
    <row r="260" ht="17.25" customHeight="1">
      <c r="A260" s="1"/>
      <c r="B260" s="1"/>
      <c r="C260" s="1"/>
      <c r="D260" s="1"/>
      <c r="E260" s="1"/>
      <c r="F260" s="1"/>
      <c r="P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142"/>
    </row>
    <row r="261" ht="17.25" customHeight="1">
      <c r="A261" s="1"/>
      <c r="B261" s="1"/>
      <c r="C261" s="1"/>
      <c r="D261" s="1"/>
      <c r="E261" s="1"/>
      <c r="F261" s="1"/>
      <c r="P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142"/>
    </row>
    <row r="262" ht="17.25" customHeight="1">
      <c r="A262" s="1"/>
      <c r="B262" s="1"/>
      <c r="C262" s="1"/>
      <c r="D262" s="1"/>
      <c r="E262" s="1"/>
      <c r="F262" s="1"/>
      <c r="P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142"/>
    </row>
    <row r="263" ht="17.25" customHeight="1">
      <c r="A263" s="1"/>
      <c r="B263" s="1"/>
      <c r="C263" s="1"/>
      <c r="D263" s="1"/>
      <c r="E263" s="1"/>
      <c r="F263" s="1"/>
      <c r="P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142"/>
    </row>
    <row r="264" ht="17.25" customHeight="1">
      <c r="A264" s="1"/>
      <c r="B264" s="1"/>
      <c r="C264" s="1"/>
      <c r="D264" s="1"/>
      <c r="E264" s="1"/>
      <c r="F264" s="1"/>
      <c r="P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142"/>
    </row>
    <row r="265" ht="17.25" customHeight="1">
      <c r="A265" s="1"/>
      <c r="B265" s="1"/>
      <c r="C265" s="1"/>
      <c r="D265" s="1"/>
      <c r="E265" s="1"/>
      <c r="F265" s="1"/>
      <c r="P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142"/>
    </row>
    <row r="266" ht="17.25" customHeight="1">
      <c r="A266" s="1"/>
      <c r="B266" s="1"/>
      <c r="C266" s="1"/>
      <c r="D266" s="1"/>
      <c r="E266" s="1"/>
      <c r="F266" s="1"/>
      <c r="P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142"/>
    </row>
    <row r="267" ht="17.25" customHeight="1">
      <c r="A267" s="1"/>
      <c r="B267" s="1"/>
      <c r="C267" s="1"/>
      <c r="D267" s="1"/>
      <c r="E267" s="1"/>
      <c r="F267" s="1"/>
      <c r="P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142"/>
    </row>
    <row r="268" ht="17.25" customHeight="1">
      <c r="A268" s="1"/>
      <c r="B268" s="1"/>
      <c r="C268" s="1"/>
      <c r="D268" s="1"/>
      <c r="E268" s="1"/>
      <c r="F268" s="1"/>
      <c r="P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142"/>
    </row>
    <row r="269" ht="17.25" customHeight="1">
      <c r="A269" s="1"/>
      <c r="B269" s="1"/>
      <c r="C269" s="1"/>
      <c r="D269" s="1"/>
      <c r="E269" s="1"/>
      <c r="F269" s="1"/>
      <c r="P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142"/>
    </row>
    <row r="270" ht="17.25" customHeight="1">
      <c r="A270" s="1"/>
      <c r="B270" s="1"/>
      <c r="C270" s="1"/>
      <c r="D270" s="1"/>
      <c r="E270" s="1"/>
      <c r="F270" s="1"/>
      <c r="P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142"/>
    </row>
    <row r="271" ht="17.25" customHeight="1">
      <c r="A271" s="1"/>
      <c r="B271" s="1"/>
      <c r="C271" s="1"/>
      <c r="D271" s="1"/>
      <c r="E271" s="1"/>
      <c r="F271" s="1"/>
      <c r="P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142"/>
    </row>
    <row r="272" ht="17.25" customHeight="1">
      <c r="A272" s="1"/>
      <c r="B272" s="1"/>
      <c r="C272" s="1"/>
      <c r="D272" s="1"/>
      <c r="E272" s="1"/>
      <c r="F272" s="1"/>
      <c r="P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142"/>
    </row>
    <row r="273" ht="17.25" customHeight="1">
      <c r="A273" s="1"/>
      <c r="B273" s="1"/>
      <c r="C273" s="1"/>
      <c r="D273" s="1"/>
      <c r="E273" s="1"/>
      <c r="F273" s="1"/>
      <c r="P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142"/>
    </row>
    <row r="274" ht="17.25" customHeight="1">
      <c r="A274" s="1"/>
      <c r="B274" s="1"/>
      <c r="C274" s="1"/>
      <c r="D274" s="1"/>
      <c r="E274" s="1"/>
      <c r="F274" s="1"/>
      <c r="P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142"/>
    </row>
    <row r="275" ht="17.25" customHeight="1">
      <c r="A275" s="1"/>
      <c r="B275" s="1"/>
      <c r="C275" s="1"/>
      <c r="D275" s="1"/>
      <c r="E275" s="1"/>
      <c r="F275" s="1"/>
      <c r="P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142"/>
    </row>
    <row r="276" ht="17.25" customHeight="1">
      <c r="A276" s="1"/>
      <c r="B276" s="1"/>
      <c r="C276" s="1"/>
      <c r="D276" s="1"/>
      <c r="E276" s="1"/>
      <c r="F276" s="1"/>
      <c r="P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142"/>
    </row>
    <row r="277" ht="17.25" customHeight="1">
      <c r="A277" s="1"/>
      <c r="B277" s="1"/>
      <c r="C277" s="1"/>
      <c r="D277" s="1"/>
      <c r="E277" s="1"/>
      <c r="F277" s="1"/>
      <c r="P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142"/>
    </row>
    <row r="278" ht="17.25" customHeight="1">
      <c r="A278" s="1"/>
      <c r="B278" s="1"/>
      <c r="C278" s="1"/>
      <c r="D278" s="1"/>
      <c r="E278" s="1"/>
      <c r="F278" s="1"/>
      <c r="P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142"/>
    </row>
    <row r="279" ht="17.25" customHeight="1">
      <c r="A279" s="1"/>
      <c r="B279" s="1"/>
      <c r="C279" s="1"/>
      <c r="D279" s="1"/>
      <c r="E279" s="1"/>
      <c r="F279" s="1"/>
      <c r="P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142"/>
    </row>
    <row r="280" ht="17.25" customHeight="1">
      <c r="A280" s="1"/>
      <c r="B280" s="1"/>
      <c r="C280" s="1"/>
      <c r="D280" s="1"/>
      <c r="E280" s="1"/>
      <c r="F280" s="1"/>
      <c r="P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142"/>
    </row>
    <row r="281" ht="17.25" customHeight="1">
      <c r="A281" s="1"/>
      <c r="B281" s="1"/>
      <c r="C281" s="1"/>
      <c r="D281" s="1"/>
      <c r="E281" s="1"/>
      <c r="F281" s="1"/>
      <c r="P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142"/>
    </row>
    <row r="282" ht="17.25" customHeight="1">
      <c r="A282" s="1"/>
      <c r="B282" s="1"/>
      <c r="C282" s="1"/>
      <c r="D282" s="1"/>
      <c r="E282" s="1"/>
      <c r="F282" s="1"/>
      <c r="P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142"/>
    </row>
    <row r="283" ht="17.25" customHeight="1">
      <c r="A283" s="1"/>
      <c r="B283" s="1"/>
      <c r="C283" s="1"/>
      <c r="D283" s="1"/>
      <c r="E283" s="1"/>
      <c r="F283" s="1"/>
      <c r="P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142"/>
    </row>
    <row r="284" ht="17.25" customHeight="1">
      <c r="A284" s="1"/>
      <c r="B284" s="1"/>
      <c r="C284" s="1"/>
      <c r="D284" s="1"/>
      <c r="E284" s="1"/>
      <c r="F284" s="1"/>
      <c r="P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142"/>
    </row>
    <row r="285" ht="17.25" customHeight="1">
      <c r="A285" s="1"/>
      <c r="B285" s="1"/>
      <c r="C285" s="1"/>
      <c r="D285" s="1"/>
      <c r="E285" s="1"/>
      <c r="F285" s="1"/>
      <c r="P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142"/>
    </row>
    <row r="286" ht="17.25" customHeight="1">
      <c r="A286" s="1"/>
      <c r="B286" s="1"/>
      <c r="C286" s="1"/>
      <c r="D286" s="1"/>
      <c r="E286" s="1"/>
      <c r="F286" s="1"/>
      <c r="P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142"/>
    </row>
    <row r="287" ht="17.25" customHeight="1">
      <c r="A287" s="1"/>
      <c r="B287" s="1"/>
      <c r="C287" s="1"/>
      <c r="D287" s="1"/>
      <c r="E287" s="1"/>
      <c r="F287" s="1"/>
      <c r="P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142"/>
    </row>
    <row r="288" ht="17.25" customHeight="1">
      <c r="A288" s="1"/>
      <c r="B288" s="1"/>
      <c r="C288" s="1"/>
      <c r="D288" s="1"/>
      <c r="E288" s="1"/>
      <c r="F288" s="1"/>
      <c r="P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142"/>
    </row>
    <row r="289" ht="17.25" customHeight="1">
      <c r="A289" s="1"/>
      <c r="B289" s="1"/>
      <c r="C289" s="1"/>
      <c r="D289" s="1"/>
      <c r="E289" s="1"/>
      <c r="F289" s="1"/>
      <c r="P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142"/>
    </row>
    <row r="290" ht="17.25" customHeight="1">
      <c r="A290" s="1"/>
      <c r="B290" s="1"/>
      <c r="C290" s="1"/>
      <c r="D290" s="1"/>
      <c r="E290" s="1"/>
      <c r="F290" s="1"/>
      <c r="P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142"/>
    </row>
    <row r="291" ht="17.25" customHeight="1">
      <c r="A291" s="1"/>
      <c r="B291" s="1"/>
      <c r="C291" s="1"/>
      <c r="D291" s="1"/>
      <c r="E291" s="1"/>
      <c r="F291" s="1"/>
      <c r="P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142"/>
    </row>
    <row r="292" ht="17.25" customHeight="1">
      <c r="A292" s="1"/>
      <c r="B292" s="1"/>
      <c r="C292" s="1"/>
      <c r="D292" s="1"/>
      <c r="E292" s="1"/>
      <c r="F292" s="1"/>
      <c r="P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142"/>
    </row>
    <row r="293" ht="17.25" customHeight="1">
      <c r="A293" s="1"/>
      <c r="B293" s="1"/>
      <c r="C293" s="1"/>
      <c r="D293" s="1"/>
      <c r="E293" s="1"/>
      <c r="F293" s="1"/>
      <c r="P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142"/>
    </row>
    <row r="294" ht="17.25" customHeight="1">
      <c r="A294" s="1"/>
      <c r="B294" s="1"/>
      <c r="C294" s="1"/>
      <c r="D294" s="1"/>
      <c r="E294" s="1"/>
      <c r="F294" s="1"/>
      <c r="P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142"/>
    </row>
    <row r="295" ht="17.25" customHeight="1">
      <c r="A295" s="1"/>
      <c r="B295" s="1"/>
      <c r="C295" s="1"/>
      <c r="D295" s="1"/>
      <c r="E295" s="1"/>
      <c r="F295" s="1"/>
      <c r="P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142"/>
    </row>
    <row r="296" ht="17.25" customHeight="1">
      <c r="A296" s="1"/>
      <c r="B296" s="1"/>
      <c r="C296" s="1"/>
      <c r="D296" s="1"/>
      <c r="E296" s="1"/>
      <c r="F296" s="1"/>
      <c r="P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142"/>
    </row>
    <row r="297" ht="17.25" customHeight="1">
      <c r="A297" s="1"/>
      <c r="B297" s="1"/>
      <c r="C297" s="1"/>
      <c r="D297" s="1"/>
      <c r="E297" s="1"/>
      <c r="F297" s="1"/>
      <c r="P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142"/>
    </row>
    <row r="298" ht="17.25" customHeight="1">
      <c r="A298" s="1"/>
      <c r="B298" s="1"/>
      <c r="C298" s="1"/>
      <c r="D298" s="1"/>
      <c r="E298" s="1"/>
      <c r="F298" s="1"/>
      <c r="P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142"/>
    </row>
    <row r="299" ht="17.25" customHeight="1">
      <c r="A299" s="1"/>
      <c r="B299" s="1"/>
      <c r="C299" s="1"/>
      <c r="D299" s="1"/>
      <c r="E299" s="1"/>
      <c r="F299" s="1"/>
      <c r="P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142"/>
    </row>
    <row r="300" ht="17.25" customHeight="1">
      <c r="A300" s="1"/>
      <c r="B300" s="1"/>
      <c r="C300" s="1"/>
      <c r="D300" s="1"/>
      <c r="E300" s="1"/>
      <c r="F300" s="1"/>
      <c r="P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142"/>
    </row>
    <row r="301" ht="17.25" customHeight="1">
      <c r="A301" s="1"/>
      <c r="B301" s="1"/>
      <c r="C301" s="1"/>
      <c r="D301" s="1"/>
      <c r="E301" s="1"/>
      <c r="F301" s="1"/>
      <c r="P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142"/>
    </row>
    <row r="302" ht="17.25" customHeight="1">
      <c r="A302" s="1"/>
      <c r="B302" s="1"/>
      <c r="C302" s="1"/>
      <c r="D302" s="1"/>
      <c r="E302" s="1"/>
      <c r="F302" s="1"/>
      <c r="P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142"/>
    </row>
    <row r="303" ht="17.25" customHeight="1">
      <c r="A303" s="1"/>
      <c r="B303" s="1"/>
      <c r="C303" s="1"/>
      <c r="D303" s="1"/>
      <c r="E303" s="1"/>
      <c r="F303" s="1"/>
      <c r="P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142"/>
    </row>
    <row r="304" ht="17.25" customHeight="1">
      <c r="A304" s="1"/>
      <c r="B304" s="1"/>
      <c r="C304" s="1"/>
      <c r="D304" s="1"/>
      <c r="E304" s="1"/>
      <c r="F304" s="1"/>
      <c r="P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142"/>
    </row>
    <row r="305" ht="17.25" customHeight="1">
      <c r="A305" s="1"/>
      <c r="B305" s="1"/>
      <c r="C305" s="1"/>
      <c r="D305" s="1"/>
      <c r="E305" s="1"/>
      <c r="F305" s="1"/>
      <c r="P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142"/>
    </row>
    <row r="306" ht="17.25" customHeight="1">
      <c r="A306" s="1"/>
      <c r="B306" s="1"/>
      <c r="C306" s="1"/>
      <c r="D306" s="1"/>
      <c r="E306" s="1"/>
      <c r="F306" s="1"/>
      <c r="P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142"/>
    </row>
    <row r="307" ht="17.25" customHeight="1">
      <c r="A307" s="1"/>
      <c r="B307" s="1"/>
      <c r="C307" s="1"/>
      <c r="D307" s="1"/>
      <c r="E307" s="1"/>
      <c r="F307" s="1"/>
      <c r="P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142"/>
    </row>
    <row r="308" ht="17.25" customHeight="1">
      <c r="A308" s="1"/>
      <c r="B308" s="1"/>
      <c r="C308" s="1"/>
      <c r="D308" s="1"/>
      <c r="E308" s="1"/>
      <c r="F308" s="1"/>
      <c r="P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142"/>
    </row>
    <row r="309" ht="17.25" customHeight="1">
      <c r="A309" s="1"/>
      <c r="B309" s="1"/>
      <c r="C309" s="1"/>
      <c r="D309" s="1"/>
      <c r="E309" s="1"/>
      <c r="F309" s="1"/>
      <c r="P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142"/>
    </row>
    <row r="310" ht="17.25" customHeight="1">
      <c r="A310" s="1"/>
      <c r="B310" s="1"/>
      <c r="C310" s="1"/>
      <c r="D310" s="1"/>
      <c r="E310" s="1"/>
      <c r="F310" s="1"/>
      <c r="P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142"/>
    </row>
    <row r="311" ht="17.25" customHeight="1">
      <c r="A311" s="1"/>
      <c r="B311" s="1"/>
      <c r="C311" s="1"/>
      <c r="D311" s="1"/>
      <c r="E311" s="1"/>
      <c r="F311" s="1"/>
      <c r="P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142"/>
    </row>
    <row r="312" ht="17.25" customHeight="1">
      <c r="A312" s="1"/>
      <c r="B312" s="1"/>
      <c r="C312" s="1"/>
      <c r="D312" s="1"/>
      <c r="E312" s="1"/>
      <c r="F312" s="1"/>
      <c r="P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142"/>
    </row>
    <row r="313" ht="17.25" customHeight="1">
      <c r="A313" s="1"/>
      <c r="B313" s="1"/>
      <c r="C313" s="1"/>
      <c r="D313" s="1"/>
      <c r="E313" s="1"/>
      <c r="F313" s="1"/>
      <c r="P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142"/>
    </row>
    <row r="314" ht="17.25" customHeight="1">
      <c r="A314" s="1"/>
      <c r="B314" s="1"/>
      <c r="C314" s="1"/>
      <c r="D314" s="1"/>
      <c r="E314" s="1"/>
      <c r="F314" s="1"/>
      <c r="P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142"/>
    </row>
    <row r="315" ht="17.25" customHeight="1">
      <c r="A315" s="1"/>
      <c r="B315" s="1"/>
      <c r="C315" s="1"/>
      <c r="D315" s="1"/>
      <c r="E315" s="1"/>
      <c r="F315" s="1"/>
      <c r="P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142"/>
    </row>
    <row r="316" ht="17.25" customHeight="1">
      <c r="A316" s="1"/>
      <c r="B316" s="1"/>
      <c r="C316" s="1"/>
      <c r="D316" s="1"/>
      <c r="E316" s="1"/>
      <c r="F316" s="1"/>
      <c r="P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142"/>
    </row>
    <row r="317" ht="17.25" customHeight="1">
      <c r="A317" s="1"/>
      <c r="B317" s="1"/>
      <c r="C317" s="1"/>
      <c r="D317" s="1"/>
      <c r="E317" s="1"/>
      <c r="F317" s="1"/>
      <c r="P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142"/>
    </row>
    <row r="318" ht="17.25" customHeight="1">
      <c r="A318" s="1"/>
      <c r="B318" s="1"/>
      <c r="C318" s="1"/>
      <c r="D318" s="1"/>
      <c r="E318" s="1"/>
      <c r="F318" s="1"/>
      <c r="P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142"/>
    </row>
    <row r="319" ht="17.25" customHeight="1">
      <c r="A319" s="1"/>
      <c r="B319" s="1"/>
      <c r="C319" s="1"/>
      <c r="D319" s="1"/>
      <c r="E319" s="1"/>
      <c r="F319" s="1"/>
      <c r="P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142"/>
    </row>
    <row r="320" ht="17.25" customHeight="1">
      <c r="A320" s="1"/>
      <c r="B320" s="1"/>
      <c r="C320" s="1"/>
      <c r="D320" s="1"/>
      <c r="E320" s="1"/>
      <c r="F320" s="1"/>
      <c r="P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142"/>
    </row>
    <row r="321" ht="17.25" customHeight="1">
      <c r="A321" s="1"/>
      <c r="B321" s="1"/>
      <c r="C321" s="1"/>
      <c r="D321" s="1"/>
      <c r="E321" s="1"/>
      <c r="F321" s="1"/>
      <c r="P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142"/>
    </row>
    <row r="322" ht="17.25" customHeight="1">
      <c r="A322" s="1"/>
      <c r="B322" s="1"/>
      <c r="C322" s="1"/>
      <c r="D322" s="1"/>
      <c r="E322" s="1"/>
      <c r="F322" s="1"/>
      <c r="P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142"/>
    </row>
    <row r="323" ht="17.25" customHeight="1">
      <c r="A323" s="1"/>
      <c r="B323" s="1"/>
      <c r="C323" s="1"/>
      <c r="D323" s="1"/>
      <c r="E323" s="1"/>
      <c r="F323" s="1"/>
      <c r="P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142"/>
    </row>
    <row r="324" ht="17.25" customHeight="1">
      <c r="A324" s="1"/>
      <c r="B324" s="1"/>
      <c r="C324" s="1"/>
      <c r="D324" s="1"/>
      <c r="E324" s="1"/>
      <c r="F324" s="1"/>
      <c r="P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142"/>
    </row>
    <row r="325" ht="17.25" customHeight="1">
      <c r="A325" s="1"/>
      <c r="B325" s="1"/>
      <c r="C325" s="1"/>
      <c r="D325" s="1"/>
      <c r="E325" s="1"/>
      <c r="F325" s="1"/>
      <c r="P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142"/>
    </row>
    <row r="326" ht="17.25" customHeight="1">
      <c r="A326" s="1"/>
      <c r="B326" s="1"/>
      <c r="C326" s="1"/>
      <c r="D326" s="1"/>
      <c r="E326" s="1"/>
      <c r="F326" s="1"/>
      <c r="P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142"/>
    </row>
    <row r="327" ht="17.25" customHeight="1">
      <c r="A327" s="1"/>
      <c r="B327" s="1"/>
      <c r="C327" s="1"/>
      <c r="D327" s="1"/>
      <c r="E327" s="1"/>
      <c r="F327" s="1"/>
      <c r="P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142"/>
    </row>
    <row r="328" ht="17.25" customHeight="1">
      <c r="A328" s="1"/>
      <c r="B328" s="1"/>
      <c r="C328" s="1"/>
      <c r="D328" s="1"/>
      <c r="E328" s="1"/>
      <c r="F328" s="1"/>
      <c r="P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142"/>
    </row>
    <row r="329" ht="17.25" customHeight="1">
      <c r="A329" s="1"/>
      <c r="B329" s="1"/>
      <c r="C329" s="1"/>
      <c r="D329" s="1"/>
      <c r="E329" s="1"/>
      <c r="F329" s="1"/>
      <c r="P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142"/>
    </row>
    <row r="330" ht="17.25" customHeight="1">
      <c r="A330" s="1"/>
      <c r="B330" s="1"/>
      <c r="C330" s="1"/>
      <c r="D330" s="1"/>
      <c r="E330" s="1"/>
      <c r="F330" s="1"/>
      <c r="P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142"/>
    </row>
    <row r="331" ht="17.25" customHeight="1">
      <c r="A331" s="1"/>
      <c r="B331" s="1"/>
      <c r="C331" s="1"/>
      <c r="D331" s="1"/>
      <c r="E331" s="1"/>
      <c r="F331" s="1"/>
      <c r="P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142"/>
    </row>
    <row r="332" ht="17.25" customHeight="1">
      <c r="A332" s="1"/>
      <c r="B332" s="1"/>
      <c r="C332" s="1"/>
      <c r="D332" s="1"/>
      <c r="E332" s="1"/>
      <c r="F332" s="1"/>
      <c r="P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142"/>
    </row>
    <row r="333" ht="17.25" customHeight="1">
      <c r="A333" s="1"/>
      <c r="B333" s="1"/>
      <c r="C333" s="1"/>
      <c r="D333" s="1"/>
      <c r="E333" s="1"/>
      <c r="F333" s="1"/>
      <c r="P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142"/>
    </row>
    <row r="334" ht="17.25" customHeight="1">
      <c r="A334" s="1"/>
      <c r="B334" s="1"/>
      <c r="C334" s="1"/>
      <c r="D334" s="1"/>
      <c r="E334" s="1"/>
      <c r="F334" s="1"/>
      <c r="P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142"/>
    </row>
    <row r="335" ht="17.25" customHeight="1">
      <c r="A335" s="1"/>
      <c r="B335" s="1"/>
      <c r="C335" s="1"/>
      <c r="D335" s="1"/>
      <c r="E335" s="1"/>
      <c r="F335" s="1"/>
      <c r="P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142"/>
    </row>
    <row r="336" ht="17.25" customHeight="1">
      <c r="A336" s="1"/>
      <c r="B336" s="1"/>
      <c r="C336" s="1"/>
      <c r="D336" s="1"/>
      <c r="E336" s="1"/>
      <c r="F336" s="1"/>
      <c r="P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142"/>
    </row>
    <row r="337" ht="17.25" customHeight="1">
      <c r="A337" s="1"/>
      <c r="B337" s="1"/>
      <c r="C337" s="1"/>
      <c r="D337" s="1"/>
      <c r="E337" s="1"/>
      <c r="F337" s="1"/>
      <c r="P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142"/>
    </row>
    <row r="338" ht="17.25" customHeight="1">
      <c r="A338" s="1"/>
      <c r="B338" s="1"/>
      <c r="C338" s="1"/>
      <c r="D338" s="1"/>
      <c r="E338" s="1"/>
      <c r="F338" s="1"/>
      <c r="P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142"/>
    </row>
    <row r="339" ht="17.25" customHeight="1">
      <c r="A339" s="1"/>
      <c r="B339" s="1"/>
      <c r="C339" s="1"/>
      <c r="D339" s="1"/>
      <c r="E339" s="1"/>
      <c r="F339" s="1"/>
      <c r="P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142"/>
    </row>
    <row r="340" ht="17.25" customHeight="1">
      <c r="A340" s="1"/>
      <c r="B340" s="1"/>
      <c r="C340" s="1"/>
      <c r="D340" s="1"/>
      <c r="E340" s="1"/>
      <c r="F340" s="1"/>
      <c r="P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142"/>
    </row>
    <row r="341" ht="17.25" customHeight="1">
      <c r="A341" s="1"/>
      <c r="B341" s="1"/>
      <c r="C341" s="1"/>
      <c r="D341" s="1"/>
      <c r="E341" s="1"/>
      <c r="F341" s="1"/>
      <c r="P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142"/>
    </row>
    <row r="342" ht="17.25" customHeight="1">
      <c r="A342" s="1"/>
      <c r="B342" s="1"/>
      <c r="C342" s="1"/>
      <c r="D342" s="1"/>
      <c r="E342" s="1"/>
      <c r="F342" s="1"/>
      <c r="P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142"/>
    </row>
    <row r="343" ht="17.25" customHeight="1">
      <c r="A343" s="1"/>
      <c r="B343" s="1"/>
      <c r="C343" s="1"/>
      <c r="D343" s="1"/>
      <c r="E343" s="1"/>
      <c r="F343" s="1"/>
      <c r="P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142"/>
    </row>
    <row r="344" ht="17.25" customHeight="1">
      <c r="A344" s="1"/>
      <c r="B344" s="1"/>
      <c r="C344" s="1"/>
      <c r="D344" s="1"/>
      <c r="E344" s="1"/>
      <c r="F344" s="1"/>
      <c r="P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142"/>
    </row>
    <row r="345" ht="17.25" customHeight="1">
      <c r="A345" s="1"/>
      <c r="B345" s="1"/>
      <c r="C345" s="1"/>
      <c r="D345" s="1"/>
      <c r="E345" s="1"/>
      <c r="F345" s="1"/>
      <c r="P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142"/>
    </row>
    <row r="346" ht="17.25" customHeight="1">
      <c r="A346" s="1"/>
      <c r="B346" s="1"/>
      <c r="C346" s="1"/>
      <c r="D346" s="1"/>
      <c r="E346" s="1"/>
      <c r="F346" s="1"/>
      <c r="P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142"/>
    </row>
    <row r="347" ht="17.25" customHeight="1">
      <c r="A347" s="1"/>
      <c r="B347" s="1"/>
      <c r="C347" s="1"/>
      <c r="D347" s="1"/>
      <c r="E347" s="1"/>
      <c r="F347" s="1"/>
      <c r="P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142"/>
    </row>
    <row r="348" ht="17.25" customHeight="1">
      <c r="A348" s="1"/>
      <c r="B348" s="1"/>
      <c r="C348" s="1"/>
      <c r="D348" s="1"/>
      <c r="E348" s="1"/>
      <c r="F348" s="1"/>
      <c r="P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142"/>
    </row>
    <row r="349" ht="17.25" customHeight="1">
      <c r="A349" s="1"/>
      <c r="B349" s="1"/>
      <c r="C349" s="1"/>
      <c r="D349" s="1"/>
      <c r="E349" s="1"/>
      <c r="F349" s="1"/>
      <c r="P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142"/>
    </row>
    <row r="350" ht="17.25" customHeight="1">
      <c r="A350" s="1"/>
      <c r="B350" s="1"/>
      <c r="C350" s="1"/>
      <c r="D350" s="1"/>
      <c r="E350" s="1"/>
      <c r="F350" s="1"/>
      <c r="P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142"/>
    </row>
    <row r="351" ht="17.25" customHeight="1">
      <c r="A351" s="1"/>
      <c r="B351" s="1"/>
      <c r="C351" s="1"/>
      <c r="D351" s="1"/>
      <c r="E351" s="1"/>
      <c r="F351" s="1"/>
      <c r="P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142"/>
    </row>
    <row r="352" ht="17.25" customHeight="1">
      <c r="A352" s="1"/>
      <c r="B352" s="1"/>
      <c r="C352" s="1"/>
      <c r="D352" s="1"/>
      <c r="E352" s="1"/>
      <c r="F352" s="1"/>
      <c r="P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142"/>
    </row>
    <row r="353" ht="17.25" customHeight="1">
      <c r="A353" s="1"/>
      <c r="B353" s="1"/>
      <c r="C353" s="1"/>
      <c r="D353" s="1"/>
      <c r="E353" s="1"/>
      <c r="F353" s="1"/>
      <c r="P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142"/>
    </row>
    <row r="354" ht="17.25" customHeight="1">
      <c r="A354" s="1"/>
      <c r="B354" s="1"/>
      <c r="C354" s="1"/>
      <c r="D354" s="1"/>
      <c r="E354" s="1"/>
      <c r="F354" s="1"/>
      <c r="P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142"/>
    </row>
    <row r="355" ht="17.25" customHeight="1">
      <c r="A355" s="1"/>
      <c r="B355" s="1"/>
      <c r="C355" s="1"/>
      <c r="D355" s="1"/>
      <c r="E355" s="1"/>
      <c r="F355" s="1"/>
      <c r="P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142"/>
    </row>
    <row r="356" ht="17.25" customHeight="1">
      <c r="A356" s="1"/>
      <c r="B356" s="1"/>
      <c r="C356" s="1"/>
      <c r="D356" s="1"/>
      <c r="E356" s="1"/>
      <c r="F356" s="1"/>
      <c r="P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142"/>
    </row>
    <row r="357" ht="17.25" customHeight="1">
      <c r="A357" s="1"/>
      <c r="B357" s="1"/>
      <c r="C357" s="1"/>
      <c r="D357" s="1"/>
      <c r="E357" s="1"/>
      <c r="F357" s="1"/>
      <c r="P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142"/>
    </row>
    <row r="358" ht="17.25" customHeight="1">
      <c r="A358" s="1"/>
      <c r="B358" s="1"/>
      <c r="C358" s="1"/>
      <c r="D358" s="1"/>
      <c r="E358" s="1"/>
      <c r="F358" s="1"/>
      <c r="P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142"/>
    </row>
    <row r="359" ht="17.25" customHeight="1">
      <c r="A359" s="1"/>
      <c r="B359" s="1"/>
      <c r="C359" s="1"/>
      <c r="D359" s="1"/>
      <c r="E359" s="1"/>
      <c r="F359" s="1"/>
      <c r="P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142"/>
    </row>
    <row r="360" ht="17.25" customHeight="1">
      <c r="A360" s="1"/>
      <c r="B360" s="1"/>
      <c r="C360" s="1"/>
      <c r="D360" s="1"/>
      <c r="E360" s="1"/>
      <c r="F360" s="1"/>
      <c r="P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142"/>
    </row>
    <row r="361" ht="17.25" customHeight="1">
      <c r="A361" s="1"/>
      <c r="B361" s="1"/>
      <c r="C361" s="1"/>
      <c r="D361" s="1"/>
      <c r="E361" s="1"/>
      <c r="F361" s="1"/>
      <c r="P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142"/>
    </row>
    <row r="362" ht="17.25" customHeight="1">
      <c r="A362" s="1"/>
      <c r="B362" s="1"/>
      <c r="C362" s="1"/>
      <c r="D362" s="1"/>
      <c r="E362" s="1"/>
      <c r="F362" s="1"/>
      <c r="P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142"/>
    </row>
    <row r="363" ht="17.25" customHeight="1">
      <c r="A363" s="1"/>
      <c r="B363" s="1"/>
      <c r="C363" s="1"/>
      <c r="D363" s="1"/>
      <c r="E363" s="1"/>
      <c r="F363" s="1"/>
      <c r="P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142"/>
    </row>
    <row r="364" ht="17.25" customHeight="1">
      <c r="A364" s="1"/>
      <c r="B364" s="1"/>
      <c r="C364" s="1"/>
      <c r="D364" s="1"/>
      <c r="E364" s="1"/>
      <c r="F364" s="1"/>
      <c r="P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142"/>
    </row>
    <row r="365" ht="17.25" customHeight="1">
      <c r="A365" s="1"/>
      <c r="B365" s="1"/>
      <c r="C365" s="1"/>
      <c r="D365" s="1"/>
      <c r="E365" s="1"/>
      <c r="F365" s="1"/>
      <c r="P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142"/>
    </row>
    <row r="366" ht="17.25" customHeight="1">
      <c r="A366" s="1"/>
      <c r="B366" s="1"/>
      <c r="C366" s="1"/>
      <c r="D366" s="1"/>
      <c r="E366" s="1"/>
      <c r="F366" s="1"/>
      <c r="P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142"/>
    </row>
    <row r="367" ht="17.25" customHeight="1">
      <c r="A367" s="1"/>
      <c r="B367" s="1"/>
      <c r="C367" s="1"/>
      <c r="D367" s="1"/>
      <c r="E367" s="1"/>
      <c r="F367" s="1"/>
      <c r="P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142"/>
    </row>
    <row r="368" ht="17.25" customHeight="1">
      <c r="A368" s="1"/>
      <c r="B368" s="1"/>
      <c r="C368" s="1"/>
      <c r="D368" s="1"/>
      <c r="E368" s="1"/>
      <c r="F368" s="1"/>
      <c r="P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142"/>
    </row>
    <row r="369" ht="17.25" customHeight="1">
      <c r="A369" s="1"/>
      <c r="B369" s="1"/>
      <c r="C369" s="1"/>
      <c r="D369" s="1"/>
      <c r="E369" s="1"/>
      <c r="F369" s="1"/>
      <c r="P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142"/>
    </row>
    <row r="370" ht="17.25" customHeight="1">
      <c r="A370" s="1"/>
      <c r="B370" s="1"/>
      <c r="C370" s="1"/>
      <c r="D370" s="1"/>
      <c r="E370" s="1"/>
      <c r="F370" s="1"/>
      <c r="P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142"/>
    </row>
    <row r="371" ht="17.25" customHeight="1">
      <c r="A371" s="1"/>
      <c r="B371" s="1"/>
      <c r="C371" s="1"/>
      <c r="D371" s="1"/>
      <c r="E371" s="1"/>
      <c r="F371" s="1"/>
      <c r="P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142"/>
    </row>
    <row r="372" ht="17.25" customHeight="1">
      <c r="A372" s="1"/>
      <c r="B372" s="1"/>
      <c r="C372" s="1"/>
      <c r="D372" s="1"/>
      <c r="E372" s="1"/>
      <c r="F372" s="1"/>
      <c r="P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142"/>
    </row>
    <row r="373" ht="17.25" customHeight="1">
      <c r="A373" s="1"/>
      <c r="B373" s="1"/>
      <c r="C373" s="1"/>
      <c r="D373" s="1"/>
      <c r="E373" s="1"/>
      <c r="F373" s="1"/>
      <c r="P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142"/>
    </row>
    <row r="374" ht="17.25" customHeight="1">
      <c r="A374" s="1"/>
      <c r="B374" s="1"/>
      <c r="C374" s="1"/>
      <c r="D374" s="1"/>
      <c r="E374" s="1"/>
      <c r="F374" s="1"/>
      <c r="P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142"/>
    </row>
    <row r="375" ht="17.25" customHeight="1">
      <c r="A375" s="1"/>
      <c r="B375" s="1"/>
      <c r="C375" s="1"/>
      <c r="D375" s="1"/>
      <c r="E375" s="1"/>
      <c r="F375" s="1"/>
      <c r="P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142"/>
    </row>
    <row r="376" ht="17.25" customHeight="1">
      <c r="A376" s="1"/>
      <c r="B376" s="1"/>
      <c r="C376" s="1"/>
      <c r="D376" s="1"/>
      <c r="E376" s="1"/>
      <c r="F376" s="1"/>
      <c r="P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142"/>
    </row>
    <row r="377" ht="17.25" customHeight="1">
      <c r="A377" s="1"/>
      <c r="B377" s="1"/>
      <c r="C377" s="1"/>
      <c r="D377" s="1"/>
      <c r="E377" s="1"/>
      <c r="F377" s="1"/>
      <c r="P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142"/>
    </row>
    <row r="378" ht="17.25" customHeight="1">
      <c r="A378" s="1"/>
      <c r="B378" s="1"/>
      <c r="C378" s="1"/>
      <c r="D378" s="1"/>
      <c r="E378" s="1"/>
      <c r="F378" s="1"/>
      <c r="P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142"/>
    </row>
    <row r="379" ht="17.25" customHeight="1">
      <c r="A379" s="1"/>
      <c r="B379" s="1"/>
      <c r="C379" s="1"/>
      <c r="D379" s="1"/>
      <c r="E379" s="1"/>
      <c r="F379" s="1"/>
      <c r="P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142"/>
    </row>
    <row r="380" ht="17.25" customHeight="1">
      <c r="A380" s="1"/>
      <c r="B380" s="1"/>
      <c r="C380" s="1"/>
      <c r="D380" s="1"/>
      <c r="E380" s="1"/>
      <c r="F380" s="1"/>
      <c r="P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142"/>
    </row>
    <row r="381" ht="17.25" customHeight="1">
      <c r="A381" s="1"/>
      <c r="B381" s="1"/>
      <c r="C381" s="1"/>
      <c r="D381" s="1"/>
      <c r="E381" s="1"/>
      <c r="F381" s="1"/>
      <c r="P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142"/>
    </row>
    <row r="382" ht="17.25" customHeight="1">
      <c r="A382" s="1"/>
      <c r="B382" s="1"/>
      <c r="C382" s="1"/>
      <c r="D382" s="1"/>
      <c r="E382" s="1"/>
      <c r="F382" s="1"/>
      <c r="P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142"/>
    </row>
    <row r="383" ht="17.25" customHeight="1">
      <c r="A383" s="1"/>
      <c r="B383" s="1"/>
      <c r="C383" s="1"/>
      <c r="D383" s="1"/>
      <c r="E383" s="1"/>
      <c r="F383" s="1"/>
      <c r="P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142"/>
    </row>
    <row r="384" ht="17.25" customHeight="1">
      <c r="A384" s="1"/>
      <c r="B384" s="1"/>
      <c r="C384" s="1"/>
      <c r="D384" s="1"/>
      <c r="E384" s="1"/>
      <c r="F384" s="1"/>
      <c r="P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142"/>
    </row>
    <row r="385" ht="17.25" customHeight="1">
      <c r="A385" s="1"/>
      <c r="B385" s="1"/>
      <c r="C385" s="1"/>
      <c r="D385" s="1"/>
      <c r="E385" s="1"/>
      <c r="F385" s="1"/>
      <c r="P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142"/>
    </row>
    <row r="386" ht="17.25" customHeight="1">
      <c r="A386" s="1"/>
      <c r="B386" s="1"/>
      <c r="C386" s="1"/>
      <c r="D386" s="1"/>
      <c r="E386" s="1"/>
      <c r="F386" s="1"/>
      <c r="P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142"/>
    </row>
    <row r="387" ht="17.25" customHeight="1">
      <c r="A387" s="1"/>
      <c r="B387" s="1"/>
      <c r="C387" s="1"/>
      <c r="D387" s="1"/>
      <c r="E387" s="1"/>
      <c r="F387" s="1"/>
      <c r="P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142"/>
    </row>
    <row r="388" ht="17.25" customHeight="1">
      <c r="A388" s="1"/>
      <c r="B388" s="1"/>
      <c r="C388" s="1"/>
      <c r="D388" s="1"/>
      <c r="E388" s="1"/>
      <c r="F388" s="1"/>
      <c r="P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142"/>
    </row>
    <row r="389" ht="17.25" customHeight="1">
      <c r="A389" s="1"/>
      <c r="B389" s="1"/>
      <c r="C389" s="1"/>
      <c r="D389" s="1"/>
      <c r="E389" s="1"/>
      <c r="F389" s="1"/>
      <c r="P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142"/>
    </row>
    <row r="390" ht="17.25" customHeight="1">
      <c r="A390" s="1"/>
      <c r="B390" s="1"/>
      <c r="C390" s="1"/>
      <c r="D390" s="1"/>
      <c r="E390" s="1"/>
      <c r="F390" s="1"/>
      <c r="P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142"/>
    </row>
    <row r="391" ht="17.25" customHeight="1">
      <c r="A391" s="1"/>
      <c r="B391" s="1"/>
      <c r="C391" s="1"/>
      <c r="D391" s="1"/>
      <c r="E391" s="1"/>
      <c r="F391" s="1"/>
      <c r="P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142"/>
    </row>
    <row r="392" ht="17.25" customHeight="1">
      <c r="A392" s="1"/>
      <c r="B392" s="1"/>
      <c r="C392" s="1"/>
      <c r="D392" s="1"/>
      <c r="E392" s="1"/>
      <c r="F392" s="1"/>
      <c r="P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142"/>
    </row>
    <row r="393" ht="17.25" customHeight="1">
      <c r="A393" s="1"/>
      <c r="B393" s="1"/>
      <c r="C393" s="1"/>
      <c r="D393" s="1"/>
      <c r="E393" s="1"/>
      <c r="F393" s="1"/>
      <c r="P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142"/>
    </row>
    <row r="394" ht="17.25" customHeight="1">
      <c r="A394" s="1"/>
      <c r="B394" s="1"/>
      <c r="C394" s="1"/>
      <c r="D394" s="1"/>
      <c r="E394" s="1"/>
      <c r="F394" s="1"/>
      <c r="P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142"/>
    </row>
    <row r="395" ht="17.25" customHeight="1">
      <c r="A395" s="1"/>
      <c r="B395" s="1"/>
      <c r="C395" s="1"/>
      <c r="D395" s="1"/>
      <c r="E395" s="1"/>
      <c r="F395" s="1"/>
      <c r="P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142"/>
    </row>
    <row r="396" ht="17.25" customHeight="1">
      <c r="A396" s="1"/>
      <c r="B396" s="1"/>
      <c r="C396" s="1"/>
      <c r="D396" s="1"/>
      <c r="E396" s="1"/>
      <c r="F396" s="1"/>
      <c r="P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142"/>
    </row>
    <row r="397" ht="17.25" customHeight="1">
      <c r="A397" s="1"/>
      <c r="B397" s="1"/>
      <c r="C397" s="1"/>
      <c r="D397" s="1"/>
      <c r="E397" s="1"/>
      <c r="F397" s="1"/>
      <c r="P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142"/>
    </row>
    <row r="398" ht="17.25" customHeight="1">
      <c r="A398" s="1"/>
      <c r="B398" s="1"/>
      <c r="C398" s="1"/>
      <c r="D398" s="1"/>
      <c r="E398" s="1"/>
      <c r="F398" s="1"/>
      <c r="P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142"/>
    </row>
    <row r="399" ht="17.25" customHeight="1">
      <c r="A399" s="1"/>
      <c r="B399" s="1"/>
      <c r="C399" s="1"/>
      <c r="D399" s="1"/>
      <c r="E399" s="1"/>
      <c r="F399" s="1"/>
      <c r="P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142"/>
    </row>
    <row r="400" ht="17.25" customHeight="1">
      <c r="A400" s="1"/>
      <c r="B400" s="1"/>
      <c r="C400" s="1"/>
      <c r="D400" s="1"/>
      <c r="E400" s="1"/>
      <c r="F400" s="1"/>
      <c r="P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142"/>
    </row>
    <row r="401" ht="17.25" customHeight="1">
      <c r="A401" s="1"/>
      <c r="B401" s="1"/>
      <c r="C401" s="1"/>
      <c r="D401" s="1"/>
      <c r="E401" s="1"/>
      <c r="F401" s="1"/>
      <c r="P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142"/>
    </row>
    <row r="402" ht="17.25" customHeight="1">
      <c r="A402" s="1"/>
      <c r="B402" s="1"/>
      <c r="C402" s="1"/>
      <c r="D402" s="1"/>
      <c r="E402" s="1"/>
      <c r="F402" s="1"/>
      <c r="P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142"/>
    </row>
    <row r="403" ht="17.25" customHeight="1">
      <c r="A403" s="1"/>
      <c r="B403" s="1"/>
      <c r="C403" s="1"/>
      <c r="D403" s="1"/>
      <c r="E403" s="1"/>
      <c r="F403" s="1"/>
      <c r="P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142"/>
    </row>
    <row r="404" ht="17.25" customHeight="1">
      <c r="A404" s="1"/>
      <c r="B404" s="1"/>
      <c r="C404" s="1"/>
      <c r="D404" s="1"/>
      <c r="E404" s="1"/>
      <c r="F404" s="1"/>
      <c r="P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142"/>
    </row>
    <row r="405" ht="17.25" customHeight="1">
      <c r="A405" s="1"/>
      <c r="B405" s="1"/>
      <c r="C405" s="1"/>
      <c r="D405" s="1"/>
      <c r="E405" s="1"/>
      <c r="F405" s="1"/>
      <c r="P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142"/>
    </row>
    <row r="406" ht="17.25" customHeight="1">
      <c r="A406" s="1"/>
      <c r="B406" s="1"/>
      <c r="C406" s="1"/>
      <c r="D406" s="1"/>
      <c r="E406" s="1"/>
      <c r="F406" s="1"/>
      <c r="P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142"/>
    </row>
    <row r="407" ht="17.25" customHeight="1">
      <c r="A407" s="1"/>
      <c r="B407" s="1"/>
      <c r="C407" s="1"/>
      <c r="D407" s="1"/>
      <c r="E407" s="1"/>
      <c r="F407" s="1"/>
      <c r="P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142"/>
    </row>
    <row r="408" ht="17.25" customHeight="1">
      <c r="A408" s="1"/>
      <c r="B408" s="1"/>
      <c r="C408" s="1"/>
      <c r="D408" s="1"/>
      <c r="E408" s="1"/>
      <c r="F408" s="1"/>
      <c r="P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142"/>
    </row>
    <row r="409" ht="17.25" customHeight="1">
      <c r="A409" s="1"/>
      <c r="B409" s="1"/>
      <c r="C409" s="1"/>
      <c r="D409" s="1"/>
      <c r="E409" s="1"/>
      <c r="F409" s="1"/>
      <c r="P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142"/>
    </row>
    <row r="410" ht="17.25" customHeight="1">
      <c r="A410" s="1"/>
      <c r="B410" s="1"/>
      <c r="C410" s="1"/>
      <c r="D410" s="1"/>
      <c r="E410" s="1"/>
      <c r="F410" s="1"/>
      <c r="P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142"/>
    </row>
    <row r="411" ht="17.25" customHeight="1">
      <c r="A411" s="1"/>
      <c r="B411" s="1"/>
      <c r="C411" s="1"/>
      <c r="D411" s="1"/>
      <c r="E411" s="1"/>
      <c r="F411" s="1"/>
      <c r="P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142"/>
    </row>
    <row r="412" ht="17.25" customHeight="1">
      <c r="A412" s="1"/>
      <c r="B412" s="1"/>
      <c r="C412" s="1"/>
      <c r="D412" s="1"/>
      <c r="E412" s="1"/>
      <c r="F412" s="1"/>
      <c r="P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142"/>
    </row>
    <row r="413" ht="17.25" customHeight="1">
      <c r="A413" s="1"/>
      <c r="B413" s="1"/>
      <c r="C413" s="1"/>
      <c r="D413" s="1"/>
      <c r="E413" s="1"/>
      <c r="F413" s="1"/>
      <c r="P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142"/>
    </row>
    <row r="414" ht="17.25" customHeight="1">
      <c r="A414" s="1"/>
      <c r="B414" s="1"/>
      <c r="C414" s="1"/>
      <c r="D414" s="1"/>
      <c r="E414" s="1"/>
      <c r="F414" s="1"/>
      <c r="P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142"/>
    </row>
    <row r="415" ht="17.25" customHeight="1">
      <c r="A415" s="1"/>
      <c r="B415" s="1"/>
      <c r="C415" s="1"/>
      <c r="D415" s="1"/>
      <c r="E415" s="1"/>
      <c r="F415" s="1"/>
      <c r="P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142"/>
    </row>
    <row r="416" ht="17.25" customHeight="1">
      <c r="A416" s="1"/>
      <c r="B416" s="1"/>
      <c r="C416" s="1"/>
      <c r="D416" s="1"/>
      <c r="E416" s="1"/>
      <c r="F416" s="1"/>
      <c r="P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142"/>
    </row>
    <row r="417" ht="17.25" customHeight="1">
      <c r="A417" s="1"/>
      <c r="B417" s="1"/>
      <c r="C417" s="1"/>
      <c r="D417" s="1"/>
      <c r="E417" s="1"/>
      <c r="F417" s="1"/>
      <c r="P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142"/>
    </row>
    <row r="418" ht="17.25" customHeight="1">
      <c r="A418" s="1"/>
      <c r="B418" s="1"/>
      <c r="C418" s="1"/>
      <c r="D418" s="1"/>
      <c r="E418" s="1"/>
      <c r="F418" s="1"/>
      <c r="P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142"/>
    </row>
    <row r="419" ht="17.25" customHeight="1">
      <c r="A419" s="1"/>
      <c r="B419" s="1"/>
      <c r="C419" s="1"/>
      <c r="D419" s="1"/>
      <c r="E419" s="1"/>
      <c r="F419" s="1"/>
      <c r="P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142"/>
    </row>
    <row r="420" ht="17.25" customHeight="1">
      <c r="A420" s="1"/>
      <c r="B420" s="1"/>
      <c r="C420" s="1"/>
      <c r="D420" s="1"/>
      <c r="E420" s="1"/>
      <c r="F420" s="1"/>
      <c r="P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142"/>
    </row>
    <row r="421" ht="17.25" customHeight="1">
      <c r="A421" s="1"/>
      <c r="B421" s="1"/>
      <c r="C421" s="1"/>
      <c r="D421" s="1"/>
      <c r="E421" s="1"/>
      <c r="F421" s="1"/>
      <c r="P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142"/>
    </row>
    <row r="422" ht="17.25" customHeight="1">
      <c r="A422" s="1"/>
      <c r="B422" s="1"/>
      <c r="C422" s="1"/>
      <c r="D422" s="1"/>
      <c r="E422" s="1"/>
      <c r="F422" s="1"/>
      <c r="P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142"/>
    </row>
    <row r="423" ht="17.25" customHeight="1">
      <c r="A423" s="1"/>
      <c r="B423" s="1"/>
      <c r="C423" s="1"/>
      <c r="D423" s="1"/>
      <c r="E423" s="1"/>
      <c r="F423" s="1"/>
      <c r="P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142"/>
    </row>
    <row r="424" ht="17.25" customHeight="1">
      <c r="A424" s="1"/>
      <c r="B424" s="1"/>
      <c r="C424" s="1"/>
      <c r="D424" s="1"/>
      <c r="E424" s="1"/>
      <c r="F424" s="1"/>
      <c r="P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142"/>
    </row>
    <row r="425" ht="17.25" customHeight="1">
      <c r="A425" s="1"/>
      <c r="B425" s="1"/>
      <c r="C425" s="1"/>
      <c r="D425" s="1"/>
      <c r="E425" s="1"/>
      <c r="F425" s="1"/>
      <c r="P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142"/>
    </row>
    <row r="426" ht="17.25" customHeight="1">
      <c r="A426" s="1"/>
      <c r="B426" s="1"/>
      <c r="C426" s="1"/>
      <c r="D426" s="1"/>
      <c r="E426" s="1"/>
      <c r="F426" s="1"/>
      <c r="P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142"/>
    </row>
    <row r="427" ht="17.25" customHeight="1">
      <c r="A427" s="1"/>
      <c r="B427" s="1"/>
      <c r="C427" s="1"/>
      <c r="D427" s="1"/>
      <c r="E427" s="1"/>
      <c r="F427" s="1"/>
      <c r="P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142"/>
    </row>
    <row r="428" ht="17.25" customHeight="1">
      <c r="A428" s="1"/>
      <c r="B428" s="1"/>
      <c r="C428" s="1"/>
      <c r="D428" s="1"/>
      <c r="E428" s="1"/>
      <c r="F428" s="1"/>
      <c r="P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142"/>
    </row>
    <row r="429" ht="17.25" customHeight="1">
      <c r="A429" s="1"/>
      <c r="B429" s="1"/>
      <c r="C429" s="1"/>
      <c r="D429" s="1"/>
      <c r="E429" s="1"/>
      <c r="F429" s="1"/>
      <c r="P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142"/>
    </row>
    <row r="430" ht="17.25" customHeight="1">
      <c r="A430" s="1"/>
      <c r="B430" s="1"/>
      <c r="C430" s="1"/>
      <c r="D430" s="1"/>
      <c r="E430" s="1"/>
      <c r="F430" s="1"/>
      <c r="P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142"/>
    </row>
    <row r="431" ht="17.25" customHeight="1">
      <c r="A431" s="1"/>
      <c r="B431" s="1"/>
      <c r="C431" s="1"/>
      <c r="D431" s="1"/>
      <c r="E431" s="1"/>
      <c r="F431" s="1"/>
      <c r="P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142"/>
    </row>
    <row r="432" ht="17.25" customHeight="1">
      <c r="A432" s="1"/>
      <c r="B432" s="1"/>
      <c r="C432" s="1"/>
      <c r="D432" s="1"/>
      <c r="E432" s="1"/>
      <c r="F432" s="1"/>
      <c r="P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142"/>
    </row>
    <row r="433" ht="17.25" customHeight="1">
      <c r="A433" s="1"/>
      <c r="B433" s="1"/>
      <c r="C433" s="1"/>
      <c r="D433" s="1"/>
      <c r="E433" s="1"/>
      <c r="F433" s="1"/>
      <c r="P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142"/>
    </row>
    <row r="434" ht="17.25" customHeight="1">
      <c r="A434" s="1"/>
      <c r="B434" s="1"/>
      <c r="C434" s="1"/>
      <c r="D434" s="1"/>
      <c r="E434" s="1"/>
      <c r="F434" s="1"/>
      <c r="P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142"/>
    </row>
    <row r="435" ht="17.25" customHeight="1">
      <c r="A435" s="1"/>
      <c r="B435" s="1"/>
      <c r="C435" s="1"/>
      <c r="D435" s="1"/>
      <c r="E435" s="1"/>
      <c r="F435" s="1"/>
      <c r="P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142"/>
    </row>
    <row r="436" ht="17.25" customHeight="1">
      <c r="A436" s="1"/>
      <c r="B436" s="1"/>
      <c r="C436" s="1"/>
      <c r="D436" s="1"/>
      <c r="E436" s="1"/>
      <c r="F436" s="1"/>
      <c r="P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142"/>
    </row>
    <row r="437" ht="17.25" customHeight="1">
      <c r="A437" s="1"/>
      <c r="B437" s="1"/>
      <c r="C437" s="1"/>
      <c r="D437" s="1"/>
      <c r="E437" s="1"/>
      <c r="F437" s="1"/>
      <c r="P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142"/>
    </row>
    <row r="438" ht="17.25" customHeight="1">
      <c r="A438" s="1"/>
      <c r="B438" s="1"/>
      <c r="C438" s="1"/>
      <c r="D438" s="1"/>
      <c r="E438" s="1"/>
      <c r="F438" s="1"/>
      <c r="P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142"/>
    </row>
    <row r="439" ht="17.25" customHeight="1">
      <c r="A439" s="1"/>
      <c r="B439" s="1"/>
      <c r="C439" s="1"/>
      <c r="D439" s="1"/>
      <c r="E439" s="1"/>
      <c r="F439" s="1"/>
      <c r="P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142"/>
    </row>
    <row r="440" ht="17.25" customHeight="1">
      <c r="A440" s="1"/>
      <c r="B440" s="1"/>
      <c r="C440" s="1"/>
      <c r="D440" s="1"/>
      <c r="E440" s="1"/>
      <c r="F440" s="1"/>
      <c r="P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142"/>
    </row>
    <row r="441" ht="17.25" customHeight="1">
      <c r="A441" s="1"/>
      <c r="B441" s="1"/>
      <c r="C441" s="1"/>
      <c r="D441" s="1"/>
      <c r="E441" s="1"/>
      <c r="F441" s="1"/>
      <c r="P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142"/>
    </row>
    <row r="442" ht="17.25" customHeight="1">
      <c r="A442" s="1"/>
      <c r="B442" s="1"/>
      <c r="C442" s="1"/>
      <c r="D442" s="1"/>
      <c r="E442" s="1"/>
      <c r="F442" s="1"/>
      <c r="P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142"/>
    </row>
    <row r="443" ht="17.25" customHeight="1">
      <c r="A443" s="1"/>
      <c r="B443" s="1"/>
      <c r="C443" s="1"/>
      <c r="D443" s="1"/>
      <c r="E443" s="1"/>
      <c r="F443" s="1"/>
      <c r="P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142"/>
    </row>
    <row r="444" ht="17.25" customHeight="1">
      <c r="A444" s="1"/>
      <c r="B444" s="1"/>
      <c r="C444" s="1"/>
      <c r="D444" s="1"/>
      <c r="E444" s="1"/>
      <c r="F444" s="1"/>
      <c r="P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142"/>
    </row>
    <row r="445" ht="17.25" customHeight="1">
      <c r="A445" s="1"/>
      <c r="B445" s="1"/>
      <c r="C445" s="1"/>
      <c r="D445" s="1"/>
      <c r="E445" s="1"/>
      <c r="F445" s="1"/>
      <c r="P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142"/>
    </row>
    <row r="446" ht="17.25" customHeight="1">
      <c r="A446" s="1"/>
      <c r="B446" s="1"/>
      <c r="C446" s="1"/>
      <c r="D446" s="1"/>
      <c r="E446" s="1"/>
      <c r="F446" s="1"/>
      <c r="P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142"/>
    </row>
    <row r="447" ht="17.25" customHeight="1">
      <c r="A447" s="1"/>
      <c r="B447" s="1"/>
      <c r="C447" s="1"/>
      <c r="D447" s="1"/>
      <c r="E447" s="1"/>
      <c r="F447" s="1"/>
      <c r="P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142"/>
    </row>
    <row r="448" ht="17.25" customHeight="1">
      <c r="A448" s="1"/>
      <c r="B448" s="1"/>
      <c r="C448" s="1"/>
      <c r="D448" s="1"/>
      <c r="E448" s="1"/>
      <c r="F448" s="1"/>
      <c r="P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142"/>
    </row>
    <row r="449" ht="17.25" customHeight="1">
      <c r="A449" s="1"/>
      <c r="B449" s="1"/>
      <c r="C449" s="1"/>
      <c r="D449" s="1"/>
      <c r="E449" s="1"/>
      <c r="F449" s="1"/>
      <c r="P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142"/>
    </row>
    <row r="450" ht="17.25" customHeight="1">
      <c r="A450" s="1"/>
      <c r="B450" s="1"/>
      <c r="C450" s="1"/>
      <c r="D450" s="1"/>
      <c r="E450" s="1"/>
      <c r="F450" s="1"/>
      <c r="P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142"/>
    </row>
    <row r="451" ht="17.25" customHeight="1">
      <c r="A451" s="1"/>
      <c r="B451" s="1"/>
      <c r="C451" s="1"/>
      <c r="D451" s="1"/>
      <c r="E451" s="1"/>
      <c r="F451" s="1"/>
      <c r="P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142"/>
    </row>
    <row r="452" ht="17.25" customHeight="1">
      <c r="A452" s="1"/>
      <c r="B452" s="1"/>
      <c r="C452" s="1"/>
      <c r="D452" s="1"/>
      <c r="E452" s="1"/>
      <c r="F452" s="1"/>
      <c r="P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142"/>
    </row>
    <row r="453" ht="17.25" customHeight="1">
      <c r="A453" s="1"/>
      <c r="B453" s="1"/>
      <c r="C453" s="1"/>
      <c r="D453" s="1"/>
      <c r="E453" s="1"/>
      <c r="F453" s="1"/>
      <c r="P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142"/>
    </row>
    <row r="454" ht="17.25" customHeight="1">
      <c r="A454" s="1"/>
      <c r="B454" s="1"/>
      <c r="C454" s="1"/>
      <c r="D454" s="1"/>
      <c r="E454" s="1"/>
      <c r="F454" s="1"/>
      <c r="P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142"/>
    </row>
    <row r="455" ht="17.25" customHeight="1">
      <c r="A455" s="1"/>
      <c r="B455" s="1"/>
      <c r="C455" s="1"/>
      <c r="D455" s="1"/>
      <c r="E455" s="1"/>
      <c r="F455" s="1"/>
      <c r="P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142"/>
    </row>
    <row r="456" ht="17.25" customHeight="1">
      <c r="A456" s="1"/>
      <c r="B456" s="1"/>
      <c r="C456" s="1"/>
      <c r="D456" s="1"/>
      <c r="E456" s="1"/>
      <c r="F456" s="1"/>
      <c r="P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142"/>
    </row>
    <row r="457" ht="17.25" customHeight="1">
      <c r="A457" s="1"/>
      <c r="B457" s="1"/>
      <c r="C457" s="1"/>
      <c r="D457" s="1"/>
      <c r="E457" s="1"/>
      <c r="F457" s="1"/>
      <c r="P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142"/>
    </row>
    <row r="458" ht="17.25" customHeight="1">
      <c r="A458" s="1"/>
      <c r="B458" s="1"/>
      <c r="C458" s="1"/>
      <c r="D458" s="1"/>
      <c r="E458" s="1"/>
      <c r="F458" s="1"/>
      <c r="P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142"/>
    </row>
    <row r="459" ht="17.25" customHeight="1">
      <c r="A459" s="1"/>
      <c r="B459" s="1"/>
      <c r="C459" s="1"/>
      <c r="D459" s="1"/>
      <c r="E459" s="1"/>
      <c r="F459" s="1"/>
      <c r="P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142"/>
    </row>
    <row r="460" ht="17.25" customHeight="1">
      <c r="A460" s="1"/>
      <c r="B460" s="1"/>
      <c r="C460" s="1"/>
      <c r="D460" s="1"/>
      <c r="E460" s="1"/>
      <c r="F460" s="1"/>
      <c r="P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142"/>
    </row>
    <row r="461" ht="17.25" customHeight="1">
      <c r="A461" s="1"/>
      <c r="B461" s="1"/>
      <c r="C461" s="1"/>
      <c r="D461" s="1"/>
      <c r="E461" s="1"/>
      <c r="F461" s="1"/>
      <c r="P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142"/>
    </row>
    <row r="462" ht="17.25" customHeight="1">
      <c r="A462" s="1"/>
      <c r="B462" s="1"/>
      <c r="C462" s="1"/>
      <c r="D462" s="1"/>
      <c r="E462" s="1"/>
      <c r="F462" s="1"/>
      <c r="P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142"/>
    </row>
    <row r="463" ht="17.25" customHeight="1">
      <c r="A463" s="1"/>
      <c r="B463" s="1"/>
      <c r="C463" s="1"/>
      <c r="D463" s="1"/>
      <c r="E463" s="1"/>
      <c r="F463" s="1"/>
      <c r="P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142"/>
    </row>
    <row r="464" ht="17.25" customHeight="1">
      <c r="A464" s="1"/>
      <c r="B464" s="1"/>
      <c r="C464" s="1"/>
      <c r="D464" s="1"/>
      <c r="E464" s="1"/>
      <c r="F464" s="1"/>
      <c r="P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142"/>
    </row>
    <row r="465" ht="17.25" customHeight="1">
      <c r="A465" s="1"/>
      <c r="B465" s="1"/>
      <c r="C465" s="1"/>
      <c r="D465" s="1"/>
      <c r="E465" s="1"/>
      <c r="F465" s="1"/>
      <c r="P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142"/>
    </row>
    <row r="466" ht="17.25" customHeight="1">
      <c r="A466" s="1"/>
      <c r="B466" s="1"/>
      <c r="C466" s="1"/>
      <c r="D466" s="1"/>
      <c r="E466" s="1"/>
      <c r="F466" s="1"/>
      <c r="P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142"/>
    </row>
    <row r="467" ht="17.25" customHeight="1">
      <c r="A467" s="1"/>
      <c r="B467" s="1"/>
      <c r="C467" s="1"/>
      <c r="D467" s="1"/>
      <c r="E467" s="1"/>
      <c r="F467" s="1"/>
      <c r="P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142"/>
    </row>
    <row r="468" ht="17.25" customHeight="1">
      <c r="A468" s="1"/>
      <c r="B468" s="1"/>
      <c r="C468" s="1"/>
      <c r="D468" s="1"/>
      <c r="E468" s="1"/>
      <c r="F468" s="1"/>
      <c r="P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142"/>
    </row>
    <row r="469" ht="17.25" customHeight="1">
      <c r="A469" s="1"/>
      <c r="B469" s="1"/>
      <c r="C469" s="1"/>
      <c r="D469" s="1"/>
      <c r="E469" s="1"/>
      <c r="F469" s="1"/>
      <c r="P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142"/>
    </row>
    <row r="470" ht="17.25" customHeight="1">
      <c r="A470" s="1"/>
      <c r="B470" s="1"/>
      <c r="C470" s="1"/>
      <c r="D470" s="1"/>
      <c r="E470" s="1"/>
      <c r="F470" s="1"/>
      <c r="P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142"/>
    </row>
    <row r="471" ht="17.25" customHeight="1">
      <c r="A471" s="1"/>
      <c r="B471" s="1"/>
      <c r="C471" s="1"/>
      <c r="D471" s="1"/>
      <c r="E471" s="1"/>
      <c r="F471" s="1"/>
      <c r="P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142"/>
    </row>
    <row r="472" ht="17.25" customHeight="1">
      <c r="A472" s="1"/>
      <c r="B472" s="1"/>
      <c r="C472" s="1"/>
      <c r="D472" s="1"/>
      <c r="E472" s="1"/>
      <c r="F472" s="1"/>
      <c r="P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142"/>
    </row>
    <row r="473" ht="17.25" customHeight="1">
      <c r="A473" s="1"/>
      <c r="B473" s="1"/>
      <c r="C473" s="1"/>
      <c r="D473" s="1"/>
      <c r="E473" s="1"/>
      <c r="F473" s="1"/>
      <c r="P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142"/>
    </row>
    <row r="474" ht="17.25" customHeight="1">
      <c r="A474" s="1"/>
      <c r="B474" s="1"/>
      <c r="C474" s="1"/>
      <c r="D474" s="1"/>
      <c r="E474" s="1"/>
      <c r="F474" s="1"/>
      <c r="P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142"/>
    </row>
    <row r="475" ht="17.25" customHeight="1">
      <c r="A475" s="1"/>
      <c r="B475" s="1"/>
      <c r="C475" s="1"/>
      <c r="D475" s="1"/>
      <c r="E475" s="1"/>
      <c r="F475" s="1"/>
      <c r="P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142"/>
    </row>
    <row r="476" ht="17.25" customHeight="1">
      <c r="A476" s="1"/>
      <c r="B476" s="1"/>
      <c r="C476" s="1"/>
      <c r="D476" s="1"/>
      <c r="E476" s="1"/>
      <c r="F476" s="1"/>
      <c r="P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142"/>
    </row>
    <row r="477" ht="17.25" customHeight="1">
      <c r="A477" s="1"/>
      <c r="B477" s="1"/>
      <c r="C477" s="1"/>
      <c r="D477" s="1"/>
      <c r="E477" s="1"/>
      <c r="F477" s="1"/>
      <c r="P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142"/>
    </row>
    <row r="478" ht="17.25" customHeight="1">
      <c r="A478" s="1"/>
      <c r="B478" s="1"/>
      <c r="C478" s="1"/>
      <c r="D478" s="1"/>
      <c r="E478" s="1"/>
      <c r="F478" s="1"/>
      <c r="P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142"/>
    </row>
    <row r="479" ht="17.25" customHeight="1">
      <c r="A479" s="1"/>
      <c r="B479" s="1"/>
      <c r="C479" s="1"/>
      <c r="D479" s="1"/>
      <c r="E479" s="1"/>
      <c r="F479" s="1"/>
      <c r="P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142"/>
    </row>
    <row r="480" ht="17.25" customHeight="1">
      <c r="A480" s="1"/>
      <c r="B480" s="1"/>
      <c r="C480" s="1"/>
      <c r="D480" s="1"/>
      <c r="E480" s="1"/>
      <c r="F480" s="1"/>
      <c r="P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142"/>
    </row>
    <row r="481" ht="17.25" customHeight="1">
      <c r="A481" s="1"/>
      <c r="B481" s="1"/>
      <c r="C481" s="1"/>
      <c r="D481" s="1"/>
      <c r="E481" s="1"/>
      <c r="F481" s="1"/>
      <c r="P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142"/>
    </row>
    <row r="482" ht="17.25" customHeight="1">
      <c r="A482" s="1"/>
      <c r="B482" s="1"/>
      <c r="C482" s="1"/>
      <c r="D482" s="1"/>
      <c r="E482" s="1"/>
      <c r="F482" s="1"/>
      <c r="P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142"/>
    </row>
    <row r="483" ht="17.25" customHeight="1">
      <c r="A483" s="1"/>
      <c r="B483" s="1"/>
      <c r="C483" s="1"/>
      <c r="D483" s="1"/>
      <c r="E483" s="1"/>
      <c r="F483" s="1"/>
      <c r="P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142"/>
    </row>
    <row r="484" ht="17.25" customHeight="1">
      <c r="A484" s="1"/>
      <c r="B484" s="1"/>
      <c r="C484" s="1"/>
      <c r="D484" s="1"/>
      <c r="E484" s="1"/>
      <c r="F484" s="1"/>
      <c r="P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142"/>
    </row>
    <row r="485" ht="17.25" customHeight="1">
      <c r="A485" s="1"/>
      <c r="B485" s="1"/>
      <c r="C485" s="1"/>
      <c r="D485" s="1"/>
      <c r="E485" s="1"/>
      <c r="F485" s="1"/>
      <c r="P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142"/>
    </row>
    <row r="486" ht="17.25" customHeight="1">
      <c r="A486" s="1"/>
      <c r="B486" s="1"/>
      <c r="C486" s="1"/>
      <c r="D486" s="1"/>
      <c r="E486" s="1"/>
      <c r="F486" s="1"/>
      <c r="P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142"/>
    </row>
    <row r="487" ht="17.25" customHeight="1">
      <c r="A487" s="1"/>
      <c r="B487" s="1"/>
      <c r="C487" s="1"/>
      <c r="D487" s="1"/>
      <c r="E487" s="1"/>
      <c r="F487" s="1"/>
      <c r="P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142"/>
    </row>
    <row r="488" ht="17.25" customHeight="1">
      <c r="A488" s="1"/>
      <c r="B488" s="1"/>
      <c r="C488" s="1"/>
      <c r="D488" s="1"/>
      <c r="E488" s="1"/>
      <c r="F488" s="1"/>
      <c r="P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142"/>
    </row>
    <row r="489" ht="17.25" customHeight="1">
      <c r="A489" s="1"/>
      <c r="B489" s="1"/>
      <c r="C489" s="1"/>
      <c r="D489" s="1"/>
      <c r="E489" s="1"/>
      <c r="F489" s="1"/>
      <c r="P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142"/>
    </row>
    <row r="490" ht="17.25" customHeight="1">
      <c r="A490" s="1"/>
      <c r="B490" s="1"/>
      <c r="C490" s="1"/>
      <c r="D490" s="1"/>
      <c r="E490" s="1"/>
      <c r="F490" s="1"/>
      <c r="P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142"/>
    </row>
    <row r="491" ht="17.25" customHeight="1">
      <c r="A491" s="1"/>
      <c r="B491" s="1"/>
      <c r="C491" s="1"/>
      <c r="D491" s="1"/>
      <c r="E491" s="1"/>
      <c r="F491" s="1"/>
      <c r="P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142"/>
    </row>
    <row r="492" ht="17.25" customHeight="1">
      <c r="A492" s="1"/>
      <c r="B492" s="1"/>
      <c r="C492" s="1"/>
      <c r="D492" s="1"/>
      <c r="E492" s="1"/>
      <c r="F492" s="1"/>
      <c r="P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142"/>
    </row>
    <row r="493" ht="17.25" customHeight="1">
      <c r="A493" s="1"/>
      <c r="B493" s="1"/>
      <c r="C493" s="1"/>
      <c r="D493" s="1"/>
      <c r="E493" s="1"/>
      <c r="F493" s="1"/>
      <c r="P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142"/>
    </row>
    <row r="494" ht="17.25" customHeight="1">
      <c r="A494" s="1"/>
      <c r="B494" s="1"/>
      <c r="C494" s="1"/>
      <c r="D494" s="1"/>
      <c r="E494" s="1"/>
      <c r="F494" s="1"/>
      <c r="P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142"/>
    </row>
    <row r="495" ht="17.25" customHeight="1">
      <c r="A495" s="1"/>
      <c r="B495" s="1"/>
      <c r="C495" s="1"/>
      <c r="D495" s="1"/>
      <c r="E495" s="1"/>
      <c r="F495" s="1"/>
      <c r="P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142"/>
    </row>
    <row r="496" ht="17.25" customHeight="1">
      <c r="A496" s="1"/>
      <c r="B496" s="1"/>
      <c r="C496" s="1"/>
      <c r="D496" s="1"/>
      <c r="E496" s="1"/>
      <c r="F496" s="1"/>
      <c r="P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142"/>
    </row>
    <row r="497" ht="17.25" customHeight="1">
      <c r="A497" s="1"/>
      <c r="B497" s="1"/>
      <c r="C497" s="1"/>
      <c r="D497" s="1"/>
      <c r="E497" s="1"/>
      <c r="F497" s="1"/>
      <c r="P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142"/>
    </row>
    <row r="498" ht="17.25" customHeight="1">
      <c r="A498" s="1"/>
      <c r="B498" s="1"/>
      <c r="C498" s="1"/>
      <c r="D498" s="1"/>
      <c r="E498" s="1"/>
      <c r="F498" s="1"/>
      <c r="P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142"/>
    </row>
    <row r="499" ht="17.25" customHeight="1">
      <c r="A499" s="1"/>
      <c r="B499" s="1"/>
      <c r="C499" s="1"/>
      <c r="D499" s="1"/>
      <c r="E499" s="1"/>
      <c r="F499" s="1"/>
      <c r="P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142"/>
    </row>
    <row r="500" ht="17.25" customHeight="1">
      <c r="A500" s="1"/>
      <c r="B500" s="1"/>
      <c r="C500" s="1"/>
      <c r="D500" s="1"/>
      <c r="E500" s="1"/>
      <c r="F500" s="1"/>
      <c r="P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142"/>
    </row>
    <row r="501" ht="17.25" customHeight="1">
      <c r="A501" s="1"/>
      <c r="B501" s="1"/>
      <c r="C501" s="1"/>
      <c r="D501" s="1"/>
      <c r="E501" s="1"/>
      <c r="F501" s="1"/>
      <c r="P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142"/>
    </row>
    <row r="502" ht="17.25" customHeight="1">
      <c r="A502" s="1"/>
      <c r="B502" s="1"/>
      <c r="C502" s="1"/>
      <c r="D502" s="1"/>
      <c r="E502" s="1"/>
      <c r="F502" s="1"/>
      <c r="P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142"/>
    </row>
    <row r="503" ht="17.25" customHeight="1">
      <c r="A503" s="1"/>
      <c r="B503" s="1"/>
      <c r="C503" s="1"/>
      <c r="D503" s="1"/>
      <c r="E503" s="1"/>
      <c r="F503" s="1"/>
      <c r="P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142"/>
    </row>
    <row r="504" ht="17.25" customHeight="1">
      <c r="A504" s="1"/>
      <c r="B504" s="1"/>
      <c r="C504" s="1"/>
      <c r="D504" s="1"/>
      <c r="E504" s="1"/>
      <c r="F504" s="1"/>
      <c r="P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142"/>
    </row>
    <row r="505" ht="17.25" customHeight="1">
      <c r="A505" s="1"/>
      <c r="B505" s="1"/>
      <c r="C505" s="1"/>
      <c r="D505" s="1"/>
      <c r="E505" s="1"/>
      <c r="F505" s="1"/>
      <c r="P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142"/>
    </row>
    <row r="506" ht="17.25" customHeight="1">
      <c r="A506" s="1"/>
      <c r="B506" s="1"/>
      <c r="C506" s="1"/>
      <c r="D506" s="1"/>
      <c r="E506" s="1"/>
      <c r="F506" s="1"/>
      <c r="P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142"/>
    </row>
    <row r="507" ht="17.25" customHeight="1">
      <c r="A507" s="1"/>
      <c r="B507" s="1"/>
      <c r="C507" s="1"/>
      <c r="D507" s="1"/>
      <c r="E507" s="1"/>
      <c r="F507" s="1"/>
      <c r="P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142"/>
    </row>
    <row r="508" ht="17.25" customHeight="1">
      <c r="A508" s="1"/>
      <c r="B508" s="1"/>
      <c r="C508" s="1"/>
      <c r="D508" s="1"/>
      <c r="E508" s="1"/>
      <c r="F508" s="1"/>
      <c r="P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142"/>
    </row>
    <row r="509" ht="17.25" customHeight="1">
      <c r="A509" s="1"/>
      <c r="B509" s="1"/>
      <c r="C509" s="1"/>
      <c r="D509" s="1"/>
      <c r="E509" s="1"/>
      <c r="F509" s="1"/>
      <c r="P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142"/>
    </row>
    <row r="510" ht="17.25" customHeight="1">
      <c r="A510" s="1"/>
      <c r="B510" s="1"/>
      <c r="C510" s="1"/>
      <c r="D510" s="1"/>
      <c r="E510" s="1"/>
      <c r="F510" s="1"/>
      <c r="P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142"/>
    </row>
    <row r="511" ht="17.25" customHeight="1">
      <c r="A511" s="1"/>
      <c r="B511" s="1"/>
      <c r="C511" s="1"/>
      <c r="D511" s="1"/>
      <c r="E511" s="1"/>
      <c r="F511" s="1"/>
      <c r="P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142"/>
    </row>
    <row r="512" ht="17.25" customHeight="1">
      <c r="A512" s="1"/>
      <c r="B512" s="1"/>
      <c r="C512" s="1"/>
      <c r="D512" s="1"/>
      <c r="E512" s="1"/>
      <c r="F512" s="1"/>
      <c r="P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142"/>
    </row>
    <row r="513" ht="17.25" customHeight="1">
      <c r="A513" s="1"/>
      <c r="B513" s="1"/>
      <c r="C513" s="1"/>
      <c r="D513" s="1"/>
      <c r="E513" s="1"/>
      <c r="F513" s="1"/>
      <c r="P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142"/>
    </row>
    <row r="514" ht="17.25" customHeight="1">
      <c r="A514" s="1"/>
      <c r="B514" s="1"/>
      <c r="C514" s="1"/>
      <c r="D514" s="1"/>
      <c r="E514" s="1"/>
      <c r="F514" s="1"/>
      <c r="P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142"/>
    </row>
    <row r="515" ht="17.25" customHeight="1">
      <c r="A515" s="1"/>
      <c r="B515" s="1"/>
      <c r="C515" s="1"/>
      <c r="D515" s="1"/>
      <c r="E515" s="1"/>
      <c r="F515" s="1"/>
      <c r="P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142"/>
    </row>
    <row r="516" ht="17.25" customHeight="1">
      <c r="A516" s="1"/>
      <c r="B516" s="1"/>
      <c r="C516" s="1"/>
      <c r="D516" s="1"/>
      <c r="E516" s="1"/>
      <c r="F516" s="1"/>
      <c r="P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142"/>
    </row>
    <row r="517" ht="17.25" customHeight="1">
      <c r="A517" s="1"/>
      <c r="B517" s="1"/>
      <c r="C517" s="1"/>
      <c r="D517" s="1"/>
      <c r="E517" s="1"/>
      <c r="F517" s="1"/>
      <c r="P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142"/>
    </row>
    <row r="518" ht="17.25" customHeight="1">
      <c r="A518" s="1"/>
      <c r="B518" s="1"/>
      <c r="C518" s="1"/>
      <c r="D518" s="1"/>
      <c r="E518" s="1"/>
      <c r="F518" s="1"/>
      <c r="P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142"/>
    </row>
    <row r="519" ht="17.25" customHeight="1">
      <c r="A519" s="1"/>
      <c r="B519" s="1"/>
      <c r="C519" s="1"/>
      <c r="D519" s="1"/>
      <c r="E519" s="1"/>
      <c r="F519" s="1"/>
      <c r="P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142"/>
    </row>
    <row r="520" ht="17.25" customHeight="1">
      <c r="A520" s="1"/>
      <c r="B520" s="1"/>
      <c r="C520" s="1"/>
      <c r="D520" s="1"/>
      <c r="E520" s="1"/>
      <c r="F520" s="1"/>
      <c r="P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142"/>
    </row>
    <row r="521" ht="17.25" customHeight="1">
      <c r="A521" s="1"/>
      <c r="B521" s="1"/>
      <c r="C521" s="1"/>
      <c r="D521" s="1"/>
      <c r="E521" s="1"/>
      <c r="F521" s="1"/>
      <c r="P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142"/>
    </row>
    <row r="522" ht="17.25" customHeight="1">
      <c r="A522" s="1"/>
      <c r="B522" s="1"/>
      <c r="C522" s="1"/>
      <c r="D522" s="1"/>
      <c r="E522" s="1"/>
      <c r="F522" s="1"/>
      <c r="P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142"/>
    </row>
    <row r="523" ht="17.25" customHeight="1">
      <c r="A523" s="1"/>
      <c r="B523" s="1"/>
      <c r="C523" s="1"/>
      <c r="D523" s="1"/>
      <c r="E523" s="1"/>
      <c r="F523" s="1"/>
      <c r="P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142"/>
    </row>
    <row r="524" ht="17.25" customHeight="1">
      <c r="A524" s="1"/>
      <c r="B524" s="1"/>
      <c r="C524" s="1"/>
      <c r="D524" s="1"/>
      <c r="E524" s="1"/>
      <c r="F524" s="1"/>
      <c r="P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142"/>
    </row>
    <row r="525" ht="17.25" customHeight="1">
      <c r="A525" s="1"/>
      <c r="B525" s="1"/>
      <c r="C525" s="1"/>
      <c r="D525" s="1"/>
      <c r="E525" s="1"/>
      <c r="F525" s="1"/>
      <c r="P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142"/>
    </row>
    <row r="526" ht="17.25" customHeight="1">
      <c r="A526" s="1"/>
      <c r="B526" s="1"/>
      <c r="C526" s="1"/>
      <c r="D526" s="1"/>
      <c r="E526" s="1"/>
      <c r="F526" s="1"/>
      <c r="P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142"/>
    </row>
    <row r="527" ht="17.25" customHeight="1">
      <c r="A527" s="1"/>
      <c r="B527" s="1"/>
      <c r="C527" s="1"/>
      <c r="D527" s="1"/>
      <c r="E527" s="1"/>
      <c r="F527" s="1"/>
      <c r="P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142"/>
    </row>
    <row r="528" ht="17.25" customHeight="1">
      <c r="A528" s="1"/>
      <c r="B528" s="1"/>
      <c r="C528" s="1"/>
      <c r="D528" s="1"/>
      <c r="E528" s="1"/>
      <c r="F528" s="1"/>
      <c r="P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142"/>
    </row>
    <row r="529" ht="17.25" customHeight="1">
      <c r="A529" s="1"/>
      <c r="B529" s="1"/>
      <c r="C529" s="1"/>
      <c r="D529" s="1"/>
      <c r="E529" s="1"/>
      <c r="F529" s="1"/>
      <c r="P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142"/>
    </row>
    <row r="530" ht="17.25" customHeight="1">
      <c r="A530" s="1"/>
      <c r="B530" s="1"/>
      <c r="C530" s="1"/>
      <c r="D530" s="1"/>
      <c r="E530" s="1"/>
      <c r="F530" s="1"/>
      <c r="P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142"/>
    </row>
    <row r="531" ht="17.25" customHeight="1">
      <c r="A531" s="1"/>
      <c r="B531" s="1"/>
      <c r="C531" s="1"/>
      <c r="D531" s="1"/>
      <c r="E531" s="1"/>
      <c r="F531" s="1"/>
      <c r="P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142"/>
    </row>
    <row r="532" ht="17.25" customHeight="1">
      <c r="A532" s="1"/>
      <c r="B532" s="1"/>
      <c r="C532" s="1"/>
      <c r="D532" s="1"/>
      <c r="E532" s="1"/>
      <c r="F532" s="1"/>
      <c r="P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142"/>
    </row>
    <row r="533" ht="17.25" customHeight="1">
      <c r="A533" s="1"/>
      <c r="B533" s="1"/>
      <c r="C533" s="1"/>
      <c r="D533" s="1"/>
      <c r="E533" s="1"/>
      <c r="F533" s="1"/>
      <c r="P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142"/>
    </row>
    <row r="534" ht="17.25" customHeight="1">
      <c r="A534" s="1"/>
      <c r="B534" s="1"/>
      <c r="C534" s="1"/>
      <c r="D534" s="1"/>
      <c r="E534" s="1"/>
      <c r="F534" s="1"/>
      <c r="P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142"/>
    </row>
    <row r="535" ht="17.25" customHeight="1">
      <c r="A535" s="1"/>
      <c r="B535" s="1"/>
      <c r="C535" s="1"/>
      <c r="D535" s="1"/>
      <c r="E535" s="1"/>
      <c r="F535" s="1"/>
      <c r="P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142"/>
    </row>
    <row r="536" ht="17.25" customHeight="1">
      <c r="A536" s="1"/>
      <c r="B536" s="1"/>
      <c r="C536" s="1"/>
      <c r="D536" s="1"/>
      <c r="E536" s="1"/>
      <c r="F536" s="1"/>
      <c r="P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142"/>
    </row>
    <row r="537" ht="17.25" customHeight="1">
      <c r="A537" s="1"/>
      <c r="B537" s="1"/>
      <c r="C537" s="1"/>
      <c r="D537" s="1"/>
      <c r="E537" s="1"/>
      <c r="F537" s="1"/>
      <c r="P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142"/>
    </row>
    <row r="538" ht="17.25" customHeight="1">
      <c r="A538" s="1"/>
      <c r="B538" s="1"/>
      <c r="C538" s="1"/>
      <c r="D538" s="1"/>
      <c r="E538" s="1"/>
      <c r="F538" s="1"/>
      <c r="P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142"/>
    </row>
    <row r="539" ht="17.25" customHeight="1">
      <c r="A539" s="1"/>
      <c r="B539" s="1"/>
      <c r="C539" s="1"/>
      <c r="D539" s="1"/>
      <c r="E539" s="1"/>
      <c r="F539" s="1"/>
      <c r="P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142"/>
    </row>
    <row r="540" ht="17.25" customHeight="1">
      <c r="A540" s="1"/>
      <c r="B540" s="1"/>
      <c r="C540" s="1"/>
      <c r="D540" s="1"/>
      <c r="E540" s="1"/>
      <c r="F540" s="1"/>
      <c r="P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142"/>
    </row>
    <row r="541" ht="17.25" customHeight="1">
      <c r="A541" s="1"/>
      <c r="B541" s="1"/>
      <c r="C541" s="1"/>
      <c r="D541" s="1"/>
      <c r="E541" s="1"/>
      <c r="F541" s="1"/>
      <c r="P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142"/>
    </row>
    <row r="542" ht="17.25" customHeight="1">
      <c r="A542" s="1"/>
      <c r="B542" s="1"/>
      <c r="C542" s="1"/>
      <c r="D542" s="1"/>
      <c r="E542" s="1"/>
      <c r="F542" s="1"/>
      <c r="P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142"/>
    </row>
    <row r="543" ht="17.25" customHeight="1">
      <c r="A543" s="1"/>
      <c r="B543" s="1"/>
      <c r="C543" s="1"/>
      <c r="D543" s="1"/>
      <c r="E543" s="1"/>
      <c r="F543" s="1"/>
      <c r="P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142"/>
    </row>
    <row r="544" ht="17.25" customHeight="1">
      <c r="A544" s="1"/>
      <c r="B544" s="1"/>
      <c r="C544" s="1"/>
      <c r="D544" s="1"/>
      <c r="E544" s="1"/>
      <c r="F544" s="1"/>
      <c r="P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142"/>
    </row>
    <row r="545" ht="17.25" customHeight="1">
      <c r="A545" s="1"/>
      <c r="B545" s="1"/>
      <c r="C545" s="1"/>
      <c r="D545" s="1"/>
      <c r="E545" s="1"/>
      <c r="F545" s="1"/>
      <c r="P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142"/>
    </row>
    <row r="546" ht="17.25" customHeight="1">
      <c r="A546" s="1"/>
      <c r="B546" s="1"/>
      <c r="C546" s="1"/>
      <c r="D546" s="1"/>
      <c r="E546" s="1"/>
      <c r="F546" s="1"/>
      <c r="P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142"/>
    </row>
    <row r="547" ht="17.25" customHeight="1">
      <c r="A547" s="1"/>
      <c r="B547" s="1"/>
      <c r="C547" s="1"/>
      <c r="D547" s="1"/>
      <c r="E547" s="1"/>
      <c r="F547" s="1"/>
      <c r="P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142"/>
    </row>
    <row r="548" ht="17.25" customHeight="1">
      <c r="A548" s="1"/>
      <c r="B548" s="1"/>
      <c r="C548" s="1"/>
      <c r="D548" s="1"/>
      <c r="E548" s="1"/>
      <c r="F548" s="1"/>
      <c r="P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142"/>
    </row>
    <row r="549" ht="17.25" customHeight="1">
      <c r="A549" s="1"/>
      <c r="B549" s="1"/>
      <c r="C549" s="1"/>
      <c r="D549" s="1"/>
      <c r="E549" s="1"/>
      <c r="F549" s="1"/>
      <c r="P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142"/>
    </row>
    <row r="550" ht="17.25" customHeight="1">
      <c r="A550" s="1"/>
      <c r="B550" s="1"/>
      <c r="C550" s="1"/>
      <c r="D550" s="1"/>
      <c r="E550" s="1"/>
      <c r="F550" s="1"/>
      <c r="P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142"/>
    </row>
    <row r="551" ht="17.25" customHeight="1">
      <c r="A551" s="1"/>
      <c r="B551" s="1"/>
      <c r="C551" s="1"/>
      <c r="D551" s="1"/>
      <c r="E551" s="1"/>
      <c r="F551" s="1"/>
      <c r="P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142"/>
    </row>
    <row r="552" ht="17.25" customHeight="1">
      <c r="A552" s="1"/>
      <c r="B552" s="1"/>
      <c r="C552" s="1"/>
      <c r="D552" s="1"/>
      <c r="E552" s="1"/>
      <c r="F552" s="1"/>
      <c r="P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142"/>
    </row>
    <row r="553" ht="17.25" customHeight="1">
      <c r="A553" s="1"/>
      <c r="B553" s="1"/>
      <c r="C553" s="1"/>
      <c r="D553" s="1"/>
      <c r="E553" s="1"/>
      <c r="F553" s="1"/>
      <c r="P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142"/>
    </row>
    <row r="554" ht="17.25" customHeight="1">
      <c r="A554" s="1"/>
      <c r="B554" s="1"/>
      <c r="C554" s="1"/>
      <c r="D554" s="1"/>
      <c r="E554" s="1"/>
      <c r="F554" s="1"/>
      <c r="P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142"/>
    </row>
    <row r="555" ht="17.25" customHeight="1">
      <c r="A555" s="1"/>
      <c r="B555" s="1"/>
      <c r="C555" s="1"/>
      <c r="D555" s="1"/>
      <c r="E555" s="1"/>
      <c r="F555" s="1"/>
      <c r="P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142"/>
    </row>
    <row r="556" ht="17.25" customHeight="1">
      <c r="A556" s="1"/>
      <c r="B556" s="1"/>
      <c r="C556" s="1"/>
      <c r="D556" s="1"/>
      <c r="E556" s="1"/>
      <c r="F556" s="1"/>
      <c r="P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142"/>
    </row>
    <row r="557" ht="17.25" customHeight="1">
      <c r="A557" s="1"/>
      <c r="B557" s="1"/>
      <c r="C557" s="1"/>
      <c r="D557" s="1"/>
      <c r="E557" s="1"/>
      <c r="F557" s="1"/>
      <c r="P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142"/>
    </row>
    <row r="558" ht="17.25" customHeight="1">
      <c r="A558" s="1"/>
      <c r="B558" s="1"/>
      <c r="C558" s="1"/>
      <c r="D558" s="1"/>
      <c r="E558" s="1"/>
      <c r="F558" s="1"/>
      <c r="P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142"/>
    </row>
    <row r="559" ht="17.25" customHeight="1">
      <c r="A559" s="1"/>
      <c r="B559" s="1"/>
      <c r="C559" s="1"/>
      <c r="D559" s="1"/>
      <c r="E559" s="1"/>
      <c r="F559" s="1"/>
      <c r="P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142"/>
    </row>
    <row r="560" ht="17.25" customHeight="1">
      <c r="A560" s="1"/>
      <c r="B560" s="1"/>
      <c r="C560" s="1"/>
      <c r="D560" s="1"/>
      <c r="E560" s="1"/>
      <c r="F560" s="1"/>
      <c r="P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142"/>
    </row>
    <row r="561" ht="17.25" customHeight="1">
      <c r="A561" s="1"/>
      <c r="B561" s="1"/>
      <c r="C561" s="1"/>
      <c r="D561" s="1"/>
      <c r="E561" s="1"/>
      <c r="F561" s="1"/>
      <c r="P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142"/>
    </row>
    <row r="562" ht="17.25" customHeight="1">
      <c r="A562" s="1"/>
      <c r="B562" s="1"/>
      <c r="C562" s="1"/>
      <c r="D562" s="1"/>
      <c r="E562" s="1"/>
      <c r="F562" s="1"/>
      <c r="P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142"/>
    </row>
    <row r="563" ht="17.25" customHeight="1">
      <c r="A563" s="1"/>
      <c r="B563" s="1"/>
      <c r="C563" s="1"/>
      <c r="D563" s="1"/>
      <c r="E563" s="1"/>
      <c r="F563" s="1"/>
      <c r="P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142"/>
    </row>
    <row r="564" ht="17.25" customHeight="1">
      <c r="A564" s="1"/>
      <c r="B564" s="1"/>
      <c r="C564" s="1"/>
      <c r="D564" s="1"/>
      <c r="E564" s="1"/>
      <c r="F564" s="1"/>
      <c r="P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142"/>
    </row>
    <row r="565" ht="17.25" customHeight="1">
      <c r="A565" s="1"/>
      <c r="B565" s="1"/>
      <c r="C565" s="1"/>
      <c r="D565" s="1"/>
      <c r="E565" s="1"/>
      <c r="F565" s="1"/>
      <c r="P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142"/>
    </row>
    <row r="566" ht="17.25" customHeight="1">
      <c r="A566" s="1"/>
      <c r="B566" s="1"/>
      <c r="C566" s="1"/>
      <c r="D566" s="1"/>
      <c r="E566" s="1"/>
      <c r="F566" s="1"/>
      <c r="P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142"/>
    </row>
    <row r="567" ht="17.25" customHeight="1">
      <c r="A567" s="1"/>
      <c r="B567" s="1"/>
      <c r="C567" s="1"/>
      <c r="D567" s="1"/>
      <c r="E567" s="1"/>
      <c r="F567" s="1"/>
      <c r="P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142"/>
    </row>
    <row r="568" ht="17.25" customHeight="1">
      <c r="A568" s="1"/>
      <c r="B568" s="1"/>
      <c r="C568" s="1"/>
      <c r="D568" s="1"/>
      <c r="E568" s="1"/>
      <c r="F568" s="1"/>
      <c r="P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142"/>
    </row>
    <row r="569" ht="17.25" customHeight="1">
      <c r="A569" s="1"/>
      <c r="B569" s="1"/>
      <c r="C569" s="1"/>
      <c r="D569" s="1"/>
      <c r="E569" s="1"/>
      <c r="F569" s="1"/>
      <c r="P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142"/>
    </row>
    <row r="570" ht="17.25" customHeight="1">
      <c r="A570" s="1"/>
      <c r="B570" s="1"/>
      <c r="C570" s="1"/>
      <c r="D570" s="1"/>
      <c r="E570" s="1"/>
      <c r="F570" s="1"/>
      <c r="P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142"/>
    </row>
    <row r="571" ht="17.25" customHeight="1">
      <c r="A571" s="1"/>
      <c r="B571" s="1"/>
      <c r="C571" s="1"/>
      <c r="D571" s="1"/>
      <c r="E571" s="1"/>
      <c r="F571" s="1"/>
      <c r="P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142"/>
    </row>
    <row r="572" ht="17.25" customHeight="1">
      <c r="A572" s="1"/>
      <c r="B572" s="1"/>
      <c r="C572" s="1"/>
      <c r="D572" s="1"/>
      <c r="E572" s="1"/>
      <c r="F572" s="1"/>
      <c r="P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142"/>
    </row>
    <row r="573" ht="17.25" customHeight="1">
      <c r="A573" s="1"/>
      <c r="B573" s="1"/>
      <c r="C573" s="1"/>
      <c r="D573" s="1"/>
      <c r="E573" s="1"/>
      <c r="F573" s="1"/>
      <c r="P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142"/>
    </row>
    <row r="574" ht="17.25" customHeight="1">
      <c r="A574" s="1"/>
      <c r="B574" s="1"/>
      <c r="C574" s="1"/>
      <c r="D574" s="1"/>
      <c r="E574" s="1"/>
      <c r="F574" s="1"/>
      <c r="P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142"/>
    </row>
    <row r="575" ht="17.25" customHeight="1">
      <c r="A575" s="1"/>
      <c r="B575" s="1"/>
      <c r="C575" s="1"/>
      <c r="D575" s="1"/>
      <c r="E575" s="1"/>
      <c r="F575" s="1"/>
      <c r="P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142"/>
    </row>
    <row r="576" ht="17.25" customHeight="1">
      <c r="A576" s="1"/>
      <c r="B576" s="1"/>
      <c r="C576" s="1"/>
      <c r="D576" s="1"/>
      <c r="E576" s="1"/>
      <c r="F576" s="1"/>
      <c r="P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142"/>
    </row>
    <row r="577" ht="17.25" customHeight="1">
      <c r="A577" s="1"/>
      <c r="B577" s="1"/>
      <c r="C577" s="1"/>
      <c r="D577" s="1"/>
      <c r="E577" s="1"/>
      <c r="F577" s="1"/>
      <c r="P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142"/>
    </row>
    <row r="578" ht="17.25" customHeight="1">
      <c r="A578" s="1"/>
      <c r="B578" s="1"/>
      <c r="C578" s="1"/>
      <c r="D578" s="1"/>
      <c r="E578" s="1"/>
      <c r="F578" s="1"/>
      <c r="P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142"/>
    </row>
    <row r="579" ht="17.25" customHeight="1">
      <c r="A579" s="1"/>
      <c r="B579" s="1"/>
      <c r="C579" s="1"/>
      <c r="D579" s="1"/>
      <c r="E579" s="1"/>
      <c r="F579" s="1"/>
      <c r="P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142"/>
    </row>
    <row r="580" ht="17.25" customHeight="1">
      <c r="A580" s="1"/>
      <c r="B580" s="1"/>
      <c r="C580" s="1"/>
      <c r="D580" s="1"/>
      <c r="E580" s="1"/>
      <c r="F580" s="1"/>
      <c r="P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142"/>
    </row>
    <row r="581" ht="17.25" customHeight="1">
      <c r="A581" s="1"/>
      <c r="B581" s="1"/>
      <c r="C581" s="1"/>
      <c r="D581" s="1"/>
      <c r="E581" s="1"/>
      <c r="F581" s="1"/>
      <c r="P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142"/>
    </row>
    <row r="582" ht="17.25" customHeight="1">
      <c r="A582" s="1"/>
      <c r="B582" s="1"/>
      <c r="C582" s="1"/>
      <c r="D582" s="1"/>
      <c r="E582" s="1"/>
      <c r="F582" s="1"/>
      <c r="P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142"/>
    </row>
    <row r="583" ht="17.25" customHeight="1">
      <c r="A583" s="1"/>
      <c r="B583" s="1"/>
      <c r="C583" s="1"/>
      <c r="D583" s="1"/>
      <c r="E583" s="1"/>
      <c r="F583" s="1"/>
      <c r="P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142"/>
    </row>
    <row r="584" ht="17.25" customHeight="1">
      <c r="A584" s="1"/>
      <c r="B584" s="1"/>
      <c r="C584" s="1"/>
      <c r="D584" s="1"/>
      <c r="E584" s="1"/>
      <c r="F584" s="1"/>
      <c r="P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142"/>
    </row>
    <row r="585" ht="17.25" customHeight="1">
      <c r="A585" s="1"/>
      <c r="B585" s="1"/>
      <c r="C585" s="1"/>
      <c r="D585" s="1"/>
      <c r="E585" s="1"/>
      <c r="F585" s="1"/>
      <c r="P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142"/>
    </row>
    <row r="586" ht="17.25" customHeight="1">
      <c r="A586" s="1"/>
      <c r="B586" s="1"/>
      <c r="C586" s="1"/>
      <c r="D586" s="1"/>
      <c r="E586" s="1"/>
      <c r="F586" s="1"/>
      <c r="P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142"/>
    </row>
    <row r="587" ht="17.25" customHeight="1">
      <c r="A587" s="1"/>
      <c r="B587" s="1"/>
      <c r="C587" s="1"/>
      <c r="D587" s="1"/>
      <c r="E587" s="1"/>
      <c r="F587" s="1"/>
      <c r="P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142"/>
    </row>
    <row r="588" ht="17.25" customHeight="1">
      <c r="A588" s="1"/>
      <c r="B588" s="1"/>
      <c r="C588" s="1"/>
      <c r="D588" s="1"/>
      <c r="E588" s="1"/>
      <c r="F588" s="1"/>
      <c r="P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142"/>
    </row>
    <row r="589" ht="17.25" customHeight="1">
      <c r="A589" s="1"/>
      <c r="B589" s="1"/>
      <c r="C589" s="1"/>
      <c r="D589" s="1"/>
      <c r="E589" s="1"/>
      <c r="F589" s="1"/>
      <c r="P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142"/>
    </row>
    <row r="590" ht="17.25" customHeight="1">
      <c r="A590" s="1"/>
      <c r="B590" s="1"/>
      <c r="C590" s="1"/>
      <c r="D590" s="1"/>
      <c r="E590" s="1"/>
      <c r="F590" s="1"/>
      <c r="P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142"/>
    </row>
    <row r="591" ht="17.25" customHeight="1">
      <c r="A591" s="1"/>
      <c r="B591" s="1"/>
      <c r="C591" s="1"/>
      <c r="D591" s="1"/>
      <c r="E591" s="1"/>
      <c r="F591" s="1"/>
      <c r="P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142"/>
    </row>
    <row r="592" ht="17.25" customHeight="1">
      <c r="A592" s="1"/>
      <c r="B592" s="1"/>
      <c r="C592" s="1"/>
      <c r="D592" s="1"/>
      <c r="E592" s="1"/>
      <c r="F592" s="1"/>
      <c r="P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142"/>
    </row>
    <row r="593" ht="17.25" customHeight="1">
      <c r="A593" s="1"/>
      <c r="B593" s="1"/>
      <c r="C593" s="1"/>
      <c r="D593" s="1"/>
      <c r="E593" s="1"/>
      <c r="F593" s="1"/>
      <c r="P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142"/>
    </row>
    <row r="594" ht="17.25" customHeight="1">
      <c r="A594" s="1"/>
      <c r="B594" s="1"/>
      <c r="C594" s="1"/>
      <c r="D594" s="1"/>
      <c r="E594" s="1"/>
      <c r="F594" s="1"/>
      <c r="P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142"/>
    </row>
    <row r="595" ht="17.25" customHeight="1">
      <c r="A595" s="1"/>
      <c r="B595" s="1"/>
      <c r="C595" s="1"/>
      <c r="D595" s="1"/>
      <c r="E595" s="1"/>
      <c r="F595" s="1"/>
      <c r="P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142"/>
    </row>
    <row r="596" ht="17.25" customHeight="1">
      <c r="A596" s="1"/>
      <c r="B596" s="1"/>
      <c r="C596" s="1"/>
      <c r="D596" s="1"/>
      <c r="E596" s="1"/>
      <c r="F596" s="1"/>
      <c r="P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142"/>
    </row>
    <row r="597" ht="17.25" customHeight="1">
      <c r="A597" s="1"/>
      <c r="B597" s="1"/>
      <c r="C597" s="1"/>
      <c r="D597" s="1"/>
      <c r="E597" s="1"/>
      <c r="F597" s="1"/>
      <c r="P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142"/>
    </row>
    <row r="598" ht="17.25" customHeight="1">
      <c r="A598" s="1"/>
      <c r="B598" s="1"/>
      <c r="C598" s="1"/>
      <c r="D598" s="1"/>
      <c r="E598" s="1"/>
      <c r="F598" s="1"/>
      <c r="P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142"/>
    </row>
    <row r="599" ht="17.25" customHeight="1">
      <c r="A599" s="1"/>
      <c r="B599" s="1"/>
      <c r="C599" s="1"/>
      <c r="D599" s="1"/>
      <c r="E599" s="1"/>
      <c r="F599" s="1"/>
      <c r="P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142"/>
    </row>
    <row r="600" ht="17.25" customHeight="1">
      <c r="A600" s="1"/>
      <c r="B600" s="1"/>
      <c r="C600" s="1"/>
      <c r="D600" s="1"/>
      <c r="E600" s="1"/>
      <c r="F600" s="1"/>
      <c r="P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142"/>
    </row>
    <row r="601" ht="17.25" customHeight="1">
      <c r="A601" s="1"/>
      <c r="B601" s="1"/>
      <c r="C601" s="1"/>
      <c r="D601" s="1"/>
      <c r="E601" s="1"/>
      <c r="F601" s="1"/>
      <c r="P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142"/>
    </row>
    <row r="602" ht="17.25" customHeight="1">
      <c r="A602" s="1"/>
      <c r="B602" s="1"/>
      <c r="C602" s="1"/>
      <c r="D602" s="1"/>
      <c r="E602" s="1"/>
      <c r="F602" s="1"/>
      <c r="P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142"/>
    </row>
    <row r="603" ht="17.25" customHeight="1">
      <c r="A603" s="1"/>
      <c r="B603" s="1"/>
      <c r="C603" s="1"/>
      <c r="D603" s="1"/>
      <c r="E603" s="1"/>
      <c r="F603" s="1"/>
      <c r="P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142"/>
    </row>
    <row r="604" ht="17.25" customHeight="1">
      <c r="A604" s="1"/>
      <c r="B604" s="1"/>
      <c r="C604" s="1"/>
      <c r="D604" s="1"/>
      <c r="E604" s="1"/>
      <c r="F604" s="1"/>
      <c r="P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142"/>
    </row>
    <row r="605" ht="17.25" customHeight="1">
      <c r="A605" s="1"/>
      <c r="B605" s="1"/>
      <c r="C605" s="1"/>
      <c r="D605" s="1"/>
      <c r="E605" s="1"/>
      <c r="F605" s="1"/>
      <c r="P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142"/>
    </row>
    <row r="606" ht="17.25" customHeight="1">
      <c r="A606" s="1"/>
      <c r="B606" s="1"/>
      <c r="C606" s="1"/>
      <c r="D606" s="1"/>
      <c r="E606" s="1"/>
      <c r="F606" s="1"/>
      <c r="P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142"/>
    </row>
    <row r="607" ht="17.25" customHeight="1">
      <c r="A607" s="1"/>
      <c r="B607" s="1"/>
      <c r="C607" s="1"/>
      <c r="D607" s="1"/>
      <c r="E607" s="1"/>
      <c r="F607" s="1"/>
      <c r="P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142"/>
    </row>
    <row r="608" ht="17.25" customHeight="1">
      <c r="A608" s="1"/>
      <c r="B608" s="1"/>
      <c r="C608" s="1"/>
      <c r="D608" s="1"/>
      <c r="E608" s="1"/>
      <c r="F608" s="1"/>
      <c r="P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142"/>
    </row>
    <row r="609" ht="17.25" customHeight="1">
      <c r="A609" s="1"/>
      <c r="B609" s="1"/>
      <c r="C609" s="1"/>
      <c r="D609" s="1"/>
      <c r="E609" s="1"/>
      <c r="F609" s="1"/>
      <c r="P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142"/>
    </row>
    <row r="610" ht="17.25" customHeight="1">
      <c r="A610" s="1"/>
      <c r="B610" s="1"/>
      <c r="C610" s="1"/>
      <c r="D610" s="1"/>
      <c r="E610" s="1"/>
      <c r="F610" s="1"/>
      <c r="P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142"/>
    </row>
    <row r="611" ht="17.25" customHeight="1">
      <c r="A611" s="1"/>
      <c r="B611" s="1"/>
      <c r="C611" s="1"/>
      <c r="D611" s="1"/>
      <c r="E611" s="1"/>
      <c r="F611" s="1"/>
      <c r="P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142"/>
    </row>
    <row r="612" ht="17.25" customHeight="1">
      <c r="A612" s="1"/>
      <c r="B612" s="1"/>
      <c r="C612" s="1"/>
      <c r="D612" s="1"/>
      <c r="E612" s="1"/>
      <c r="F612" s="1"/>
      <c r="P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142"/>
    </row>
    <row r="613" ht="17.25" customHeight="1">
      <c r="A613" s="1"/>
      <c r="B613" s="1"/>
      <c r="C613" s="1"/>
      <c r="D613" s="1"/>
      <c r="E613" s="1"/>
      <c r="F613" s="1"/>
      <c r="P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142"/>
    </row>
    <row r="614" ht="17.25" customHeight="1">
      <c r="A614" s="1"/>
      <c r="B614" s="1"/>
      <c r="C614" s="1"/>
      <c r="D614" s="1"/>
      <c r="E614" s="1"/>
      <c r="F614" s="1"/>
      <c r="P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142"/>
    </row>
    <row r="615" ht="17.25" customHeight="1">
      <c r="A615" s="1"/>
      <c r="B615" s="1"/>
      <c r="C615" s="1"/>
      <c r="D615" s="1"/>
      <c r="E615" s="1"/>
      <c r="F615" s="1"/>
      <c r="P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142"/>
    </row>
    <row r="616" ht="17.25" customHeight="1">
      <c r="A616" s="1"/>
      <c r="B616" s="1"/>
      <c r="C616" s="1"/>
      <c r="D616" s="1"/>
      <c r="E616" s="1"/>
      <c r="F616" s="1"/>
      <c r="P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142"/>
    </row>
    <row r="617" ht="17.25" customHeight="1">
      <c r="A617" s="1"/>
      <c r="B617" s="1"/>
      <c r="C617" s="1"/>
      <c r="D617" s="1"/>
      <c r="E617" s="1"/>
      <c r="F617" s="1"/>
      <c r="P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142"/>
    </row>
    <row r="618" ht="17.25" customHeight="1">
      <c r="A618" s="1"/>
      <c r="B618" s="1"/>
      <c r="C618" s="1"/>
      <c r="D618" s="1"/>
      <c r="E618" s="1"/>
      <c r="F618" s="1"/>
      <c r="P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142"/>
    </row>
    <row r="619" ht="17.25" customHeight="1">
      <c r="A619" s="1"/>
      <c r="B619" s="1"/>
      <c r="C619" s="1"/>
      <c r="D619" s="1"/>
      <c r="E619" s="1"/>
      <c r="F619" s="1"/>
      <c r="P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142"/>
    </row>
    <row r="620" ht="17.25" customHeight="1">
      <c r="A620" s="1"/>
      <c r="B620" s="1"/>
      <c r="C620" s="1"/>
      <c r="D620" s="1"/>
      <c r="E620" s="1"/>
      <c r="F620" s="1"/>
      <c r="P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142"/>
    </row>
    <row r="621" ht="17.25" customHeight="1">
      <c r="A621" s="1"/>
      <c r="B621" s="1"/>
      <c r="C621" s="1"/>
      <c r="D621" s="1"/>
      <c r="E621" s="1"/>
      <c r="F621" s="1"/>
      <c r="P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142"/>
    </row>
    <row r="622" ht="17.25" customHeight="1">
      <c r="A622" s="1"/>
      <c r="B622" s="1"/>
      <c r="C622" s="1"/>
      <c r="D622" s="1"/>
      <c r="E622" s="1"/>
      <c r="F622" s="1"/>
      <c r="P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142"/>
    </row>
    <row r="623" ht="17.25" customHeight="1">
      <c r="A623" s="1"/>
      <c r="B623" s="1"/>
      <c r="C623" s="1"/>
      <c r="D623" s="1"/>
      <c r="E623" s="1"/>
      <c r="F623" s="1"/>
      <c r="P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142"/>
    </row>
    <row r="624" ht="17.25" customHeight="1">
      <c r="A624" s="1"/>
      <c r="B624" s="1"/>
      <c r="C624" s="1"/>
      <c r="D624" s="1"/>
      <c r="E624" s="1"/>
      <c r="F624" s="1"/>
      <c r="P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142"/>
    </row>
    <row r="625" ht="17.25" customHeight="1">
      <c r="A625" s="1"/>
      <c r="B625" s="1"/>
      <c r="C625" s="1"/>
      <c r="D625" s="1"/>
      <c r="E625" s="1"/>
      <c r="F625" s="1"/>
      <c r="P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142"/>
    </row>
    <row r="626" ht="17.25" customHeight="1">
      <c r="A626" s="1"/>
      <c r="B626" s="1"/>
      <c r="C626" s="1"/>
      <c r="D626" s="1"/>
      <c r="E626" s="1"/>
      <c r="F626" s="1"/>
      <c r="P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142"/>
    </row>
    <row r="627" ht="17.25" customHeight="1">
      <c r="A627" s="1"/>
      <c r="B627" s="1"/>
      <c r="C627" s="1"/>
      <c r="D627" s="1"/>
      <c r="E627" s="1"/>
      <c r="F627" s="1"/>
      <c r="P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142"/>
    </row>
    <row r="628" ht="17.25" customHeight="1">
      <c r="A628" s="1"/>
      <c r="B628" s="1"/>
      <c r="C628" s="1"/>
      <c r="D628" s="1"/>
      <c r="E628" s="1"/>
      <c r="F628" s="1"/>
      <c r="P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142"/>
    </row>
    <row r="629" ht="17.25" customHeight="1">
      <c r="A629" s="1"/>
      <c r="B629" s="1"/>
      <c r="C629" s="1"/>
      <c r="D629" s="1"/>
      <c r="E629" s="1"/>
      <c r="F629" s="1"/>
      <c r="P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142"/>
    </row>
    <row r="630" ht="17.25" customHeight="1">
      <c r="A630" s="1"/>
      <c r="B630" s="1"/>
      <c r="C630" s="1"/>
      <c r="D630" s="1"/>
      <c r="E630" s="1"/>
      <c r="F630" s="1"/>
      <c r="P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142"/>
    </row>
    <row r="631" ht="17.25" customHeight="1">
      <c r="A631" s="1"/>
      <c r="B631" s="1"/>
      <c r="C631" s="1"/>
      <c r="D631" s="1"/>
      <c r="E631" s="1"/>
      <c r="F631" s="1"/>
      <c r="P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142"/>
    </row>
    <row r="632" ht="17.25" customHeight="1">
      <c r="A632" s="1"/>
      <c r="B632" s="1"/>
      <c r="C632" s="1"/>
      <c r="D632" s="1"/>
      <c r="E632" s="1"/>
      <c r="F632" s="1"/>
      <c r="P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142"/>
    </row>
    <row r="633" ht="17.25" customHeight="1">
      <c r="A633" s="1"/>
      <c r="B633" s="1"/>
      <c r="C633" s="1"/>
      <c r="D633" s="1"/>
      <c r="E633" s="1"/>
      <c r="F633" s="1"/>
      <c r="P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142"/>
    </row>
    <row r="634" ht="17.25" customHeight="1">
      <c r="A634" s="1"/>
      <c r="B634" s="1"/>
      <c r="C634" s="1"/>
      <c r="D634" s="1"/>
      <c r="E634" s="1"/>
      <c r="F634" s="1"/>
      <c r="P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142"/>
    </row>
    <row r="635" ht="17.25" customHeight="1">
      <c r="A635" s="1"/>
      <c r="B635" s="1"/>
      <c r="C635" s="1"/>
      <c r="D635" s="1"/>
      <c r="E635" s="1"/>
      <c r="F635" s="1"/>
      <c r="P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142"/>
    </row>
    <row r="636" ht="17.25" customHeight="1">
      <c r="A636" s="1"/>
      <c r="B636" s="1"/>
      <c r="C636" s="1"/>
      <c r="D636" s="1"/>
      <c r="E636" s="1"/>
      <c r="F636" s="1"/>
      <c r="P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142"/>
    </row>
    <row r="637" ht="17.25" customHeight="1">
      <c r="A637" s="1"/>
      <c r="B637" s="1"/>
      <c r="C637" s="1"/>
      <c r="D637" s="1"/>
      <c r="E637" s="1"/>
      <c r="F637" s="1"/>
      <c r="P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142"/>
    </row>
    <row r="638" ht="17.25" customHeight="1">
      <c r="A638" s="1"/>
      <c r="B638" s="1"/>
      <c r="C638" s="1"/>
      <c r="D638" s="1"/>
      <c r="E638" s="1"/>
      <c r="F638" s="1"/>
      <c r="P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142"/>
    </row>
    <row r="639" ht="17.25" customHeight="1">
      <c r="A639" s="1"/>
      <c r="B639" s="1"/>
      <c r="C639" s="1"/>
      <c r="D639" s="1"/>
      <c r="E639" s="1"/>
      <c r="F639" s="1"/>
      <c r="P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142"/>
    </row>
    <row r="640" ht="17.25" customHeight="1">
      <c r="A640" s="1"/>
      <c r="B640" s="1"/>
      <c r="C640" s="1"/>
      <c r="D640" s="1"/>
      <c r="E640" s="1"/>
      <c r="F640" s="1"/>
      <c r="P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142"/>
    </row>
    <row r="641" ht="17.25" customHeight="1">
      <c r="A641" s="1"/>
      <c r="B641" s="1"/>
      <c r="C641" s="1"/>
      <c r="D641" s="1"/>
      <c r="E641" s="1"/>
      <c r="F641" s="1"/>
      <c r="P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142"/>
    </row>
    <row r="642" ht="17.25" customHeight="1">
      <c r="A642" s="1"/>
      <c r="B642" s="1"/>
      <c r="C642" s="1"/>
      <c r="D642" s="1"/>
      <c r="E642" s="1"/>
      <c r="F642" s="1"/>
      <c r="P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142"/>
    </row>
    <row r="643" ht="17.25" customHeight="1">
      <c r="A643" s="1"/>
      <c r="B643" s="1"/>
      <c r="C643" s="1"/>
      <c r="D643" s="1"/>
      <c r="E643" s="1"/>
      <c r="F643" s="1"/>
      <c r="P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142"/>
    </row>
    <row r="644" ht="17.25" customHeight="1">
      <c r="A644" s="1"/>
      <c r="B644" s="1"/>
      <c r="C644" s="1"/>
      <c r="D644" s="1"/>
      <c r="E644" s="1"/>
      <c r="F644" s="1"/>
      <c r="P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142"/>
    </row>
    <row r="645" ht="17.25" customHeight="1">
      <c r="A645" s="1"/>
      <c r="B645" s="1"/>
      <c r="C645" s="1"/>
      <c r="D645" s="1"/>
      <c r="E645" s="1"/>
      <c r="F645" s="1"/>
      <c r="P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142"/>
    </row>
    <row r="646" ht="17.25" customHeight="1">
      <c r="A646" s="1"/>
      <c r="B646" s="1"/>
      <c r="C646" s="1"/>
      <c r="D646" s="1"/>
      <c r="E646" s="1"/>
      <c r="F646" s="1"/>
      <c r="P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142"/>
    </row>
    <row r="647" ht="17.25" customHeight="1">
      <c r="A647" s="1"/>
      <c r="B647" s="1"/>
      <c r="C647" s="1"/>
      <c r="D647" s="1"/>
      <c r="E647" s="1"/>
      <c r="F647" s="1"/>
      <c r="P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142"/>
    </row>
    <row r="648" ht="17.25" customHeight="1">
      <c r="A648" s="1"/>
      <c r="B648" s="1"/>
      <c r="C648" s="1"/>
      <c r="D648" s="1"/>
      <c r="E648" s="1"/>
      <c r="F648" s="1"/>
      <c r="P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142"/>
    </row>
    <row r="649" ht="17.25" customHeight="1">
      <c r="A649" s="1"/>
      <c r="B649" s="1"/>
      <c r="C649" s="1"/>
      <c r="D649" s="1"/>
      <c r="E649" s="1"/>
      <c r="F649" s="1"/>
      <c r="P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142"/>
    </row>
    <row r="650" ht="17.25" customHeight="1">
      <c r="A650" s="1"/>
      <c r="B650" s="1"/>
      <c r="C650" s="1"/>
      <c r="D650" s="1"/>
      <c r="E650" s="1"/>
      <c r="F650" s="1"/>
      <c r="P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142"/>
    </row>
    <row r="651" ht="17.25" customHeight="1">
      <c r="A651" s="1"/>
      <c r="B651" s="1"/>
      <c r="C651" s="1"/>
      <c r="D651" s="1"/>
      <c r="E651" s="1"/>
      <c r="F651" s="1"/>
      <c r="P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142"/>
    </row>
    <row r="652" ht="17.25" customHeight="1">
      <c r="A652" s="1"/>
      <c r="B652" s="1"/>
      <c r="C652" s="1"/>
      <c r="D652" s="1"/>
      <c r="E652" s="1"/>
      <c r="F652" s="1"/>
      <c r="P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142"/>
    </row>
    <row r="653" ht="17.25" customHeight="1">
      <c r="A653" s="1"/>
      <c r="B653" s="1"/>
      <c r="C653" s="1"/>
      <c r="D653" s="1"/>
      <c r="E653" s="1"/>
      <c r="F653" s="1"/>
      <c r="P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142"/>
    </row>
    <row r="654" ht="17.25" customHeight="1">
      <c r="A654" s="1"/>
      <c r="B654" s="1"/>
      <c r="C654" s="1"/>
      <c r="D654" s="1"/>
      <c r="E654" s="1"/>
      <c r="F654" s="1"/>
      <c r="P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142"/>
    </row>
    <row r="655" ht="17.25" customHeight="1">
      <c r="A655" s="1"/>
      <c r="B655" s="1"/>
      <c r="C655" s="1"/>
      <c r="D655" s="1"/>
      <c r="E655" s="1"/>
      <c r="F655" s="1"/>
      <c r="P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142"/>
    </row>
    <row r="656" ht="17.25" customHeight="1">
      <c r="A656" s="1"/>
      <c r="B656" s="1"/>
      <c r="C656" s="1"/>
      <c r="D656" s="1"/>
      <c r="E656" s="1"/>
      <c r="F656" s="1"/>
      <c r="P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142"/>
    </row>
    <row r="657" ht="17.25" customHeight="1">
      <c r="A657" s="1"/>
      <c r="B657" s="1"/>
      <c r="C657" s="1"/>
      <c r="D657" s="1"/>
      <c r="E657" s="1"/>
      <c r="F657" s="1"/>
      <c r="P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142"/>
    </row>
    <row r="658" ht="17.25" customHeight="1">
      <c r="A658" s="1"/>
      <c r="B658" s="1"/>
      <c r="C658" s="1"/>
      <c r="D658" s="1"/>
      <c r="E658" s="1"/>
      <c r="F658" s="1"/>
      <c r="P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142"/>
    </row>
    <row r="659" ht="17.25" customHeight="1">
      <c r="A659" s="1"/>
      <c r="B659" s="1"/>
      <c r="C659" s="1"/>
      <c r="D659" s="1"/>
      <c r="E659" s="1"/>
      <c r="F659" s="1"/>
      <c r="P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142"/>
    </row>
    <row r="660" ht="17.25" customHeight="1">
      <c r="A660" s="1"/>
      <c r="B660" s="1"/>
      <c r="C660" s="1"/>
      <c r="D660" s="1"/>
      <c r="E660" s="1"/>
      <c r="F660" s="1"/>
      <c r="P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142"/>
    </row>
    <row r="661" ht="17.25" customHeight="1">
      <c r="A661" s="1"/>
      <c r="B661" s="1"/>
      <c r="C661" s="1"/>
      <c r="D661" s="1"/>
      <c r="E661" s="1"/>
      <c r="F661" s="1"/>
      <c r="P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142"/>
    </row>
    <row r="662" ht="17.25" customHeight="1">
      <c r="A662" s="1"/>
      <c r="B662" s="1"/>
      <c r="C662" s="1"/>
      <c r="D662" s="1"/>
      <c r="E662" s="1"/>
      <c r="F662" s="1"/>
      <c r="P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142"/>
    </row>
    <row r="663" ht="17.25" customHeight="1">
      <c r="A663" s="1"/>
      <c r="B663" s="1"/>
      <c r="C663" s="1"/>
      <c r="D663" s="1"/>
      <c r="E663" s="1"/>
      <c r="F663" s="1"/>
      <c r="P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142"/>
    </row>
    <row r="664" ht="17.25" customHeight="1">
      <c r="A664" s="1"/>
      <c r="B664" s="1"/>
      <c r="C664" s="1"/>
      <c r="D664" s="1"/>
      <c r="E664" s="1"/>
      <c r="F664" s="1"/>
      <c r="P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142"/>
    </row>
    <row r="665" ht="17.25" customHeight="1">
      <c r="A665" s="1"/>
      <c r="B665" s="1"/>
      <c r="C665" s="1"/>
      <c r="D665" s="1"/>
      <c r="E665" s="1"/>
      <c r="F665" s="1"/>
      <c r="P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142"/>
    </row>
    <row r="666" ht="17.25" customHeight="1">
      <c r="A666" s="1"/>
      <c r="B666" s="1"/>
      <c r="C666" s="1"/>
      <c r="D666" s="1"/>
      <c r="E666" s="1"/>
      <c r="F666" s="1"/>
      <c r="P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142"/>
    </row>
    <row r="667" ht="17.25" customHeight="1">
      <c r="A667" s="1"/>
      <c r="B667" s="1"/>
      <c r="C667" s="1"/>
      <c r="D667" s="1"/>
      <c r="E667" s="1"/>
      <c r="F667" s="1"/>
      <c r="P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142"/>
    </row>
    <row r="668" ht="17.25" customHeight="1">
      <c r="A668" s="1"/>
      <c r="B668" s="1"/>
      <c r="C668" s="1"/>
      <c r="D668" s="1"/>
      <c r="E668" s="1"/>
      <c r="F668" s="1"/>
      <c r="P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142"/>
    </row>
    <row r="669" ht="17.25" customHeight="1">
      <c r="A669" s="1"/>
      <c r="B669" s="1"/>
      <c r="C669" s="1"/>
      <c r="D669" s="1"/>
      <c r="E669" s="1"/>
      <c r="F669" s="1"/>
      <c r="P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142"/>
    </row>
    <row r="670" ht="17.25" customHeight="1">
      <c r="A670" s="1"/>
      <c r="B670" s="1"/>
      <c r="C670" s="1"/>
      <c r="D670" s="1"/>
      <c r="E670" s="1"/>
      <c r="F670" s="1"/>
      <c r="P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142"/>
    </row>
    <row r="671" ht="17.25" customHeight="1">
      <c r="A671" s="1"/>
      <c r="B671" s="1"/>
      <c r="C671" s="1"/>
      <c r="D671" s="1"/>
      <c r="E671" s="1"/>
      <c r="F671" s="1"/>
      <c r="P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142"/>
    </row>
    <row r="672" ht="17.25" customHeight="1">
      <c r="A672" s="1"/>
      <c r="B672" s="1"/>
      <c r="C672" s="1"/>
      <c r="D672" s="1"/>
      <c r="E672" s="1"/>
      <c r="F672" s="1"/>
      <c r="P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142"/>
    </row>
    <row r="673" ht="17.25" customHeight="1">
      <c r="A673" s="1"/>
      <c r="B673" s="1"/>
      <c r="C673" s="1"/>
      <c r="D673" s="1"/>
      <c r="E673" s="1"/>
      <c r="F673" s="1"/>
      <c r="P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142"/>
    </row>
    <row r="674" ht="17.25" customHeight="1">
      <c r="A674" s="1"/>
      <c r="B674" s="1"/>
      <c r="C674" s="1"/>
      <c r="D674" s="1"/>
      <c r="E674" s="1"/>
      <c r="F674" s="1"/>
      <c r="P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142"/>
    </row>
    <row r="675" ht="17.25" customHeight="1">
      <c r="A675" s="1"/>
      <c r="B675" s="1"/>
      <c r="C675" s="1"/>
      <c r="D675" s="1"/>
      <c r="E675" s="1"/>
      <c r="F675" s="1"/>
      <c r="P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142"/>
    </row>
    <row r="676" ht="17.25" customHeight="1">
      <c r="A676" s="1"/>
      <c r="B676" s="1"/>
      <c r="C676" s="1"/>
      <c r="D676" s="1"/>
      <c r="E676" s="1"/>
      <c r="F676" s="1"/>
      <c r="P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142"/>
    </row>
    <row r="677" ht="17.25" customHeight="1">
      <c r="A677" s="1"/>
      <c r="B677" s="1"/>
      <c r="C677" s="1"/>
      <c r="D677" s="1"/>
      <c r="E677" s="1"/>
      <c r="F677" s="1"/>
      <c r="P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142"/>
    </row>
    <row r="678" ht="17.25" customHeight="1">
      <c r="A678" s="1"/>
      <c r="B678" s="1"/>
      <c r="C678" s="1"/>
      <c r="D678" s="1"/>
      <c r="E678" s="1"/>
      <c r="F678" s="1"/>
      <c r="P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142"/>
    </row>
    <row r="679" ht="17.25" customHeight="1">
      <c r="A679" s="1"/>
      <c r="B679" s="1"/>
      <c r="C679" s="1"/>
      <c r="D679" s="1"/>
      <c r="E679" s="1"/>
      <c r="F679" s="1"/>
      <c r="P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142"/>
    </row>
    <row r="680" ht="17.25" customHeight="1">
      <c r="A680" s="1"/>
      <c r="B680" s="1"/>
      <c r="C680" s="1"/>
      <c r="D680" s="1"/>
      <c r="E680" s="1"/>
      <c r="F680" s="1"/>
      <c r="P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142"/>
    </row>
    <row r="681" ht="17.25" customHeight="1">
      <c r="A681" s="1"/>
      <c r="B681" s="1"/>
      <c r="C681" s="1"/>
      <c r="D681" s="1"/>
      <c r="E681" s="1"/>
      <c r="F681" s="1"/>
      <c r="P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142"/>
    </row>
    <row r="682" ht="17.25" customHeight="1">
      <c r="A682" s="1"/>
      <c r="B682" s="1"/>
      <c r="C682" s="1"/>
      <c r="D682" s="1"/>
      <c r="E682" s="1"/>
      <c r="F682" s="1"/>
      <c r="P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142"/>
    </row>
    <row r="683" ht="17.25" customHeight="1">
      <c r="A683" s="1"/>
      <c r="B683" s="1"/>
      <c r="C683" s="1"/>
      <c r="D683" s="1"/>
      <c r="E683" s="1"/>
      <c r="F683" s="1"/>
      <c r="P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142"/>
    </row>
    <row r="684" ht="17.25" customHeight="1">
      <c r="A684" s="1"/>
      <c r="B684" s="1"/>
      <c r="C684" s="1"/>
      <c r="D684" s="1"/>
      <c r="E684" s="1"/>
      <c r="F684" s="1"/>
      <c r="P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142"/>
    </row>
    <row r="685" ht="17.25" customHeight="1">
      <c r="A685" s="1"/>
      <c r="B685" s="1"/>
      <c r="C685" s="1"/>
      <c r="D685" s="1"/>
      <c r="E685" s="1"/>
      <c r="F685" s="1"/>
      <c r="P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142"/>
    </row>
    <row r="686" ht="17.25" customHeight="1">
      <c r="A686" s="1"/>
      <c r="B686" s="1"/>
      <c r="C686" s="1"/>
      <c r="D686" s="1"/>
      <c r="E686" s="1"/>
      <c r="F686" s="1"/>
      <c r="P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142"/>
    </row>
    <row r="687" ht="17.25" customHeight="1">
      <c r="A687" s="1"/>
      <c r="B687" s="1"/>
      <c r="C687" s="1"/>
      <c r="D687" s="1"/>
      <c r="E687" s="1"/>
      <c r="F687" s="1"/>
      <c r="P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142"/>
    </row>
    <row r="688" ht="17.25" customHeight="1">
      <c r="A688" s="1"/>
      <c r="B688" s="1"/>
      <c r="C688" s="1"/>
      <c r="D688" s="1"/>
      <c r="E688" s="1"/>
      <c r="F688" s="1"/>
      <c r="P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142"/>
    </row>
    <row r="689" ht="17.25" customHeight="1">
      <c r="A689" s="1"/>
      <c r="B689" s="1"/>
      <c r="C689" s="1"/>
      <c r="D689" s="1"/>
      <c r="E689" s="1"/>
      <c r="F689" s="1"/>
      <c r="P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142"/>
    </row>
    <row r="690" ht="17.25" customHeight="1">
      <c r="A690" s="1"/>
      <c r="B690" s="1"/>
      <c r="C690" s="1"/>
      <c r="D690" s="1"/>
      <c r="E690" s="1"/>
      <c r="F690" s="1"/>
      <c r="P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142"/>
    </row>
    <row r="691" ht="17.25" customHeight="1">
      <c r="A691" s="1"/>
      <c r="B691" s="1"/>
      <c r="C691" s="1"/>
      <c r="D691" s="1"/>
      <c r="E691" s="1"/>
      <c r="F691" s="1"/>
      <c r="P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142"/>
    </row>
    <row r="692" ht="17.25" customHeight="1">
      <c r="A692" s="1"/>
      <c r="B692" s="1"/>
      <c r="C692" s="1"/>
      <c r="D692" s="1"/>
      <c r="E692" s="1"/>
      <c r="F692" s="1"/>
      <c r="P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142"/>
    </row>
    <row r="693" ht="17.25" customHeight="1">
      <c r="A693" s="1"/>
      <c r="B693" s="1"/>
      <c r="C693" s="1"/>
      <c r="D693" s="1"/>
      <c r="E693" s="1"/>
      <c r="F693" s="1"/>
      <c r="P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142"/>
    </row>
    <row r="694" ht="17.25" customHeight="1">
      <c r="A694" s="1"/>
      <c r="B694" s="1"/>
      <c r="C694" s="1"/>
      <c r="D694" s="1"/>
      <c r="E694" s="1"/>
      <c r="F694" s="1"/>
      <c r="P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142"/>
    </row>
    <row r="695" ht="17.25" customHeight="1">
      <c r="A695" s="1"/>
      <c r="B695" s="1"/>
      <c r="C695" s="1"/>
      <c r="D695" s="1"/>
      <c r="E695" s="1"/>
      <c r="F695" s="1"/>
      <c r="P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142"/>
    </row>
    <row r="696" ht="17.25" customHeight="1">
      <c r="A696" s="1"/>
      <c r="B696" s="1"/>
      <c r="C696" s="1"/>
      <c r="D696" s="1"/>
      <c r="E696" s="1"/>
      <c r="F696" s="1"/>
      <c r="P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142"/>
    </row>
    <row r="697" ht="17.25" customHeight="1">
      <c r="A697" s="1"/>
      <c r="B697" s="1"/>
      <c r="C697" s="1"/>
      <c r="D697" s="1"/>
      <c r="E697" s="1"/>
      <c r="F697" s="1"/>
      <c r="P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142"/>
    </row>
    <row r="698" ht="17.25" customHeight="1">
      <c r="A698" s="1"/>
      <c r="B698" s="1"/>
      <c r="C698" s="1"/>
      <c r="D698" s="1"/>
      <c r="E698" s="1"/>
      <c r="F698" s="1"/>
      <c r="P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142"/>
    </row>
    <row r="699" ht="17.25" customHeight="1">
      <c r="A699" s="1"/>
      <c r="B699" s="1"/>
      <c r="C699" s="1"/>
      <c r="D699" s="1"/>
      <c r="E699" s="1"/>
      <c r="F699" s="1"/>
      <c r="P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142"/>
    </row>
    <row r="700" ht="17.25" customHeight="1">
      <c r="A700" s="1"/>
      <c r="B700" s="1"/>
      <c r="C700" s="1"/>
      <c r="D700" s="1"/>
      <c r="E700" s="1"/>
      <c r="F700" s="1"/>
      <c r="P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142"/>
    </row>
    <row r="701" ht="17.25" customHeight="1">
      <c r="A701" s="1"/>
      <c r="B701" s="1"/>
      <c r="C701" s="1"/>
      <c r="D701" s="1"/>
      <c r="E701" s="1"/>
      <c r="F701" s="1"/>
      <c r="P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142"/>
    </row>
    <row r="702" ht="17.25" customHeight="1">
      <c r="A702" s="1"/>
      <c r="B702" s="1"/>
      <c r="C702" s="1"/>
      <c r="D702" s="1"/>
      <c r="E702" s="1"/>
      <c r="F702" s="1"/>
      <c r="P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142"/>
    </row>
    <row r="703" ht="17.25" customHeight="1">
      <c r="A703" s="1"/>
      <c r="B703" s="1"/>
      <c r="C703" s="1"/>
      <c r="D703" s="1"/>
      <c r="E703" s="1"/>
      <c r="F703" s="1"/>
      <c r="P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142"/>
    </row>
    <row r="704" ht="17.25" customHeight="1">
      <c r="A704" s="1"/>
      <c r="B704" s="1"/>
      <c r="C704" s="1"/>
      <c r="D704" s="1"/>
      <c r="E704" s="1"/>
      <c r="F704" s="1"/>
      <c r="P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142"/>
    </row>
    <row r="705" ht="17.25" customHeight="1">
      <c r="A705" s="1"/>
      <c r="B705" s="1"/>
      <c r="C705" s="1"/>
      <c r="D705" s="1"/>
      <c r="E705" s="1"/>
      <c r="F705" s="1"/>
      <c r="P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142"/>
    </row>
    <row r="706" ht="17.25" customHeight="1">
      <c r="A706" s="1"/>
      <c r="B706" s="1"/>
      <c r="C706" s="1"/>
      <c r="D706" s="1"/>
      <c r="E706" s="1"/>
      <c r="F706" s="1"/>
      <c r="P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142"/>
    </row>
    <row r="707" ht="17.25" customHeight="1">
      <c r="A707" s="1"/>
      <c r="B707" s="1"/>
      <c r="C707" s="1"/>
      <c r="D707" s="1"/>
      <c r="E707" s="1"/>
      <c r="F707" s="1"/>
      <c r="P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142"/>
    </row>
    <row r="708" ht="17.25" customHeight="1">
      <c r="A708" s="1"/>
      <c r="B708" s="1"/>
      <c r="C708" s="1"/>
      <c r="D708" s="1"/>
      <c r="E708" s="1"/>
      <c r="F708" s="1"/>
      <c r="P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142"/>
    </row>
    <row r="709" ht="17.25" customHeight="1">
      <c r="A709" s="1"/>
      <c r="B709" s="1"/>
      <c r="C709" s="1"/>
      <c r="D709" s="1"/>
      <c r="E709" s="1"/>
      <c r="F709" s="1"/>
      <c r="P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142"/>
    </row>
    <row r="710" ht="17.25" customHeight="1">
      <c r="A710" s="1"/>
      <c r="B710" s="1"/>
      <c r="C710" s="1"/>
      <c r="D710" s="1"/>
      <c r="E710" s="1"/>
      <c r="F710" s="1"/>
      <c r="P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142"/>
    </row>
    <row r="711" ht="17.25" customHeight="1">
      <c r="A711" s="1"/>
      <c r="B711" s="1"/>
      <c r="C711" s="1"/>
      <c r="D711" s="1"/>
      <c r="E711" s="1"/>
      <c r="F711" s="1"/>
      <c r="P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142"/>
    </row>
    <row r="712" ht="17.25" customHeight="1">
      <c r="A712" s="1"/>
      <c r="B712" s="1"/>
      <c r="C712" s="1"/>
      <c r="D712" s="1"/>
      <c r="E712" s="1"/>
      <c r="F712" s="1"/>
      <c r="P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142"/>
    </row>
    <row r="713" ht="17.25" customHeight="1">
      <c r="A713" s="1"/>
      <c r="B713" s="1"/>
      <c r="C713" s="1"/>
      <c r="D713" s="1"/>
      <c r="E713" s="1"/>
      <c r="F713" s="1"/>
      <c r="P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142"/>
    </row>
    <row r="714" ht="17.25" customHeight="1">
      <c r="A714" s="1"/>
      <c r="B714" s="1"/>
      <c r="C714" s="1"/>
      <c r="D714" s="1"/>
      <c r="E714" s="1"/>
      <c r="F714" s="1"/>
      <c r="P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142"/>
    </row>
    <row r="715" ht="17.25" customHeight="1">
      <c r="A715" s="1"/>
      <c r="B715" s="1"/>
      <c r="C715" s="1"/>
      <c r="D715" s="1"/>
      <c r="E715" s="1"/>
      <c r="F715" s="1"/>
      <c r="P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142"/>
    </row>
    <row r="716" ht="17.25" customHeight="1">
      <c r="A716" s="1"/>
      <c r="B716" s="1"/>
      <c r="C716" s="1"/>
      <c r="D716" s="1"/>
      <c r="E716" s="1"/>
      <c r="F716" s="1"/>
      <c r="P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142"/>
    </row>
    <row r="717" ht="17.25" customHeight="1">
      <c r="A717" s="1"/>
      <c r="B717" s="1"/>
      <c r="C717" s="1"/>
      <c r="D717" s="1"/>
      <c r="E717" s="1"/>
      <c r="F717" s="1"/>
      <c r="P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142"/>
    </row>
    <row r="718" ht="17.25" customHeight="1">
      <c r="A718" s="1"/>
      <c r="B718" s="1"/>
      <c r="C718" s="1"/>
      <c r="D718" s="1"/>
      <c r="E718" s="1"/>
      <c r="F718" s="1"/>
      <c r="P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142"/>
    </row>
    <row r="719" ht="17.25" customHeight="1">
      <c r="A719" s="1"/>
      <c r="B719" s="1"/>
      <c r="C719" s="1"/>
      <c r="D719" s="1"/>
      <c r="E719" s="1"/>
      <c r="F719" s="1"/>
      <c r="P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142"/>
    </row>
    <row r="720" ht="17.25" customHeight="1">
      <c r="A720" s="1"/>
      <c r="B720" s="1"/>
      <c r="C720" s="1"/>
      <c r="D720" s="1"/>
      <c r="E720" s="1"/>
      <c r="F720" s="1"/>
      <c r="P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142"/>
    </row>
    <row r="721" ht="17.25" customHeight="1">
      <c r="A721" s="1"/>
      <c r="B721" s="1"/>
      <c r="C721" s="1"/>
      <c r="D721" s="1"/>
      <c r="E721" s="1"/>
      <c r="F721" s="1"/>
      <c r="P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142"/>
    </row>
    <row r="722" ht="17.25" customHeight="1">
      <c r="A722" s="1"/>
      <c r="B722" s="1"/>
      <c r="C722" s="1"/>
      <c r="D722" s="1"/>
      <c r="E722" s="1"/>
      <c r="F722" s="1"/>
      <c r="P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142"/>
    </row>
    <row r="723" ht="17.25" customHeight="1">
      <c r="A723" s="1"/>
      <c r="B723" s="1"/>
      <c r="C723" s="1"/>
      <c r="D723" s="1"/>
      <c r="E723" s="1"/>
      <c r="F723" s="1"/>
      <c r="P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142"/>
    </row>
    <row r="724" ht="17.25" customHeight="1">
      <c r="A724" s="1"/>
      <c r="B724" s="1"/>
      <c r="C724" s="1"/>
      <c r="D724" s="1"/>
      <c r="E724" s="1"/>
      <c r="F724" s="1"/>
      <c r="P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142"/>
    </row>
    <row r="725" ht="17.25" customHeight="1">
      <c r="A725" s="1"/>
      <c r="B725" s="1"/>
      <c r="C725" s="1"/>
      <c r="D725" s="1"/>
      <c r="E725" s="1"/>
      <c r="F725" s="1"/>
      <c r="P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142"/>
    </row>
    <row r="726" ht="17.25" customHeight="1">
      <c r="A726" s="1"/>
      <c r="B726" s="1"/>
      <c r="C726" s="1"/>
      <c r="D726" s="1"/>
      <c r="E726" s="1"/>
      <c r="F726" s="1"/>
      <c r="P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142"/>
    </row>
    <row r="727" ht="17.25" customHeight="1">
      <c r="A727" s="1"/>
      <c r="B727" s="1"/>
      <c r="C727" s="1"/>
      <c r="D727" s="1"/>
      <c r="E727" s="1"/>
      <c r="F727" s="1"/>
      <c r="P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142"/>
    </row>
    <row r="728" ht="17.25" customHeight="1">
      <c r="A728" s="1"/>
      <c r="B728" s="1"/>
      <c r="C728" s="1"/>
      <c r="D728" s="1"/>
      <c r="E728" s="1"/>
      <c r="F728" s="1"/>
      <c r="P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142"/>
    </row>
    <row r="729" ht="17.25" customHeight="1">
      <c r="A729" s="1"/>
      <c r="B729" s="1"/>
      <c r="C729" s="1"/>
      <c r="D729" s="1"/>
      <c r="E729" s="1"/>
      <c r="F729" s="1"/>
      <c r="P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142"/>
    </row>
    <row r="730" ht="17.25" customHeight="1">
      <c r="A730" s="1"/>
      <c r="B730" s="1"/>
      <c r="C730" s="1"/>
      <c r="D730" s="1"/>
      <c r="E730" s="1"/>
      <c r="F730" s="1"/>
      <c r="P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142"/>
    </row>
    <row r="731" ht="17.25" customHeight="1">
      <c r="A731" s="1"/>
      <c r="B731" s="1"/>
      <c r="C731" s="1"/>
      <c r="D731" s="1"/>
      <c r="E731" s="1"/>
      <c r="F731" s="1"/>
      <c r="P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142"/>
    </row>
    <row r="732" ht="17.25" customHeight="1">
      <c r="A732" s="1"/>
      <c r="B732" s="1"/>
      <c r="C732" s="1"/>
      <c r="D732" s="1"/>
      <c r="E732" s="1"/>
      <c r="F732" s="1"/>
      <c r="P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142"/>
    </row>
    <row r="733" ht="17.25" customHeight="1">
      <c r="A733" s="1"/>
      <c r="B733" s="1"/>
      <c r="C733" s="1"/>
      <c r="D733" s="1"/>
      <c r="E733" s="1"/>
      <c r="F733" s="1"/>
      <c r="P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142"/>
    </row>
    <row r="734" ht="17.25" customHeight="1">
      <c r="A734" s="1"/>
      <c r="B734" s="1"/>
      <c r="C734" s="1"/>
      <c r="D734" s="1"/>
      <c r="E734" s="1"/>
      <c r="F734" s="1"/>
      <c r="P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142"/>
    </row>
    <row r="735" ht="17.25" customHeight="1">
      <c r="A735" s="1"/>
      <c r="B735" s="1"/>
      <c r="C735" s="1"/>
      <c r="D735" s="1"/>
      <c r="E735" s="1"/>
      <c r="F735" s="1"/>
      <c r="P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142"/>
    </row>
    <row r="736" ht="17.25" customHeight="1">
      <c r="A736" s="1"/>
      <c r="B736" s="1"/>
      <c r="C736" s="1"/>
      <c r="D736" s="1"/>
      <c r="E736" s="1"/>
      <c r="F736" s="1"/>
      <c r="P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142"/>
    </row>
    <row r="737" ht="17.25" customHeight="1">
      <c r="A737" s="1"/>
      <c r="B737" s="1"/>
      <c r="C737" s="1"/>
      <c r="D737" s="1"/>
      <c r="E737" s="1"/>
      <c r="F737" s="1"/>
      <c r="P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142"/>
    </row>
    <row r="738" ht="17.25" customHeight="1">
      <c r="A738" s="1"/>
      <c r="B738" s="1"/>
      <c r="C738" s="1"/>
      <c r="D738" s="1"/>
      <c r="E738" s="1"/>
      <c r="F738" s="1"/>
      <c r="P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142"/>
    </row>
    <row r="739" ht="17.25" customHeight="1">
      <c r="A739" s="1"/>
      <c r="B739" s="1"/>
      <c r="C739" s="1"/>
      <c r="D739" s="1"/>
      <c r="E739" s="1"/>
      <c r="F739" s="1"/>
      <c r="P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142"/>
    </row>
    <row r="740" ht="17.25" customHeight="1">
      <c r="A740" s="1"/>
      <c r="B740" s="1"/>
      <c r="C740" s="1"/>
      <c r="D740" s="1"/>
      <c r="E740" s="1"/>
      <c r="F740" s="1"/>
      <c r="P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142"/>
    </row>
    <row r="741" ht="17.25" customHeight="1">
      <c r="A741" s="1"/>
      <c r="B741" s="1"/>
      <c r="C741" s="1"/>
      <c r="D741" s="1"/>
      <c r="E741" s="1"/>
      <c r="F741" s="1"/>
      <c r="P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142"/>
    </row>
    <row r="742" ht="17.25" customHeight="1">
      <c r="A742" s="1"/>
      <c r="B742" s="1"/>
      <c r="C742" s="1"/>
      <c r="D742" s="1"/>
      <c r="E742" s="1"/>
      <c r="F742" s="1"/>
      <c r="P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142"/>
    </row>
    <row r="743" ht="17.25" customHeight="1">
      <c r="A743" s="1"/>
      <c r="B743" s="1"/>
      <c r="C743" s="1"/>
      <c r="D743" s="1"/>
      <c r="E743" s="1"/>
      <c r="F743" s="1"/>
      <c r="P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142"/>
    </row>
    <row r="744" ht="17.25" customHeight="1">
      <c r="A744" s="1"/>
      <c r="B744" s="1"/>
      <c r="C744" s="1"/>
      <c r="D744" s="1"/>
      <c r="E744" s="1"/>
      <c r="F744" s="1"/>
      <c r="P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142"/>
    </row>
    <row r="745" ht="17.25" customHeight="1">
      <c r="A745" s="1"/>
      <c r="B745" s="1"/>
      <c r="C745" s="1"/>
      <c r="D745" s="1"/>
      <c r="E745" s="1"/>
      <c r="F745" s="1"/>
      <c r="P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142"/>
    </row>
    <row r="746" ht="17.25" customHeight="1">
      <c r="A746" s="1"/>
      <c r="B746" s="1"/>
      <c r="C746" s="1"/>
      <c r="D746" s="1"/>
      <c r="E746" s="1"/>
      <c r="F746" s="1"/>
      <c r="P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142"/>
    </row>
    <row r="747" ht="17.25" customHeight="1">
      <c r="A747" s="1"/>
      <c r="B747" s="1"/>
      <c r="C747" s="1"/>
      <c r="D747" s="1"/>
      <c r="E747" s="1"/>
      <c r="F747" s="1"/>
      <c r="P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142"/>
    </row>
    <row r="748" ht="17.25" customHeight="1">
      <c r="A748" s="1"/>
      <c r="B748" s="1"/>
      <c r="C748" s="1"/>
      <c r="D748" s="1"/>
      <c r="E748" s="1"/>
      <c r="F748" s="1"/>
      <c r="P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142"/>
    </row>
    <row r="749" ht="17.25" customHeight="1">
      <c r="A749" s="1"/>
      <c r="B749" s="1"/>
      <c r="C749" s="1"/>
      <c r="D749" s="1"/>
      <c r="E749" s="1"/>
      <c r="F749" s="1"/>
      <c r="P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142"/>
    </row>
    <row r="750" ht="17.25" customHeight="1">
      <c r="A750" s="1"/>
      <c r="B750" s="1"/>
      <c r="C750" s="1"/>
      <c r="D750" s="1"/>
      <c r="E750" s="1"/>
      <c r="F750" s="1"/>
      <c r="P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142"/>
    </row>
    <row r="751" ht="17.25" customHeight="1">
      <c r="A751" s="1"/>
      <c r="B751" s="1"/>
      <c r="C751" s="1"/>
      <c r="D751" s="1"/>
      <c r="E751" s="1"/>
      <c r="F751" s="1"/>
      <c r="P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142"/>
    </row>
    <row r="752" ht="17.25" customHeight="1">
      <c r="A752" s="1"/>
      <c r="B752" s="1"/>
      <c r="C752" s="1"/>
      <c r="D752" s="1"/>
      <c r="E752" s="1"/>
      <c r="F752" s="1"/>
      <c r="P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142"/>
    </row>
    <row r="753" ht="17.25" customHeight="1">
      <c r="A753" s="1"/>
      <c r="B753" s="1"/>
      <c r="C753" s="1"/>
      <c r="D753" s="1"/>
      <c r="E753" s="1"/>
      <c r="F753" s="1"/>
      <c r="P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142"/>
    </row>
    <row r="754" ht="17.25" customHeight="1">
      <c r="A754" s="1"/>
      <c r="B754" s="1"/>
      <c r="C754" s="1"/>
      <c r="D754" s="1"/>
      <c r="E754" s="1"/>
      <c r="F754" s="1"/>
      <c r="P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142"/>
    </row>
    <row r="755" ht="17.25" customHeight="1">
      <c r="A755" s="1"/>
      <c r="B755" s="1"/>
      <c r="C755" s="1"/>
      <c r="D755" s="1"/>
      <c r="E755" s="1"/>
      <c r="F755" s="1"/>
      <c r="P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142"/>
    </row>
    <row r="756" ht="17.25" customHeight="1">
      <c r="A756" s="1"/>
      <c r="B756" s="1"/>
      <c r="C756" s="1"/>
      <c r="D756" s="1"/>
      <c r="E756" s="1"/>
      <c r="F756" s="1"/>
      <c r="P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142"/>
    </row>
    <row r="757" ht="17.25" customHeight="1">
      <c r="A757" s="1"/>
      <c r="B757" s="1"/>
      <c r="C757" s="1"/>
      <c r="D757" s="1"/>
      <c r="E757" s="1"/>
      <c r="F757" s="1"/>
      <c r="P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142"/>
    </row>
    <row r="758" ht="17.25" customHeight="1">
      <c r="A758" s="1"/>
      <c r="B758" s="1"/>
      <c r="C758" s="1"/>
      <c r="D758" s="1"/>
      <c r="E758" s="1"/>
      <c r="F758" s="1"/>
      <c r="P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142"/>
    </row>
    <row r="759" ht="17.25" customHeight="1">
      <c r="A759" s="1"/>
      <c r="B759" s="1"/>
      <c r="C759" s="1"/>
      <c r="D759" s="1"/>
      <c r="E759" s="1"/>
      <c r="F759" s="1"/>
      <c r="P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142"/>
    </row>
    <row r="760" ht="17.25" customHeight="1">
      <c r="A760" s="1"/>
      <c r="B760" s="1"/>
      <c r="C760" s="1"/>
      <c r="D760" s="1"/>
      <c r="E760" s="1"/>
      <c r="F760" s="1"/>
      <c r="P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142"/>
    </row>
    <row r="761" ht="17.25" customHeight="1">
      <c r="A761" s="1"/>
      <c r="B761" s="1"/>
      <c r="C761" s="1"/>
      <c r="D761" s="1"/>
      <c r="E761" s="1"/>
      <c r="F761" s="1"/>
      <c r="P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142"/>
    </row>
    <row r="762" ht="17.25" customHeight="1">
      <c r="A762" s="1"/>
      <c r="B762" s="1"/>
      <c r="C762" s="1"/>
      <c r="D762" s="1"/>
      <c r="E762" s="1"/>
      <c r="F762" s="1"/>
      <c r="P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142"/>
    </row>
    <row r="763" ht="17.25" customHeight="1">
      <c r="A763" s="1"/>
      <c r="B763" s="1"/>
      <c r="C763" s="1"/>
      <c r="D763" s="1"/>
      <c r="E763" s="1"/>
      <c r="F763" s="1"/>
      <c r="P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142"/>
    </row>
    <row r="764" ht="17.25" customHeight="1">
      <c r="A764" s="1"/>
      <c r="B764" s="1"/>
      <c r="C764" s="1"/>
      <c r="D764" s="1"/>
      <c r="E764" s="1"/>
      <c r="F764" s="1"/>
      <c r="P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142"/>
    </row>
    <row r="765" ht="17.25" customHeight="1">
      <c r="A765" s="1"/>
      <c r="B765" s="1"/>
      <c r="C765" s="1"/>
      <c r="D765" s="1"/>
      <c r="E765" s="1"/>
      <c r="F765" s="1"/>
      <c r="P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142"/>
    </row>
    <row r="766" ht="17.25" customHeight="1">
      <c r="A766" s="1"/>
      <c r="B766" s="1"/>
      <c r="C766" s="1"/>
      <c r="D766" s="1"/>
      <c r="E766" s="1"/>
      <c r="F766" s="1"/>
      <c r="P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142"/>
    </row>
    <row r="767" ht="17.25" customHeight="1">
      <c r="A767" s="1"/>
      <c r="B767" s="1"/>
      <c r="C767" s="1"/>
      <c r="D767" s="1"/>
      <c r="E767" s="1"/>
      <c r="F767" s="1"/>
      <c r="P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142"/>
    </row>
    <row r="768" ht="17.25" customHeight="1">
      <c r="A768" s="1"/>
      <c r="B768" s="1"/>
      <c r="C768" s="1"/>
      <c r="D768" s="1"/>
      <c r="E768" s="1"/>
      <c r="F768" s="1"/>
      <c r="P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142"/>
    </row>
    <row r="769" ht="17.25" customHeight="1">
      <c r="A769" s="1"/>
      <c r="B769" s="1"/>
      <c r="C769" s="1"/>
      <c r="D769" s="1"/>
      <c r="E769" s="1"/>
      <c r="F769" s="1"/>
      <c r="P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142"/>
    </row>
    <row r="770" ht="17.25" customHeight="1">
      <c r="A770" s="1"/>
      <c r="B770" s="1"/>
      <c r="C770" s="1"/>
      <c r="D770" s="1"/>
      <c r="E770" s="1"/>
      <c r="F770" s="1"/>
      <c r="P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142"/>
    </row>
    <row r="771" ht="17.25" customHeight="1">
      <c r="A771" s="1"/>
      <c r="B771" s="1"/>
      <c r="C771" s="1"/>
      <c r="D771" s="1"/>
      <c r="E771" s="1"/>
      <c r="F771" s="1"/>
      <c r="P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142"/>
    </row>
    <row r="772" ht="17.25" customHeight="1">
      <c r="A772" s="1"/>
      <c r="B772" s="1"/>
      <c r="C772" s="1"/>
      <c r="D772" s="1"/>
      <c r="E772" s="1"/>
      <c r="F772" s="1"/>
      <c r="P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142"/>
    </row>
    <row r="773" ht="17.25" customHeight="1">
      <c r="A773" s="1"/>
      <c r="B773" s="1"/>
      <c r="C773" s="1"/>
      <c r="D773" s="1"/>
      <c r="E773" s="1"/>
      <c r="F773" s="1"/>
      <c r="P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142"/>
    </row>
    <row r="774" ht="17.25" customHeight="1">
      <c r="A774" s="1"/>
      <c r="B774" s="1"/>
      <c r="C774" s="1"/>
      <c r="D774" s="1"/>
      <c r="E774" s="1"/>
      <c r="F774" s="1"/>
      <c r="P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142"/>
    </row>
    <row r="775" ht="17.25" customHeight="1">
      <c r="A775" s="1"/>
      <c r="B775" s="1"/>
      <c r="C775" s="1"/>
      <c r="D775" s="1"/>
      <c r="E775" s="1"/>
      <c r="F775" s="1"/>
      <c r="P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142"/>
    </row>
    <row r="776" ht="17.25" customHeight="1">
      <c r="A776" s="1"/>
      <c r="B776" s="1"/>
      <c r="C776" s="1"/>
      <c r="D776" s="1"/>
      <c r="E776" s="1"/>
      <c r="F776" s="1"/>
      <c r="P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142"/>
    </row>
    <row r="777" ht="17.25" customHeight="1">
      <c r="A777" s="1"/>
      <c r="B777" s="1"/>
      <c r="C777" s="1"/>
      <c r="D777" s="1"/>
      <c r="E777" s="1"/>
      <c r="F777" s="1"/>
      <c r="P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142"/>
    </row>
    <row r="778" ht="17.25" customHeight="1">
      <c r="A778" s="1"/>
      <c r="B778" s="1"/>
      <c r="C778" s="1"/>
      <c r="D778" s="1"/>
      <c r="E778" s="1"/>
      <c r="F778" s="1"/>
      <c r="P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142"/>
    </row>
    <row r="779" ht="17.25" customHeight="1">
      <c r="A779" s="1"/>
      <c r="B779" s="1"/>
      <c r="C779" s="1"/>
      <c r="D779" s="1"/>
      <c r="E779" s="1"/>
      <c r="F779" s="1"/>
      <c r="P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142"/>
    </row>
    <row r="780" ht="17.25" customHeight="1">
      <c r="A780" s="1"/>
      <c r="B780" s="1"/>
      <c r="C780" s="1"/>
      <c r="D780" s="1"/>
      <c r="E780" s="1"/>
      <c r="F780" s="1"/>
      <c r="P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142"/>
    </row>
    <row r="781" ht="17.25" customHeight="1">
      <c r="A781" s="1"/>
      <c r="B781" s="1"/>
      <c r="C781" s="1"/>
      <c r="D781" s="1"/>
      <c r="E781" s="1"/>
      <c r="F781" s="1"/>
      <c r="P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142"/>
    </row>
    <row r="782" ht="17.25" customHeight="1">
      <c r="A782" s="1"/>
      <c r="B782" s="1"/>
      <c r="C782" s="1"/>
      <c r="D782" s="1"/>
      <c r="E782" s="1"/>
      <c r="F782" s="1"/>
      <c r="P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142"/>
    </row>
    <row r="783" ht="17.25" customHeight="1">
      <c r="A783" s="1"/>
      <c r="B783" s="1"/>
      <c r="C783" s="1"/>
      <c r="D783" s="1"/>
      <c r="E783" s="1"/>
      <c r="F783" s="1"/>
      <c r="P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142"/>
    </row>
    <row r="784" ht="17.25" customHeight="1">
      <c r="A784" s="1"/>
      <c r="B784" s="1"/>
      <c r="C784" s="1"/>
      <c r="D784" s="1"/>
      <c r="E784" s="1"/>
      <c r="F784" s="1"/>
      <c r="P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142"/>
    </row>
    <row r="785" ht="17.25" customHeight="1">
      <c r="A785" s="1"/>
      <c r="B785" s="1"/>
      <c r="C785" s="1"/>
      <c r="D785" s="1"/>
      <c r="E785" s="1"/>
      <c r="F785" s="1"/>
      <c r="P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142"/>
    </row>
    <row r="786" ht="17.25" customHeight="1">
      <c r="A786" s="1"/>
      <c r="B786" s="1"/>
      <c r="C786" s="1"/>
      <c r="D786" s="1"/>
      <c r="E786" s="1"/>
      <c r="F786" s="1"/>
      <c r="P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142"/>
    </row>
    <row r="787" ht="17.25" customHeight="1">
      <c r="A787" s="1"/>
      <c r="B787" s="1"/>
      <c r="C787" s="1"/>
      <c r="D787" s="1"/>
      <c r="E787" s="1"/>
      <c r="F787" s="1"/>
      <c r="P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142"/>
    </row>
    <row r="788" ht="17.25" customHeight="1">
      <c r="A788" s="1"/>
      <c r="B788" s="1"/>
      <c r="C788" s="1"/>
      <c r="D788" s="1"/>
      <c r="E788" s="1"/>
      <c r="F788" s="1"/>
      <c r="P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142"/>
    </row>
    <row r="789" ht="17.25" customHeight="1">
      <c r="A789" s="1"/>
      <c r="B789" s="1"/>
      <c r="C789" s="1"/>
      <c r="D789" s="1"/>
      <c r="E789" s="1"/>
      <c r="F789" s="1"/>
      <c r="P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142"/>
    </row>
    <row r="790" ht="17.25" customHeight="1">
      <c r="A790" s="1"/>
      <c r="B790" s="1"/>
      <c r="C790" s="1"/>
      <c r="D790" s="1"/>
      <c r="E790" s="1"/>
      <c r="F790" s="1"/>
      <c r="P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142"/>
    </row>
    <row r="791" ht="17.25" customHeight="1">
      <c r="A791" s="1"/>
      <c r="B791" s="1"/>
      <c r="C791" s="1"/>
      <c r="D791" s="1"/>
      <c r="E791" s="1"/>
      <c r="F791" s="1"/>
      <c r="P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142"/>
    </row>
    <row r="792" ht="17.25" customHeight="1">
      <c r="A792" s="1"/>
      <c r="B792" s="1"/>
      <c r="C792" s="1"/>
      <c r="D792" s="1"/>
      <c r="E792" s="1"/>
      <c r="F792" s="1"/>
      <c r="P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142"/>
    </row>
    <row r="793" ht="17.25" customHeight="1">
      <c r="A793" s="1"/>
      <c r="B793" s="1"/>
      <c r="C793" s="1"/>
      <c r="D793" s="1"/>
      <c r="E793" s="1"/>
      <c r="F793" s="1"/>
      <c r="P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142"/>
    </row>
    <row r="794" ht="17.25" customHeight="1">
      <c r="A794" s="1"/>
      <c r="B794" s="1"/>
      <c r="C794" s="1"/>
      <c r="D794" s="1"/>
      <c r="E794" s="1"/>
      <c r="F794" s="1"/>
      <c r="P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142"/>
    </row>
    <row r="795" ht="17.25" customHeight="1">
      <c r="A795" s="1"/>
      <c r="B795" s="1"/>
      <c r="C795" s="1"/>
      <c r="D795" s="1"/>
      <c r="E795" s="1"/>
      <c r="F795" s="1"/>
      <c r="P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142"/>
    </row>
    <row r="796" ht="17.25" customHeight="1">
      <c r="A796" s="1"/>
      <c r="B796" s="1"/>
      <c r="C796" s="1"/>
      <c r="D796" s="1"/>
      <c r="E796" s="1"/>
      <c r="F796" s="1"/>
      <c r="P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142"/>
    </row>
    <row r="797" ht="17.25" customHeight="1">
      <c r="A797" s="1"/>
      <c r="B797" s="1"/>
      <c r="C797" s="1"/>
      <c r="D797" s="1"/>
      <c r="E797" s="1"/>
      <c r="F797" s="1"/>
      <c r="P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142"/>
    </row>
    <row r="798" ht="17.25" customHeight="1">
      <c r="A798" s="1"/>
      <c r="B798" s="1"/>
      <c r="C798" s="1"/>
      <c r="D798" s="1"/>
      <c r="E798" s="1"/>
      <c r="F798" s="1"/>
      <c r="P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142"/>
    </row>
    <row r="799" ht="17.25" customHeight="1">
      <c r="A799" s="1"/>
      <c r="B799" s="1"/>
      <c r="C799" s="1"/>
      <c r="D799" s="1"/>
      <c r="E799" s="1"/>
      <c r="F799" s="1"/>
      <c r="P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142"/>
    </row>
    <row r="800" ht="17.25" customHeight="1">
      <c r="A800" s="1"/>
      <c r="B800" s="1"/>
      <c r="C800" s="1"/>
      <c r="D800" s="1"/>
      <c r="E800" s="1"/>
      <c r="F800" s="1"/>
      <c r="P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142"/>
    </row>
    <row r="801" ht="17.25" customHeight="1">
      <c r="A801" s="1"/>
      <c r="B801" s="1"/>
      <c r="C801" s="1"/>
      <c r="D801" s="1"/>
      <c r="E801" s="1"/>
      <c r="F801" s="1"/>
      <c r="P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142"/>
    </row>
    <row r="802" ht="17.25" customHeight="1">
      <c r="A802" s="1"/>
      <c r="B802" s="1"/>
      <c r="C802" s="1"/>
      <c r="D802" s="1"/>
      <c r="E802" s="1"/>
      <c r="F802" s="1"/>
      <c r="P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142"/>
    </row>
    <row r="803" ht="17.25" customHeight="1">
      <c r="A803" s="1"/>
      <c r="B803" s="1"/>
      <c r="C803" s="1"/>
      <c r="D803" s="1"/>
      <c r="E803" s="1"/>
      <c r="F803" s="1"/>
      <c r="P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142"/>
    </row>
    <row r="804" ht="17.25" customHeight="1">
      <c r="A804" s="1"/>
      <c r="B804" s="1"/>
      <c r="C804" s="1"/>
      <c r="D804" s="1"/>
      <c r="E804" s="1"/>
      <c r="F804" s="1"/>
      <c r="P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142"/>
    </row>
    <row r="805" ht="17.25" customHeight="1">
      <c r="A805" s="1"/>
      <c r="B805" s="1"/>
      <c r="C805" s="1"/>
      <c r="D805" s="1"/>
      <c r="E805" s="1"/>
      <c r="F805" s="1"/>
      <c r="P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142"/>
    </row>
    <row r="806" ht="17.25" customHeight="1">
      <c r="A806" s="1"/>
      <c r="B806" s="1"/>
      <c r="C806" s="1"/>
      <c r="D806" s="1"/>
      <c r="E806" s="1"/>
      <c r="F806" s="1"/>
      <c r="P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142"/>
    </row>
    <row r="807" ht="17.25" customHeight="1">
      <c r="A807" s="1"/>
      <c r="B807" s="1"/>
      <c r="C807" s="1"/>
      <c r="D807" s="1"/>
      <c r="E807" s="1"/>
      <c r="F807" s="1"/>
      <c r="P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142"/>
    </row>
    <row r="808" ht="17.25" customHeight="1">
      <c r="A808" s="1"/>
      <c r="B808" s="1"/>
      <c r="C808" s="1"/>
      <c r="D808" s="1"/>
      <c r="E808" s="1"/>
      <c r="F808" s="1"/>
      <c r="P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142"/>
    </row>
    <row r="809" ht="17.25" customHeight="1">
      <c r="A809" s="1"/>
      <c r="B809" s="1"/>
      <c r="C809" s="1"/>
      <c r="D809" s="1"/>
      <c r="E809" s="1"/>
      <c r="F809" s="1"/>
      <c r="P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142"/>
    </row>
    <row r="810" ht="17.25" customHeight="1">
      <c r="A810" s="1"/>
      <c r="B810" s="1"/>
      <c r="C810" s="1"/>
      <c r="D810" s="1"/>
      <c r="E810" s="1"/>
      <c r="F810" s="1"/>
      <c r="P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142"/>
    </row>
    <row r="811" ht="17.25" customHeight="1">
      <c r="A811" s="1"/>
      <c r="B811" s="1"/>
      <c r="C811" s="1"/>
      <c r="D811" s="1"/>
      <c r="E811" s="1"/>
      <c r="F811" s="1"/>
      <c r="P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142"/>
    </row>
    <row r="812" ht="17.25" customHeight="1">
      <c r="A812" s="1"/>
      <c r="B812" s="1"/>
      <c r="C812" s="1"/>
      <c r="D812" s="1"/>
      <c r="E812" s="1"/>
      <c r="F812" s="1"/>
      <c r="P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142"/>
    </row>
    <row r="813" ht="17.25" customHeight="1">
      <c r="A813" s="1"/>
      <c r="B813" s="1"/>
      <c r="C813" s="1"/>
      <c r="D813" s="1"/>
      <c r="E813" s="1"/>
      <c r="F813" s="1"/>
      <c r="P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142"/>
    </row>
    <row r="814" ht="17.25" customHeight="1">
      <c r="A814" s="1"/>
      <c r="B814" s="1"/>
      <c r="C814" s="1"/>
      <c r="D814" s="1"/>
      <c r="E814" s="1"/>
      <c r="F814" s="1"/>
      <c r="P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142"/>
    </row>
    <row r="815" ht="17.25" customHeight="1">
      <c r="A815" s="1"/>
      <c r="B815" s="1"/>
      <c r="C815" s="1"/>
      <c r="D815" s="1"/>
      <c r="E815" s="1"/>
      <c r="F815" s="1"/>
      <c r="P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142"/>
    </row>
    <row r="816" ht="17.25" customHeight="1">
      <c r="A816" s="1"/>
      <c r="B816" s="1"/>
      <c r="C816" s="1"/>
      <c r="D816" s="1"/>
      <c r="E816" s="1"/>
      <c r="F816" s="1"/>
      <c r="P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142"/>
    </row>
    <row r="817" ht="17.25" customHeight="1">
      <c r="A817" s="1"/>
      <c r="B817" s="1"/>
      <c r="C817" s="1"/>
      <c r="D817" s="1"/>
      <c r="E817" s="1"/>
      <c r="F817" s="1"/>
      <c r="P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142"/>
    </row>
    <row r="818" ht="17.25" customHeight="1">
      <c r="A818" s="1"/>
      <c r="B818" s="1"/>
      <c r="C818" s="1"/>
      <c r="D818" s="1"/>
      <c r="E818" s="1"/>
      <c r="F818" s="1"/>
      <c r="P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142"/>
    </row>
    <row r="819" ht="17.25" customHeight="1">
      <c r="A819" s="1"/>
      <c r="B819" s="1"/>
      <c r="C819" s="1"/>
      <c r="D819" s="1"/>
      <c r="E819" s="1"/>
      <c r="F819" s="1"/>
      <c r="P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142"/>
    </row>
    <row r="820" ht="17.25" customHeight="1">
      <c r="A820" s="1"/>
      <c r="B820" s="1"/>
      <c r="C820" s="1"/>
      <c r="D820" s="1"/>
      <c r="E820" s="1"/>
      <c r="F820" s="1"/>
      <c r="P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142"/>
    </row>
    <row r="821" ht="17.25" customHeight="1">
      <c r="A821" s="1"/>
      <c r="B821" s="1"/>
      <c r="C821" s="1"/>
      <c r="D821" s="1"/>
      <c r="E821" s="1"/>
      <c r="F821" s="1"/>
      <c r="P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142"/>
    </row>
    <row r="822" ht="17.25" customHeight="1">
      <c r="A822" s="1"/>
      <c r="B822" s="1"/>
      <c r="C822" s="1"/>
      <c r="D822" s="1"/>
      <c r="E822" s="1"/>
      <c r="F822" s="1"/>
      <c r="P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142"/>
    </row>
    <row r="823" ht="17.25" customHeight="1">
      <c r="A823" s="1"/>
      <c r="B823" s="1"/>
      <c r="C823" s="1"/>
      <c r="D823" s="1"/>
      <c r="E823" s="1"/>
      <c r="F823" s="1"/>
      <c r="P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142"/>
    </row>
    <row r="824" ht="17.25" customHeight="1">
      <c r="A824" s="1"/>
      <c r="B824" s="1"/>
      <c r="C824" s="1"/>
      <c r="D824" s="1"/>
      <c r="E824" s="1"/>
      <c r="F824" s="1"/>
      <c r="P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142"/>
    </row>
    <row r="825" ht="17.25" customHeight="1">
      <c r="A825" s="1"/>
      <c r="B825" s="1"/>
      <c r="C825" s="1"/>
      <c r="D825" s="1"/>
      <c r="E825" s="1"/>
      <c r="F825" s="1"/>
      <c r="P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142"/>
    </row>
    <row r="826" ht="17.25" customHeight="1">
      <c r="A826" s="1"/>
      <c r="B826" s="1"/>
      <c r="C826" s="1"/>
      <c r="D826" s="1"/>
      <c r="E826" s="1"/>
      <c r="F826" s="1"/>
      <c r="P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142"/>
    </row>
    <row r="827" ht="17.25" customHeight="1">
      <c r="A827" s="1"/>
      <c r="B827" s="1"/>
      <c r="C827" s="1"/>
      <c r="D827" s="1"/>
      <c r="E827" s="1"/>
      <c r="F827" s="1"/>
      <c r="P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142"/>
    </row>
    <row r="828" ht="17.25" customHeight="1">
      <c r="A828" s="1"/>
      <c r="B828" s="1"/>
      <c r="C828" s="1"/>
      <c r="D828" s="1"/>
      <c r="E828" s="1"/>
      <c r="F828" s="1"/>
      <c r="P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142"/>
    </row>
    <row r="829" ht="17.25" customHeight="1">
      <c r="A829" s="1"/>
      <c r="B829" s="1"/>
      <c r="C829" s="1"/>
      <c r="D829" s="1"/>
      <c r="E829" s="1"/>
      <c r="F829" s="1"/>
      <c r="P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142"/>
    </row>
    <row r="830" ht="17.25" customHeight="1">
      <c r="A830" s="1"/>
      <c r="B830" s="1"/>
      <c r="C830" s="1"/>
      <c r="D830" s="1"/>
      <c r="E830" s="1"/>
      <c r="F830" s="1"/>
      <c r="P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142"/>
    </row>
    <row r="831" ht="17.25" customHeight="1">
      <c r="A831" s="1"/>
      <c r="B831" s="1"/>
      <c r="C831" s="1"/>
      <c r="D831" s="1"/>
      <c r="E831" s="1"/>
      <c r="F831" s="1"/>
      <c r="P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142"/>
    </row>
    <row r="832" ht="17.25" customHeight="1">
      <c r="A832" s="1"/>
      <c r="B832" s="1"/>
      <c r="C832" s="1"/>
      <c r="D832" s="1"/>
      <c r="E832" s="1"/>
      <c r="F832" s="1"/>
      <c r="P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142"/>
    </row>
    <row r="833" ht="17.25" customHeight="1">
      <c r="A833" s="1"/>
      <c r="B833" s="1"/>
      <c r="C833" s="1"/>
      <c r="D833" s="1"/>
      <c r="E833" s="1"/>
      <c r="F833" s="1"/>
      <c r="P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142"/>
    </row>
    <row r="834" ht="17.25" customHeight="1">
      <c r="A834" s="1"/>
      <c r="B834" s="1"/>
      <c r="C834" s="1"/>
      <c r="D834" s="1"/>
      <c r="E834" s="1"/>
      <c r="F834" s="1"/>
      <c r="P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142"/>
    </row>
    <row r="835" ht="17.25" customHeight="1">
      <c r="A835" s="1"/>
      <c r="B835" s="1"/>
      <c r="C835" s="1"/>
      <c r="D835" s="1"/>
      <c r="E835" s="1"/>
      <c r="F835" s="1"/>
      <c r="P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142"/>
    </row>
    <row r="836" ht="17.25" customHeight="1">
      <c r="A836" s="1"/>
      <c r="B836" s="1"/>
      <c r="C836" s="1"/>
      <c r="D836" s="1"/>
      <c r="E836" s="1"/>
      <c r="F836" s="1"/>
      <c r="P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142"/>
    </row>
    <row r="837" ht="17.25" customHeight="1">
      <c r="A837" s="1"/>
      <c r="B837" s="1"/>
      <c r="C837" s="1"/>
      <c r="D837" s="1"/>
      <c r="E837" s="1"/>
      <c r="F837" s="1"/>
      <c r="P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142"/>
    </row>
    <row r="838" ht="17.25" customHeight="1">
      <c r="A838" s="1"/>
      <c r="B838" s="1"/>
      <c r="C838" s="1"/>
      <c r="D838" s="1"/>
      <c r="E838" s="1"/>
      <c r="F838" s="1"/>
      <c r="P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142"/>
    </row>
    <row r="839" ht="17.25" customHeight="1">
      <c r="A839" s="1"/>
      <c r="B839" s="1"/>
      <c r="C839" s="1"/>
      <c r="D839" s="1"/>
      <c r="E839" s="1"/>
      <c r="F839" s="1"/>
      <c r="P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142"/>
    </row>
    <row r="840" ht="17.25" customHeight="1">
      <c r="A840" s="1"/>
      <c r="B840" s="1"/>
      <c r="C840" s="1"/>
      <c r="D840" s="1"/>
      <c r="E840" s="1"/>
      <c r="F840" s="1"/>
      <c r="P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142"/>
    </row>
    <row r="841" ht="17.25" customHeight="1">
      <c r="A841" s="1"/>
      <c r="B841" s="1"/>
      <c r="C841" s="1"/>
      <c r="D841" s="1"/>
      <c r="E841" s="1"/>
      <c r="F841" s="1"/>
      <c r="P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142"/>
    </row>
    <row r="842" ht="17.25" customHeight="1">
      <c r="A842" s="1"/>
      <c r="B842" s="1"/>
      <c r="C842" s="1"/>
      <c r="D842" s="1"/>
      <c r="E842" s="1"/>
      <c r="F842" s="1"/>
      <c r="P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142"/>
    </row>
    <row r="843" ht="17.25" customHeight="1">
      <c r="A843" s="1"/>
      <c r="B843" s="1"/>
      <c r="C843" s="1"/>
      <c r="D843" s="1"/>
      <c r="E843" s="1"/>
      <c r="F843" s="1"/>
      <c r="P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142"/>
    </row>
    <row r="844" ht="17.25" customHeight="1">
      <c r="A844" s="1"/>
      <c r="B844" s="1"/>
      <c r="C844" s="1"/>
      <c r="D844" s="1"/>
      <c r="E844" s="1"/>
      <c r="F844" s="1"/>
      <c r="P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142"/>
    </row>
    <row r="845" ht="17.25" customHeight="1">
      <c r="A845" s="1"/>
      <c r="B845" s="1"/>
      <c r="C845" s="1"/>
      <c r="D845" s="1"/>
      <c r="E845" s="1"/>
      <c r="F845" s="1"/>
      <c r="P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142"/>
    </row>
    <row r="846" ht="17.25" customHeight="1">
      <c r="A846" s="1"/>
      <c r="B846" s="1"/>
      <c r="C846" s="1"/>
      <c r="D846" s="1"/>
      <c r="E846" s="1"/>
      <c r="F846" s="1"/>
      <c r="P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142"/>
    </row>
    <row r="847" ht="17.25" customHeight="1">
      <c r="A847" s="1"/>
      <c r="B847" s="1"/>
      <c r="C847" s="1"/>
      <c r="D847" s="1"/>
      <c r="E847" s="1"/>
      <c r="F847" s="1"/>
      <c r="P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142"/>
    </row>
    <row r="848" ht="17.25" customHeight="1">
      <c r="A848" s="1"/>
      <c r="B848" s="1"/>
      <c r="C848" s="1"/>
      <c r="D848" s="1"/>
      <c r="E848" s="1"/>
      <c r="F848" s="1"/>
      <c r="P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142"/>
    </row>
    <row r="849" ht="17.25" customHeight="1">
      <c r="A849" s="1"/>
      <c r="B849" s="1"/>
      <c r="C849" s="1"/>
      <c r="D849" s="1"/>
      <c r="E849" s="1"/>
      <c r="F849" s="1"/>
      <c r="P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142"/>
    </row>
    <row r="850" ht="17.25" customHeight="1">
      <c r="A850" s="1"/>
      <c r="B850" s="1"/>
      <c r="C850" s="1"/>
      <c r="D850" s="1"/>
      <c r="E850" s="1"/>
      <c r="F850" s="1"/>
      <c r="P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142"/>
    </row>
    <row r="851" ht="17.25" customHeight="1">
      <c r="A851" s="1"/>
      <c r="B851" s="1"/>
      <c r="C851" s="1"/>
      <c r="D851" s="1"/>
      <c r="E851" s="1"/>
      <c r="F851" s="1"/>
      <c r="P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142"/>
    </row>
    <row r="852" ht="17.25" customHeight="1">
      <c r="A852" s="1"/>
      <c r="B852" s="1"/>
      <c r="C852" s="1"/>
      <c r="D852" s="1"/>
      <c r="E852" s="1"/>
      <c r="F852" s="1"/>
      <c r="P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142"/>
    </row>
    <row r="853" ht="17.25" customHeight="1">
      <c r="A853" s="1"/>
      <c r="B853" s="1"/>
      <c r="C853" s="1"/>
      <c r="D853" s="1"/>
      <c r="E853" s="1"/>
      <c r="F853" s="1"/>
      <c r="P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142"/>
    </row>
    <row r="854" ht="17.25" customHeight="1">
      <c r="A854" s="1"/>
      <c r="B854" s="1"/>
      <c r="C854" s="1"/>
      <c r="D854" s="1"/>
      <c r="E854" s="1"/>
      <c r="F854" s="1"/>
      <c r="P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142"/>
    </row>
    <row r="855" ht="17.25" customHeight="1">
      <c r="A855" s="1"/>
      <c r="B855" s="1"/>
      <c r="C855" s="1"/>
      <c r="D855" s="1"/>
      <c r="E855" s="1"/>
      <c r="F855" s="1"/>
      <c r="P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142"/>
    </row>
    <row r="856" ht="17.25" customHeight="1">
      <c r="A856" s="1"/>
      <c r="B856" s="1"/>
      <c r="C856" s="1"/>
      <c r="D856" s="1"/>
      <c r="E856" s="1"/>
      <c r="F856" s="1"/>
      <c r="P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142"/>
    </row>
    <row r="857" ht="17.25" customHeight="1">
      <c r="A857" s="1"/>
      <c r="B857" s="1"/>
      <c r="C857" s="1"/>
      <c r="D857" s="1"/>
      <c r="E857" s="1"/>
      <c r="F857" s="1"/>
      <c r="P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142"/>
    </row>
    <row r="858" ht="17.25" customHeight="1">
      <c r="A858" s="1"/>
      <c r="B858" s="1"/>
      <c r="C858" s="1"/>
      <c r="D858" s="1"/>
      <c r="E858" s="1"/>
      <c r="F858" s="1"/>
      <c r="P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142"/>
    </row>
    <row r="859" ht="17.25" customHeight="1">
      <c r="A859" s="1"/>
      <c r="B859" s="1"/>
      <c r="C859" s="1"/>
      <c r="D859" s="1"/>
      <c r="E859" s="1"/>
      <c r="F859" s="1"/>
      <c r="P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142"/>
    </row>
    <row r="860" ht="17.25" customHeight="1">
      <c r="A860" s="1"/>
      <c r="B860" s="1"/>
      <c r="C860" s="1"/>
      <c r="D860" s="1"/>
      <c r="E860" s="1"/>
      <c r="F860" s="1"/>
      <c r="P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142"/>
    </row>
    <row r="861" ht="17.25" customHeight="1">
      <c r="A861" s="1"/>
      <c r="B861" s="1"/>
      <c r="C861" s="1"/>
      <c r="D861" s="1"/>
      <c r="E861" s="1"/>
      <c r="F861" s="1"/>
      <c r="P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142"/>
    </row>
    <row r="862" ht="17.25" customHeight="1">
      <c r="A862" s="1"/>
      <c r="B862" s="1"/>
      <c r="C862" s="1"/>
      <c r="D862" s="1"/>
      <c r="E862" s="1"/>
      <c r="F862" s="1"/>
      <c r="P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142"/>
    </row>
    <row r="863" ht="17.25" customHeight="1">
      <c r="A863" s="1"/>
      <c r="B863" s="1"/>
      <c r="C863" s="1"/>
      <c r="D863" s="1"/>
      <c r="E863" s="1"/>
      <c r="F863" s="1"/>
      <c r="P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142"/>
    </row>
    <row r="864" ht="17.25" customHeight="1">
      <c r="A864" s="1"/>
      <c r="B864" s="1"/>
      <c r="C864" s="1"/>
      <c r="D864" s="1"/>
      <c r="E864" s="1"/>
      <c r="F864" s="1"/>
      <c r="P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142"/>
    </row>
    <row r="865" ht="17.25" customHeight="1">
      <c r="A865" s="1"/>
      <c r="B865" s="1"/>
      <c r="C865" s="1"/>
      <c r="D865" s="1"/>
      <c r="E865" s="1"/>
      <c r="F865" s="1"/>
      <c r="P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142"/>
    </row>
    <row r="866" ht="17.25" customHeight="1">
      <c r="A866" s="1"/>
      <c r="B866" s="1"/>
      <c r="C866" s="1"/>
      <c r="D866" s="1"/>
      <c r="E866" s="1"/>
      <c r="F866" s="1"/>
      <c r="P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142"/>
    </row>
    <row r="867" ht="17.25" customHeight="1">
      <c r="A867" s="1"/>
      <c r="B867" s="1"/>
      <c r="C867" s="1"/>
      <c r="D867" s="1"/>
      <c r="E867" s="1"/>
      <c r="F867" s="1"/>
      <c r="P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142"/>
    </row>
    <row r="868" ht="17.25" customHeight="1">
      <c r="A868" s="1"/>
      <c r="B868" s="1"/>
      <c r="C868" s="1"/>
      <c r="D868" s="1"/>
      <c r="E868" s="1"/>
      <c r="F868" s="1"/>
      <c r="P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142"/>
    </row>
    <row r="869" ht="17.25" customHeight="1">
      <c r="A869" s="1"/>
      <c r="B869" s="1"/>
      <c r="C869" s="1"/>
      <c r="D869" s="1"/>
      <c r="E869" s="1"/>
      <c r="F869" s="1"/>
      <c r="P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142"/>
    </row>
    <row r="870" ht="17.25" customHeight="1">
      <c r="A870" s="1"/>
      <c r="B870" s="1"/>
      <c r="C870" s="1"/>
      <c r="D870" s="1"/>
      <c r="E870" s="1"/>
      <c r="F870" s="1"/>
      <c r="P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142"/>
    </row>
    <row r="871" ht="17.25" customHeight="1">
      <c r="A871" s="1"/>
      <c r="B871" s="1"/>
      <c r="C871" s="1"/>
      <c r="D871" s="1"/>
      <c r="E871" s="1"/>
      <c r="F871" s="1"/>
      <c r="P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142"/>
    </row>
    <row r="872" ht="17.25" customHeight="1">
      <c r="A872" s="1"/>
      <c r="B872" s="1"/>
      <c r="C872" s="1"/>
      <c r="D872" s="1"/>
      <c r="E872" s="1"/>
      <c r="F872" s="1"/>
      <c r="P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142"/>
    </row>
    <row r="873" ht="17.25" customHeight="1">
      <c r="A873" s="1"/>
      <c r="B873" s="1"/>
      <c r="C873" s="1"/>
      <c r="D873" s="1"/>
      <c r="E873" s="1"/>
      <c r="F873" s="1"/>
      <c r="P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142"/>
    </row>
    <row r="874" ht="17.25" customHeight="1">
      <c r="A874" s="1"/>
      <c r="B874" s="1"/>
      <c r="C874" s="1"/>
      <c r="D874" s="1"/>
      <c r="E874" s="1"/>
      <c r="F874" s="1"/>
      <c r="P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142"/>
    </row>
    <row r="875" ht="17.25" customHeight="1">
      <c r="A875" s="1"/>
      <c r="B875" s="1"/>
      <c r="C875" s="1"/>
      <c r="D875" s="1"/>
      <c r="E875" s="1"/>
      <c r="F875" s="1"/>
      <c r="P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142"/>
    </row>
    <row r="876" ht="17.25" customHeight="1">
      <c r="A876" s="1"/>
      <c r="B876" s="1"/>
      <c r="C876" s="1"/>
      <c r="D876" s="1"/>
      <c r="E876" s="1"/>
      <c r="F876" s="1"/>
      <c r="P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142"/>
    </row>
    <row r="877" ht="17.25" customHeight="1">
      <c r="A877" s="1"/>
      <c r="B877" s="1"/>
      <c r="C877" s="1"/>
      <c r="D877" s="1"/>
      <c r="E877" s="1"/>
      <c r="F877" s="1"/>
      <c r="P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142"/>
    </row>
    <row r="878" ht="17.25" customHeight="1">
      <c r="A878" s="1"/>
      <c r="B878" s="1"/>
      <c r="C878" s="1"/>
      <c r="D878" s="1"/>
      <c r="E878" s="1"/>
      <c r="F878" s="1"/>
      <c r="P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142"/>
    </row>
    <row r="879" ht="17.25" customHeight="1">
      <c r="A879" s="1"/>
      <c r="B879" s="1"/>
      <c r="C879" s="1"/>
      <c r="D879" s="1"/>
      <c r="E879" s="1"/>
      <c r="F879" s="1"/>
      <c r="P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142"/>
    </row>
    <row r="880" ht="17.25" customHeight="1">
      <c r="A880" s="1"/>
      <c r="B880" s="1"/>
      <c r="C880" s="1"/>
      <c r="D880" s="1"/>
      <c r="E880" s="1"/>
      <c r="F880" s="1"/>
      <c r="P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142"/>
    </row>
    <row r="881" ht="17.25" customHeight="1">
      <c r="A881" s="1"/>
      <c r="B881" s="1"/>
      <c r="C881" s="1"/>
      <c r="D881" s="1"/>
      <c r="E881" s="1"/>
      <c r="F881" s="1"/>
      <c r="P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142"/>
    </row>
    <row r="882" ht="17.25" customHeight="1">
      <c r="A882" s="1"/>
      <c r="B882" s="1"/>
      <c r="C882" s="1"/>
      <c r="D882" s="1"/>
      <c r="E882" s="1"/>
      <c r="F882" s="1"/>
      <c r="P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142"/>
    </row>
    <row r="883" ht="17.25" customHeight="1">
      <c r="A883" s="1"/>
      <c r="B883" s="1"/>
      <c r="C883" s="1"/>
      <c r="D883" s="1"/>
      <c r="E883" s="1"/>
      <c r="F883" s="1"/>
      <c r="P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142"/>
    </row>
    <row r="884" ht="17.25" customHeight="1">
      <c r="A884" s="1"/>
      <c r="B884" s="1"/>
      <c r="C884" s="1"/>
      <c r="D884" s="1"/>
      <c r="E884" s="1"/>
      <c r="F884" s="1"/>
      <c r="P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142"/>
    </row>
    <row r="885" ht="17.25" customHeight="1">
      <c r="A885" s="1"/>
      <c r="B885" s="1"/>
      <c r="C885" s="1"/>
      <c r="D885" s="1"/>
      <c r="E885" s="1"/>
      <c r="F885" s="1"/>
      <c r="P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142"/>
    </row>
    <row r="886" ht="17.25" customHeight="1">
      <c r="A886" s="1"/>
      <c r="B886" s="1"/>
      <c r="C886" s="1"/>
      <c r="D886" s="1"/>
      <c r="E886" s="1"/>
      <c r="F886" s="1"/>
      <c r="P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142"/>
    </row>
    <row r="887" ht="17.25" customHeight="1">
      <c r="A887" s="1"/>
      <c r="B887" s="1"/>
      <c r="C887" s="1"/>
      <c r="D887" s="1"/>
      <c r="E887" s="1"/>
      <c r="F887" s="1"/>
      <c r="P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142"/>
    </row>
    <row r="888" ht="17.25" customHeight="1">
      <c r="A888" s="1"/>
      <c r="B888" s="1"/>
      <c r="C888" s="1"/>
      <c r="D888" s="1"/>
      <c r="E888" s="1"/>
      <c r="F888" s="1"/>
      <c r="P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142"/>
    </row>
    <row r="889" ht="17.25" customHeight="1">
      <c r="A889" s="1"/>
      <c r="B889" s="1"/>
      <c r="C889" s="1"/>
      <c r="D889" s="1"/>
      <c r="E889" s="1"/>
      <c r="F889" s="1"/>
      <c r="P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142"/>
    </row>
    <row r="890" ht="17.25" customHeight="1">
      <c r="A890" s="1"/>
      <c r="B890" s="1"/>
      <c r="C890" s="1"/>
      <c r="D890" s="1"/>
      <c r="E890" s="1"/>
      <c r="F890" s="1"/>
      <c r="P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142"/>
    </row>
    <row r="891" ht="17.25" customHeight="1">
      <c r="A891" s="1"/>
      <c r="B891" s="1"/>
      <c r="C891" s="1"/>
      <c r="D891" s="1"/>
      <c r="E891" s="1"/>
      <c r="F891" s="1"/>
      <c r="P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142"/>
    </row>
    <row r="892" ht="17.25" customHeight="1">
      <c r="A892" s="1"/>
      <c r="B892" s="1"/>
      <c r="C892" s="1"/>
      <c r="D892" s="1"/>
      <c r="E892" s="1"/>
      <c r="F892" s="1"/>
      <c r="P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142"/>
    </row>
    <row r="893" ht="17.25" customHeight="1">
      <c r="A893" s="1"/>
      <c r="B893" s="1"/>
      <c r="C893" s="1"/>
      <c r="D893" s="1"/>
      <c r="E893" s="1"/>
      <c r="F893" s="1"/>
      <c r="P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142"/>
    </row>
    <row r="894" ht="17.25" customHeight="1">
      <c r="A894" s="1"/>
      <c r="B894" s="1"/>
      <c r="C894" s="1"/>
      <c r="D894" s="1"/>
      <c r="E894" s="1"/>
      <c r="F894" s="1"/>
      <c r="P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142"/>
    </row>
    <row r="895" ht="17.25" customHeight="1">
      <c r="A895" s="1"/>
      <c r="B895" s="1"/>
      <c r="C895" s="1"/>
      <c r="D895" s="1"/>
      <c r="E895" s="1"/>
      <c r="F895" s="1"/>
      <c r="P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142"/>
    </row>
    <row r="896" ht="17.25" customHeight="1">
      <c r="A896" s="1"/>
      <c r="B896" s="1"/>
      <c r="C896" s="1"/>
      <c r="D896" s="1"/>
      <c r="E896" s="1"/>
      <c r="F896" s="1"/>
      <c r="P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142"/>
    </row>
    <row r="897" ht="17.25" customHeight="1">
      <c r="A897" s="1"/>
      <c r="B897" s="1"/>
      <c r="C897" s="1"/>
      <c r="D897" s="1"/>
      <c r="E897" s="1"/>
      <c r="F897" s="1"/>
      <c r="P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142"/>
    </row>
    <row r="898" ht="17.25" customHeight="1">
      <c r="A898" s="1"/>
      <c r="B898" s="1"/>
      <c r="C898" s="1"/>
      <c r="D898" s="1"/>
      <c r="E898" s="1"/>
      <c r="F898" s="1"/>
      <c r="P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142"/>
    </row>
    <row r="899" ht="17.25" customHeight="1">
      <c r="A899" s="1"/>
      <c r="B899" s="1"/>
      <c r="C899" s="1"/>
      <c r="D899" s="1"/>
      <c r="E899" s="1"/>
      <c r="F899" s="1"/>
      <c r="P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142"/>
    </row>
    <row r="900" ht="17.25" customHeight="1">
      <c r="A900" s="1"/>
      <c r="B900" s="1"/>
      <c r="C900" s="1"/>
      <c r="D900" s="1"/>
      <c r="E900" s="1"/>
      <c r="F900" s="1"/>
      <c r="P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142"/>
    </row>
    <row r="901" ht="17.25" customHeight="1">
      <c r="A901" s="1"/>
      <c r="B901" s="1"/>
      <c r="C901" s="1"/>
      <c r="D901" s="1"/>
      <c r="E901" s="1"/>
      <c r="F901" s="1"/>
      <c r="P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142"/>
    </row>
    <row r="902" ht="17.25" customHeight="1">
      <c r="A902" s="1"/>
      <c r="B902" s="1"/>
      <c r="C902" s="1"/>
      <c r="D902" s="1"/>
      <c r="E902" s="1"/>
      <c r="F902" s="1"/>
      <c r="P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142"/>
    </row>
    <row r="903" ht="17.25" customHeight="1">
      <c r="A903" s="1"/>
      <c r="B903" s="1"/>
      <c r="C903" s="1"/>
      <c r="D903" s="1"/>
      <c r="E903" s="1"/>
      <c r="F903" s="1"/>
      <c r="P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142"/>
    </row>
    <row r="904" ht="17.25" customHeight="1">
      <c r="A904" s="1"/>
      <c r="B904" s="1"/>
      <c r="C904" s="1"/>
      <c r="D904" s="1"/>
      <c r="E904" s="1"/>
      <c r="F904" s="1"/>
      <c r="P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142"/>
    </row>
    <row r="905" ht="17.25" customHeight="1">
      <c r="A905" s="1"/>
      <c r="B905" s="1"/>
      <c r="C905" s="1"/>
      <c r="D905" s="1"/>
      <c r="E905" s="1"/>
      <c r="F905" s="1"/>
      <c r="P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142"/>
    </row>
    <row r="906" ht="17.25" customHeight="1">
      <c r="A906" s="1"/>
      <c r="B906" s="1"/>
      <c r="C906" s="1"/>
      <c r="D906" s="1"/>
      <c r="E906" s="1"/>
      <c r="F906" s="1"/>
      <c r="P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142"/>
    </row>
    <row r="907" ht="17.25" customHeight="1">
      <c r="A907" s="1"/>
      <c r="B907" s="1"/>
      <c r="C907" s="1"/>
      <c r="D907" s="1"/>
      <c r="E907" s="1"/>
      <c r="F907" s="1"/>
      <c r="P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142"/>
    </row>
    <row r="908" ht="17.25" customHeight="1">
      <c r="A908" s="1"/>
      <c r="B908" s="1"/>
      <c r="C908" s="1"/>
      <c r="D908" s="1"/>
      <c r="E908" s="1"/>
      <c r="F908" s="1"/>
      <c r="P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142"/>
    </row>
    <row r="909" ht="17.25" customHeight="1">
      <c r="A909" s="1"/>
      <c r="B909" s="1"/>
      <c r="C909" s="1"/>
      <c r="D909" s="1"/>
      <c r="E909" s="1"/>
      <c r="F909" s="1"/>
      <c r="P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142"/>
    </row>
    <row r="910" ht="17.25" customHeight="1">
      <c r="A910" s="1"/>
      <c r="B910" s="1"/>
      <c r="C910" s="1"/>
      <c r="D910" s="1"/>
      <c r="E910" s="1"/>
      <c r="F910" s="1"/>
      <c r="P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142"/>
    </row>
    <row r="911" ht="17.25" customHeight="1">
      <c r="A911" s="1"/>
      <c r="B911" s="1"/>
      <c r="C911" s="1"/>
      <c r="D911" s="1"/>
      <c r="E911" s="1"/>
      <c r="F911" s="1"/>
      <c r="P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142"/>
    </row>
    <row r="912" ht="17.25" customHeight="1">
      <c r="A912" s="1"/>
      <c r="B912" s="1"/>
      <c r="C912" s="1"/>
      <c r="D912" s="1"/>
      <c r="E912" s="1"/>
      <c r="F912" s="1"/>
      <c r="P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142"/>
    </row>
    <row r="913" ht="17.25" customHeight="1">
      <c r="A913" s="1"/>
      <c r="B913" s="1"/>
      <c r="C913" s="1"/>
      <c r="D913" s="1"/>
      <c r="E913" s="1"/>
      <c r="F913" s="1"/>
      <c r="P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142"/>
    </row>
    <row r="914" ht="17.25" customHeight="1">
      <c r="A914" s="1"/>
      <c r="B914" s="1"/>
      <c r="C914" s="1"/>
      <c r="D914" s="1"/>
      <c r="E914" s="1"/>
      <c r="F914" s="1"/>
      <c r="P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142"/>
    </row>
    <row r="915" ht="17.25" customHeight="1">
      <c r="A915" s="1"/>
      <c r="B915" s="1"/>
      <c r="C915" s="1"/>
      <c r="D915" s="1"/>
      <c r="E915" s="1"/>
      <c r="F915" s="1"/>
      <c r="P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142"/>
    </row>
    <row r="916" ht="17.25" customHeight="1">
      <c r="A916" s="1"/>
      <c r="B916" s="1"/>
      <c r="C916" s="1"/>
      <c r="D916" s="1"/>
      <c r="E916" s="1"/>
      <c r="F916" s="1"/>
      <c r="P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142"/>
    </row>
    <row r="917" ht="17.25" customHeight="1">
      <c r="A917" s="1"/>
      <c r="B917" s="1"/>
      <c r="C917" s="1"/>
      <c r="D917" s="1"/>
      <c r="E917" s="1"/>
      <c r="F917" s="1"/>
      <c r="P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142"/>
    </row>
    <row r="918" ht="17.25" customHeight="1">
      <c r="A918" s="1"/>
      <c r="B918" s="1"/>
      <c r="C918" s="1"/>
      <c r="D918" s="1"/>
      <c r="E918" s="1"/>
      <c r="F918" s="1"/>
      <c r="P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142"/>
    </row>
    <row r="919" ht="17.25" customHeight="1">
      <c r="A919" s="1"/>
      <c r="B919" s="1"/>
      <c r="C919" s="1"/>
      <c r="D919" s="1"/>
      <c r="E919" s="1"/>
      <c r="F919" s="1"/>
      <c r="P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142"/>
    </row>
    <row r="920" ht="17.25" customHeight="1">
      <c r="A920" s="1"/>
      <c r="B920" s="1"/>
      <c r="C920" s="1"/>
      <c r="D920" s="1"/>
      <c r="E920" s="1"/>
      <c r="F920" s="1"/>
      <c r="P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142"/>
    </row>
    <row r="921" ht="17.25" customHeight="1">
      <c r="A921" s="1"/>
      <c r="B921" s="1"/>
      <c r="C921" s="1"/>
      <c r="D921" s="1"/>
      <c r="E921" s="1"/>
      <c r="F921" s="1"/>
      <c r="P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142"/>
    </row>
    <row r="922" ht="17.25" customHeight="1">
      <c r="A922" s="1"/>
      <c r="B922" s="1"/>
      <c r="C922" s="1"/>
      <c r="D922" s="1"/>
      <c r="E922" s="1"/>
      <c r="F922" s="1"/>
      <c r="P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142"/>
    </row>
    <row r="923" ht="17.25" customHeight="1">
      <c r="A923" s="1"/>
      <c r="B923" s="1"/>
      <c r="C923" s="1"/>
      <c r="D923" s="1"/>
      <c r="E923" s="1"/>
      <c r="F923" s="1"/>
      <c r="P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142"/>
    </row>
    <row r="924" ht="17.25" customHeight="1">
      <c r="A924" s="1"/>
      <c r="B924" s="1"/>
      <c r="C924" s="1"/>
      <c r="D924" s="1"/>
      <c r="E924" s="1"/>
      <c r="F924" s="1"/>
      <c r="P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142"/>
    </row>
    <row r="925" ht="17.25" customHeight="1">
      <c r="A925" s="1"/>
      <c r="B925" s="1"/>
      <c r="C925" s="1"/>
      <c r="D925" s="1"/>
      <c r="E925" s="1"/>
      <c r="F925" s="1"/>
      <c r="P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142"/>
    </row>
    <row r="926" ht="17.25" customHeight="1">
      <c r="A926" s="1"/>
      <c r="B926" s="1"/>
      <c r="C926" s="1"/>
      <c r="D926" s="1"/>
      <c r="E926" s="1"/>
      <c r="F926" s="1"/>
      <c r="P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142"/>
    </row>
    <row r="927" ht="17.25" customHeight="1">
      <c r="A927" s="1"/>
      <c r="B927" s="1"/>
      <c r="C927" s="1"/>
      <c r="D927" s="1"/>
      <c r="E927" s="1"/>
      <c r="F927" s="1"/>
      <c r="P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142"/>
    </row>
    <row r="928" ht="17.25" customHeight="1">
      <c r="A928" s="1"/>
      <c r="B928" s="1"/>
      <c r="C928" s="1"/>
      <c r="D928" s="1"/>
      <c r="E928" s="1"/>
      <c r="F928" s="1"/>
      <c r="P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142"/>
    </row>
    <row r="929" ht="17.25" customHeight="1">
      <c r="A929" s="1"/>
      <c r="B929" s="1"/>
      <c r="C929" s="1"/>
      <c r="D929" s="1"/>
      <c r="E929" s="1"/>
      <c r="F929" s="1"/>
      <c r="P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142"/>
    </row>
    <row r="930" ht="17.25" customHeight="1">
      <c r="A930" s="1"/>
      <c r="B930" s="1"/>
      <c r="C930" s="1"/>
      <c r="D930" s="1"/>
      <c r="E930" s="1"/>
      <c r="F930" s="1"/>
      <c r="P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142"/>
    </row>
    <row r="931" ht="17.25" customHeight="1">
      <c r="A931" s="1"/>
      <c r="B931" s="1"/>
      <c r="C931" s="1"/>
      <c r="D931" s="1"/>
      <c r="E931" s="1"/>
      <c r="F931" s="1"/>
      <c r="P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142"/>
    </row>
    <row r="932" ht="17.25" customHeight="1">
      <c r="A932" s="1"/>
      <c r="B932" s="1"/>
      <c r="C932" s="1"/>
      <c r="D932" s="1"/>
      <c r="E932" s="1"/>
      <c r="F932" s="1"/>
      <c r="P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142"/>
    </row>
    <row r="933" ht="17.25" customHeight="1">
      <c r="A933" s="1"/>
      <c r="B933" s="1"/>
      <c r="C933" s="1"/>
      <c r="D933" s="1"/>
      <c r="E933" s="1"/>
      <c r="F933" s="1"/>
      <c r="P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142"/>
    </row>
    <row r="934" ht="17.25" customHeight="1">
      <c r="A934" s="1"/>
      <c r="B934" s="1"/>
      <c r="C934" s="1"/>
      <c r="D934" s="1"/>
      <c r="E934" s="1"/>
      <c r="F934" s="1"/>
      <c r="P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142"/>
    </row>
    <row r="935" ht="17.25" customHeight="1">
      <c r="A935" s="1"/>
      <c r="B935" s="1"/>
      <c r="C935" s="1"/>
      <c r="D935" s="1"/>
      <c r="E935" s="1"/>
      <c r="F935" s="1"/>
      <c r="P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142"/>
    </row>
    <row r="936" ht="17.25" customHeight="1">
      <c r="A936" s="1"/>
      <c r="B936" s="1"/>
      <c r="C936" s="1"/>
      <c r="D936" s="1"/>
      <c r="E936" s="1"/>
      <c r="F936" s="1"/>
      <c r="P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142"/>
    </row>
    <row r="937" ht="17.25" customHeight="1">
      <c r="A937" s="1"/>
      <c r="B937" s="1"/>
      <c r="C937" s="1"/>
      <c r="D937" s="1"/>
      <c r="E937" s="1"/>
      <c r="F937" s="1"/>
      <c r="P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142"/>
    </row>
    <row r="938" ht="17.25" customHeight="1">
      <c r="A938" s="1"/>
      <c r="B938" s="1"/>
      <c r="C938" s="1"/>
      <c r="D938" s="1"/>
      <c r="E938" s="1"/>
      <c r="F938" s="1"/>
      <c r="P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142"/>
    </row>
    <row r="939" ht="17.25" customHeight="1">
      <c r="A939" s="1"/>
      <c r="B939" s="1"/>
      <c r="C939" s="1"/>
      <c r="D939" s="1"/>
      <c r="E939" s="1"/>
      <c r="F939" s="1"/>
      <c r="P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142"/>
    </row>
    <row r="940" ht="17.25" customHeight="1">
      <c r="A940" s="1"/>
      <c r="B940" s="1"/>
      <c r="C940" s="1"/>
      <c r="D940" s="1"/>
      <c r="E940" s="1"/>
      <c r="F940" s="1"/>
      <c r="P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142"/>
    </row>
    <row r="941" ht="17.25" customHeight="1">
      <c r="A941" s="1"/>
      <c r="B941" s="1"/>
      <c r="C941" s="1"/>
      <c r="D941" s="1"/>
      <c r="E941" s="1"/>
      <c r="F941" s="1"/>
      <c r="P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142"/>
    </row>
    <row r="942" ht="17.25" customHeight="1">
      <c r="A942" s="1"/>
      <c r="B942" s="1"/>
      <c r="C942" s="1"/>
      <c r="D942" s="1"/>
      <c r="E942" s="1"/>
      <c r="F942" s="1"/>
      <c r="P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142"/>
    </row>
    <row r="943" ht="17.25" customHeight="1">
      <c r="A943" s="1"/>
      <c r="B943" s="1"/>
      <c r="C943" s="1"/>
      <c r="D943" s="1"/>
      <c r="E943" s="1"/>
      <c r="F943" s="1"/>
      <c r="P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142"/>
    </row>
    <row r="944" ht="17.25" customHeight="1">
      <c r="A944" s="1"/>
      <c r="B944" s="1"/>
      <c r="C944" s="1"/>
      <c r="D944" s="1"/>
      <c r="E944" s="1"/>
      <c r="F944" s="1"/>
      <c r="P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142"/>
    </row>
    <row r="945" ht="17.25" customHeight="1">
      <c r="A945" s="1"/>
      <c r="B945" s="1"/>
      <c r="C945" s="1"/>
      <c r="D945" s="1"/>
      <c r="E945" s="1"/>
      <c r="F945" s="1"/>
      <c r="P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142"/>
    </row>
    <row r="946" ht="17.25" customHeight="1">
      <c r="A946" s="1"/>
      <c r="B946" s="1"/>
      <c r="C946" s="1"/>
      <c r="D946" s="1"/>
      <c r="E946" s="1"/>
      <c r="F946" s="1"/>
      <c r="P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142"/>
    </row>
    <row r="947" ht="17.25" customHeight="1">
      <c r="A947" s="1"/>
      <c r="B947" s="1"/>
      <c r="C947" s="1"/>
      <c r="D947" s="1"/>
      <c r="E947" s="1"/>
      <c r="F947" s="1"/>
      <c r="P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142"/>
    </row>
    <row r="948" ht="17.25" customHeight="1">
      <c r="A948" s="1"/>
      <c r="B948" s="1"/>
      <c r="C948" s="1"/>
      <c r="D948" s="1"/>
      <c r="E948" s="1"/>
      <c r="F948" s="1"/>
      <c r="P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142"/>
    </row>
    <row r="949" ht="17.25" customHeight="1">
      <c r="A949" s="1"/>
      <c r="B949" s="1"/>
      <c r="C949" s="1"/>
      <c r="D949" s="1"/>
      <c r="E949" s="1"/>
      <c r="F949" s="1"/>
      <c r="P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142"/>
    </row>
    <row r="950" ht="17.25" customHeight="1">
      <c r="A950" s="1"/>
      <c r="B950" s="1"/>
      <c r="C950" s="1"/>
      <c r="D950" s="1"/>
      <c r="E950" s="1"/>
      <c r="F950" s="1"/>
      <c r="P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142"/>
    </row>
    <row r="951" ht="17.25" customHeight="1">
      <c r="A951" s="1"/>
      <c r="B951" s="1"/>
      <c r="C951" s="1"/>
      <c r="D951" s="1"/>
      <c r="E951" s="1"/>
      <c r="F951" s="1"/>
      <c r="P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142"/>
    </row>
    <row r="952" ht="17.25" customHeight="1">
      <c r="A952" s="1"/>
      <c r="B952" s="1"/>
      <c r="C952" s="1"/>
      <c r="D952" s="1"/>
      <c r="E952" s="1"/>
      <c r="F952" s="1"/>
      <c r="P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142"/>
    </row>
    <row r="953" ht="17.25" customHeight="1">
      <c r="A953" s="1"/>
      <c r="B953" s="1"/>
      <c r="C953" s="1"/>
      <c r="D953" s="1"/>
      <c r="E953" s="1"/>
      <c r="F953" s="1"/>
      <c r="P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142"/>
    </row>
    <row r="954" ht="17.25" customHeight="1">
      <c r="A954" s="1"/>
      <c r="B954" s="1"/>
      <c r="C954" s="1"/>
      <c r="D954" s="1"/>
      <c r="E954" s="1"/>
      <c r="F954" s="1"/>
      <c r="P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142"/>
    </row>
    <row r="955" ht="17.25" customHeight="1">
      <c r="A955" s="1"/>
      <c r="B955" s="1"/>
      <c r="C955" s="1"/>
      <c r="D955" s="1"/>
      <c r="E955" s="1"/>
      <c r="F955" s="1"/>
      <c r="P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142"/>
    </row>
    <row r="956" ht="17.25" customHeight="1">
      <c r="A956" s="1"/>
      <c r="B956" s="1"/>
      <c r="C956" s="1"/>
      <c r="D956" s="1"/>
      <c r="E956" s="1"/>
      <c r="F956" s="1"/>
      <c r="P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142"/>
    </row>
    <row r="957" ht="17.25" customHeight="1">
      <c r="A957" s="1"/>
      <c r="B957" s="1"/>
      <c r="C957" s="1"/>
      <c r="D957" s="1"/>
      <c r="E957" s="1"/>
      <c r="F957" s="1"/>
      <c r="P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142"/>
    </row>
    <row r="958" ht="17.25" customHeight="1">
      <c r="A958" s="1"/>
      <c r="B958" s="1"/>
      <c r="C958" s="1"/>
      <c r="D958" s="1"/>
      <c r="E958" s="1"/>
      <c r="F958" s="1"/>
      <c r="P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142"/>
    </row>
    <row r="959" ht="17.25" customHeight="1">
      <c r="A959" s="1"/>
      <c r="B959" s="1"/>
      <c r="C959" s="1"/>
      <c r="D959" s="1"/>
      <c r="E959" s="1"/>
      <c r="F959" s="1"/>
      <c r="P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142"/>
    </row>
    <row r="960" ht="17.25" customHeight="1">
      <c r="A960" s="1"/>
      <c r="B960" s="1"/>
      <c r="C960" s="1"/>
      <c r="D960" s="1"/>
      <c r="E960" s="1"/>
      <c r="F960" s="1"/>
      <c r="P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142"/>
    </row>
    <row r="961" ht="17.25" customHeight="1">
      <c r="A961" s="1"/>
      <c r="B961" s="1"/>
      <c r="C961" s="1"/>
      <c r="D961" s="1"/>
      <c r="E961" s="1"/>
      <c r="F961" s="1"/>
      <c r="P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142"/>
    </row>
    <row r="962" ht="17.25" customHeight="1">
      <c r="A962" s="1"/>
      <c r="B962" s="1"/>
      <c r="C962" s="1"/>
      <c r="D962" s="1"/>
      <c r="E962" s="1"/>
      <c r="F962" s="1"/>
      <c r="P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142"/>
    </row>
    <row r="963" ht="17.25" customHeight="1">
      <c r="A963" s="1"/>
      <c r="B963" s="1"/>
      <c r="C963" s="1"/>
      <c r="D963" s="1"/>
      <c r="E963" s="1"/>
      <c r="F963" s="1"/>
      <c r="P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142"/>
    </row>
    <row r="964" ht="17.25" customHeight="1">
      <c r="A964" s="1"/>
      <c r="B964" s="1"/>
      <c r="C964" s="1"/>
      <c r="D964" s="1"/>
      <c r="E964" s="1"/>
      <c r="F964" s="1"/>
      <c r="P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142"/>
    </row>
    <row r="965" ht="17.25" customHeight="1">
      <c r="A965" s="1"/>
      <c r="B965" s="1"/>
      <c r="C965" s="1"/>
      <c r="D965" s="1"/>
      <c r="E965" s="1"/>
      <c r="F965" s="1"/>
      <c r="P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142"/>
    </row>
    <row r="966" ht="17.25" customHeight="1">
      <c r="A966" s="1"/>
      <c r="B966" s="1"/>
      <c r="C966" s="1"/>
      <c r="D966" s="1"/>
      <c r="E966" s="1"/>
      <c r="F966" s="1"/>
      <c r="P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142"/>
    </row>
    <row r="967" ht="17.25" customHeight="1">
      <c r="A967" s="1"/>
      <c r="B967" s="1"/>
      <c r="C967" s="1"/>
      <c r="D967" s="1"/>
      <c r="E967" s="1"/>
      <c r="F967" s="1"/>
      <c r="P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142"/>
    </row>
    <row r="968" ht="17.25" customHeight="1">
      <c r="A968" s="1"/>
      <c r="B968" s="1"/>
      <c r="C968" s="1"/>
      <c r="D968" s="1"/>
      <c r="E968" s="1"/>
      <c r="F968" s="1"/>
      <c r="P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142"/>
    </row>
    <row r="969" ht="17.25" customHeight="1">
      <c r="A969" s="1"/>
      <c r="B969" s="1"/>
      <c r="C969" s="1"/>
      <c r="D969" s="1"/>
      <c r="E969" s="1"/>
      <c r="F969" s="1"/>
      <c r="P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142"/>
    </row>
    <row r="970" ht="17.25" customHeight="1">
      <c r="A970" s="1"/>
      <c r="B970" s="1"/>
      <c r="C970" s="1"/>
      <c r="D970" s="1"/>
      <c r="E970" s="1"/>
      <c r="F970" s="1"/>
      <c r="P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142"/>
    </row>
    <row r="971" ht="17.25" customHeight="1">
      <c r="A971" s="1"/>
      <c r="B971" s="1"/>
      <c r="C971" s="1"/>
      <c r="D971" s="1"/>
      <c r="E971" s="1"/>
      <c r="F971" s="1"/>
      <c r="P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142"/>
    </row>
    <row r="972" ht="17.25" customHeight="1">
      <c r="A972" s="1"/>
      <c r="B972" s="1"/>
      <c r="C972" s="1"/>
      <c r="D972" s="1"/>
      <c r="E972" s="1"/>
      <c r="F972" s="1"/>
      <c r="P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142"/>
    </row>
    <row r="973" ht="17.25" customHeight="1">
      <c r="A973" s="1"/>
      <c r="B973" s="1"/>
      <c r="C973" s="1"/>
      <c r="D973" s="1"/>
      <c r="E973" s="1"/>
      <c r="F973" s="1"/>
      <c r="P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142"/>
    </row>
    <row r="974" ht="17.25" customHeight="1">
      <c r="A974" s="1"/>
      <c r="B974" s="1"/>
      <c r="C974" s="1"/>
      <c r="D974" s="1"/>
      <c r="E974" s="1"/>
      <c r="F974" s="1"/>
      <c r="P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142"/>
    </row>
    <row r="975" ht="17.25" customHeight="1">
      <c r="A975" s="1"/>
      <c r="B975" s="1"/>
      <c r="C975" s="1"/>
      <c r="D975" s="1"/>
      <c r="E975" s="1"/>
      <c r="F975" s="1"/>
      <c r="P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142"/>
    </row>
    <row r="976" ht="17.25" customHeight="1">
      <c r="A976" s="1"/>
      <c r="B976" s="1"/>
      <c r="C976" s="1"/>
      <c r="D976" s="1"/>
      <c r="E976" s="1"/>
      <c r="F976" s="1"/>
      <c r="P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142"/>
    </row>
    <row r="977" ht="17.25" customHeight="1">
      <c r="A977" s="1"/>
      <c r="B977" s="1"/>
      <c r="C977" s="1"/>
      <c r="D977" s="1"/>
      <c r="E977" s="1"/>
      <c r="F977" s="1"/>
      <c r="P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142"/>
    </row>
    <row r="978" ht="17.25" customHeight="1">
      <c r="A978" s="1"/>
      <c r="B978" s="1"/>
      <c r="C978" s="1"/>
      <c r="D978" s="1"/>
      <c r="E978" s="1"/>
      <c r="F978" s="1"/>
      <c r="P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142"/>
    </row>
    <row r="979" ht="17.25" customHeight="1">
      <c r="A979" s="1"/>
      <c r="B979" s="1"/>
      <c r="C979" s="1"/>
      <c r="D979" s="1"/>
      <c r="E979" s="1"/>
      <c r="F979" s="1"/>
      <c r="P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142"/>
    </row>
    <row r="980" ht="17.25" customHeight="1">
      <c r="A980" s="1"/>
      <c r="B980" s="1"/>
      <c r="C980" s="1"/>
      <c r="D980" s="1"/>
      <c r="E980" s="1"/>
      <c r="F980" s="1"/>
      <c r="P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142"/>
    </row>
    <row r="981" ht="17.25" customHeight="1">
      <c r="A981" s="1"/>
      <c r="B981" s="1"/>
      <c r="C981" s="1"/>
      <c r="D981" s="1"/>
      <c r="E981" s="1"/>
      <c r="F981" s="1"/>
      <c r="P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142"/>
    </row>
    <row r="982" ht="17.25" customHeight="1">
      <c r="A982" s="1"/>
      <c r="B982" s="1"/>
      <c r="C982" s="1"/>
      <c r="D982" s="1"/>
      <c r="E982" s="1"/>
      <c r="F982" s="1"/>
      <c r="P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142"/>
    </row>
    <row r="983" ht="17.25" customHeight="1">
      <c r="A983" s="1"/>
      <c r="B983" s="1"/>
      <c r="C983" s="1"/>
      <c r="D983" s="1"/>
      <c r="E983" s="1"/>
      <c r="F983" s="1"/>
      <c r="P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142"/>
    </row>
    <row r="984" ht="17.25" customHeight="1">
      <c r="A984" s="1"/>
      <c r="B984" s="1"/>
      <c r="C984" s="1"/>
      <c r="D984" s="1"/>
      <c r="E984" s="1"/>
      <c r="F984" s="1"/>
      <c r="P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142"/>
    </row>
    <row r="985" ht="17.25" customHeight="1">
      <c r="A985" s="1"/>
      <c r="B985" s="1"/>
      <c r="C985" s="1"/>
      <c r="D985" s="1"/>
      <c r="E985" s="1"/>
      <c r="F985" s="1"/>
      <c r="P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142"/>
    </row>
    <row r="986" ht="17.25" customHeight="1">
      <c r="A986" s="1"/>
      <c r="B986" s="1"/>
      <c r="C986" s="1"/>
      <c r="D986" s="1"/>
      <c r="E986" s="1"/>
      <c r="F986" s="1"/>
      <c r="P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142"/>
    </row>
    <row r="987" ht="17.25" customHeight="1">
      <c r="A987" s="1"/>
      <c r="B987" s="1"/>
      <c r="C987" s="1"/>
      <c r="D987" s="1"/>
      <c r="E987" s="1"/>
      <c r="F987" s="1"/>
      <c r="P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142"/>
    </row>
    <row r="988" ht="17.25" customHeight="1">
      <c r="A988" s="1"/>
      <c r="B988" s="1"/>
      <c r="C988" s="1"/>
      <c r="D988" s="1"/>
      <c r="E988" s="1"/>
      <c r="F988" s="1"/>
      <c r="P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142"/>
    </row>
    <row r="989" ht="17.25" customHeight="1">
      <c r="A989" s="1"/>
      <c r="B989" s="1"/>
      <c r="C989" s="1"/>
      <c r="D989" s="1"/>
      <c r="E989" s="1"/>
      <c r="F989" s="1"/>
      <c r="P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142"/>
    </row>
    <row r="990" ht="17.25" customHeight="1">
      <c r="A990" s="1"/>
      <c r="B990" s="1"/>
      <c r="C990" s="1"/>
      <c r="D990" s="1"/>
      <c r="E990" s="1"/>
      <c r="F990" s="1"/>
      <c r="P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142"/>
    </row>
    <row r="991" ht="17.25" customHeight="1">
      <c r="A991" s="1"/>
      <c r="B991" s="1"/>
      <c r="C991" s="1"/>
      <c r="D991" s="1"/>
      <c r="E991" s="1"/>
      <c r="F991" s="1"/>
      <c r="P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142"/>
    </row>
    <row r="992" ht="17.25" customHeight="1">
      <c r="A992" s="1"/>
      <c r="B992" s="1"/>
      <c r="C992" s="1"/>
      <c r="D992" s="1"/>
      <c r="E992" s="1"/>
      <c r="F992" s="1"/>
      <c r="P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142"/>
    </row>
    <row r="993" ht="17.25" customHeight="1">
      <c r="A993" s="1"/>
      <c r="B993" s="1"/>
      <c r="C993" s="1"/>
      <c r="D993" s="1"/>
      <c r="E993" s="1"/>
      <c r="F993" s="1"/>
      <c r="P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142"/>
    </row>
    <row r="994" ht="17.25" customHeight="1">
      <c r="A994" s="1"/>
      <c r="B994" s="1"/>
      <c r="C994" s="1"/>
      <c r="D994" s="1"/>
      <c r="E994" s="1"/>
      <c r="F994" s="1"/>
      <c r="P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142"/>
    </row>
    <row r="995" ht="17.25" customHeight="1">
      <c r="A995" s="1"/>
      <c r="B995" s="1"/>
      <c r="C995" s="1"/>
      <c r="D995" s="1"/>
      <c r="E995" s="1"/>
      <c r="F995" s="1"/>
      <c r="P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142"/>
    </row>
    <row r="996" ht="17.25" customHeight="1">
      <c r="A996" s="1"/>
      <c r="B996" s="1"/>
      <c r="C996" s="1"/>
      <c r="D996" s="1"/>
      <c r="E996" s="1"/>
      <c r="F996" s="1"/>
      <c r="P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142"/>
    </row>
    <row r="997" ht="17.25" customHeight="1">
      <c r="A997" s="1"/>
      <c r="B997" s="1"/>
      <c r="C997" s="1"/>
      <c r="D997" s="1"/>
      <c r="E997" s="1"/>
      <c r="F997" s="1"/>
      <c r="P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142"/>
    </row>
    <row r="998" ht="17.25" customHeight="1">
      <c r="A998" s="1"/>
      <c r="B998" s="1"/>
      <c r="C998" s="1"/>
      <c r="D998" s="1"/>
      <c r="E998" s="1"/>
      <c r="F998" s="1"/>
      <c r="P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142"/>
    </row>
    <row r="999" ht="17.25" customHeight="1">
      <c r="A999" s="1"/>
      <c r="B999" s="1"/>
      <c r="C999" s="1"/>
      <c r="D999" s="1"/>
      <c r="E999" s="1"/>
      <c r="F999" s="1"/>
      <c r="P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142"/>
    </row>
    <row r="1000" ht="17.25" customHeight="1">
      <c r="A1000" s="1"/>
      <c r="B1000" s="1"/>
      <c r="C1000" s="1"/>
      <c r="D1000" s="1"/>
      <c r="E1000" s="1"/>
      <c r="F1000" s="1"/>
      <c r="P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142"/>
    </row>
  </sheetData>
  <mergeCells count="20">
    <mergeCell ref="A9:A13"/>
    <mergeCell ref="A14:A18"/>
    <mergeCell ref="A19:A23"/>
    <mergeCell ref="A24:A28"/>
    <mergeCell ref="A31:A35"/>
    <mergeCell ref="B14:B15"/>
    <mergeCell ref="B16:B17"/>
    <mergeCell ref="B19:B20"/>
    <mergeCell ref="B21:B22"/>
    <mergeCell ref="B24:B25"/>
    <mergeCell ref="B26:B27"/>
    <mergeCell ref="B31:B32"/>
    <mergeCell ref="B33:B34"/>
    <mergeCell ref="A2:B2"/>
    <mergeCell ref="A3:C3"/>
    <mergeCell ref="A4:A8"/>
    <mergeCell ref="B4:B5"/>
    <mergeCell ref="B6:B7"/>
    <mergeCell ref="B9:B10"/>
    <mergeCell ref="B11:B12"/>
  </mergeCells>
  <printOptions/>
  <pageMargins bottom="0.7479166388511658" footer="0.0" header="0.0" left="0.7086111307144165" right="0.7086111307144165" top="0.7479166388511658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9.29"/>
    <col customWidth="1" min="2" max="2" width="6.14"/>
    <col customWidth="1" min="3" max="3" width="9.0"/>
    <col customWidth="1" min="4" max="16" width="12.57"/>
    <col customWidth="1" min="17" max="26" width="9.0"/>
  </cols>
  <sheetData>
    <row r="1" ht="12.0" customHeight="1">
      <c r="A1" s="1"/>
      <c r="B1" s="1"/>
      <c r="C1" s="1"/>
      <c r="D1" s="1"/>
      <c r="E1" s="1"/>
      <c r="F1" s="1"/>
    </row>
    <row r="2" ht="30.0" customHeight="1">
      <c r="A2" s="4" t="s">
        <v>0</v>
      </c>
      <c r="B2" s="5"/>
      <c r="C2" s="1"/>
      <c r="D2" s="1"/>
      <c r="E2" s="1"/>
      <c r="F2" s="1"/>
    </row>
    <row r="3" ht="18.0" customHeight="1">
      <c r="A3" s="6" t="s">
        <v>1</v>
      </c>
      <c r="B3" s="7"/>
      <c r="C3" s="8"/>
      <c r="D3" s="9">
        <v>43131.0</v>
      </c>
      <c r="E3" s="9">
        <v>43159.0</v>
      </c>
      <c r="F3" s="9">
        <v>43190.0</v>
      </c>
      <c r="G3" s="9">
        <v>43220.0</v>
      </c>
      <c r="H3" s="9">
        <v>43251.0</v>
      </c>
      <c r="I3" s="9">
        <v>43281.0</v>
      </c>
      <c r="J3" s="9">
        <v>43312.0</v>
      </c>
      <c r="K3" s="9">
        <v>43343.0</v>
      </c>
      <c r="L3" s="9">
        <v>43373.0</v>
      </c>
      <c r="M3" s="317">
        <v>43404.0</v>
      </c>
      <c r="N3" s="317" t="s">
        <v>2</v>
      </c>
      <c r="O3" s="317" t="s">
        <v>3</v>
      </c>
      <c r="P3" s="12" t="s">
        <v>30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17" t="s">
        <v>6</v>
      </c>
      <c r="B4" s="17" t="s">
        <v>7</v>
      </c>
      <c r="C4" s="18" t="s">
        <v>8</v>
      </c>
      <c r="D4" s="318">
        <v>19148.0</v>
      </c>
      <c r="E4" s="318">
        <v>18528.0</v>
      </c>
      <c r="F4" s="318">
        <v>23056.0</v>
      </c>
      <c r="G4" s="318">
        <v>29853.0</v>
      </c>
      <c r="H4" s="318">
        <v>18369.0</v>
      </c>
      <c r="I4" s="318">
        <v>18369.0</v>
      </c>
      <c r="J4" s="318">
        <v>28011.0</v>
      </c>
      <c r="K4" s="318">
        <v>19927.0</v>
      </c>
      <c r="L4" s="318">
        <v>23097.0</v>
      </c>
      <c r="M4" s="318">
        <v>19936.0</v>
      </c>
      <c r="N4" s="318">
        <v>31981.0</v>
      </c>
      <c r="O4" s="318">
        <v>24642.0</v>
      </c>
      <c r="P4" s="319">
        <v>629868.0</v>
      </c>
      <c r="Q4" s="247"/>
    </row>
    <row r="5" ht="18.0" customHeight="1">
      <c r="A5" s="28"/>
      <c r="B5" s="29"/>
      <c r="C5" s="30" t="s">
        <v>9</v>
      </c>
      <c r="D5" s="320">
        <v>214987.0</v>
      </c>
      <c r="E5" s="320">
        <v>271992.0</v>
      </c>
      <c r="F5" s="320">
        <v>297742.0</v>
      </c>
      <c r="G5" s="320">
        <v>332071.0</v>
      </c>
      <c r="H5" s="320">
        <v>367116.0</v>
      </c>
      <c r="I5" s="320">
        <v>367116.0</v>
      </c>
      <c r="J5" s="320">
        <v>449569.0</v>
      </c>
      <c r="K5" s="320">
        <v>348184.0</v>
      </c>
      <c r="L5" s="320">
        <v>295013.0</v>
      </c>
      <c r="M5" s="320">
        <v>269345.0</v>
      </c>
      <c r="N5" s="320">
        <v>292190.0</v>
      </c>
      <c r="O5" s="320">
        <v>227860.0</v>
      </c>
      <c r="P5" s="321">
        <v>8538519.0</v>
      </c>
      <c r="Q5" s="247"/>
    </row>
    <row r="6" ht="18.0" customHeight="1">
      <c r="A6" s="28"/>
      <c r="B6" s="38" t="s">
        <v>10</v>
      </c>
      <c r="C6" s="39" t="s">
        <v>8</v>
      </c>
      <c r="D6" s="318">
        <v>10341.0</v>
      </c>
      <c r="E6" s="318">
        <v>3278.0</v>
      </c>
      <c r="F6" s="318">
        <v>9539.0</v>
      </c>
      <c r="G6" s="318">
        <v>6055.0</v>
      </c>
      <c r="H6" s="318">
        <v>9864.0</v>
      </c>
      <c r="I6" s="318">
        <v>9864.0</v>
      </c>
      <c r="J6" s="318">
        <v>7750.0</v>
      </c>
      <c r="K6" s="318">
        <v>14397.0</v>
      </c>
      <c r="L6" s="318">
        <v>11781.0</v>
      </c>
      <c r="M6" s="318">
        <v>10269.0</v>
      </c>
      <c r="N6" s="318">
        <v>12992.0</v>
      </c>
      <c r="O6" s="318">
        <v>10003.7</v>
      </c>
      <c r="P6" s="319">
        <v>305131.7000000002</v>
      </c>
      <c r="Q6" s="247"/>
    </row>
    <row r="7" ht="18.0" customHeight="1">
      <c r="A7" s="28"/>
      <c r="B7" s="40"/>
      <c r="C7" s="41" t="s">
        <v>9</v>
      </c>
      <c r="D7" s="320">
        <v>275763.0</v>
      </c>
      <c r="E7" s="320">
        <v>218240.0</v>
      </c>
      <c r="F7" s="320">
        <v>199076.0</v>
      </c>
      <c r="G7" s="320">
        <v>179109.0</v>
      </c>
      <c r="H7" s="320">
        <v>231847.0</v>
      </c>
      <c r="I7" s="320">
        <v>231847.0</v>
      </c>
      <c r="J7" s="320">
        <v>273549.0</v>
      </c>
      <c r="K7" s="320">
        <v>271453.0</v>
      </c>
      <c r="L7" s="320">
        <v>173487.0</v>
      </c>
      <c r="M7" s="320">
        <v>359469.0</v>
      </c>
      <c r="N7" s="320">
        <v>325825.0</v>
      </c>
      <c r="O7" s="320">
        <v>292816.0</v>
      </c>
      <c r="P7" s="321">
        <v>8662053.0</v>
      </c>
      <c r="Q7" s="247"/>
    </row>
    <row r="8" ht="18.0" customHeight="1">
      <c r="A8" s="29"/>
      <c r="B8" s="43" t="s">
        <v>11</v>
      </c>
      <c r="C8" s="44" t="s">
        <v>9</v>
      </c>
      <c r="D8" s="318">
        <v>0.0</v>
      </c>
      <c r="E8" s="318">
        <v>2976.0</v>
      </c>
      <c r="F8" s="318">
        <v>78756.0</v>
      </c>
      <c r="G8" s="318">
        <v>68184.0</v>
      </c>
      <c r="H8" s="318">
        <v>84180.0</v>
      </c>
      <c r="I8" s="318">
        <v>96520.0</v>
      </c>
      <c r="J8" s="318">
        <v>141740.0</v>
      </c>
      <c r="K8" s="318">
        <v>96300.0</v>
      </c>
      <c r="L8" s="318">
        <v>92408.0</v>
      </c>
      <c r="M8" s="318">
        <v>82800.0</v>
      </c>
      <c r="N8" s="322">
        <v>115668.0</v>
      </c>
      <c r="O8" s="322">
        <v>127276.0</v>
      </c>
      <c r="P8" s="323">
        <v>2775508.0</v>
      </c>
    </row>
    <row r="9" ht="18.0" customHeight="1">
      <c r="A9" s="17" t="s">
        <v>12</v>
      </c>
      <c r="B9" s="17" t="s">
        <v>7</v>
      </c>
      <c r="C9" s="39" t="s">
        <v>8</v>
      </c>
      <c r="D9" s="324">
        <v>27975.0</v>
      </c>
      <c r="E9" s="324">
        <v>30936.0</v>
      </c>
      <c r="F9" s="324">
        <v>36537.0</v>
      </c>
      <c r="G9" s="324">
        <v>46639.0</v>
      </c>
      <c r="H9" s="324">
        <v>24425.0</v>
      </c>
      <c r="I9" s="324">
        <v>36387.0</v>
      </c>
      <c r="J9" s="324">
        <v>19112.0</v>
      </c>
      <c r="K9" s="324">
        <v>39857.0</v>
      </c>
      <c r="L9" s="324">
        <v>28965.0</v>
      </c>
      <c r="M9" s="325">
        <v>44774.0</v>
      </c>
      <c r="N9" s="325">
        <v>30441.0</v>
      </c>
      <c r="O9" s="325">
        <v>21313.0</v>
      </c>
      <c r="P9" s="326">
        <v>21313.0</v>
      </c>
      <c r="Q9" s="27"/>
    </row>
    <row r="10" ht="18.0" customHeight="1">
      <c r="A10" s="28"/>
      <c r="B10" s="29"/>
      <c r="C10" s="30" t="s">
        <v>9</v>
      </c>
      <c r="D10" s="327">
        <v>290917.0</v>
      </c>
      <c r="E10" s="327">
        <v>377184.0</v>
      </c>
      <c r="F10" s="327">
        <v>372333.0</v>
      </c>
      <c r="G10" s="327">
        <v>367364.0</v>
      </c>
      <c r="H10" s="327">
        <v>377860.0</v>
      </c>
      <c r="I10" s="327">
        <v>373250.0</v>
      </c>
      <c r="J10" s="327">
        <v>321118.0</v>
      </c>
      <c r="K10" s="327">
        <v>227824.0</v>
      </c>
      <c r="L10" s="327">
        <v>244985.0</v>
      </c>
      <c r="M10" s="328">
        <v>394524.0</v>
      </c>
      <c r="N10" s="329">
        <v>272640.0</v>
      </c>
      <c r="O10" s="329">
        <v>487740.0</v>
      </c>
      <c r="P10" s="330">
        <v>487740.0</v>
      </c>
      <c r="Q10" s="27"/>
    </row>
    <row r="11" ht="18.0" customHeight="1">
      <c r="A11" s="28"/>
      <c r="B11" s="38" t="s">
        <v>10</v>
      </c>
      <c r="C11" s="39" t="s">
        <v>8</v>
      </c>
      <c r="D11" s="324">
        <v>14474.0</v>
      </c>
      <c r="E11" s="324">
        <v>13272.0</v>
      </c>
      <c r="F11" s="324">
        <v>17910.0</v>
      </c>
      <c r="G11" s="324">
        <v>17667.0</v>
      </c>
      <c r="H11" s="324">
        <v>17866.0</v>
      </c>
      <c r="I11" s="324">
        <v>17250.0</v>
      </c>
      <c r="J11" s="324">
        <v>17341.0</v>
      </c>
      <c r="K11" s="324">
        <v>11376.0</v>
      </c>
      <c r="L11" s="324">
        <v>10911.0</v>
      </c>
      <c r="M11" s="324">
        <v>15705.0</v>
      </c>
      <c r="N11" s="327">
        <v>10787.7</v>
      </c>
      <c r="O11" s="327">
        <v>15319.0</v>
      </c>
      <c r="P11" s="331">
        <v>15319.0</v>
      </c>
      <c r="Q11" s="27"/>
    </row>
    <row r="12" ht="18.0" customHeight="1">
      <c r="A12" s="28"/>
      <c r="B12" s="40"/>
      <c r="C12" s="41" t="s">
        <v>9</v>
      </c>
      <c r="D12" s="327">
        <v>225590.0</v>
      </c>
      <c r="E12" s="327">
        <v>251757.0</v>
      </c>
      <c r="F12" s="327">
        <v>323220.0</v>
      </c>
      <c r="G12" s="327">
        <v>337298.0</v>
      </c>
      <c r="H12" s="327">
        <v>439558.0</v>
      </c>
      <c r="I12" s="327">
        <v>364882.0</v>
      </c>
      <c r="J12" s="327">
        <v>480850.0</v>
      </c>
      <c r="K12" s="327">
        <v>207217.0</v>
      </c>
      <c r="L12" s="327">
        <v>452263.0</v>
      </c>
      <c r="M12" s="327">
        <v>405940.0</v>
      </c>
      <c r="N12" s="327">
        <v>409154.0</v>
      </c>
      <c r="O12" s="327">
        <v>305858.0</v>
      </c>
      <c r="P12" s="332">
        <v>305858.0</v>
      </c>
      <c r="Q12" s="27"/>
    </row>
    <row r="13" ht="18.0" customHeight="1">
      <c r="A13" s="29"/>
      <c r="B13" s="43" t="s">
        <v>11</v>
      </c>
      <c r="C13" s="64" t="s">
        <v>9</v>
      </c>
      <c r="D13" s="324">
        <v>0.0</v>
      </c>
      <c r="E13" s="324">
        <v>2976.0</v>
      </c>
      <c r="F13" s="324">
        <v>118536.0</v>
      </c>
      <c r="G13" s="324">
        <v>184848.0</v>
      </c>
      <c r="H13" s="324">
        <v>161912.0</v>
      </c>
      <c r="I13" s="324">
        <v>214248.0</v>
      </c>
      <c r="J13" s="324">
        <v>171636.0</v>
      </c>
      <c r="K13" s="324">
        <v>160088.0</v>
      </c>
      <c r="L13" s="324">
        <v>164520.0</v>
      </c>
      <c r="M13" s="324">
        <v>223704.0</v>
      </c>
      <c r="N13" s="324">
        <v>192972.0</v>
      </c>
      <c r="O13" s="324">
        <v>195156.0</v>
      </c>
      <c r="P13" s="326">
        <v>195156.0</v>
      </c>
      <c r="Q13" s="27"/>
    </row>
    <row r="14" ht="18.0" customHeight="1">
      <c r="A14" s="17" t="s">
        <v>13</v>
      </c>
      <c r="B14" s="17" t="s">
        <v>7</v>
      </c>
      <c r="C14" s="18" t="s">
        <v>8</v>
      </c>
      <c r="D14" s="324">
        <v>24025.0</v>
      </c>
      <c r="E14" s="324">
        <v>31472.0</v>
      </c>
      <c r="F14" s="324">
        <v>31870.0</v>
      </c>
      <c r="G14" s="324">
        <v>39601.0</v>
      </c>
      <c r="H14" s="324">
        <v>35941.0</v>
      </c>
      <c r="I14" s="324">
        <v>26504.0</v>
      </c>
      <c r="J14" s="324">
        <v>31334.0</v>
      </c>
      <c r="K14" s="324">
        <v>36654.0</v>
      </c>
      <c r="L14" s="324">
        <v>33425.0</v>
      </c>
      <c r="M14" s="324">
        <v>33453.0</v>
      </c>
      <c r="N14" s="324">
        <v>37565.0</v>
      </c>
      <c r="O14" s="324">
        <v>24641.0</v>
      </c>
      <c r="P14" s="333">
        <v>24641.0</v>
      </c>
      <c r="Q14" s="27"/>
    </row>
    <row r="15" ht="18.0" customHeight="1">
      <c r="A15" s="28"/>
      <c r="B15" s="29"/>
      <c r="C15" s="30" t="s">
        <v>9</v>
      </c>
      <c r="D15" s="327">
        <v>281086.0</v>
      </c>
      <c r="E15" s="327">
        <v>319014.0</v>
      </c>
      <c r="F15" s="327">
        <v>343880.0</v>
      </c>
      <c r="G15" s="327">
        <v>333271.0</v>
      </c>
      <c r="H15" s="327">
        <v>342542.0</v>
      </c>
      <c r="I15" s="327">
        <v>291632.0</v>
      </c>
      <c r="J15" s="327">
        <v>414531.0</v>
      </c>
      <c r="K15" s="327">
        <v>280831.0</v>
      </c>
      <c r="L15" s="327">
        <v>275532.0</v>
      </c>
      <c r="M15" s="327">
        <v>377642.0</v>
      </c>
      <c r="N15" s="327">
        <v>341679.0</v>
      </c>
      <c r="O15" s="327">
        <v>288111.0</v>
      </c>
      <c r="P15" s="332">
        <v>288111.0</v>
      </c>
      <c r="Q15" s="27"/>
    </row>
    <row r="16" ht="18.0" customHeight="1">
      <c r="A16" s="28"/>
      <c r="B16" s="38" t="s">
        <v>10</v>
      </c>
      <c r="C16" s="39" t="s">
        <v>8</v>
      </c>
      <c r="D16" s="324">
        <v>12030.0</v>
      </c>
      <c r="E16" s="324">
        <v>20359.0</v>
      </c>
      <c r="F16" s="324">
        <v>11644.0</v>
      </c>
      <c r="G16" s="324">
        <v>21158.0</v>
      </c>
      <c r="H16" s="324">
        <v>14082.0</v>
      </c>
      <c r="I16" s="324">
        <v>19362.0</v>
      </c>
      <c r="J16" s="324">
        <v>11528.0</v>
      </c>
      <c r="K16" s="324">
        <v>15397.0</v>
      </c>
      <c r="L16" s="324">
        <v>12947.0</v>
      </c>
      <c r="M16" s="324">
        <v>14071.0</v>
      </c>
      <c r="N16" s="324">
        <v>14180.0</v>
      </c>
      <c r="O16" s="324">
        <v>16167.0</v>
      </c>
      <c r="P16" s="333">
        <v>16167.0</v>
      </c>
      <c r="Q16" s="27"/>
    </row>
    <row r="17" ht="18.0" customHeight="1">
      <c r="A17" s="28"/>
      <c r="B17" s="40"/>
      <c r="C17" s="41" t="s">
        <v>9</v>
      </c>
      <c r="D17" s="327">
        <v>264591.0</v>
      </c>
      <c r="E17" s="327">
        <v>308792.0</v>
      </c>
      <c r="F17" s="327">
        <v>342304.0</v>
      </c>
      <c r="G17" s="327">
        <v>357230.0</v>
      </c>
      <c r="H17" s="327">
        <v>386791.0</v>
      </c>
      <c r="I17" s="327">
        <v>323148.0</v>
      </c>
      <c r="J17" s="327">
        <v>522954.0</v>
      </c>
      <c r="K17" s="327">
        <v>370867.0</v>
      </c>
      <c r="L17" s="327">
        <v>317301.0</v>
      </c>
      <c r="M17" s="327">
        <v>468320.0</v>
      </c>
      <c r="N17" s="327">
        <v>472839.0</v>
      </c>
      <c r="O17" s="327">
        <v>297415.0</v>
      </c>
      <c r="P17" s="332">
        <v>297415.0</v>
      </c>
      <c r="Q17" s="27"/>
    </row>
    <row r="18" ht="18.0" customHeight="1">
      <c r="A18" s="29"/>
      <c r="B18" s="43" t="s">
        <v>11</v>
      </c>
      <c r="C18" s="64" t="s">
        <v>9</v>
      </c>
      <c r="D18" s="324">
        <v>0.0</v>
      </c>
      <c r="E18" s="324">
        <v>0.0</v>
      </c>
      <c r="F18" s="324">
        <v>42756.0</v>
      </c>
      <c r="G18" s="324">
        <v>195420.0</v>
      </c>
      <c r="H18" s="324">
        <v>145916.0</v>
      </c>
      <c r="I18" s="324">
        <v>156688.0</v>
      </c>
      <c r="J18" s="324">
        <v>217076.0</v>
      </c>
      <c r="K18" s="324">
        <v>163980.0</v>
      </c>
      <c r="L18" s="324">
        <v>174128.0</v>
      </c>
      <c r="M18" s="324">
        <v>190836.0</v>
      </c>
      <c r="N18" s="324">
        <v>181364.0</v>
      </c>
      <c r="O18" s="324">
        <v>197268.0</v>
      </c>
      <c r="P18" s="326">
        <v>197268.0</v>
      </c>
      <c r="Q18" s="27"/>
    </row>
    <row r="19" ht="18.0" customHeight="1">
      <c r="A19" s="17" t="s">
        <v>14</v>
      </c>
      <c r="B19" s="17" t="s">
        <v>7</v>
      </c>
      <c r="C19" s="18" t="s">
        <v>8</v>
      </c>
      <c r="D19" s="324">
        <v>0.0</v>
      </c>
      <c r="E19" s="324">
        <v>0.0</v>
      </c>
      <c r="F19" s="324">
        <v>0.0</v>
      </c>
      <c r="G19" s="324">
        <v>0.0</v>
      </c>
      <c r="H19" s="324">
        <v>0.0</v>
      </c>
      <c r="I19" s="324">
        <v>241.0</v>
      </c>
      <c r="J19" s="324">
        <v>-4138.0</v>
      </c>
      <c r="K19" s="324">
        <v>33.0</v>
      </c>
      <c r="L19" s="324">
        <v>-1299.0</v>
      </c>
      <c r="M19" s="324">
        <v>-724.0</v>
      </c>
      <c r="N19" s="324">
        <v>215.0</v>
      </c>
      <c r="O19" s="324">
        <v>-103.0</v>
      </c>
      <c r="P19" s="333">
        <v>0.0</v>
      </c>
      <c r="Q19" s="27"/>
    </row>
    <row r="20" ht="18.0" customHeight="1">
      <c r="A20" s="28"/>
      <c r="B20" s="29"/>
      <c r="C20" s="30" t="s">
        <v>9</v>
      </c>
      <c r="D20" s="327">
        <v>0.0</v>
      </c>
      <c r="E20" s="327">
        <v>0.0</v>
      </c>
      <c r="F20" s="327">
        <v>0.0</v>
      </c>
      <c r="G20" s="327">
        <v>0.0</v>
      </c>
      <c r="H20" s="327">
        <v>0.0</v>
      </c>
      <c r="I20" s="327">
        <v>-835.0</v>
      </c>
      <c r="J20" s="327">
        <v>7972.0</v>
      </c>
      <c r="K20" s="327">
        <v>164.0</v>
      </c>
      <c r="L20" s="327">
        <v>-4879.0</v>
      </c>
      <c r="M20" s="327">
        <v>-5963.0</v>
      </c>
      <c r="N20" s="327">
        <v>-4709.0</v>
      </c>
      <c r="O20" s="327">
        <v>8342.0</v>
      </c>
      <c r="P20" s="332">
        <v>0.0</v>
      </c>
      <c r="Q20" s="27"/>
    </row>
    <row r="21" ht="18.0" customHeight="1">
      <c r="A21" s="28"/>
      <c r="B21" s="38" t="s">
        <v>10</v>
      </c>
      <c r="C21" s="39" t="s">
        <v>8</v>
      </c>
      <c r="D21" s="324">
        <v>0.0</v>
      </c>
      <c r="E21" s="324">
        <v>0.0</v>
      </c>
      <c r="F21" s="324">
        <v>0.0</v>
      </c>
      <c r="G21" s="324">
        <v>0.0</v>
      </c>
      <c r="H21" s="324">
        <v>0.0</v>
      </c>
      <c r="I21" s="324">
        <v>2.0</v>
      </c>
      <c r="J21" s="324">
        <v>-834.0</v>
      </c>
      <c r="K21" s="324">
        <v>-1405.0</v>
      </c>
      <c r="L21" s="324">
        <v>-524.0</v>
      </c>
      <c r="M21" s="324">
        <v>-1089.0</v>
      </c>
      <c r="N21" s="324">
        <v>-404.0</v>
      </c>
      <c r="O21" s="324">
        <v>-221.0</v>
      </c>
      <c r="P21" s="333">
        <v>0.0</v>
      </c>
      <c r="Q21" s="27"/>
    </row>
    <row r="22" ht="18.0" customHeight="1">
      <c r="A22" s="28"/>
      <c r="B22" s="40"/>
      <c r="C22" s="41" t="s">
        <v>9</v>
      </c>
      <c r="D22" s="327">
        <v>0.0</v>
      </c>
      <c r="E22" s="327">
        <v>0.0</v>
      </c>
      <c r="F22" s="327">
        <v>0.0</v>
      </c>
      <c r="G22" s="327">
        <v>0.0</v>
      </c>
      <c r="H22" s="327">
        <v>0.0</v>
      </c>
      <c r="I22" s="327">
        <v>32.0</v>
      </c>
      <c r="J22" s="327">
        <v>-40008.0</v>
      </c>
      <c r="K22" s="327">
        <v>-65684.0</v>
      </c>
      <c r="L22" s="327">
        <v>-51020.0</v>
      </c>
      <c r="M22" s="327">
        <v>-28736.0</v>
      </c>
      <c r="N22" s="327">
        <v>-30676.0</v>
      </c>
      <c r="O22" s="327">
        <v>-9750.0</v>
      </c>
      <c r="P22" s="332">
        <v>0.0</v>
      </c>
      <c r="Q22" s="27"/>
    </row>
    <row r="23" ht="18.0" customHeight="1">
      <c r="A23" s="29"/>
      <c r="B23" s="43" t="s">
        <v>11</v>
      </c>
      <c r="C23" s="64" t="s">
        <v>9</v>
      </c>
      <c r="D23" s="324">
        <v>0.0</v>
      </c>
      <c r="E23" s="324">
        <v>0.0</v>
      </c>
      <c r="F23" s="324">
        <v>0.0</v>
      </c>
      <c r="G23" s="324">
        <v>0.0</v>
      </c>
      <c r="H23" s="324">
        <v>0.0</v>
      </c>
      <c r="I23" s="324">
        <v>12340.0</v>
      </c>
      <c r="J23" s="324">
        <v>0.0</v>
      </c>
      <c r="K23" s="324">
        <v>0.0</v>
      </c>
      <c r="L23" s="324">
        <v>0.0</v>
      </c>
      <c r="M23" s="324">
        <v>0.0</v>
      </c>
      <c r="N23" s="334">
        <v>0.0</v>
      </c>
      <c r="O23" s="334">
        <v>20.0</v>
      </c>
      <c r="P23" s="333">
        <v>0.0</v>
      </c>
      <c r="Q23" s="27"/>
    </row>
    <row r="24" ht="18.0" customHeight="1">
      <c r="A24" s="17" t="s">
        <v>15</v>
      </c>
      <c r="B24" s="17" t="s">
        <v>7</v>
      </c>
      <c r="C24" s="18" t="s">
        <v>8</v>
      </c>
      <c r="D24" s="324">
        <v>23098.0</v>
      </c>
      <c r="E24" s="324">
        <v>17992.0</v>
      </c>
      <c r="F24" s="324">
        <v>27723.0</v>
      </c>
      <c r="G24" s="324">
        <v>36891.0</v>
      </c>
      <c r="H24" s="324">
        <v>6853.0</v>
      </c>
      <c r="I24" s="324">
        <v>28011.0</v>
      </c>
      <c r="J24" s="324">
        <v>19927.0</v>
      </c>
      <c r="K24" s="324">
        <v>23097.0</v>
      </c>
      <c r="L24" s="324">
        <v>19936.0</v>
      </c>
      <c r="M24" s="325">
        <v>31981.0</v>
      </c>
      <c r="N24" s="324">
        <v>24642.0</v>
      </c>
      <c r="O24" s="324">
        <v>21417.0</v>
      </c>
      <c r="P24" s="326">
        <v>19962.0</v>
      </c>
    </row>
    <row r="25" ht="18.0" customHeight="1">
      <c r="A25" s="28"/>
      <c r="B25" s="29"/>
      <c r="C25" s="30" t="s">
        <v>9</v>
      </c>
      <c r="D25" s="327">
        <v>224818.0</v>
      </c>
      <c r="E25" s="327">
        <v>330162.0</v>
      </c>
      <c r="F25" s="327">
        <v>326195.0</v>
      </c>
      <c r="G25" s="327">
        <v>366164.0</v>
      </c>
      <c r="H25" s="327">
        <v>402434.0</v>
      </c>
      <c r="I25" s="327">
        <v>449569.0</v>
      </c>
      <c r="J25" s="327">
        <v>348184.0</v>
      </c>
      <c r="K25" s="327">
        <v>295013.0</v>
      </c>
      <c r="L25" s="327">
        <v>269345.0</v>
      </c>
      <c r="M25" s="328">
        <v>292190.0</v>
      </c>
      <c r="N25" s="327">
        <v>227860.0</v>
      </c>
      <c r="O25" s="327">
        <v>419147.0</v>
      </c>
      <c r="P25" s="335">
        <v>416911.0</v>
      </c>
    </row>
    <row r="26" ht="18.0" customHeight="1">
      <c r="A26" s="28"/>
      <c r="B26" s="38" t="s">
        <v>10</v>
      </c>
      <c r="C26" s="39" t="s">
        <v>8</v>
      </c>
      <c r="D26" s="324">
        <v>12785.0</v>
      </c>
      <c r="E26" s="324">
        <v>-3809.0</v>
      </c>
      <c r="F26" s="324">
        <v>15805.0</v>
      </c>
      <c r="G26" s="324">
        <v>2564.0</v>
      </c>
      <c r="H26" s="324">
        <v>13648.0</v>
      </c>
      <c r="I26" s="324">
        <v>7750.0</v>
      </c>
      <c r="J26" s="324">
        <v>14397.0</v>
      </c>
      <c r="K26" s="324">
        <v>11781.0</v>
      </c>
      <c r="L26" s="324">
        <v>10269.0</v>
      </c>
      <c r="M26" s="325">
        <v>12992.0</v>
      </c>
      <c r="N26" s="324">
        <v>10003.7</v>
      </c>
      <c r="O26" s="324">
        <v>9376.7</v>
      </c>
      <c r="P26" s="333">
        <v>8948.7</v>
      </c>
    </row>
    <row r="27" ht="18.0" customHeight="1">
      <c r="A27" s="28"/>
      <c r="B27" s="40"/>
      <c r="C27" s="41" t="s">
        <v>9</v>
      </c>
      <c r="D27" s="327">
        <v>236762.0</v>
      </c>
      <c r="E27" s="327">
        <v>161205.0</v>
      </c>
      <c r="F27" s="327">
        <v>179992.0</v>
      </c>
      <c r="G27" s="327">
        <v>159177.0</v>
      </c>
      <c r="H27" s="327">
        <v>284614.0</v>
      </c>
      <c r="I27" s="327">
        <v>273549.0</v>
      </c>
      <c r="J27" s="327">
        <v>271453.0</v>
      </c>
      <c r="K27" s="327">
        <v>173487.0</v>
      </c>
      <c r="L27" s="327">
        <v>359469.0</v>
      </c>
      <c r="M27" s="328">
        <v>325825.0</v>
      </c>
      <c r="N27" s="327">
        <v>292816.0</v>
      </c>
      <c r="O27" s="327">
        <v>311009.0</v>
      </c>
      <c r="P27" s="332">
        <v>293984.0</v>
      </c>
    </row>
    <row r="28" ht="18.0" customHeight="1">
      <c r="A28" s="29"/>
      <c r="B28" s="43" t="s">
        <v>11</v>
      </c>
      <c r="C28" s="64" t="s">
        <v>9</v>
      </c>
      <c r="D28" s="336">
        <v>0.0</v>
      </c>
      <c r="E28" s="336">
        <v>0.0</v>
      </c>
      <c r="F28" s="336">
        <v>8968.0</v>
      </c>
      <c r="G28" s="336">
        <v>394532.0</v>
      </c>
      <c r="H28" s="336">
        <v>345328.0</v>
      </c>
      <c r="I28" s="336">
        <v>141740.0</v>
      </c>
      <c r="J28" s="336">
        <v>96300.0</v>
      </c>
      <c r="K28" s="336">
        <v>92408.0</v>
      </c>
      <c r="L28" s="336">
        <v>82800.0</v>
      </c>
      <c r="M28" s="337">
        <v>115668.0</v>
      </c>
      <c r="N28" s="336">
        <v>127276.0</v>
      </c>
      <c r="O28" s="336">
        <v>125144.0</v>
      </c>
      <c r="P28" s="338">
        <v>108068.0</v>
      </c>
    </row>
    <row r="29" ht="16.5" customHeight="1">
      <c r="A29" s="339"/>
      <c r="B29" s="87"/>
      <c r="C29" s="87"/>
      <c r="D29" s="340"/>
      <c r="E29" s="340"/>
      <c r="F29" s="340"/>
      <c r="G29" s="341"/>
      <c r="H29" s="341"/>
      <c r="I29" s="341"/>
      <c r="J29" s="341"/>
      <c r="K29" s="341"/>
      <c r="L29" s="341"/>
      <c r="M29" s="341"/>
      <c r="N29" s="342"/>
      <c r="O29" s="342"/>
      <c r="P29" s="342"/>
    </row>
    <row r="30" ht="16.5" customHeight="1">
      <c r="A30" s="89"/>
      <c r="B30" s="90"/>
      <c r="C30" s="90"/>
      <c r="D30" s="16"/>
      <c r="E30" s="16"/>
      <c r="F30" s="16"/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ht="16.5" customHeight="1">
      <c r="A31" s="93" t="s">
        <v>16</v>
      </c>
      <c r="B31" s="17" t="s">
        <v>7</v>
      </c>
      <c r="C31" s="94" t="s">
        <v>8</v>
      </c>
      <c r="D31" s="98">
        <v>115.0</v>
      </c>
      <c r="E31" s="98">
        <v>90.0</v>
      </c>
      <c r="F31" s="98">
        <v>139.0</v>
      </c>
      <c r="G31" s="98">
        <v>184.0</v>
      </c>
      <c r="H31" s="98">
        <v>34.0</v>
      </c>
      <c r="I31" s="98">
        <v>140.0</v>
      </c>
      <c r="J31" s="98">
        <v>100.0</v>
      </c>
      <c r="K31" s="98">
        <v>115.0</v>
      </c>
      <c r="L31" s="98">
        <v>100.0</v>
      </c>
      <c r="M31" s="98">
        <v>160.0</v>
      </c>
      <c r="N31" s="98">
        <v>123.0</v>
      </c>
      <c r="O31" s="98">
        <v>123.0</v>
      </c>
      <c r="P31" s="98">
        <v>100.0</v>
      </c>
    </row>
    <row r="32" ht="16.5" customHeight="1">
      <c r="A32" s="28"/>
      <c r="B32" s="29"/>
      <c r="C32" s="100" t="s">
        <v>9</v>
      </c>
      <c r="D32" s="104">
        <v>1124.0</v>
      </c>
      <c r="E32" s="104">
        <v>1651.0</v>
      </c>
      <c r="F32" s="104">
        <v>1631.0</v>
      </c>
      <c r="G32" s="104">
        <v>1831.0</v>
      </c>
      <c r="H32" s="104">
        <v>2012.0</v>
      </c>
      <c r="I32" s="104">
        <v>2248.0</v>
      </c>
      <c r="J32" s="104">
        <v>1741.0</v>
      </c>
      <c r="K32" s="104">
        <v>1475.0</v>
      </c>
      <c r="L32" s="104">
        <v>1347.0</v>
      </c>
      <c r="M32" s="104">
        <v>1461.0</v>
      </c>
      <c r="N32" s="104">
        <v>1139.0</v>
      </c>
      <c r="O32" s="104">
        <v>1139.0</v>
      </c>
      <c r="P32" s="104">
        <v>2085.0</v>
      </c>
    </row>
    <row r="33" ht="16.5" customHeight="1">
      <c r="A33" s="28"/>
      <c r="B33" s="38" t="s">
        <v>10</v>
      </c>
      <c r="C33" s="106" t="s">
        <v>8</v>
      </c>
      <c r="D33" s="110">
        <v>64.0</v>
      </c>
      <c r="E33" s="98">
        <v>-19.0</v>
      </c>
      <c r="F33" s="98">
        <v>79.0</v>
      </c>
      <c r="G33" s="98">
        <v>13.0</v>
      </c>
      <c r="H33" s="98">
        <v>68.0</v>
      </c>
      <c r="I33" s="98">
        <v>39.0</v>
      </c>
      <c r="J33" s="98">
        <v>72.0</v>
      </c>
      <c r="K33" s="98">
        <v>59.0</v>
      </c>
      <c r="L33" s="98">
        <v>51.0</v>
      </c>
      <c r="M33" s="98">
        <v>65.0</v>
      </c>
      <c r="N33" s="98">
        <v>50.0</v>
      </c>
      <c r="O33" s="98">
        <v>50.0</v>
      </c>
      <c r="P33" s="98">
        <v>45.0</v>
      </c>
    </row>
    <row r="34" ht="16.5" customHeight="1">
      <c r="A34" s="28"/>
      <c r="B34" s="29"/>
      <c r="C34" s="100" t="s">
        <v>9</v>
      </c>
      <c r="D34" s="104">
        <v>1184.0</v>
      </c>
      <c r="E34" s="343">
        <v>806.0</v>
      </c>
      <c r="F34" s="343">
        <v>900.0</v>
      </c>
      <c r="G34" s="343">
        <v>796.0</v>
      </c>
      <c r="H34" s="343">
        <v>1423.0</v>
      </c>
      <c r="I34" s="343">
        <v>1368.0</v>
      </c>
      <c r="J34" s="343">
        <v>1357.0</v>
      </c>
      <c r="K34" s="343">
        <v>867.0</v>
      </c>
      <c r="L34" s="343">
        <v>1797.0</v>
      </c>
      <c r="M34" s="343">
        <v>1629.0</v>
      </c>
      <c r="N34" s="343">
        <v>1464.0</v>
      </c>
      <c r="O34" s="343">
        <v>1464.0</v>
      </c>
      <c r="P34" s="343">
        <v>1470.0</v>
      </c>
    </row>
    <row r="35" ht="16.5" customHeight="1">
      <c r="A35" s="29"/>
      <c r="B35" s="43" t="s">
        <v>11</v>
      </c>
      <c r="C35" s="43" t="s">
        <v>9</v>
      </c>
      <c r="D35" s="104">
        <v>0.0</v>
      </c>
      <c r="E35" s="104">
        <v>0.0</v>
      </c>
      <c r="F35" s="104">
        <v>45.0</v>
      </c>
      <c r="G35" s="104">
        <v>1973.0</v>
      </c>
      <c r="H35" s="104">
        <v>1727.0</v>
      </c>
      <c r="I35" s="104">
        <v>709.0</v>
      </c>
      <c r="J35" s="104">
        <v>482.0</v>
      </c>
      <c r="K35" s="104">
        <v>462.0</v>
      </c>
      <c r="L35" s="104">
        <v>414.0</v>
      </c>
      <c r="M35" s="104">
        <v>578.0</v>
      </c>
      <c r="N35" s="104">
        <v>636.0</v>
      </c>
      <c r="O35" s="104">
        <v>636.0</v>
      </c>
      <c r="P35" s="104">
        <v>540.0</v>
      </c>
    </row>
    <row r="36" ht="16.5" customHeight="1">
      <c r="A36" s="1"/>
      <c r="B36" s="1"/>
      <c r="C36" s="1"/>
      <c r="D36" s="1"/>
      <c r="E36" s="1"/>
      <c r="F36" s="1"/>
      <c r="G36" s="118"/>
      <c r="H36" s="118"/>
      <c r="I36" s="118"/>
      <c r="J36" s="118"/>
      <c r="K36" s="118"/>
      <c r="L36" s="118"/>
      <c r="M36" s="118"/>
      <c r="N36" s="118"/>
      <c r="O36" s="118"/>
    </row>
    <row r="37" ht="16.5" customHeight="1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</row>
    <row r="38" ht="16.5" customHeight="1">
      <c r="A38" s="1"/>
      <c r="B38" s="1"/>
      <c r="C38" s="1"/>
      <c r="D38" s="1"/>
      <c r="E38" s="1"/>
      <c r="F38" s="1"/>
    </row>
    <row r="39" ht="16.5" customHeight="1">
      <c r="A39" s="1"/>
      <c r="B39" s="1"/>
      <c r="C39" s="1"/>
      <c r="D39" s="1"/>
      <c r="E39" s="1"/>
      <c r="F39" s="1"/>
    </row>
    <row r="40" ht="16.5" customHeight="1">
      <c r="A40" s="1"/>
      <c r="B40" s="1"/>
      <c r="C40" s="1"/>
      <c r="D40" s="1"/>
      <c r="E40" s="1"/>
      <c r="F40" s="1"/>
    </row>
    <row r="41" ht="16.5" customHeight="1">
      <c r="A41" s="1"/>
      <c r="B41" s="1"/>
      <c r="C41" s="1"/>
      <c r="D41" s="1"/>
      <c r="E41" s="1"/>
      <c r="F41" s="1"/>
    </row>
    <row r="42" ht="16.5" customHeight="1">
      <c r="A42" s="1"/>
      <c r="B42" s="1"/>
      <c r="C42" s="1"/>
      <c r="D42" s="1"/>
      <c r="E42" s="1"/>
      <c r="F42" s="1"/>
    </row>
    <row r="43" ht="16.5" customHeight="1">
      <c r="A43" s="1"/>
      <c r="B43" s="1"/>
      <c r="C43" s="1"/>
      <c r="D43" s="1"/>
      <c r="E43" s="1"/>
      <c r="F43" s="1"/>
    </row>
    <row r="44" ht="16.5" customHeight="1">
      <c r="A44" s="1"/>
      <c r="B44" s="1"/>
      <c r="C44" s="1"/>
      <c r="D44" s="1"/>
      <c r="E44" s="1"/>
      <c r="F44" s="1"/>
    </row>
    <row r="45" ht="16.5" customHeight="1">
      <c r="A45" s="1"/>
      <c r="B45" s="1"/>
      <c r="C45" s="1"/>
      <c r="D45" s="1"/>
      <c r="E45" s="1"/>
      <c r="F45" s="1"/>
    </row>
    <row r="46" ht="16.5" customHeight="1">
      <c r="A46" s="1"/>
      <c r="B46" s="1"/>
      <c r="C46" s="1"/>
      <c r="D46" s="1"/>
      <c r="E46" s="1"/>
      <c r="F46" s="1"/>
    </row>
    <row r="47" ht="16.5" customHeight="1">
      <c r="A47" s="1"/>
      <c r="B47" s="1"/>
      <c r="C47" s="1"/>
      <c r="D47" s="1"/>
      <c r="E47" s="1"/>
      <c r="F47" s="1"/>
    </row>
    <row r="48" ht="16.5" customHeight="1">
      <c r="A48" s="1"/>
      <c r="B48" s="1"/>
      <c r="C48" s="1"/>
      <c r="D48" s="1"/>
      <c r="E48" s="1"/>
      <c r="F48" s="1"/>
    </row>
    <row r="49" ht="16.5" customHeight="1">
      <c r="A49" s="1"/>
      <c r="B49" s="1"/>
      <c r="C49" s="1"/>
      <c r="D49" s="1"/>
      <c r="E49" s="1"/>
      <c r="F49" s="1"/>
    </row>
    <row r="50" ht="16.5" customHeight="1">
      <c r="A50" s="1"/>
      <c r="B50" s="1"/>
      <c r="C50" s="1"/>
      <c r="D50" s="1"/>
      <c r="E50" s="1"/>
      <c r="F50" s="1"/>
    </row>
    <row r="51" ht="16.5" customHeight="1">
      <c r="A51" s="1"/>
      <c r="B51" s="1"/>
      <c r="C51" s="1"/>
      <c r="D51" s="1"/>
      <c r="E51" s="1"/>
      <c r="F51" s="1"/>
    </row>
    <row r="52" ht="16.5" customHeight="1">
      <c r="A52" s="1"/>
      <c r="B52" s="1"/>
      <c r="C52" s="1"/>
      <c r="D52" s="1"/>
      <c r="E52" s="1"/>
      <c r="F52" s="1"/>
    </row>
    <row r="53" ht="16.5" customHeight="1">
      <c r="A53" s="1"/>
      <c r="B53" s="1"/>
      <c r="C53" s="1"/>
      <c r="D53" s="1"/>
      <c r="E53" s="1"/>
      <c r="F53" s="1"/>
    </row>
    <row r="54" ht="16.5" customHeight="1">
      <c r="A54" s="1"/>
      <c r="B54" s="1"/>
      <c r="C54" s="1"/>
      <c r="D54" s="1"/>
      <c r="E54" s="1"/>
      <c r="F54" s="1"/>
    </row>
    <row r="55" ht="16.5" customHeight="1">
      <c r="A55" s="1"/>
      <c r="B55" s="1"/>
      <c r="C55" s="1"/>
      <c r="D55" s="1"/>
      <c r="E55" s="1"/>
      <c r="F55" s="1"/>
    </row>
    <row r="56" ht="16.5" customHeight="1">
      <c r="A56" s="1"/>
      <c r="B56" s="1"/>
      <c r="C56" s="1"/>
      <c r="D56" s="1"/>
      <c r="E56" s="1"/>
      <c r="F56" s="1"/>
    </row>
    <row r="57" ht="16.5" customHeight="1">
      <c r="A57" s="1"/>
      <c r="B57" s="1"/>
      <c r="C57" s="1"/>
      <c r="D57" s="1"/>
      <c r="E57" s="1"/>
      <c r="F57" s="1"/>
    </row>
    <row r="58" ht="16.5" customHeight="1">
      <c r="A58" s="1"/>
      <c r="B58" s="1"/>
      <c r="C58" s="1"/>
      <c r="D58" s="1"/>
      <c r="E58" s="1"/>
      <c r="F58" s="1"/>
    </row>
    <row r="59" ht="16.5" customHeight="1">
      <c r="A59" s="1"/>
      <c r="B59" s="1"/>
      <c r="C59" s="1"/>
      <c r="D59" s="1"/>
      <c r="E59" s="1"/>
      <c r="F59" s="1"/>
    </row>
    <row r="60" ht="16.5" customHeight="1">
      <c r="A60" s="1"/>
      <c r="B60" s="1"/>
      <c r="C60" s="1"/>
      <c r="D60" s="1"/>
      <c r="E60" s="1"/>
      <c r="F60" s="1"/>
    </row>
    <row r="61" ht="16.5" customHeight="1">
      <c r="A61" s="1"/>
      <c r="B61" s="1"/>
      <c r="C61" s="1"/>
      <c r="D61" s="1"/>
      <c r="E61" s="1"/>
      <c r="F61" s="1"/>
    </row>
    <row r="62" ht="16.5" customHeight="1">
      <c r="A62" s="1"/>
      <c r="B62" s="1"/>
      <c r="C62" s="1"/>
      <c r="D62" s="1"/>
      <c r="E62" s="1"/>
      <c r="F62" s="1"/>
    </row>
    <row r="63" ht="16.5" customHeight="1">
      <c r="A63" s="1"/>
      <c r="B63" s="1"/>
      <c r="C63" s="1"/>
      <c r="D63" s="1"/>
      <c r="E63" s="1"/>
      <c r="F63" s="1"/>
    </row>
    <row r="64" ht="16.5" customHeight="1">
      <c r="A64" s="1"/>
      <c r="B64" s="1"/>
      <c r="C64" s="1"/>
      <c r="D64" s="1"/>
      <c r="E64" s="1"/>
      <c r="F64" s="1"/>
    </row>
    <row r="65" ht="16.5" customHeight="1">
      <c r="A65" s="1"/>
      <c r="B65" s="1"/>
      <c r="C65" s="1"/>
      <c r="D65" s="1"/>
      <c r="E65" s="1"/>
      <c r="F65" s="1"/>
    </row>
    <row r="66" ht="16.5" customHeight="1">
      <c r="A66" s="1"/>
      <c r="B66" s="1"/>
      <c r="C66" s="1"/>
      <c r="D66" s="1"/>
      <c r="E66" s="1"/>
      <c r="F66" s="1"/>
    </row>
    <row r="67" ht="16.5" customHeight="1">
      <c r="A67" s="1"/>
      <c r="B67" s="1"/>
      <c r="C67" s="1"/>
      <c r="D67" s="1"/>
      <c r="E67" s="1"/>
      <c r="F67" s="1"/>
    </row>
    <row r="68" ht="16.5" customHeight="1">
      <c r="A68" s="1"/>
      <c r="B68" s="1"/>
      <c r="C68" s="1"/>
      <c r="D68" s="1"/>
      <c r="E68" s="1"/>
      <c r="F68" s="1"/>
    </row>
    <row r="69" ht="16.5" customHeight="1">
      <c r="A69" s="1"/>
      <c r="B69" s="1"/>
      <c r="C69" s="1"/>
      <c r="D69" s="1"/>
      <c r="E69" s="1"/>
      <c r="F69" s="1"/>
    </row>
    <row r="70" ht="16.5" customHeight="1">
      <c r="A70" s="1"/>
      <c r="B70" s="1"/>
      <c r="C70" s="1"/>
      <c r="D70" s="1"/>
      <c r="E70" s="1"/>
      <c r="F70" s="1"/>
    </row>
    <row r="71" ht="16.5" customHeight="1">
      <c r="A71" s="1"/>
      <c r="B71" s="1"/>
      <c r="C71" s="1"/>
      <c r="D71" s="1"/>
      <c r="E71" s="1"/>
      <c r="F71" s="1"/>
    </row>
    <row r="72" ht="16.5" customHeight="1">
      <c r="A72" s="1"/>
      <c r="B72" s="1"/>
      <c r="C72" s="1"/>
      <c r="D72" s="1"/>
      <c r="E72" s="1"/>
      <c r="F72" s="1"/>
    </row>
    <row r="73" ht="16.5" customHeight="1">
      <c r="A73" s="1"/>
      <c r="B73" s="1"/>
      <c r="C73" s="1"/>
      <c r="D73" s="1"/>
      <c r="E73" s="1"/>
      <c r="F73" s="1"/>
    </row>
    <row r="74" ht="16.5" customHeight="1">
      <c r="A74" s="1"/>
      <c r="B74" s="1"/>
      <c r="C74" s="1"/>
      <c r="D74" s="1"/>
      <c r="E74" s="1"/>
      <c r="F74" s="1"/>
    </row>
    <row r="75" ht="16.5" customHeight="1">
      <c r="A75" s="1"/>
      <c r="B75" s="1"/>
      <c r="C75" s="1"/>
      <c r="D75" s="1"/>
      <c r="E75" s="1"/>
      <c r="F75" s="1"/>
    </row>
    <row r="76" ht="16.5" customHeight="1">
      <c r="A76" s="1"/>
      <c r="B76" s="1"/>
      <c r="C76" s="1"/>
      <c r="D76" s="1"/>
      <c r="E76" s="1"/>
      <c r="F76" s="1"/>
    </row>
    <row r="77" ht="16.5" customHeight="1">
      <c r="A77" s="1"/>
      <c r="B77" s="1"/>
      <c r="C77" s="1"/>
      <c r="D77" s="1"/>
      <c r="E77" s="1"/>
      <c r="F77" s="1"/>
    </row>
    <row r="78" ht="16.5" customHeight="1">
      <c r="A78" s="1"/>
      <c r="B78" s="1"/>
      <c r="C78" s="1"/>
      <c r="D78" s="1"/>
      <c r="E78" s="1"/>
      <c r="F78" s="1"/>
    </row>
    <row r="79" ht="16.5" customHeight="1">
      <c r="A79" s="1"/>
      <c r="B79" s="1"/>
      <c r="C79" s="1"/>
      <c r="D79" s="1"/>
      <c r="E79" s="1"/>
      <c r="F79" s="1"/>
    </row>
    <row r="80" ht="16.5" customHeight="1">
      <c r="A80" s="1"/>
      <c r="B80" s="1"/>
      <c r="C80" s="1"/>
      <c r="D80" s="1"/>
      <c r="E80" s="1"/>
      <c r="F80" s="1"/>
    </row>
    <row r="81" ht="16.5" customHeight="1">
      <c r="A81" s="1"/>
      <c r="B81" s="1"/>
      <c r="C81" s="1"/>
      <c r="D81" s="1"/>
      <c r="E81" s="1"/>
      <c r="F81" s="1"/>
    </row>
    <row r="82" ht="16.5" customHeight="1">
      <c r="A82" s="1"/>
      <c r="B82" s="1"/>
      <c r="C82" s="1"/>
      <c r="D82" s="1"/>
      <c r="E82" s="1"/>
      <c r="F82" s="1"/>
    </row>
    <row r="83" ht="16.5" customHeight="1">
      <c r="A83" s="1"/>
      <c r="B83" s="1"/>
      <c r="C83" s="1"/>
      <c r="D83" s="1"/>
      <c r="E83" s="1"/>
      <c r="F83" s="1"/>
    </row>
    <row r="84" ht="16.5" customHeight="1">
      <c r="A84" s="1"/>
      <c r="B84" s="1"/>
      <c r="C84" s="1"/>
      <c r="D84" s="1"/>
      <c r="E84" s="1"/>
      <c r="F84" s="1"/>
    </row>
    <row r="85" ht="16.5" customHeight="1">
      <c r="A85" s="1"/>
      <c r="B85" s="1"/>
      <c r="C85" s="1"/>
      <c r="D85" s="1"/>
      <c r="E85" s="1"/>
      <c r="F85" s="1"/>
    </row>
    <row r="86" ht="16.5" customHeight="1">
      <c r="A86" s="1"/>
      <c r="B86" s="1"/>
      <c r="C86" s="1"/>
      <c r="D86" s="1"/>
      <c r="E86" s="1"/>
      <c r="F86" s="1"/>
    </row>
    <row r="87" ht="16.5" customHeight="1">
      <c r="A87" s="1"/>
      <c r="B87" s="1"/>
      <c r="C87" s="1"/>
      <c r="D87" s="1"/>
      <c r="E87" s="1"/>
      <c r="F87" s="1"/>
    </row>
    <row r="88" ht="16.5" customHeight="1">
      <c r="A88" s="1"/>
      <c r="B88" s="1"/>
      <c r="C88" s="1"/>
      <c r="D88" s="1"/>
      <c r="E88" s="1"/>
      <c r="F88" s="1"/>
    </row>
    <row r="89" ht="16.5" customHeight="1">
      <c r="A89" s="1"/>
      <c r="B89" s="1"/>
      <c r="C89" s="1"/>
      <c r="D89" s="1"/>
      <c r="E89" s="1"/>
      <c r="F89" s="1"/>
    </row>
    <row r="90" ht="16.5" customHeight="1">
      <c r="A90" s="1"/>
      <c r="B90" s="1"/>
      <c r="C90" s="1"/>
      <c r="D90" s="1"/>
      <c r="E90" s="1"/>
      <c r="F90" s="1"/>
    </row>
    <row r="91" ht="16.5" customHeight="1">
      <c r="A91" s="1"/>
      <c r="B91" s="1"/>
      <c r="C91" s="1"/>
      <c r="D91" s="1"/>
      <c r="E91" s="1"/>
      <c r="F91" s="1"/>
    </row>
    <row r="92" ht="16.5" customHeight="1">
      <c r="A92" s="1"/>
      <c r="B92" s="1"/>
      <c r="C92" s="1"/>
      <c r="D92" s="1"/>
      <c r="E92" s="1"/>
      <c r="F92" s="1"/>
    </row>
    <row r="93" ht="16.5" customHeight="1">
      <c r="A93" s="1"/>
      <c r="B93" s="1"/>
      <c r="C93" s="1"/>
      <c r="D93" s="1"/>
      <c r="E93" s="1"/>
      <c r="F93" s="1"/>
    </row>
    <row r="94" ht="16.5" customHeight="1">
      <c r="A94" s="1"/>
      <c r="B94" s="1"/>
      <c r="C94" s="1"/>
      <c r="D94" s="1"/>
      <c r="E94" s="1"/>
      <c r="F94" s="1"/>
    </row>
    <row r="95" ht="16.5" customHeight="1">
      <c r="A95" s="1"/>
      <c r="B95" s="1"/>
      <c r="C95" s="1"/>
      <c r="D95" s="1"/>
      <c r="E95" s="1"/>
      <c r="F95" s="1"/>
    </row>
    <row r="96" ht="16.5" customHeight="1">
      <c r="A96" s="1"/>
      <c r="B96" s="1"/>
      <c r="C96" s="1"/>
      <c r="D96" s="1"/>
      <c r="E96" s="1"/>
      <c r="F96" s="1"/>
    </row>
    <row r="97" ht="16.5" customHeight="1">
      <c r="A97" s="1"/>
      <c r="B97" s="1"/>
      <c r="C97" s="1"/>
      <c r="D97" s="1"/>
      <c r="E97" s="1"/>
      <c r="F97" s="1"/>
    </row>
    <row r="98" ht="16.5" customHeight="1">
      <c r="A98" s="1"/>
      <c r="B98" s="1"/>
      <c r="C98" s="1"/>
      <c r="D98" s="1"/>
      <c r="E98" s="1"/>
      <c r="F98" s="1"/>
    </row>
    <row r="99" ht="16.5" customHeight="1">
      <c r="A99" s="1"/>
      <c r="B99" s="1"/>
      <c r="C99" s="1"/>
      <c r="D99" s="1"/>
      <c r="E99" s="1"/>
      <c r="F99" s="1"/>
    </row>
    <row r="100" ht="16.5" customHeight="1">
      <c r="A100" s="1"/>
      <c r="B100" s="1"/>
      <c r="C100" s="1"/>
      <c r="D100" s="1"/>
      <c r="E100" s="1"/>
      <c r="F100" s="1"/>
    </row>
    <row r="101" ht="16.5" customHeight="1">
      <c r="A101" s="1"/>
      <c r="B101" s="1"/>
      <c r="C101" s="1"/>
      <c r="D101" s="1"/>
      <c r="E101" s="1"/>
      <c r="F101" s="1"/>
    </row>
    <row r="102" ht="16.5" customHeight="1">
      <c r="A102" s="1"/>
      <c r="B102" s="1"/>
      <c r="C102" s="1"/>
      <c r="D102" s="1"/>
      <c r="E102" s="1"/>
      <c r="F102" s="1"/>
    </row>
    <row r="103" ht="16.5" customHeight="1">
      <c r="A103" s="1"/>
      <c r="B103" s="1"/>
      <c r="C103" s="1"/>
      <c r="D103" s="1"/>
      <c r="E103" s="1"/>
      <c r="F103" s="1"/>
    </row>
    <row r="104" ht="16.5" customHeight="1">
      <c r="A104" s="1"/>
      <c r="B104" s="1"/>
      <c r="C104" s="1"/>
      <c r="D104" s="1"/>
      <c r="E104" s="1"/>
      <c r="F104" s="1"/>
    </row>
    <row r="105" ht="16.5" customHeight="1">
      <c r="A105" s="1"/>
      <c r="B105" s="1"/>
      <c r="C105" s="1"/>
      <c r="D105" s="1"/>
      <c r="E105" s="1"/>
      <c r="F105" s="1"/>
    </row>
    <row r="106" ht="16.5" customHeight="1">
      <c r="A106" s="1"/>
      <c r="B106" s="1"/>
      <c r="C106" s="1"/>
      <c r="D106" s="1"/>
      <c r="E106" s="1"/>
      <c r="F106" s="1"/>
    </row>
    <row r="107" ht="16.5" customHeight="1">
      <c r="A107" s="1"/>
      <c r="B107" s="1"/>
      <c r="C107" s="1"/>
      <c r="D107" s="1"/>
      <c r="E107" s="1"/>
      <c r="F107" s="1"/>
    </row>
    <row r="108" ht="16.5" customHeight="1">
      <c r="A108" s="1"/>
      <c r="B108" s="1"/>
      <c r="C108" s="1"/>
      <c r="D108" s="1"/>
      <c r="E108" s="1"/>
      <c r="F108" s="1"/>
    </row>
    <row r="109" ht="16.5" customHeight="1">
      <c r="A109" s="1"/>
      <c r="B109" s="1"/>
      <c r="C109" s="1"/>
      <c r="D109" s="1"/>
      <c r="E109" s="1"/>
      <c r="F109" s="1"/>
    </row>
    <row r="110" ht="16.5" customHeight="1">
      <c r="A110" s="1"/>
      <c r="B110" s="1"/>
      <c r="C110" s="1"/>
      <c r="D110" s="1"/>
      <c r="E110" s="1"/>
      <c r="F110" s="1"/>
    </row>
    <row r="111" ht="16.5" customHeight="1">
      <c r="A111" s="1"/>
      <c r="B111" s="1"/>
      <c r="C111" s="1"/>
      <c r="D111" s="1"/>
      <c r="E111" s="1"/>
      <c r="F111" s="1"/>
    </row>
    <row r="112" ht="16.5" customHeight="1">
      <c r="A112" s="1"/>
      <c r="B112" s="1"/>
      <c r="C112" s="1"/>
      <c r="D112" s="1"/>
      <c r="E112" s="1"/>
      <c r="F112" s="1"/>
    </row>
    <row r="113" ht="16.5" customHeight="1">
      <c r="A113" s="1"/>
      <c r="B113" s="1"/>
      <c r="C113" s="1"/>
      <c r="D113" s="1"/>
      <c r="E113" s="1"/>
      <c r="F113" s="1"/>
    </row>
    <row r="114" ht="16.5" customHeight="1">
      <c r="A114" s="1"/>
      <c r="B114" s="1"/>
      <c r="C114" s="1"/>
      <c r="D114" s="1"/>
      <c r="E114" s="1"/>
      <c r="F114" s="1"/>
    </row>
    <row r="115" ht="16.5" customHeight="1">
      <c r="A115" s="1"/>
      <c r="B115" s="1"/>
      <c r="C115" s="1"/>
      <c r="D115" s="1"/>
      <c r="E115" s="1"/>
      <c r="F115" s="1"/>
    </row>
    <row r="116" ht="16.5" customHeight="1">
      <c r="A116" s="1"/>
      <c r="B116" s="1"/>
      <c r="C116" s="1"/>
      <c r="D116" s="1"/>
      <c r="E116" s="1"/>
      <c r="F116" s="1"/>
    </row>
    <row r="117" ht="16.5" customHeight="1">
      <c r="A117" s="1"/>
      <c r="B117" s="1"/>
      <c r="C117" s="1"/>
      <c r="D117" s="1"/>
      <c r="E117" s="1"/>
      <c r="F117" s="1"/>
    </row>
    <row r="118" ht="16.5" customHeight="1">
      <c r="A118" s="1"/>
      <c r="B118" s="1"/>
      <c r="C118" s="1"/>
      <c r="D118" s="1"/>
      <c r="E118" s="1"/>
      <c r="F118" s="1"/>
    </row>
    <row r="119" ht="16.5" customHeight="1">
      <c r="A119" s="1"/>
      <c r="B119" s="1"/>
      <c r="C119" s="1"/>
      <c r="D119" s="1"/>
      <c r="E119" s="1"/>
      <c r="F119" s="1"/>
    </row>
    <row r="120" ht="16.5" customHeight="1">
      <c r="A120" s="1"/>
      <c r="B120" s="1"/>
      <c r="C120" s="1"/>
      <c r="D120" s="1"/>
      <c r="E120" s="1"/>
      <c r="F120" s="1"/>
    </row>
    <row r="121" ht="16.5" customHeight="1">
      <c r="A121" s="1"/>
      <c r="B121" s="1"/>
      <c r="C121" s="1"/>
      <c r="D121" s="1"/>
      <c r="E121" s="1"/>
      <c r="F121" s="1"/>
    </row>
    <row r="122" ht="16.5" customHeight="1">
      <c r="A122" s="1"/>
      <c r="B122" s="1"/>
      <c r="C122" s="1"/>
      <c r="D122" s="1"/>
      <c r="E122" s="1"/>
      <c r="F122" s="1"/>
    </row>
    <row r="123" ht="16.5" customHeight="1">
      <c r="A123" s="1"/>
      <c r="B123" s="1"/>
      <c r="C123" s="1"/>
      <c r="D123" s="1"/>
      <c r="E123" s="1"/>
      <c r="F123" s="1"/>
    </row>
    <row r="124" ht="16.5" customHeight="1">
      <c r="A124" s="1"/>
      <c r="B124" s="1"/>
      <c r="C124" s="1"/>
      <c r="D124" s="1"/>
      <c r="E124" s="1"/>
      <c r="F124" s="1"/>
    </row>
    <row r="125" ht="16.5" customHeight="1">
      <c r="A125" s="1"/>
      <c r="B125" s="1"/>
      <c r="C125" s="1"/>
      <c r="D125" s="1"/>
      <c r="E125" s="1"/>
      <c r="F125" s="1"/>
    </row>
    <row r="126" ht="16.5" customHeight="1">
      <c r="A126" s="1"/>
      <c r="B126" s="1"/>
      <c r="C126" s="1"/>
      <c r="D126" s="1"/>
      <c r="E126" s="1"/>
      <c r="F126" s="1"/>
    </row>
    <row r="127" ht="16.5" customHeight="1">
      <c r="A127" s="1"/>
      <c r="B127" s="1"/>
      <c r="C127" s="1"/>
      <c r="D127" s="1"/>
      <c r="E127" s="1"/>
      <c r="F127" s="1"/>
    </row>
    <row r="128" ht="16.5" customHeight="1">
      <c r="A128" s="1"/>
      <c r="B128" s="1"/>
      <c r="C128" s="1"/>
      <c r="D128" s="1"/>
      <c r="E128" s="1"/>
      <c r="F128" s="1"/>
    </row>
    <row r="129" ht="16.5" customHeight="1">
      <c r="A129" s="1"/>
      <c r="B129" s="1"/>
      <c r="C129" s="1"/>
      <c r="D129" s="1"/>
      <c r="E129" s="1"/>
      <c r="F129" s="1"/>
    </row>
    <row r="130" ht="16.5" customHeight="1">
      <c r="A130" s="1"/>
      <c r="B130" s="1"/>
      <c r="C130" s="1"/>
      <c r="D130" s="1"/>
      <c r="E130" s="1"/>
      <c r="F130" s="1"/>
    </row>
    <row r="131" ht="16.5" customHeight="1">
      <c r="A131" s="1"/>
      <c r="B131" s="1"/>
      <c r="C131" s="1"/>
      <c r="D131" s="1"/>
      <c r="E131" s="1"/>
      <c r="F131" s="1"/>
    </row>
    <row r="132" ht="16.5" customHeight="1">
      <c r="A132" s="1"/>
      <c r="B132" s="1"/>
      <c r="C132" s="1"/>
      <c r="D132" s="1"/>
      <c r="E132" s="1"/>
      <c r="F132" s="1"/>
    </row>
    <row r="133" ht="16.5" customHeight="1">
      <c r="A133" s="1"/>
      <c r="B133" s="1"/>
      <c r="C133" s="1"/>
      <c r="D133" s="1"/>
      <c r="E133" s="1"/>
      <c r="F133" s="1"/>
    </row>
    <row r="134" ht="16.5" customHeight="1">
      <c r="A134" s="1"/>
      <c r="B134" s="1"/>
      <c r="C134" s="1"/>
      <c r="D134" s="1"/>
      <c r="E134" s="1"/>
      <c r="F134" s="1"/>
    </row>
    <row r="135" ht="16.5" customHeight="1">
      <c r="A135" s="1"/>
      <c r="B135" s="1"/>
      <c r="C135" s="1"/>
      <c r="D135" s="1"/>
      <c r="E135" s="1"/>
      <c r="F135" s="1"/>
    </row>
    <row r="136" ht="16.5" customHeight="1">
      <c r="A136" s="1"/>
      <c r="B136" s="1"/>
      <c r="C136" s="1"/>
      <c r="D136" s="1"/>
      <c r="E136" s="1"/>
      <c r="F136" s="1"/>
    </row>
    <row r="137" ht="16.5" customHeight="1">
      <c r="A137" s="1"/>
      <c r="B137" s="1"/>
      <c r="C137" s="1"/>
      <c r="D137" s="1"/>
      <c r="E137" s="1"/>
      <c r="F137" s="1"/>
    </row>
    <row r="138" ht="16.5" customHeight="1">
      <c r="A138" s="1"/>
      <c r="B138" s="1"/>
      <c r="C138" s="1"/>
      <c r="D138" s="1"/>
      <c r="E138" s="1"/>
      <c r="F138" s="1"/>
    </row>
    <row r="139" ht="16.5" customHeight="1">
      <c r="A139" s="1"/>
      <c r="B139" s="1"/>
      <c r="C139" s="1"/>
      <c r="D139" s="1"/>
      <c r="E139" s="1"/>
      <c r="F139" s="1"/>
    </row>
    <row r="140" ht="16.5" customHeight="1">
      <c r="A140" s="1"/>
      <c r="B140" s="1"/>
      <c r="C140" s="1"/>
      <c r="D140" s="1"/>
      <c r="E140" s="1"/>
      <c r="F140" s="1"/>
    </row>
    <row r="141" ht="16.5" customHeight="1">
      <c r="A141" s="1"/>
      <c r="B141" s="1"/>
      <c r="C141" s="1"/>
      <c r="D141" s="1"/>
      <c r="E141" s="1"/>
      <c r="F141" s="1"/>
    </row>
    <row r="142" ht="16.5" customHeight="1">
      <c r="A142" s="1"/>
      <c r="B142" s="1"/>
      <c r="C142" s="1"/>
      <c r="D142" s="1"/>
      <c r="E142" s="1"/>
      <c r="F142" s="1"/>
    </row>
    <row r="143" ht="16.5" customHeight="1">
      <c r="A143" s="1"/>
      <c r="B143" s="1"/>
      <c r="C143" s="1"/>
      <c r="D143" s="1"/>
      <c r="E143" s="1"/>
      <c r="F143" s="1"/>
    </row>
    <row r="144" ht="16.5" customHeight="1">
      <c r="A144" s="1"/>
      <c r="B144" s="1"/>
      <c r="C144" s="1"/>
      <c r="D144" s="1"/>
      <c r="E144" s="1"/>
      <c r="F144" s="1"/>
    </row>
    <row r="145" ht="16.5" customHeight="1">
      <c r="A145" s="1"/>
      <c r="B145" s="1"/>
      <c r="C145" s="1"/>
      <c r="D145" s="1"/>
      <c r="E145" s="1"/>
      <c r="F145" s="1"/>
    </row>
    <row r="146" ht="16.5" customHeight="1">
      <c r="A146" s="1"/>
      <c r="B146" s="1"/>
      <c r="C146" s="1"/>
      <c r="D146" s="1"/>
      <c r="E146" s="1"/>
      <c r="F146" s="1"/>
    </row>
    <row r="147" ht="16.5" customHeight="1">
      <c r="A147" s="1"/>
      <c r="B147" s="1"/>
      <c r="C147" s="1"/>
      <c r="D147" s="1"/>
      <c r="E147" s="1"/>
      <c r="F147" s="1"/>
    </row>
    <row r="148" ht="16.5" customHeight="1">
      <c r="A148" s="1"/>
      <c r="B148" s="1"/>
      <c r="C148" s="1"/>
      <c r="D148" s="1"/>
      <c r="E148" s="1"/>
      <c r="F148" s="1"/>
    </row>
    <row r="149" ht="16.5" customHeight="1">
      <c r="A149" s="1"/>
      <c r="B149" s="1"/>
      <c r="C149" s="1"/>
      <c r="D149" s="1"/>
      <c r="E149" s="1"/>
      <c r="F149" s="1"/>
    </row>
    <row r="150" ht="16.5" customHeight="1">
      <c r="A150" s="1"/>
      <c r="B150" s="1"/>
      <c r="C150" s="1"/>
      <c r="D150" s="1"/>
      <c r="E150" s="1"/>
      <c r="F150" s="1"/>
    </row>
    <row r="151" ht="16.5" customHeight="1">
      <c r="A151" s="1"/>
      <c r="B151" s="1"/>
      <c r="C151" s="1"/>
      <c r="D151" s="1"/>
      <c r="E151" s="1"/>
      <c r="F151" s="1"/>
    </row>
    <row r="152" ht="16.5" customHeight="1">
      <c r="A152" s="1"/>
      <c r="B152" s="1"/>
      <c r="C152" s="1"/>
      <c r="D152" s="1"/>
      <c r="E152" s="1"/>
      <c r="F152" s="1"/>
    </row>
    <row r="153" ht="16.5" customHeight="1">
      <c r="A153" s="1"/>
      <c r="B153" s="1"/>
      <c r="C153" s="1"/>
      <c r="D153" s="1"/>
      <c r="E153" s="1"/>
      <c r="F153" s="1"/>
    </row>
    <row r="154" ht="16.5" customHeight="1">
      <c r="A154" s="1"/>
      <c r="B154" s="1"/>
      <c r="C154" s="1"/>
      <c r="D154" s="1"/>
      <c r="E154" s="1"/>
      <c r="F154" s="1"/>
    </row>
    <row r="155" ht="16.5" customHeight="1">
      <c r="A155" s="1"/>
      <c r="B155" s="1"/>
      <c r="C155" s="1"/>
      <c r="D155" s="1"/>
      <c r="E155" s="1"/>
      <c r="F155" s="1"/>
    </row>
    <row r="156" ht="16.5" customHeight="1">
      <c r="A156" s="1"/>
      <c r="B156" s="1"/>
      <c r="C156" s="1"/>
      <c r="D156" s="1"/>
      <c r="E156" s="1"/>
      <c r="F156" s="1"/>
    </row>
    <row r="157" ht="16.5" customHeight="1">
      <c r="A157" s="1"/>
      <c r="B157" s="1"/>
      <c r="C157" s="1"/>
      <c r="D157" s="1"/>
      <c r="E157" s="1"/>
      <c r="F157" s="1"/>
    </row>
    <row r="158" ht="16.5" customHeight="1">
      <c r="A158" s="1"/>
      <c r="B158" s="1"/>
      <c r="C158" s="1"/>
      <c r="D158" s="1"/>
      <c r="E158" s="1"/>
      <c r="F158" s="1"/>
    </row>
    <row r="159" ht="16.5" customHeight="1">
      <c r="A159" s="1"/>
      <c r="B159" s="1"/>
      <c r="C159" s="1"/>
      <c r="D159" s="1"/>
      <c r="E159" s="1"/>
      <c r="F159" s="1"/>
    </row>
    <row r="160" ht="16.5" customHeight="1">
      <c r="A160" s="1"/>
      <c r="B160" s="1"/>
      <c r="C160" s="1"/>
      <c r="D160" s="1"/>
      <c r="E160" s="1"/>
      <c r="F160" s="1"/>
    </row>
    <row r="161" ht="16.5" customHeight="1">
      <c r="A161" s="1"/>
      <c r="B161" s="1"/>
      <c r="C161" s="1"/>
      <c r="D161" s="1"/>
      <c r="E161" s="1"/>
      <c r="F161" s="1"/>
    </row>
    <row r="162" ht="16.5" customHeight="1">
      <c r="A162" s="1"/>
      <c r="B162" s="1"/>
      <c r="C162" s="1"/>
      <c r="D162" s="1"/>
      <c r="E162" s="1"/>
      <c r="F162" s="1"/>
    </row>
    <row r="163" ht="16.5" customHeight="1">
      <c r="A163" s="1"/>
      <c r="B163" s="1"/>
      <c r="C163" s="1"/>
      <c r="D163" s="1"/>
      <c r="E163" s="1"/>
      <c r="F163" s="1"/>
    </row>
    <row r="164" ht="16.5" customHeight="1">
      <c r="A164" s="1"/>
      <c r="B164" s="1"/>
      <c r="C164" s="1"/>
      <c r="D164" s="1"/>
      <c r="E164" s="1"/>
      <c r="F164" s="1"/>
    </row>
    <row r="165" ht="16.5" customHeight="1">
      <c r="A165" s="1"/>
      <c r="B165" s="1"/>
      <c r="C165" s="1"/>
      <c r="D165" s="1"/>
      <c r="E165" s="1"/>
      <c r="F165" s="1"/>
    </row>
    <row r="166" ht="16.5" customHeight="1">
      <c r="A166" s="1"/>
      <c r="B166" s="1"/>
      <c r="C166" s="1"/>
      <c r="D166" s="1"/>
      <c r="E166" s="1"/>
      <c r="F166" s="1"/>
    </row>
    <row r="167" ht="16.5" customHeight="1">
      <c r="A167" s="1"/>
      <c r="B167" s="1"/>
      <c r="C167" s="1"/>
      <c r="D167" s="1"/>
      <c r="E167" s="1"/>
      <c r="F167" s="1"/>
    </row>
    <row r="168" ht="16.5" customHeight="1">
      <c r="A168" s="1"/>
      <c r="B168" s="1"/>
      <c r="C168" s="1"/>
      <c r="D168" s="1"/>
      <c r="E168" s="1"/>
      <c r="F168" s="1"/>
    </row>
    <row r="169" ht="16.5" customHeight="1">
      <c r="A169" s="1"/>
      <c r="B169" s="1"/>
      <c r="C169" s="1"/>
      <c r="D169" s="1"/>
      <c r="E169" s="1"/>
      <c r="F169" s="1"/>
    </row>
    <row r="170" ht="16.5" customHeight="1">
      <c r="A170" s="1"/>
      <c r="B170" s="1"/>
      <c r="C170" s="1"/>
      <c r="D170" s="1"/>
      <c r="E170" s="1"/>
      <c r="F170" s="1"/>
    </row>
    <row r="171" ht="16.5" customHeight="1">
      <c r="A171" s="1"/>
      <c r="B171" s="1"/>
      <c r="C171" s="1"/>
      <c r="D171" s="1"/>
      <c r="E171" s="1"/>
      <c r="F171" s="1"/>
    </row>
    <row r="172" ht="16.5" customHeight="1">
      <c r="A172" s="1"/>
      <c r="B172" s="1"/>
      <c r="C172" s="1"/>
      <c r="D172" s="1"/>
      <c r="E172" s="1"/>
      <c r="F172" s="1"/>
    </row>
    <row r="173" ht="16.5" customHeight="1">
      <c r="A173" s="1"/>
      <c r="B173" s="1"/>
      <c r="C173" s="1"/>
      <c r="D173" s="1"/>
      <c r="E173" s="1"/>
      <c r="F173" s="1"/>
    </row>
    <row r="174" ht="16.5" customHeight="1">
      <c r="A174" s="1"/>
      <c r="B174" s="1"/>
      <c r="C174" s="1"/>
      <c r="D174" s="1"/>
      <c r="E174" s="1"/>
      <c r="F174" s="1"/>
    </row>
    <row r="175" ht="16.5" customHeight="1">
      <c r="A175" s="1"/>
      <c r="B175" s="1"/>
      <c r="C175" s="1"/>
      <c r="D175" s="1"/>
      <c r="E175" s="1"/>
      <c r="F175" s="1"/>
    </row>
    <row r="176" ht="16.5" customHeight="1">
      <c r="A176" s="1"/>
      <c r="B176" s="1"/>
      <c r="C176" s="1"/>
      <c r="D176" s="1"/>
      <c r="E176" s="1"/>
      <c r="F176" s="1"/>
    </row>
    <row r="177" ht="16.5" customHeight="1">
      <c r="A177" s="1"/>
      <c r="B177" s="1"/>
      <c r="C177" s="1"/>
      <c r="D177" s="1"/>
      <c r="E177" s="1"/>
      <c r="F177" s="1"/>
    </row>
    <row r="178" ht="16.5" customHeight="1">
      <c r="A178" s="1"/>
      <c r="B178" s="1"/>
      <c r="C178" s="1"/>
      <c r="D178" s="1"/>
      <c r="E178" s="1"/>
      <c r="F178" s="1"/>
    </row>
    <row r="179" ht="16.5" customHeight="1">
      <c r="A179" s="1"/>
      <c r="B179" s="1"/>
      <c r="C179" s="1"/>
      <c r="D179" s="1"/>
      <c r="E179" s="1"/>
      <c r="F179" s="1"/>
    </row>
    <row r="180" ht="16.5" customHeight="1">
      <c r="A180" s="1"/>
      <c r="B180" s="1"/>
      <c r="C180" s="1"/>
      <c r="D180" s="1"/>
      <c r="E180" s="1"/>
      <c r="F180" s="1"/>
    </row>
    <row r="181" ht="16.5" customHeight="1">
      <c r="A181" s="1"/>
      <c r="B181" s="1"/>
      <c r="C181" s="1"/>
      <c r="D181" s="1"/>
      <c r="E181" s="1"/>
      <c r="F181" s="1"/>
    </row>
    <row r="182" ht="16.5" customHeight="1">
      <c r="A182" s="1"/>
      <c r="B182" s="1"/>
      <c r="C182" s="1"/>
      <c r="D182" s="1"/>
      <c r="E182" s="1"/>
      <c r="F182" s="1"/>
    </row>
    <row r="183" ht="16.5" customHeight="1">
      <c r="A183" s="1"/>
      <c r="B183" s="1"/>
      <c r="C183" s="1"/>
      <c r="D183" s="1"/>
      <c r="E183" s="1"/>
      <c r="F183" s="1"/>
    </row>
    <row r="184" ht="16.5" customHeight="1">
      <c r="A184" s="1"/>
      <c r="B184" s="1"/>
      <c r="C184" s="1"/>
      <c r="D184" s="1"/>
      <c r="E184" s="1"/>
      <c r="F184" s="1"/>
    </row>
    <row r="185" ht="16.5" customHeight="1">
      <c r="A185" s="1"/>
      <c r="B185" s="1"/>
      <c r="C185" s="1"/>
      <c r="D185" s="1"/>
      <c r="E185" s="1"/>
      <c r="F185" s="1"/>
    </row>
    <row r="186" ht="16.5" customHeight="1">
      <c r="A186" s="1"/>
      <c r="B186" s="1"/>
      <c r="C186" s="1"/>
      <c r="D186" s="1"/>
      <c r="E186" s="1"/>
      <c r="F186" s="1"/>
    </row>
    <row r="187" ht="16.5" customHeight="1">
      <c r="A187" s="1"/>
      <c r="B187" s="1"/>
      <c r="C187" s="1"/>
      <c r="D187" s="1"/>
      <c r="E187" s="1"/>
      <c r="F187" s="1"/>
    </row>
    <row r="188" ht="16.5" customHeight="1">
      <c r="A188" s="1"/>
      <c r="B188" s="1"/>
      <c r="C188" s="1"/>
      <c r="D188" s="1"/>
      <c r="E188" s="1"/>
      <c r="F188" s="1"/>
    </row>
    <row r="189" ht="16.5" customHeight="1">
      <c r="A189" s="1"/>
      <c r="B189" s="1"/>
      <c r="C189" s="1"/>
      <c r="D189" s="1"/>
      <c r="E189" s="1"/>
      <c r="F189" s="1"/>
    </row>
    <row r="190" ht="16.5" customHeight="1">
      <c r="A190" s="1"/>
      <c r="B190" s="1"/>
      <c r="C190" s="1"/>
      <c r="D190" s="1"/>
      <c r="E190" s="1"/>
      <c r="F190" s="1"/>
    </row>
    <row r="191" ht="16.5" customHeight="1">
      <c r="A191" s="1"/>
      <c r="B191" s="1"/>
      <c r="C191" s="1"/>
      <c r="D191" s="1"/>
      <c r="E191" s="1"/>
      <c r="F191" s="1"/>
    </row>
    <row r="192" ht="16.5" customHeight="1">
      <c r="A192" s="1"/>
      <c r="B192" s="1"/>
      <c r="C192" s="1"/>
      <c r="D192" s="1"/>
      <c r="E192" s="1"/>
      <c r="F192" s="1"/>
    </row>
    <row r="193" ht="16.5" customHeight="1">
      <c r="A193" s="1"/>
      <c r="B193" s="1"/>
      <c r="C193" s="1"/>
      <c r="D193" s="1"/>
      <c r="E193" s="1"/>
      <c r="F193" s="1"/>
    </row>
    <row r="194" ht="16.5" customHeight="1">
      <c r="A194" s="1"/>
      <c r="B194" s="1"/>
      <c r="C194" s="1"/>
      <c r="D194" s="1"/>
      <c r="E194" s="1"/>
      <c r="F194" s="1"/>
    </row>
    <row r="195" ht="16.5" customHeight="1">
      <c r="A195" s="1"/>
      <c r="B195" s="1"/>
      <c r="C195" s="1"/>
      <c r="D195" s="1"/>
      <c r="E195" s="1"/>
      <c r="F195" s="1"/>
    </row>
    <row r="196" ht="16.5" customHeight="1">
      <c r="A196" s="1"/>
      <c r="B196" s="1"/>
      <c r="C196" s="1"/>
      <c r="D196" s="1"/>
      <c r="E196" s="1"/>
      <c r="F196" s="1"/>
    </row>
    <row r="197" ht="16.5" customHeight="1">
      <c r="A197" s="1"/>
      <c r="B197" s="1"/>
      <c r="C197" s="1"/>
      <c r="D197" s="1"/>
      <c r="E197" s="1"/>
      <c r="F197" s="1"/>
    </row>
    <row r="198" ht="16.5" customHeight="1">
      <c r="A198" s="1"/>
      <c r="B198" s="1"/>
      <c r="C198" s="1"/>
      <c r="D198" s="1"/>
      <c r="E198" s="1"/>
      <c r="F198" s="1"/>
    </row>
    <row r="199" ht="16.5" customHeight="1">
      <c r="A199" s="1"/>
      <c r="B199" s="1"/>
      <c r="C199" s="1"/>
      <c r="D199" s="1"/>
      <c r="E199" s="1"/>
      <c r="F199" s="1"/>
    </row>
    <row r="200" ht="16.5" customHeight="1">
      <c r="A200" s="1"/>
      <c r="B200" s="1"/>
      <c r="C200" s="1"/>
      <c r="D200" s="1"/>
      <c r="E200" s="1"/>
      <c r="F200" s="1"/>
    </row>
    <row r="201" ht="16.5" customHeight="1">
      <c r="A201" s="1"/>
      <c r="B201" s="1"/>
      <c r="C201" s="1"/>
      <c r="D201" s="1"/>
      <c r="E201" s="1"/>
      <c r="F201" s="1"/>
    </row>
    <row r="202" ht="16.5" customHeight="1">
      <c r="A202" s="1"/>
      <c r="B202" s="1"/>
      <c r="C202" s="1"/>
      <c r="D202" s="1"/>
      <c r="E202" s="1"/>
      <c r="F202" s="1"/>
    </row>
    <row r="203" ht="16.5" customHeight="1">
      <c r="A203" s="1"/>
      <c r="B203" s="1"/>
      <c r="C203" s="1"/>
      <c r="D203" s="1"/>
      <c r="E203" s="1"/>
      <c r="F203" s="1"/>
    </row>
    <row r="204" ht="16.5" customHeight="1">
      <c r="A204" s="1"/>
      <c r="B204" s="1"/>
      <c r="C204" s="1"/>
      <c r="D204" s="1"/>
      <c r="E204" s="1"/>
      <c r="F204" s="1"/>
    </row>
    <row r="205" ht="16.5" customHeight="1">
      <c r="A205" s="1"/>
      <c r="B205" s="1"/>
      <c r="C205" s="1"/>
      <c r="D205" s="1"/>
      <c r="E205" s="1"/>
      <c r="F205" s="1"/>
    </row>
    <row r="206" ht="16.5" customHeight="1">
      <c r="A206" s="1"/>
      <c r="B206" s="1"/>
      <c r="C206" s="1"/>
      <c r="D206" s="1"/>
      <c r="E206" s="1"/>
      <c r="F206" s="1"/>
    </row>
    <row r="207" ht="16.5" customHeight="1">
      <c r="A207" s="1"/>
      <c r="B207" s="1"/>
      <c r="C207" s="1"/>
      <c r="D207" s="1"/>
      <c r="E207" s="1"/>
      <c r="F207" s="1"/>
    </row>
    <row r="208" ht="16.5" customHeight="1">
      <c r="A208" s="1"/>
      <c r="B208" s="1"/>
      <c r="C208" s="1"/>
      <c r="D208" s="1"/>
      <c r="E208" s="1"/>
      <c r="F208" s="1"/>
    </row>
    <row r="209" ht="16.5" customHeight="1">
      <c r="A209" s="1"/>
      <c r="B209" s="1"/>
      <c r="C209" s="1"/>
      <c r="D209" s="1"/>
      <c r="E209" s="1"/>
      <c r="F209" s="1"/>
    </row>
    <row r="210" ht="16.5" customHeight="1">
      <c r="A210" s="1"/>
      <c r="B210" s="1"/>
      <c r="C210" s="1"/>
      <c r="D210" s="1"/>
      <c r="E210" s="1"/>
      <c r="F210" s="1"/>
    </row>
    <row r="211" ht="16.5" customHeight="1">
      <c r="A211" s="1"/>
      <c r="B211" s="1"/>
      <c r="C211" s="1"/>
      <c r="D211" s="1"/>
      <c r="E211" s="1"/>
      <c r="F211" s="1"/>
    </row>
    <row r="212" ht="16.5" customHeight="1">
      <c r="A212" s="1"/>
      <c r="B212" s="1"/>
      <c r="C212" s="1"/>
      <c r="D212" s="1"/>
      <c r="E212" s="1"/>
      <c r="F212" s="1"/>
    </row>
    <row r="213" ht="16.5" customHeight="1">
      <c r="A213" s="1"/>
      <c r="B213" s="1"/>
      <c r="C213" s="1"/>
      <c r="D213" s="1"/>
      <c r="E213" s="1"/>
      <c r="F213" s="1"/>
    </row>
    <row r="214" ht="16.5" customHeight="1">
      <c r="A214" s="1"/>
      <c r="B214" s="1"/>
      <c r="C214" s="1"/>
      <c r="D214" s="1"/>
      <c r="E214" s="1"/>
      <c r="F214" s="1"/>
    </row>
    <row r="215" ht="16.5" customHeight="1">
      <c r="A215" s="1"/>
      <c r="B215" s="1"/>
      <c r="C215" s="1"/>
      <c r="D215" s="1"/>
      <c r="E215" s="1"/>
      <c r="F215" s="1"/>
    </row>
    <row r="216" ht="16.5" customHeight="1">
      <c r="A216" s="1"/>
      <c r="B216" s="1"/>
      <c r="C216" s="1"/>
      <c r="D216" s="1"/>
      <c r="E216" s="1"/>
      <c r="F216" s="1"/>
    </row>
    <row r="217" ht="16.5" customHeight="1">
      <c r="A217" s="1"/>
      <c r="B217" s="1"/>
      <c r="C217" s="1"/>
      <c r="D217" s="1"/>
      <c r="E217" s="1"/>
      <c r="F217" s="1"/>
    </row>
    <row r="218" ht="16.5" customHeight="1">
      <c r="A218" s="1"/>
      <c r="B218" s="1"/>
      <c r="C218" s="1"/>
      <c r="D218" s="1"/>
      <c r="E218" s="1"/>
      <c r="F218" s="1"/>
    </row>
    <row r="219" ht="16.5" customHeight="1">
      <c r="A219" s="1"/>
      <c r="B219" s="1"/>
      <c r="C219" s="1"/>
      <c r="D219" s="1"/>
      <c r="E219" s="1"/>
      <c r="F219" s="1"/>
    </row>
    <row r="220" ht="16.5" customHeight="1">
      <c r="A220" s="1"/>
      <c r="B220" s="1"/>
      <c r="C220" s="1"/>
      <c r="D220" s="1"/>
      <c r="E220" s="1"/>
      <c r="F220" s="1"/>
    </row>
    <row r="221" ht="16.5" customHeight="1">
      <c r="A221" s="1"/>
      <c r="B221" s="1"/>
      <c r="C221" s="1"/>
      <c r="D221" s="1"/>
      <c r="E221" s="1"/>
      <c r="F221" s="1"/>
    </row>
    <row r="222" ht="16.5" customHeight="1">
      <c r="A222" s="1"/>
      <c r="B222" s="1"/>
      <c r="C222" s="1"/>
      <c r="D222" s="1"/>
      <c r="E222" s="1"/>
      <c r="F222" s="1"/>
    </row>
    <row r="223" ht="16.5" customHeight="1">
      <c r="A223" s="1"/>
      <c r="B223" s="1"/>
      <c r="C223" s="1"/>
      <c r="D223" s="1"/>
      <c r="E223" s="1"/>
      <c r="F223" s="1"/>
    </row>
    <row r="224" ht="16.5" customHeight="1">
      <c r="A224" s="1"/>
      <c r="B224" s="1"/>
      <c r="C224" s="1"/>
      <c r="D224" s="1"/>
      <c r="E224" s="1"/>
      <c r="F224" s="1"/>
    </row>
    <row r="225" ht="16.5" customHeight="1">
      <c r="A225" s="1"/>
      <c r="B225" s="1"/>
      <c r="C225" s="1"/>
      <c r="D225" s="1"/>
      <c r="E225" s="1"/>
      <c r="F225" s="1"/>
    </row>
    <row r="226" ht="16.5" customHeight="1">
      <c r="A226" s="1"/>
      <c r="B226" s="1"/>
      <c r="C226" s="1"/>
      <c r="D226" s="1"/>
      <c r="E226" s="1"/>
      <c r="F226" s="1"/>
    </row>
    <row r="227" ht="16.5" customHeight="1">
      <c r="A227" s="1"/>
      <c r="B227" s="1"/>
      <c r="C227" s="1"/>
      <c r="D227" s="1"/>
      <c r="E227" s="1"/>
      <c r="F227" s="1"/>
    </row>
    <row r="228" ht="16.5" customHeight="1">
      <c r="A228" s="1"/>
      <c r="B228" s="1"/>
      <c r="C228" s="1"/>
      <c r="D228" s="1"/>
      <c r="E228" s="1"/>
      <c r="F228" s="1"/>
    </row>
    <row r="229" ht="16.5" customHeight="1">
      <c r="A229" s="1"/>
      <c r="B229" s="1"/>
      <c r="C229" s="1"/>
      <c r="D229" s="1"/>
      <c r="E229" s="1"/>
      <c r="F229" s="1"/>
    </row>
    <row r="230" ht="16.5" customHeight="1">
      <c r="A230" s="1"/>
      <c r="B230" s="1"/>
      <c r="C230" s="1"/>
      <c r="D230" s="1"/>
      <c r="E230" s="1"/>
      <c r="F230" s="1"/>
    </row>
    <row r="231" ht="16.5" customHeight="1">
      <c r="A231" s="1"/>
      <c r="B231" s="1"/>
      <c r="C231" s="1"/>
      <c r="D231" s="1"/>
      <c r="E231" s="1"/>
      <c r="F231" s="1"/>
    </row>
    <row r="232" ht="16.5" customHeight="1">
      <c r="A232" s="1"/>
      <c r="B232" s="1"/>
      <c r="C232" s="1"/>
      <c r="D232" s="1"/>
      <c r="E232" s="1"/>
      <c r="F232" s="1"/>
    </row>
    <row r="233" ht="16.5" customHeight="1">
      <c r="A233" s="1"/>
      <c r="B233" s="1"/>
      <c r="C233" s="1"/>
      <c r="D233" s="1"/>
      <c r="E233" s="1"/>
      <c r="F233" s="1"/>
    </row>
    <row r="234" ht="16.5" customHeight="1">
      <c r="A234" s="1"/>
      <c r="B234" s="1"/>
      <c r="C234" s="1"/>
      <c r="D234" s="1"/>
      <c r="E234" s="1"/>
      <c r="F234" s="1"/>
    </row>
    <row r="235" ht="16.5" customHeight="1">
      <c r="A235" s="1"/>
      <c r="B235" s="1"/>
      <c r="C235" s="1"/>
      <c r="D235" s="1"/>
      <c r="E235" s="1"/>
      <c r="F235" s="1"/>
    </row>
    <row r="236" ht="16.5" customHeight="1">
      <c r="A236" s="1"/>
      <c r="B236" s="1"/>
      <c r="C236" s="1"/>
      <c r="D236" s="1"/>
      <c r="E236" s="1"/>
      <c r="F236" s="1"/>
    </row>
    <row r="237" ht="16.5" customHeight="1">
      <c r="A237" s="1"/>
      <c r="B237" s="1"/>
      <c r="C237" s="1"/>
      <c r="D237" s="1"/>
      <c r="E237" s="1"/>
      <c r="F237" s="1"/>
    </row>
    <row r="238" ht="16.5" customHeight="1">
      <c r="A238" s="1"/>
      <c r="B238" s="1"/>
      <c r="C238" s="1"/>
      <c r="D238" s="1"/>
      <c r="E238" s="1"/>
      <c r="F238" s="1"/>
    </row>
    <row r="239" ht="16.5" customHeight="1">
      <c r="A239" s="1"/>
      <c r="B239" s="1"/>
      <c r="C239" s="1"/>
      <c r="D239" s="1"/>
      <c r="E239" s="1"/>
      <c r="F239" s="1"/>
    </row>
    <row r="240" ht="16.5" customHeight="1">
      <c r="A240" s="1"/>
      <c r="B240" s="1"/>
      <c r="C240" s="1"/>
      <c r="D240" s="1"/>
      <c r="E240" s="1"/>
      <c r="F240" s="1"/>
    </row>
    <row r="241" ht="16.5" customHeight="1">
      <c r="A241" s="1"/>
      <c r="B241" s="1"/>
      <c r="C241" s="1"/>
      <c r="D241" s="1"/>
      <c r="E241" s="1"/>
      <c r="F241" s="1"/>
    </row>
    <row r="242" ht="16.5" customHeight="1">
      <c r="A242" s="1"/>
      <c r="B242" s="1"/>
      <c r="C242" s="1"/>
      <c r="D242" s="1"/>
      <c r="E242" s="1"/>
      <c r="F242" s="1"/>
    </row>
    <row r="243" ht="16.5" customHeight="1">
      <c r="A243" s="1"/>
      <c r="B243" s="1"/>
      <c r="C243" s="1"/>
      <c r="D243" s="1"/>
      <c r="E243" s="1"/>
      <c r="F243" s="1"/>
    </row>
    <row r="244" ht="16.5" customHeight="1">
      <c r="A244" s="1"/>
      <c r="B244" s="1"/>
      <c r="C244" s="1"/>
      <c r="D244" s="1"/>
      <c r="E244" s="1"/>
      <c r="F244" s="1"/>
    </row>
    <row r="245" ht="16.5" customHeight="1">
      <c r="A245" s="1"/>
      <c r="B245" s="1"/>
      <c r="C245" s="1"/>
      <c r="D245" s="1"/>
      <c r="E245" s="1"/>
      <c r="F245" s="1"/>
    </row>
    <row r="246" ht="16.5" customHeight="1">
      <c r="A246" s="1"/>
      <c r="B246" s="1"/>
      <c r="C246" s="1"/>
      <c r="D246" s="1"/>
      <c r="E246" s="1"/>
      <c r="F246" s="1"/>
    </row>
    <row r="247" ht="16.5" customHeight="1">
      <c r="A247" s="1"/>
      <c r="B247" s="1"/>
      <c r="C247" s="1"/>
      <c r="D247" s="1"/>
      <c r="E247" s="1"/>
      <c r="F247" s="1"/>
    </row>
    <row r="248" ht="16.5" customHeight="1">
      <c r="A248" s="1"/>
      <c r="B248" s="1"/>
      <c r="C248" s="1"/>
      <c r="D248" s="1"/>
      <c r="E248" s="1"/>
      <c r="F248" s="1"/>
    </row>
    <row r="249" ht="16.5" customHeight="1">
      <c r="A249" s="1"/>
      <c r="B249" s="1"/>
      <c r="C249" s="1"/>
      <c r="D249" s="1"/>
      <c r="E249" s="1"/>
      <c r="F249" s="1"/>
    </row>
    <row r="250" ht="16.5" customHeight="1">
      <c r="A250" s="1"/>
      <c r="B250" s="1"/>
      <c r="C250" s="1"/>
      <c r="D250" s="1"/>
      <c r="E250" s="1"/>
      <c r="F250" s="1"/>
    </row>
    <row r="251" ht="16.5" customHeight="1">
      <c r="A251" s="1"/>
      <c r="B251" s="1"/>
      <c r="C251" s="1"/>
      <c r="D251" s="1"/>
      <c r="E251" s="1"/>
      <c r="F251" s="1"/>
    </row>
    <row r="252" ht="16.5" customHeight="1">
      <c r="A252" s="1"/>
      <c r="B252" s="1"/>
      <c r="C252" s="1"/>
      <c r="D252" s="1"/>
      <c r="E252" s="1"/>
      <c r="F252" s="1"/>
    </row>
    <row r="253" ht="16.5" customHeight="1">
      <c r="A253" s="1"/>
      <c r="B253" s="1"/>
      <c r="C253" s="1"/>
      <c r="D253" s="1"/>
      <c r="E253" s="1"/>
      <c r="F253" s="1"/>
    </row>
    <row r="254" ht="16.5" customHeight="1">
      <c r="A254" s="1"/>
      <c r="B254" s="1"/>
      <c r="C254" s="1"/>
      <c r="D254" s="1"/>
      <c r="E254" s="1"/>
      <c r="F254" s="1"/>
    </row>
    <row r="255" ht="16.5" customHeight="1">
      <c r="A255" s="1"/>
      <c r="B255" s="1"/>
      <c r="C255" s="1"/>
      <c r="D255" s="1"/>
      <c r="E255" s="1"/>
      <c r="F255" s="1"/>
    </row>
    <row r="256" ht="16.5" customHeight="1">
      <c r="A256" s="1"/>
      <c r="B256" s="1"/>
      <c r="C256" s="1"/>
      <c r="D256" s="1"/>
      <c r="E256" s="1"/>
      <c r="F256" s="1"/>
    </row>
    <row r="257" ht="16.5" customHeight="1">
      <c r="A257" s="1"/>
      <c r="B257" s="1"/>
      <c r="C257" s="1"/>
      <c r="D257" s="1"/>
      <c r="E257" s="1"/>
      <c r="F257" s="1"/>
    </row>
    <row r="258" ht="16.5" customHeight="1">
      <c r="A258" s="1"/>
      <c r="B258" s="1"/>
      <c r="C258" s="1"/>
      <c r="D258" s="1"/>
      <c r="E258" s="1"/>
      <c r="F258" s="1"/>
    </row>
    <row r="259" ht="16.5" customHeight="1">
      <c r="A259" s="1"/>
      <c r="B259" s="1"/>
      <c r="C259" s="1"/>
      <c r="D259" s="1"/>
      <c r="E259" s="1"/>
      <c r="F259" s="1"/>
    </row>
    <row r="260" ht="16.5" customHeight="1">
      <c r="A260" s="1"/>
      <c r="B260" s="1"/>
      <c r="C260" s="1"/>
      <c r="D260" s="1"/>
      <c r="E260" s="1"/>
      <c r="F260" s="1"/>
    </row>
    <row r="261" ht="16.5" customHeight="1">
      <c r="A261" s="1"/>
      <c r="B261" s="1"/>
      <c r="C261" s="1"/>
      <c r="D261" s="1"/>
      <c r="E261" s="1"/>
      <c r="F261" s="1"/>
    </row>
    <row r="262" ht="16.5" customHeight="1">
      <c r="A262" s="1"/>
      <c r="B262" s="1"/>
      <c r="C262" s="1"/>
      <c r="D262" s="1"/>
      <c r="E262" s="1"/>
      <c r="F262" s="1"/>
    </row>
    <row r="263" ht="16.5" customHeight="1">
      <c r="A263" s="1"/>
      <c r="B263" s="1"/>
      <c r="C263" s="1"/>
      <c r="D263" s="1"/>
      <c r="E263" s="1"/>
      <c r="F263" s="1"/>
    </row>
    <row r="264" ht="16.5" customHeight="1">
      <c r="A264" s="1"/>
      <c r="B264" s="1"/>
      <c r="C264" s="1"/>
      <c r="D264" s="1"/>
      <c r="E264" s="1"/>
      <c r="F264" s="1"/>
    </row>
    <row r="265" ht="16.5" customHeight="1">
      <c r="A265" s="1"/>
      <c r="B265" s="1"/>
      <c r="C265" s="1"/>
      <c r="D265" s="1"/>
      <c r="E265" s="1"/>
      <c r="F265" s="1"/>
    </row>
    <row r="266" ht="16.5" customHeight="1">
      <c r="A266" s="1"/>
      <c r="B266" s="1"/>
      <c r="C266" s="1"/>
      <c r="D266" s="1"/>
      <c r="E266" s="1"/>
      <c r="F266" s="1"/>
    </row>
    <row r="267" ht="16.5" customHeight="1">
      <c r="A267" s="1"/>
      <c r="B267" s="1"/>
      <c r="C267" s="1"/>
      <c r="D267" s="1"/>
      <c r="E267" s="1"/>
      <c r="F267" s="1"/>
    </row>
    <row r="268" ht="16.5" customHeight="1">
      <c r="A268" s="1"/>
      <c r="B268" s="1"/>
      <c r="C268" s="1"/>
      <c r="D268" s="1"/>
      <c r="E268" s="1"/>
      <c r="F268" s="1"/>
    </row>
    <row r="269" ht="16.5" customHeight="1">
      <c r="A269" s="1"/>
      <c r="B269" s="1"/>
      <c r="C269" s="1"/>
      <c r="D269" s="1"/>
      <c r="E269" s="1"/>
      <c r="F269" s="1"/>
    </row>
    <row r="270" ht="16.5" customHeight="1">
      <c r="A270" s="1"/>
      <c r="B270" s="1"/>
      <c r="C270" s="1"/>
      <c r="D270" s="1"/>
      <c r="E270" s="1"/>
      <c r="F270" s="1"/>
    </row>
    <row r="271" ht="16.5" customHeight="1">
      <c r="A271" s="1"/>
      <c r="B271" s="1"/>
      <c r="C271" s="1"/>
      <c r="D271" s="1"/>
      <c r="E271" s="1"/>
      <c r="F271" s="1"/>
    </row>
    <row r="272" ht="16.5" customHeight="1">
      <c r="A272" s="1"/>
      <c r="B272" s="1"/>
      <c r="C272" s="1"/>
      <c r="D272" s="1"/>
      <c r="E272" s="1"/>
      <c r="F272" s="1"/>
    </row>
    <row r="273" ht="16.5" customHeight="1">
      <c r="A273" s="1"/>
      <c r="B273" s="1"/>
      <c r="C273" s="1"/>
      <c r="D273" s="1"/>
      <c r="E273" s="1"/>
      <c r="F273" s="1"/>
    </row>
    <row r="274" ht="16.5" customHeight="1">
      <c r="A274" s="1"/>
      <c r="B274" s="1"/>
      <c r="C274" s="1"/>
      <c r="D274" s="1"/>
      <c r="E274" s="1"/>
      <c r="F274" s="1"/>
    </row>
    <row r="275" ht="16.5" customHeight="1">
      <c r="A275" s="1"/>
      <c r="B275" s="1"/>
      <c r="C275" s="1"/>
      <c r="D275" s="1"/>
      <c r="E275" s="1"/>
      <c r="F275" s="1"/>
    </row>
    <row r="276" ht="16.5" customHeight="1">
      <c r="A276" s="1"/>
      <c r="B276" s="1"/>
      <c r="C276" s="1"/>
      <c r="D276" s="1"/>
      <c r="E276" s="1"/>
      <c r="F276" s="1"/>
    </row>
    <row r="277" ht="16.5" customHeight="1">
      <c r="A277" s="1"/>
      <c r="B277" s="1"/>
      <c r="C277" s="1"/>
      <c r="D277" s="1"/>
      <c r="E277" s="1"/>
      <c r="F277" s="1"/>
    </row>
    <row r="278" ht="16.5" customHeight="1">
      <c r="A278" s="1"/>
      <c r="B278" s="1"/>
      <c r="C278" s="1"/>
      <c r="D278" s="1"/>
      <c r="E278" s="1"/>
      <c r="F278" s="1"/>
    </row>
    <row r="279" ht="16.5" customHeight="1">
      <c r="A279" s="1"/>
      <c r="B279" s="1"/>
      <c r="C279" s="1"/>
      <c r="D279" s="1"/>
      <c r="E279" s="1"/>
      <c r="F279" s="1"/>
    </row>
    <row r="280" ht="16.5" customHeight="1">
      <c r="A280" s="1"/>
      <c r="B280" s="1"/>
      <c r="C280" s="1"/>
      <c r="D280" s="1"/>
      <c r="E280" s="1"/>
      <c r="F280" s="1"/>
    </row>
    <row r="281" ht="16.5" customHeight="1">
      <c r="A281" s="1"/>
      <c r="B281" s="1"/>
      <c r="C281" s="1"/>
      <c r="D281" s="1"/>
      <c r="E281" s="1"/>
      <c r="F281" s="1"/>
    </row>
    <row r="282" ht="16.5" customHeight="1">
      <c r="A282" s="1"/>
      <c r="B282" s="1"/>
      <c r="C282" s="1"/>
      <c r="D282" s="1"/>
      <c r="E282" s="1"/>
      <c r="F282" s="1"/>
    </row>
    <row r="283" ht="16.5" customHeight="1">
      <c r="A283" s="1"/>
      <c r="B283" s="1"/>
      <c r="C283" s="1"/>
      <c r="D283" s="1"/>
      <c r="E283" s="1"/>
      <c r="F283" s="1"/>
    </row>
    <row r="284" ht="16.5" customHeight="1">
      <c r="A284" s="1"/>
      <c r="B284" s="1"/>
      <c r="C284" s="1"/>
      <c r="D284" s="1"/>
      <c r="E284" s="1"/>
      <c r="F284" s="1"/>
    </row>
    <row r="285" ht="16.5" customHeight="1">
      <c r="A285" s="1"/>
      <c r="B285" s="1"/>
      <c r="C285" s="1"/>
      <c r="D285" s="1"/>
      <c r="E285" s="1"/>
      <c r="F285" s="1"/>
    </row>
    <row r="286" ht="16.5" customHeight="1">
      <c r="A286" s="1"/>
      <c r="B286" s="1"/>
      <c r="C286" s="1"/>
      <c r="D286" s="1"/>
      <c r="E286" s="1"/>
      <c r="F286" s="1"/>
    </row>
    <row r="287" ht="16.5" customHeight="1">
      <c r="A287" s="1"/>
      <c r="B287" s="1"/>
      <c r="C287" s="1"/>
      <c r="D287" s="1"/>
      <c r="E287" s="1"/>
      <c r="F287" s="1"/>
    </row>
    <row r="288" ht="16.5" customHeight="1">
      <c r="A288" s="1"/>
      <c r="B288" s="1"/>
      <c r="C288" s="1"/>
      <c r="D288" s="1"/>
      <c r="E288" s="1"/>
      <c r="F288" s="1"/>
    </row>
    <row r="289" ht="16.5" customHeight="1">
      <c r="A289" s="1"/>
      <c r="B289" s="1"/>
      <c r="C289" s="1"/>
      <c r="D289" s="1"/>
      <c r="E289" s="1"/>
      <c r="F289" s="1"/>
    </row>
    <row r="290" ht="16.5" customHeight="1">
      <c r="A290" s="1"/>
      <c r="B290" s="1"/>
      <c r="C290" s="1"/>
      <c r="D290" s="1"/>
      <c r="E290" s="1"/>
      <c r="F290" s="1"/>
    </row>
    <row r="291" ht="16.5" customHeight="1">
      <c r="A291" s="1"/>
      <c r="B291" s="1"/>
      <c r="C291" s="1"/>
      <c r="D291" s="1"/>
      <c r="E291" s="1"/>
      <c r="F291" s="1"/>
    </row>
    <row r="292" ht="16.5" customHeight="1">
      <c r="A292" s="1"/>
      <c r="B292" s="1"/>
      <c r="C292" s="1"/>
      <c r="D292" s="1"/>
      <c r="E292" s="1"/>
      <c r="F292" s="1"/>
    </row>
    <row r="293" ht="16.5" customHeight="1">
      <c r="A293" s="1"/>
      <c r="B293" s="1"/>
      <c r="C293" s="1"/>
      <c r="D293" s="1"/>
      <c r="E293" s="1"/>
      <c r="F293" s="1"/>
    </row>
    <row r="294" ht="16.5" customHeight="1">
      <c r="A294" s="1"/>
      <c r="B294" s="1"/>
      <c r="C294" s="1"/>
      <c r="D294" s="1"/>
      <c r="E294" s="1"/>
      <c r="F294" s="1"/>
    </row>
    <row r="295" ht="16.5" customHeight="1">
      <c r="A295" s="1"/>
      <c r="B295" s="1"/>
      <c r="C295" s="1"/>
      <c r="D295" s="1"/>
      <c r="E295" s="1"/>
      <c r="F295" s="1"/>
    </row>
    <row r="296" ht="16.5" customHeight="1">
      <c r="A296" s="1"/>
      <c r="B296" s="1"/>
      <c r="C296" s="1"/>
      <c r="D296" s="1"/>
      <c r="E296" s="1"/>
      <c r="F296" s="1"/>
    </row>
    <row r="297" ht="16.5" customHeight="1">
      <c r="A297" s="1"/>
      <c r="B297" s="1"/>
      <c r="C297" s="1"/>
      <c r="D297" s="1"/>
      <c r="E297" s="1"/>
      <c r="F297" s="1"/>
    </row>
    <row r="298" ht="16.5" customHeight="1">
      <c r="A298" s="1"/>
      <c r="B298" s="1"/>
      <c r="C298" s="1"/>
      <c r="D298" s="1"/>
      <c r="E298" s="1"/>
      <c r="F298" s="1"/>
    </row>
    <row r="299" ht="16.5" customHeight="1">
      <c r="A299" s="1"/>
      <c r="B299" s="1"/>
      <c r="C299" s="1"/>
      <c r="D299" s="1"/>
      <c r="E299" s="1"/>
      <c r="F299" s="1"/>
    </row>
    <row r="300" ht="16.5" customHeight="1">
      <c r="A300" s="1"/>
      <c r="B300" s="1"/>
      <c r="C300" s="1"/>
      <c r="D300" s="1"/>
      <c r="E300" s="1"/>
      <c r="F300" s="1"/>
    </row>
    <row r="301" ht="16.5" customHeight="1">
      <c r="A301" s="1"/>
      <c r="B301" s="1"/>
      <c r="C301" s="1"/>
      <c r="D301" s="1"/>
      <c r="E301" s="1"/>
      <c r="F301" s="1"/>
    </row>
    <row r="302" ht="16.5" customHeight="1">
      <c r="A302" s="1"/>
      <c r="B302" s="1"/>
      <c r="C302" s="1"/>
      <c r="D302" s="1"/>
      <c r="E302" s="1"/>
      <c r="F302" s="1"/>
    </row>
    <row r="303" ht="16.5" customHeight="1">
      <c r="A303" s="1"/>
      <c r="B303" s="1"/>
      <c r="C303" s="1"/>
      <c r="D303" s="1"/>
      <c r="E303" s="1"/>
      <c r="F303" s="1"/>
    </row>
    <row r="304" ht="16.5" customHeight="1">
      <c r="A304" s="1"/>
      <c r="B304" s="1"/>
      <c r="C304" s="1"/>
      <c r="D304" s="1"/>
      <c r="E304" s="1"/>
      <c r="F304" s="1"/>
    </row>
    <row r="305" ht="16.5" customHeight="1">
      <c r="A305" s="1"/>
      <c r="B305" s="1"/>
      <c r="C305" s="1"/>
      <c r="D305" s="1"/>
      <c r="E305" s="1"/>
      <c r="F305" s="1"/>
    </row>
    <row r="306" ht="16.5" customHeight="1">
      <c r="A306" s="1"/>
      <c r="B306" s="1"/>
      <c r="C306" s="1"/>
      <c r="D306" s="1"/>
      <c r="E306" s="1"/>
      <c r="F306" s="1"/>
    </row>
    <row r="307" ht="16.5" customHeight="1">
      <c r="A307" s="1"/>
      <c r="B307" s="1"/>
      <c r="C307" s="1"/>
      <c r="D307" s="1"/>
      <c r="E307" s="1"/>
      <c r="F307" s="1"/>
    </row>
    <row r="308" ht="16.5" customHeight="1">
      <c r="A308" s="1"/>
      <c r="B308" s="1"/>
      <c r="C308" s="1"/>
      <c r="D308" s="1"/>
      <c r="E308" s="1"/>
      <c r="F308" s="1"/>
    </row>
    <row r="309" ht="16.5" customHeight="1">
      <c r="A309" s="1"/>
      <c r="B309" s="1"/>
      <c r="C309" s="1"/>
      <c r="D309" s="1"/>
      <c r="E309" s="1"/>
      <c r="F309" s="1"/>
    </row>
    <row r="310" ht="16.5" customHeight="1">
      <c r="A310" s="1"/>
      <c r="B310" s="1"/>
      <c r="C310" s="1"/>
      <c r="D310" s="1"/>
      <c r="E310" s="1"/>
      <c r="F310" s="1"/>
    </row>
    <row r="311" ht="16.5" customHeight="1">
      <c r="A311" s="1"/>
      <c r="B311" s="1"/>
      <c r="C311" s="1"/>
      <c r="D311" s="1"/>
      <c r="E311" s="1"/>
      <c r="F311" s="1"/>
    </row>
    <row r="312" ht="16.5" customHeight="1">
      <c r="A312" s="1"/>
      <c r="B312" s="1"/>
      <c r="C312" s="1"/>
      <c r="D312" s="1"/>
      <c r="E312" s="1"/>
      <c r="F312" s="1"/>
    </row>
    <row r="313" ht="16.5" customHeight="1">
      <c r="A313" s="1"/>
      <c r="B313" s="1"/>
      <c r="C313" s="1"/>
      <c r="D313" s="1"/>
      <c r="E313" s="1"/>
      <c r="F313" s="1"/>
    </row>
    <row r="314" ht="16.5" customHeight="1">
      <c r="A314" s="1"/>
      <c r="B314" s="1"/>
      <c r="C314" s="1"/>
      <c r="D314" s="1"/>
      <c r="E314" s="1"/>
      <c r="F314" s="1"/>
    </row>
    <row r="315" ht="16.5" customHeight="1">
      <c r="A315" s="1"/>
      <c r="B315" s="1"/>
      <c r="C315" s="1"/>
      <c r="D315" s="1"/>
      <c r="E315" s="1"/>
      <c r="F315" s="1"/>
    </row>
    <row r="316" ht="16.5" customHeight="1">
      <c r="A316" s="1"/>
      <c r="B316" s="1"/>
      <c r="C316" s="1"/>
      <c r="D316" s="1"/>
      <c r="E316" s="1"/>
      <c r="F316" s="1"/>
    </row>
    <row r="317" ht="16.5" customHeight="1">
      <c r="A317" s="1"/>
      <c r="B317" s="1"/>
      <c r="C317" s="1"/>
      <c r="D317" s="1"/>
      <c r="E317" s="1"/>
      <c r="F317" s="1"/>
    </row>
    <row r="318" ht="16.5" customHeight="1">
      <c r="A318" s="1"/>
      <c r="B318" s="1"/>
      <c r="C318" s="1"/>
      <c r="D318" s="1"/>
      <c r="E318" s="1"/>
      <c r="F318" s="1"/>
    </row>
    <row r="319" ht="16.5" customHeight="1">
      <c r="A319" s="1"/>
      <c r="B319" s="1"/>
      <c r="C319" s="1"/>
      <c r="D319" s="1"/>
      <c r="E319" s="1"/>
      <c r="F319" s="1"/>
    </row>
    <row r="320" ht="16.5" customHeight="1">
      <c r="A320" s="1"/>
      <c r="B320" s="1"/>
      <c r="C320" s="1"/>
      <c r="D320" s="1"/>
      <c r="E320" s="1"/>
      <c r="F320" s="1"/>
    </row>
    <row r="321" ht="16.5" customHeight="1">
      <c r="A321" s="1"/>
      <c r="B321" s="1"/>
      <c r="C321" s="1"/>
      <c r="D321" s="1"/>
      <c r="E321" s="1"/>
      <c r="F321" s="1"/>
    </row>
    <row r="322" ht="16.5" customHeight="1">
      <c r="A322" s="1"/>
      <c r="B322" s="1"/>
      <c r="C322" s="1"/>
      <c r="D322" s="1"/>
      <c r="E322" s="1"/>
      <c r="F322" s="1"/>
    </row>
    <row r="323" ht="16.5" customHeight="1">
      <c r="A323" s="1"/>
      <c r="B323" s="1"/>
      <c r="C323" s="1"/>
      <c r="D323" s="1"/>
      <c r="E323" s="1"/>
      <c r="F323" s="1"/>
    </row>
    <row r="324" ht="16.5" customHeight="1">
      <c r="A324" s="1"/>
      <c r="B324" s="1"/>
      <c r="C324" s="1"/>
      <c r="D324" s="1"/>
      <c r="E324" s="1"/>
      <c r="F324" s="1"/>
    </row>
    <row r="325" ht="16.5" customHeight="1">
      <c r="A325" s="1"/>
      <c r="B325" s="1"/>
      <c r="C325" s="1"/>
      <c r="D325" s="1"/>
      <c r="E325" s="1"/>
      <c r="F325" s="1"/>
    </row>
    <row r="326" ht="16.5" customHeight="1">
      <c r="A326" s="1"/>
      <c r="B326" s="1"/>
      <c r="C326" s="1"/>
      <c r="D326" s="1"/>
      <c r="E326" s="1"/>
      <c r="F326" s="1"/>
    </row>
    <row r="327" ht="16.5" customHeight="1">
      <c r="A327" s="1"/>
      <c r="B327" s="1"/>
      <c r="C327" s="1"/>
      <c r="D327" s="1"/>
      <c r="E327" s="1"/>
      <c r="F327" s="1"/>
    </row>
    <row r="328" ht="16.5" customHeight="1">
      <c r="A328" s="1"/>
      <c r="B328" s="1"/>
      <c r="C328" s="1"/>
      <c r="D328" s="1"/>
      <c r="E328" s="1"/>
      <c r="F328" s="1"/>
    </row>
    <row r="329" ht="16.5" customHeight="1">
      <c r="A329" s="1"/>
      <c r="B329" s="1"/>
      <c r="C329" s="1"/>
      <c r="D329" s="1"/>
      <c r="E329" s="1"/>
      <c r="F329" s="1"/>
    </row>
    <row r="330" ht="16.5" customHeight="1">
      <c r="A330" s="1"/>
      <c r="B330" s="1"/>
      <c r="C330" s="1"/>
      <c r="D330" s="1"/>
      <c r="E330" s="1"/>
      <c r="F330" s="1"/>
    </row>
    <row r="331" ht="16.5" customHeight="1">
      <c r="A331" s="1"/>
      <c r="B331" s="1"/>
      <c r="C331" s="1"/>
      <c r="D331" s="1"/>
      <c r="E331" s="1"/>
      <c r="F331" s="1"/>
    </row>
    <row r="332" ht="16.5" customHeight="1">
      <c r="A332" s="1"/>
      <c r="B332" s="1"/>
      <c r="C332" s="1"/>
      <c r="D332" s="1"/>
      <c r="E332" s="1"/>
      <c r="F332" s="1"/>
    </row>
    <row r="333" ht="16.5" customHeight="1">
      <c r="A333" s="1"/>
      <c r="B333" s="1"/>
      <c r="C333" s="1"/>
      <c r="D333" s="1"/>
      <c r="E333" s="1"/>
      <c r="F333" s="1"/>
    </row>
    <row r="334" ht="16.5" customHeight="1">
      <c r="A334" s="1"/>
      <c r="B334" s="1"/>
      <c r="C334" s="1"/>
      <c r="D334" s="1"/>
      <c r="E334" s="1"/>
      <c r="F334" s="1"/>
    </row>
    <row r="335" ht="16.5" customHeight="1">
      <c r="A335" s="1"/>
      <c r="B335" s="1"/>
      <c r="C335" s="1"/>
      <c r="D335" s="1"/>
      <c r="E335" s="1"/>
      <c r="F335" s="1"/>
    </row>
    <row r="336" ht="16.5" customHeight="1">
      <c r="A336" s="1"/>
      <c r="B336" s="1"/>
      <c r="C336" s="1"/>
      <c r="D336" s="1"/>
      <c r="E336" s="1"/>
      <c r="F336" s="1"/>
    </row>
    <row r="337" ht="16.5" customHeight="1">
      <c r="A337" s="1"/>
      <c r="B337" s="1"/>
      <c r="C337" s="1"/>
      <c r="D337" s="1"/>
      <c r="E337" s="1"/>
      <c r="F337" s="1"/>
    </row>
    <row r="338" ht="16.5" customHeight="1">
      <c r="A338" s="1"/>
      <c r="B338" s="1"/>
      <c r="C338" s="1"/>
      <c r="D338" s="1"/>
      <c r="E338" s="1"/>
      <c r="F338" s="1"/>
    </row>
    <row r="339" ht="16.5" customHeight="1">
      <c r="A339" s="1"/>
      <c r="B339" s="1"/>
      <c r="C339" s="1"/>
      <c r="D339" s="1"/>
      <c r="E339" s="1"/>
      <c r="F339" s="1"/>
    </row>
    <row r="340" ht="16.5" customHeight="1">
      <c r="A340" s="1"/>
      <c r="B340" s="1"/>
      <c r="C340" s="1"/>
      <c r="D340" s="1"/>
      <c r="E340" s="1"/>
      <c r="F340" s="1"/>
    </row>
    <row r="341" ht="16.5" customHeight="1">
      <c r="A341" s="1"/>
      <c r="B341" s="1"/>
      <c r="C341" s="1"/>
      <c r="D341" s="1"/>
      <c r="E341" s="1"/>
      <c r="F341" s="1"/>
    </row>
    <row r="342" ht="16.5" customHeight="1">
      <c r="A342" s="1"/>
      <c r="B342" s="1"/>
      <c r="C342" s="1"/>
      <c r="D342" s="1"/>
      <c r="E342" s="1"/>
      <c r="F342" s="1"/>
    </row>
    <row r="343" ht="16.5" customHeight="1">
      <c r="A343" s="1"/>
      <c r="B343" s="1"/>
      <c r="C343" s="1"/>
      <c r="D343" s="1"/>
      <c r="E343" s="1"/>
      <c r="F343" s="1"/>
    </row>
    <row r="344" ht="16.5" customHeight="1">
      <c r="A344" s="1"/>
      <c r="B344" s="1"/>
      <c r="C344" s="1"/>
      <c r="D344" s="1"/>
      <c r="E344" s="1"/>
      <c r="F344" s="1"/>
    </row>
    <row r="345" ht="16.5" customHeight="1">
      <c r="A345" s="1"/>
      <c r="B345" s="1"/>
      <c r="C345" s="1"/>
      <c r="D345" s="1"/>
      <c r="E345" s="1"/>
      <c r="F345" s="1"/>
    </row>
    <row r="346" ht="16.5" customHeight="1">
      <c r="A346" s="1"/>
      <c r="B346" s="1"/>
      <c r="C346" s="1"/>
      <c r="D346" s="1"/>
      <c r="E346" s="1"/>
      <c r="F346" s="1"/>
    </row>
    <row r="347" ht="16.5" customHeight="1">
      <c r="A347" s="1"/>
      <c r="B347" s="1"/>
      <c r="C347" s="1"/>
      <c r="D347" s="1"/>
      <c r="E347" s="1"/>
      <c r="F347" s="1"/>
    </row>
    <row r="348" ht="16.5" customHeight="1">
      <c r="A348" s="1"/>
      <c r="B348" s="1"/>
      <c r="C348" s="1"/>
      <c r="D348" s="1"/>
      <c r="E348" s="1"/>
      <c r="F348" s="1"/>
    </row>
    <row r="349" ht="16.5" customHeight="1">
      <c r="A349" s="1"/>
      <c r="B349" s="1"/>
      <c r="C349" s="1"/>
      <c r="D349" s="1"/>
      <c r="E349" s="1"/>
      <c r="F349" s="1"/>
    </row>
    <row r="350" ht="16.5" customHeight="1">
      <c r="A350" s="1"/>
      <c r="B350" s="1"/>
      <c r="C350" s="1"/>
      <c r="D350" s="1"/>
      <c r="E350" s="1"/>
      <c r="F350" s="1"/>
    </row>
    <row r="351" ht="16.5" customHeight="1">
      <c r="A351" s="1"/>
      <c r="B351" s="1"/>
      <c r="C351" s="1"/>
      <c r="D351" s="1"/>
      <c r="E351" s="1"/>
      <c r="F351" s="1"/>
    </row>
    <row r="352" ht="16.5" customHeight="1">
      <c r="A352" s="1"/>
      <c r="B352" s="1"/>
      <c r="C352" s="1"/>
      <c r="D352" s="1"/>
      <c r="E352" s="1"/>
      <c r="F352" s="1"/>
    </row>
    <row r="353" ht="16.5" customHeight="1">
      <c r="A353" s="1"/>
      <c r="B353" s="1"/>
      <c r="C353" s="1"/>
      <c r="D353" s="1"/>
      <c r="E353" s="1"/>
      <c r="F353" s="1"/>
    </row>
    <row r="354" ht="16.5" customHeight="1">
      <c r="A354" s="1"/>
      <c r="B354" s="1"/>
      <c r="C354" s="1"/>
      <c r="D354" s="1"/>
      <c r="E354" s="1"/>
      <c r="F354" s="1"/>
    </row>
    <row r="355" ht="16.5" customHeight="1">
      <c r="A355" s="1"/>
      <c r="B355" s="1"/>
      <c r="C355" s="1"/>
      <c r="D355" s="1"/>
      <c r="E355" s="1"/>
      <c r="F355" s="1"/>
    </row>
    <row r="356" ht="16.5" customHeight="1">
      <c r="A356" s="1"/>
      <c r="B356" s="1"/>
      <c r="C356" s="1"/>
      <c r="D356" s="1"/>
      <c r="E356" s="1"/>
      <c r="F356" s="1"/>
    </row>
    <row r="357" ht="16.5" customHeight="1">
      <c r="A357" s="1"/>
      <c r="B357" s="1"/>
      <c r="C357" s="1"/>
      <c r="D357" s="1"/>
      <c r="E357" s="1"/>
      <c r="F357" s="1"/>
    </row>
    <row r="358" ht="16.5" customHeight="1">
      <c r="A358" s="1"/>
      <c r="B358" s="1"/>
      <c r="C358" s="1"/>
      <c r="D358" s="1"/>
      <c r="E358" s="1"/>
      <c r="F358" s="1"/>
    </row>
    <row r="359" ht="16.5" customHeight="1">
      <c r="A359" s="1"/>
      <c r="B359" s="1"/>
      <c r="C359" s="1"/>
      <c r="D359" s="1"/>
      <c r="E359" s="1"/>
      <c r="F359" s="1"/>
    </row>
    <row r="360" ht="16.5" customHeight="1">
      <c r="A360" s="1"/>
      <c r="B360" s="1"/>
      <c r="C360" s="1"/>
      <c r="D360" s="1"/>
      <c r="E360" s="1"/>
      <c r="F360" s="1"/>
    </row>
    <row r="361" ht="16.5" customHeight="1">
      <c r="A361" s="1"/>
      <c r="B361" s="1"/>
      <c r="C361" s="1"/>
      <c r="D361" s="1"/>
      <c r="E361" s="1"/>
      <c r="F361" s="1"/>
    </row>
    <row r="362" ht="16.5" customHeight="1">
      <c r="A362" s="1"/>
      <c r="B362" s="1"/>
      <c r="C362" s="1"/>
      <c r="D362" s="1"/>
      <c r="E362" s="1"/>
      <c r="F362" s="1"/>
    </row>
    <row r="363" ht="16.5" customHeight="1">
      <c r="A363" s="1"/>
      <c r="B363" s="1"/>
      <c r="C363" s="1"/>
      <c r="D363" s="1"/>
      <c r="E363" s="1"/>
      <c r="F363" s="1"/>
    </row>
    <row r="364" ht="16.5" customHeight="1">
      <c r="A364" s="1"/>
      <c r="B364" s="1"/>
      <c r="C364" s="1"/>
      <c r="D364" s="1"/>
      <c r="E364" s="1"/>
      <c r="F364" s="1"/>
    </row>
    <row r="365" ht="16.5" customHeight="1">
      <c r="A365" s="1"/>
      <c r="B365" s="1"/>
      <c r="C365" s="1"/>
      <c r="D365" s="1"/>
      <c r="E365" s="1"/>
      <c r="F365" s="1"/>
    </row>
    <row r="366" ht="16.5" customHeight="1">
      <c r="A366" s="1"/>
      <c r="B366" s="1"/>
      <c r="C366" s="1"/>
      <c r="D366" s="1"/>
      <c r="E366" s="1"/>
      <c r="F366" s="1"/>
    </row>
    <row r="367" ht="16.5" customHeight="1">
      <c r="A367" s="1"/>
      <c r="B367" s="1"/>
      <c r="C367" s="1"/>
      <c r="D367" s="1"/>
      <c r="E367" s="1"/>
      <c r="F367" s="1"/>
    </row>
    <row r="368" ht="16.5" customHeight="1">
      <c r="A368" s="1"/>
      <c r="B368" s="1"/>
      <c r="C368" s="1"/>
      <c r="D368" s="1"/>
      <c r="E368" s="1"/>
      <c r="F368" s="1"/>
    </row>
    <row r="369" ht="16.5" customHeight="1">
      <c r="A369" s="1"/>
      <c r="B369" s="1"/>
      <c r="C369" s="1"/>
      <c r="D369" s="1"/>
      <c r="E369" s="1"/>
      <c r="F369" s="1"/>
    </row>
    <row r="370" ht="16.5" customHeight="1">
      <c r="A370" s="1"/>
      <c r="B370" s="1"/>
      <c r="C370" s="1"/>
      <c r="D370" s="1"/>
      <c r="E370" s="1"/>
      <c r="F370" s="1"/>
    </row>
    <row r="371" ht="16.5" customHeight="1">
      <c r="A371" s="1"/>
      <c r="B371" s="1"/>
      <c r="C371" s="1"/>
      <c r="D371" s="1"/>
      <c r="E371" s="1"/>
      <c r="F371" s="1"/>
    </row>
    <row r="372" ht="16.5" customHeight="1">
      <c r="A372" s="1"/>
      <c r="B372" s="1"/>
      <c r="C372" s="1"/>
      <c r="D372" s="1"/>
      <c r="E372" s="1"/>
      <c r="F372" s="1"/>
    </row>
    <row r="373" ht="16.5" customHeight="1">
      <c r="A373" s="1"/>
      <c r="B373" s="1"/>
      <c r="C373" s="1"/>
      <c r="D373" s="1"/>
      <c r="E373" s="1"/>
      <c r="F373" s="1"/>
    </row>
    <row r="374" ht="16.5" customHeight="1">
      <c r="A374" s="1"/>
      <c r="B374" s="1"/>
      <c r="C374" s="1"/>
      <c r="D374" s="1"/>
      <c r="E374" s="1"/>
      <c r="F374" s="1"/>
    </row>
    <row r="375" ht="16.5" customHeight="1">
      <c r="A375" s="1"/>
      <c r="B375" s="1"/>
      <c r="C375" s="1"/>
      <c r="D375" s="1"/>
      <c r="E375" s="1"/>
      <c r="F375" s="1"/>
    </row>
    <row r="376" ht="16.5" customHeight="1">
      <c r="A376" s="1"/>
      <c r="B376" s="1"/>
      <c r="C376" s="1"/>
      <c r="D376" s="1"/>
      <c r="E376" s="1"/>
      <c r="F376" s="1"/>
    </row>
    <row r="377" ht="16.5" customHeight="1">
      <c r="A377" s="1"/>
      <c r="B377" s="1"/>
      <c r="C377" s="1"/>
      <c r="D377" s="1"/>
      <c r="E377" s="1"/>
      <c r="F377" s="1"/>
    </row>
    <row r="378" ht="16.5" customHeight="1">
      <c r="A378" s="1"/>
      <c r="B378" s="1"/>
      <c r="C378" s="1"/>
      <c r="D378" s="1"/>
      <c r="E378" s="1"/>
      <c r="F378" s="1"/>
    </row>
    <row r="379" ht="16.5" customHeight="1">
      <c r="A379" s="1"/>
      <c r="B379" s="1"/>
      <c r="C379" s="1"/>
      <c r="D379" s="1"/>
      <c r="E379" s="1"/>
      <c r="F379" s="1"/>
    </row>
    <row r="380" ht="16.5" customHeight="1">
      <c r="A380" s="1"/>
      <c r="B380" s="1"/>
      <c r="C380" s="1"/>
      <c r="D380" s="1"/>
      <c r="E380" s="1"/>
      <c r="F380" s="1"/>
    </row>
    <row r="381" ht="16.5" customHeight="1">
      <c r="A381" s="1"/>
      <c r="B381" s="1"/>
      <c r="C381" s="1"/>
      <c r="D381" s="1"/>
      <c r="E381" s="1"/>
      <c r="F381" s="1"/>
    </row>
    <row r="382" ht="16.5" customHeight="1">
      <c r="A382" s="1"/>
      <c r="B382" s="1"/>
      <c r="C382" s="1"/>
      <c r="D382" s="1"/>
      <c r="E382" s="1"/>
      <c r="F382" s="1"/>
    </row>
    <row r="383" ht="16.5" customHeight="1">
      <c r="A383" s="1"/>
      <c r="B383" s="1"/>
      <c r="C383" s="1"/>
      <c r="D383" s="1"/>
      <c r="E383" s="1"/>
      <c r="F383" s="1"/>
    </row>
    <row r="384" ht="16.5" customHeight="1">
      <c r="A384" s="1"/>
      <c r="B384" s="1"/>
      <c r="C384" s="1"/>
      <c r="D384" s="1"/>
      <c r="E384" s="1"/>
      <c r="F384" s="1"/>
    </row>
    <row r="385" ht="16.5" customHeight="1">
      <c r="A385" s="1"/>
      <c r="B385" s="1"/>
      <c r="C385" s="1"/>
      <c r="D385" s="1"/>
      <c r="E385" s="1"/>
      <c r="F385" s="1"/>
    </row>
    <row r="386" ht="16.5" customHeight="1">
      <c r="A386" s="1"/>
      <c r="B386" s="1"/>
      <c r="C386" s="1"/>
      <c r="D386" s="1"/>
      <c r="E386" s="1"/>
      <c r="F386" s="1"/>
    </row>
    <row r="387" ht="16.5" customHeight="1">
      <c r="A387" s="1"/>
      <c r="B387" s="1"/>
      <c r="C387" s="1"/>
      <c r="D387" s="1"/>
      <c r="E387" s="1"/>
      <c r="F387" s="1"/>
    </row>
    <row r="388" ht="16.5" customHeight="1">
      <c r="A388" s="1"/>
      <c r="B388" s="1"/>
      <c r="C388" s="1"/>
      <c r="D388" s="1"/>
      <c r="E388" s="1"/>
      <c r="F388" s="1"/>
    </row>
    <row r="389" ht="16.5" customHeight="1">
      <c r="A389" s="1"/>
      <c r="B389" s="1"/>
      <c r="C389" s="1"/>
      <c r="D389" s="1"/>
      <c r="E389" s="1"/>
      <c r="F389" s="1"/>
    </row>
    <row r="390" ht="16.5" customHeight="1">
      <c r="A390" s="1"/>
      <c r="B390" s="1"/>
      <c r="C390" s="1"/>
      <c r="D390" s="1"/>
      <c r="E390" s="1"/>
      <c r="F390" s="1"/>
    </row>
    <row r="391" ht="16.5" customHeight="1">
      <c r="A391" s="1"/>
      <c r="B391" s="1"/>
      <c r="C391" s="1"/>
      <c r="D391" s="1"/>
      <c r="E391" s="1"/>
      <c r="F391" s="1"/>
    </row>
    <row r="392" ht="16.5" customHeight="1">
      <c r="A392" s="1"/>
      <c r="B392" s="1"/>
      <c r="C392" s="1"/>
      <c r="D392" s="1"/>
      <c r="E392" s="1"/>
      <c r="F392" s="1"/>
    </row>
    <row r="393" ht="16.5" customHeight="1">
      <c r="A393" s="1"/>
      <c r="B393" s="1"/>
      <c r="C393" s="1"/>
      <c r="D393" s="1"/>
      <c r="E393" s="1"/>
      <c r="F393" s="1"/>
    </row>
    <row r="394" ht="16.5" customHeight="1">
      <c r="A394" s="1"/>
      <c r="B394" s="1"/>
      <c r="C394" s="1"/>
      <c r="D394" s="1"/>
      <c r="E394" s="1"/>
      <c r="F394" s="1"/>
    </row>
    <row r="395" ht="16.5" customHeight="1">
      <c r="A395" s="1"/>
      <c r="B395" s="1"/>
      <c r="C395" s="1"/>
      <c r="D395" s="1"/>
      <c r="E395" s="1"/>
      <c r="F395" s="1"/>
    </row>
    <row r="396" ht="16.5" customHeight="1">
      <c r="A396" s="1"/>
      <c r="B396" s="1"/>
      <c r="C396" s="1"/>
      <c r="D396" s="1"/>
      <c r="E396" s="1"/>
      <c r="F396" s="1"/>
    </row>
    <row r="397" ht="16.5" customHeight="1">
      <c r="A397" s="1"/>
      <c r="B397" s="1"/>
      <c r="C397" s="1"/>
      <c r="D397" s="1"/>
      <c r="E397" s="1"/>
      <c r="F397" s="1"/>
    </row>
    <row r="398" ht="16.5" customHeight="1">
      <c r="A398" s="1"/>
      <c r="B398" s="1"/>
      <c r="C398" s="1"/>
      <c r="D398" s="1"/>
      <c r="E398" s="1"/>
      <c r="F398" s="1"/>
    </row>
    <row r="399" ht="16.5" customHeight="1">
      <c r="A399" s="1"/>
      <c r="B399" s="1"/>
      <c r="C399" s="1"/>
      <c r="D399" s="1"/>
      <c r="E399" s="1"/>
      <c r="F399" s="1"/>
    </row>
    <row r="400" ht="16.5" customHeight="1">
      <c r="A400" s="1"/>
      <c r="B400" s="1"/>
      <c r="C400" s="1"/>
      <c r="D400" s="1"/>
      <c r="E400" s="1"/>
      <c r="F400" s="1"/>
    </row>
    <row r="401" ht="16.5" customHeight="1">
      <c r="A401" s="1"/>
      <c r="B401" s="1"/>
      <c r="C401" s="1"/>
      <c r="D401" s="1"/>
      <c r="E401" s="1"/>
      <c r="F401" s="1"/>
    </row>
    <row r="402" ht="16.5" customHeight="1">
      <c r="A402" s="1"/>
      <c r="B402" s="1"/>
      <c r="C402" s="1"/>
      <c r="D402" s="1"/>
      <c r="E402" s="1"/>
      <c r="F402" s="1"/>
    </row>
    <row r="403" ht="16.5" customHeight="1">
      <c r="A403" s="1"/>
      <c r="B403" s="1"/>
      <c r="C403" s="1"/>
      <c r="D403" s="1"/>
      <c r="E403" s="1"/>
      <c r="F403" s="1"/>
    </row>
    <row r="404" ht="16.5" customHeight="1">
      <c r="A404" s="1"/>
      <c r="B404" s="1"/>
      <c r="C404" s="1"/>
      <c r="D404" s="1"/>
      <c r="E404" s="1"/>
      <c r="F404" s="1"/>
    </row>
    <row r="405" ht="16.5" customHeight="1">
      <c r="A405" s="1"/>
      <c r="B405" s="1"/>
      <c r="C405" s="1"/>
      <c r="D405" s="1"/>
      <c r="E405" s="1"/>
      <c r="F405" s="1"/>
    </row>
    <row r="406" ht="16.5" customHeight="1">
      <c r="A406" s="1"/>
      <c r="B406" s="1"/>
      <c r="C406" s="1"/>
      <c r="D406" s="1"/>
      <c r="E406" s="1"/>
      <c r="F406" s="1"/>
    </row>
    <row r="407" ht="16.5" customHeight="1">
      <c r="A407" s="1"/>
      <c r="B407" s="1"/>
      <c r="C407" s="1"/>
      <c r="D407" s="1"/>
      <c r="E407" s="1"/>
      <c r="F407" s="1"/>
    </row>
    <row r="408" ht="16.5" customHeight="1">
      <c r="A408" s="1"/>
      <c r="B408" s="1"/>
      <c r="C408" s="1"/>
      <c r="D408" s="1"/>
      <c r="E408" s="1"/>
      <c r="F408" s="1"/>
    </row>
    <row r="409" ht="16.5" customHeight="1">
      <c r="A409" s="1"/>
      <c r="B409" s="1"/>
      <c r="C409" s="1"/>
      <c r="D409" s="1"/>
      <c r="E409" s="1"/>
      <c r="F409" s="1"/>
    </row>
    <row r="410" ht="16.5" customHeight="1">
      <c r="A410" s="1"/>
      <c r="B410" s="1"/>
      <c r="C410" s="1"/>
      <c r="D410" s="1"/>
      <c r="E410" s="1"/>
      <c r="F410" s="1"/>
    </row>
    <row r="411" ht="16.5" customHeight="1">
      <c r="A411" s="1"/>
      <c r="B411" s="1"/>
      <c r="C411" s="1"/>
      <c r="D411" s="1"/>
      <c r="E411" s="1"/>
      <c r="F411" s="1"/>
    </row>
    <row r="412" ht="16.5" customHeight="1">
      <c r="A412" s="1"/>
      <c r="B412" s="1"/>
      <c r="C412" s="1"/>
      <c r="D412" s="1"/>
      <c r="E412" s="1"/>
      <c r="F412" s="1"/>
    </row>
    <row r="413" ht="16.5" customHeight="1">
      <c r="A413" s="1"/>
      <c r="B413" s="1"/>
      <c r="C413" s="1"/>
      <c r="D413" s="1"/>
      <c r="E413" s="1"/>
      <c r="F413" s="1"/>
    </row>
    <row r="414" ht="16.5" customHeight="1">
      <c r="A414" s="1"/>
      <c r="B414" s="1"/>
      <c r="C414" s="1"/>
      <c r="D414" s="1"/>
      <c r="E414" s="1"/>
      <c r="F414" s="1"/>
    </row>
    <row r="415" ht="16.5" customHeight="1">
      <c r="A415" s="1"/>
      <c r="B415" s="1"/>
      <c r="C415" s="1"/>
      <c r="D415" s="1"/>
      <c r="E415" s="1"/>
      <c r="F415" s="1"/>
    </row>
    <row r="416" ht="16.5" customHeight="1">
      <c r="A416" s="1"/>
      <c r="B416" s="1"/>
      <c r="C416" s="1"/>
      <c r="D416" s="1"/>
      <c r="E416" s="1"/>
      <c r="F416" s="1"/>
    </row>
    <row r="417" ht="16.5" customHeight="1">
      <c r="A417" s="1"/>
      <c r="B417" s="1"/>
      <c r="C417" s="1"/>
      <c r="D417" s="1"/>
      <c r="E417" s="1"/>
      <c r="F417" s="1"/>
    </row>
    <row r="418" ht="16.5" customHeight="1">
      <c r="A418" s="1"/>
      <c r="B418" s="1"/>
      <c r="C418" s="1"/>
      <c r="D418" s="1"/>
      <c r="E418" s="1"/>
      <c r="F418" s="1"/>
    </row>
    <row r="419" ht="16.5" customHeight="1">
      <c r="A419" s="1"/>
      <c r="B419" s="1"/>
      <c r="C419" s="1"/>
      <c r="D419" s="1"/>
      <c r="E419" s="1"/>
      <c r="F419" s="1"/>
    </row>
    <row r="420" ht="16.5" customHeight="1">
      <c r="A420" s="1"/>
      <c r="B420" s="1"/>
      <c r="C420" s="1"/>
      <c r="D420" s="1"/>
      <c r="E420" s="1"/>
      <c r="F420" s="1"/>
    </row>
    <row r="421" ht="16.5" customHeight="1">
      <c r="A421" s="1"/>
      <c r="B421" s="1"/>
      <c r="C421" s="1"/>
      <c r="D421" s="1"/>
      <c r="E421" s="1"/>
      <c r="F421" s="1"/>
    </row>
    <row r="422" ht="16.5" customHeight="1">
      <c r="A422" s="1"/>
      <c r="B422" s="1"/>
      <c r="C422" s="1"/>
      <c r="D422" s="1"/>
      <c r="E422" s="1"/>
      <c r="F422" s="1"/>
    </row>
    <row r="423" ht="16.5" customHeight="1">
      <c r="A423" s="1"/>
      <c r="B423" s="1"/>
      <c r="C423" s="1"/>
      <c r="D423" s="1"/>
      <c r="E423" s="1"/>
      <c r="F423" s="1"/>
    </row>
    <row r="424" ht="16.5" customHeight="1">
      <c r="A424" s="1"/>
      <c r="B424" s="1"/>
      <c r="C424" s="1"/>
      <c r="D424" s="1"/>
      <c r="E424" s="1"/>
      <c r="F424" s="1"/>
    </row>
    <row r="425" ht="16.5" customHeight="1">
      <c r="A425" s="1"/>
      <c r="B425" s="1"/>
      <c r="C425" s="1"/>
      <c r="D425" s="1"/>
      <c r="E425" s="1"/>
      <c r="F425" s="1"/>
    </row>
    <row r="426" ht="16.5" customHeight="1">
      <c r="A426" s="1"/>
      <c r="B426" s="1"/>
      <c r="C426" s="1"/>
      <c r="D426" s="1"/>
      <c r="E426" s="1"/>
      <c r="F426" s="1"/>
    </row>
    <row r="427" ht="16.5" customHeight="1">
      <c r="A427" s="1"/>
      <c r="B427" s="1"/>
      <c r="C427" s="1"/>
      <c r="D427" s="1"/>
      <c r="E427" s="1"/>
      <c r="F427" s="1"/>
    </row>
    <row r="428" ht="16.5" customHeight="1">
      <c r="A428" s="1"/>
      <c r="B428" s="1"/>
      <c r="C428" s="1"/>
      <c r="D428" s="1"/>
      <c r="E428" s="1"/>
      <c r="F428" s="1"/>
    </row>
    <row r="429" ht="16.5" customHeight="1">
      <c r="A429" s="1"/>
      <c r="B429" s="1"/>
      <c r="C429" s="1"/>
      <c r="D429" s="1"/>
      <c r="E429" s="1"/>
      <c r="F429" s="1"/>
    </row>
    <row r="430" ht="16.5" customHeight="1">
      <c r="A430" s="1"/>
      <c r="B430" s="1"/>
      <c r="C430" s="1"/>
      <c r="D430" s="1"/>
      <c r="E430" s="1"/>
      <c r="F430" s="1"/>
    </row>
    <row r="431" ht="16.5" customHeight="1">
      <c r="A431" s="1"/>
      <c r="B431" s="1"/>
      <c r="C431" s="1"/>
      <c r="D431" s="1"/>
      <c r="E431" s="1"/>
      <c r="F431" s="1"/>
    </row>
    <row r="432" ht="16.5" customHeight="1">
      <c r="A432" s="1"/>
      <c r="B432" s="1"/>
      <c r="C432" s="1"/>
      <c r="D432" s="1"/>
      <c r="E432" s="1"/>
      <c r="F432" s="1"/>
    </row>
    <row r="433" ht="16.5" customHeight="1">
      <c r="A433" s="1"/>
      <c r="B433" s="1"/>
      <c r="C433" s="1"/>
      <c r="D433" s="1"/>
      <c r="E433" s="1"/>
      <c r="F433" s="1"/>
    </row>
    <row r="434" ht="16.5" customHeight="1">
      <c r="A434" s="1"/>
      <c r="B434" s="1"/>
      <c r="C434" s="1"/>
      <c r="D434" s="1"/>
      <c r="E434" s="1"/>
      <c r="F434" s="1"/>
    </row>
    <row r="435" ht="16.5" customHeight="1">
      <c r="A435" s="1"/>
      <c r="B435" s="1"/>
      <c r="C435" s="1"/>
      <c r="D435" s="1"/>
      <c r="E435" s="1"/>
      <c r="F435" s="1"/>
    </row>
    <row r="436" ht="16.5" customHeight="1">
      <c r="A436" s="1"/>
      <c r="B436" s="1"/>
      <c r="C436" s="1"/>
      <c r="D436" s="1"/>
      <c r="E436" s="1"/>
      <c r="F436" s="1"/>
    </row>
    <row r="437" ht="16.5" customHeight="1">
      <c r="A437" s="1"/>
      <c r="B437" s="1"/>
      <c r="C437" s="1"/>
      <c r="D437" s="1"/>
      <c r="E437" s="1"/>
      <c r="F437" s="1"/>
    </row>
    <row r="438" ht="16.5" customHeight="1">
      <c r="A438" s="1"/>
      <c r="B438" s="1"/>
      <c r="C438" s="1"/>
      <c r="D438" s="1"/>
      <c r="E438" s="1"/>
      <c r="F438" s="1"/>
    </row>
    <row r="439" ht="16.5" customHeight="1">
      <c r="A439" s="1"/>
      <c r="B439" s="1"/>
      <c r="C439" s="1"/>
      <c r="D439" s="1"/>
      <c r="E439" s="1"/>
      <c r="F439" s="1"/>
    </row>
    <row r="440" ht="16.5" customHeight="1">
      <c r="A440" s="1"/>
      <c r="B440" s="1"/>
      <c r="C440" s="1"/>
      <c r="D440" s="1"/>
      <c r="E440" s="1"/>
      <c r="F440" s="1"/>
    </row>
    <row r="441" ht="16.5" customHeight="1">
      <c r="A441" s="1"/>
      <c r="B441" s="1"/>
      <c r="C441" s="1"/>
      <c r="D441" s="1"/>
      <c r="E441" s="1"/>
      <c r="F441" s="1"/>
    </row>
    <row r="442" ht="16.5" customHeight="1">
      <c r="A442" s="1"/>
      <c r="B442" s="1"/>
      <c r="C442" s="1"/>
      <c r="D442" s="1"/>
      <c r="E442" s="1"/>
      <c r="F442" s="1"/>
    </row>
    <row r="443" ht="16.5" customHeight="1">
      <c r="A443" s="1"/>
      <c r="B443" s="1"/>
      <c r="C443" s="1"/>
      <c r="D443" s="1"/>
      <c r="E443" s="1"/>
      <c r="F443" s="1"/>
    </row>
    <row r="444" ht="16.5" customHeight="1">
      <c r="A444" s="1"/>
      <c r="B444" s="1"/>
      <c r="C444" s="1"/>
      <c r="D444" s="1"/>
      <c r="E444" s="1"/>
      <c r="F444" s="1"/>
    </row>
    <row r="445" ht="16.5" customHeight="1">
      <c r="A445" s="1"/>
      <c r="B445" s="1"/>
      <c r="C445" s="1"/>
      <c r="D445" s="1"/>
      <c r="E445" s="1"/>
      <c r="F445" s="1"/>
    </row>
    <row r="446" ht="16.5" customHeight="1">
      <c r="A446" s="1"/>
      <c r="B446" s="1"/>
      <c r="C446" s="1"/>
      <c r="D446" s="1"/>
      <c r="E446" s="1"/>
      <c r="F446" s="1"/>
    </row>
    <row r="447" ht="16.5" customHeight="1">
      <c r="A447" s="1"/>
      <c r="B447" s="1"/>
      <c r="C447" s="1"/>
      <c r="D447" s="1"/>
      <c r="E447" s="1"/>
      <c r="F447" s="1"/>
    </row>
    <row r="448" ht="16.5" customHeight="1">
      <c r="A448" s="1"/>
      <c r="B448" s="1"/>
      <c r="C448" s="1"/>
      <c r="D448" s="1"/>
      <c r="E448" s="1"/>
      <c r="F448" s="1"/>
    </row>
    <row r="449" ht="16.5" customHeight="1">
      <c r="A449" s="1"/>
      <c r="B449" s="1"/>
      <c r="C449" s="1"/>
      <c r="D449" s="1"/>
      <c r="E449" s="1"/>
      <c r="F449" s="1"/>
    </row>
    <row r="450" ht="16.5" customHeight="1">
      <c r="A450" s="1"/>
      <c r="B450" s="1"/>
      <c r="C450" s="1"/>
      <c r="D450" s="1"/>
      <c r="E450" s="1"/>
      <c r="F450" s="1"/>
    </row>
    <row r="451" ht="16.5" customHeight="1">
      <c r="A451" s="1"/>
      <c r="B451" s="1"/>
      <c r="C451" s="1"/>
      <c r="D451" s="1"/>
      <c r="E451" s="1"/>
      <c r="F451" s="1"/>
    </row>
    <row r="452" ht="16.5" customHeight="1">
      <c r="A452" s="1"/>
      <c r="B452" s="1"/>
      <c r="C452" s="1"/>
      <c r="D452" s="1"/>
      <c r="E452" s="1"/>
      <c r="F452" s="1"/>
    </row>
    <row r="453" ht="16.5" customHeight="1">
      <c r="A453" s="1"/>
      <c r="B453" s="1"/>
      <c r="C453" s="1"/>
      <c r="D453" s="1"/>
      <c r="E453" s="1"/>
      <c r="F453" s="1"/>
    </row>
    <row r="454" ht="16.5" customHeight="1">
      <c r="A454" s="1"/>
      <c r="B454" s="1"/>
      <c r="C454" s="1"/>
      <c r="D454" s="1"/>
      <c r="E454" s="1"/>
      <c r="F454" s="1"/>
    </row>
    <row r="455" ht="16.5" customHeight="1">
      <c r="A455" s="1"/>
      <c r="B455" s="1"/>
      <c r="C455" s="1"/>
      <c r="D455" s="1"/>
      <c r="E455" s="1"/>
      <c r="F455" s="1"/>
    </row>
    <row r="456" ht="16.5" customHeight="1">
      <c r="A456" s="1"/>
      <c r="B456" s="1"/>
      <c r="C456" s="1"/>
      <c r="D456" s="1"/>
      <c r="E456" s="1"/>
      <c r="F456" s="1"/>
    </row>
    <row r="457" ht="16.5" customHeight="1">
      <c r="A457" s="1"/>
      <c r="B457" s="1"/>
      <c r="C457" s="1"/>
      <c r="D457" s="1"/>
      <c r="E457" s="1"/>
      <c r="F457" s="1"/>
    </row>
    <row r="458" ht="16.5" customHeight="1">
      <c r="A458" s="1"/>
      <c r="B458" s="1"/>
      <c r="C458" s="1"/>
      <c r="D458" s="1"/>
      <c r="E458" s="1"/>
      <c r="F458" s="1"/>
    </row>
    <row r="459" ht="16.5" customHeight="1">
      <c r="A459" s="1"/>
      <c r="B459" s="1"/>
      <c r="C459" s="1"/>
      <c r="D459" s="1"/>
      <c r="E459" s="1"/>
      <c r="F459" s="1"/>
    </row>
    <row r="460" ht="16.5" customHeight="1">
      <c r="A460" s="1"/>
      <c r="B460" s="1"/>
      <c r="C460" s="1"/>
      <c r="D460" s="1"/>
      <c r="E460" s="1"/>
      <c r="F460" s="1"/>
    </row>
    <row r="461" ht="16.5" customHeight="1">
      <c r="A461" s="1"/>
      <c r="B461" s="1"/>
      <c r="C461" s="1"/>
      <c r="D461" s="1"/>
      <c r="E461" s="1"/>
      <c r="F461" s="1"/>
    </row>
    <row r="462" ht="16.5" customHeight="1">
      <c r="A462" s="1"/>
      <c r="B462" s="1"/>
      <c r="C462" s="1"/>
      <c r="D462" s="1"/>
      <c r="E462" s="1"/>
      <c r="F462" s="1"/>
    </row>
    <row r="463" ht="16.5" customHeight="1">
      <c r="A463" s="1"/>
      <c r="B463" s="1"/>
      <c r="C463" s="1"/>
      <c r="D463" s="1"/>
      <c r="E463" s="1"/>
      <c r="F463" s="1"/>
    </row>
    <row r="464" ht="16.5" customHeight="1">
      <c r="A464" s="1"/>
      <c r="B464" s="1"/>
      <c r="C464" s="1"/>
      <c r="D464" s="1"/>
      <c r="E464" s="1"/>
      <c r="F464" s="1"/>
    </row>
    <row r="465" ht="16.5" customHeight="1">
      <c r="A465" s="1"/>
      <c r="B465" s="1"/>
      <c r="C465" s="1"/>
      <c r="D465" s="1"/>
      <c r="E465" s="1"/>
      <c r="F465" s="1"/>
    </row>
    <row r="466" ht="16.5" customHeight="1">
      <c r="A466" s="1"/>
      <c r="B466" s="1"/>
      <c r="C466" s="1"/>
      <c r="D466" s="1"/>
      <c r="E466" s="1"/>
      <c r="F466" s="1"/>
    </row>
    <row r="467" ht="16.5" customHeight="1">
      <c r="A467" s="1"/>
      <c r="B467" s="1"/>
      <c r="C467" s="1"/>
      <c r="D467" s="1"/>
      <c r="E467" s="1"/>
      <c r="F467" s="1"/>
    </row>
    <row r="468" ht="16.5" customHeight="1">
      <c r="A468" s="1"/>
      <c r="B468" s="1"/>
      <c r="C468" s="1"/>
      <c r="D468" s="1"/>
      <c r="E468" s="1"/>
      <c r="F468" s="1"/>
    </row>
    <row r="469" ht="16.5" customHeight="1">
      <c r="A469" s="1"/>
      <c r="B469" s="1"/>
      <c r="C469" s="1"/>
      <c r="D469" s="1"/>
      <c r="E469" s="1"/>
      <c r="F469" s="1"/>
    </row>
    <row r="470" ht="16.5" customHeight="1">
      <c r="A470" s="1"/>
      <c r="B470" s="1"/>
      <c r="C470" s="1"/>
      <c r="D470" s="1"/>
      <c r="E470" s="1"/>
      <c r="F470" s="1"/>
    </row>
    <row r="471" ht="16.5" customHeight="1">
      <c r="A471" s="1"/>
      <c r="B471" s="1"/>
      <c r="C471" s="1"/>
      <c r="D471" s="1"/>
      <c r="E471" s="1"/>
      <c r="F471" s="1"/>
    </row>
    <row r="472" ht="16.5" customHeight="1">
      <c r="A472" s="1"/>
      <c r="B472" s="1"/>
      <c r="C472" s="1"/>
      <c r="D472" s="1"/>
      <c r="E472" s="1"/>
      <c r="F472" s="1"/>
    </row>
    <row r="473" ht="16.5" customHeight="1">
      <c r="A473" s="1"/>
      <c r="B473" s="1"/>
      <c r="C473" s="1"/>
      <c r="D473" s="1"/>
      <c r="E473" s="1"/>
      <c r="F473" s="1"/>
    </row>
    <row r="474" ht="16.5" customHeight="1">
      <c r="A474" s="1"/>
      <c r="B474" s="1"/>
      <c r="C474" s="1"/>
      <c r="D474" s="1"/>
      <c r="E474" s="1"/>
      <c r="F474" s="1"/>
    </row>
    <row r="475" ht="16.5" customHeight="1">
      <c r="A475" s="1"/>
      <c r="B475" s="1"/>
      <c r="C475" s="1"/>
      <c r="D475" s="1"/>
      <c r="E475" s="1"/>
      <c r="F475" s="1"/>
    </row>
    <row r="476" ht="16.5" customHeight="1">
      <c r="A476" s="1"/>
      <c r="B476" s="1"/>
      <c r="C476" s="1"/>
      <c r="D476" s="1"/>
      <c r="E476" s="1"/>
      <c r="F476" s="1"/>
    </row>
    <row r="477" ht="16.5" customHeight="1">
      <c r="A477" s="1"/>
      <c r="B477" s="1"/>
      <c r="C477" s="1"/>
      <c r="D477" s="1"/>
      <c r="E477" s="1"/>
      <c r="F477" s="1"/>
    </row>
    <row r="478" ht="16.5" customHeight="1">
      <c r="A478" s="1"/>
      <c r="B478" s="1"/>
      <c r="C478" s="1"/>
      <c r="D478" s="1"/>
      <c r="E478" s="1"/>
      <c r="F478" s="1"/>
    </row>
    <row r="479" ht="16.5" customHeight="1">
      <c r="A479" s="1"/>
      <c r="B479" s="1"/>
      <c r="C479" s="1"/>
      <c r="D479" s="1"/>
      <c r="E479" s="1"/>
      <c r="F479" s="1"/>
    </row>
    <row r="480" ht="16.5" customHeight="1">
      <c r="A480" s="1"/>
      <c r="B480" s="1"/>
      <c r="C480" s="1"/>
      <c r="D480" s="1"/>
      <c r="E480" s="1"/>
      <c r="F480" s="1"/>
    </row>
    <row r="481" ht="16.5" customHeight="1">
      <c r="A481" s="1"/>
      <c r="B481" s="1"/>
      <c r="C481" s="1"/>
      <c r="D481" s="1"/>
      <c r="E481" s="1"/>
      <c r="F481" s="1"/>
    </row>
    <row r="482" ht="16.5" customHeight="1">
      <c r="A482" s="1"/>
      <c r="B482" s="1"/>
      <c r="C482" s="1"/>
      <c r="D482" s="1"/>
      <c r="E482" s="1"/>
      <c r="F482" s="1"/>
    </row>
    <row r="483" ht="16.5" customHeight="1">
      <c r="A483" s="1"/>
      <c r="B483" s="1"/>
      <c r="C483" s="1"/>
      <c r="D483" s="1"/>
      <c r="E483" s="1"/>
      <c r="F483" s="1"/>
    </row>
    <row r="484" ht="16.5" customHeight="1">
      <c r="A484" s="1"/>
      <c r="B484" s="1"/>
      <c r="C484" s="1"/>
      <c r="D484" s="1"/>
      <c r="E484" s="1"/>
      <c r="F484" s="1"/>
    </row>
    <row r="485" ht="16.5" customHeight="1">
      <c r="A485" s="1"/>
      <c r="B485" s="1"/>
      <c r="C485" s="1"/>
      <c r="D485" s="1"/>
      <c r="E485" s="1"/>
      <c r="F485" s="1"/>
    </row>
    <row r="486" ht="16.5" customHeight="1">
      <c r="A486" s="1"/>
      <c r="B486" s="1"/>
      <c r="C486" s="1"/>
      <c r="D486" s="1"/>
      <c r="E486" s="1"/>
      <c r="F486" s="1"/>
    </row>
    <row r="487" ht="16.5" customHeight="1">
      <c r="A487" s="1"/>
      <c r="B487" s="1"/>
      <c r="C487" s="1"/>
      <c r="D487" s="1"/>
      <c r="E487" s="1"/>
      <c r="F487" s="1"/>
    </row>
    <row r="488" ht="16.5" customHeight="1">
      <c r="A488" s="1"/>
      <c r="B488" s="1"/>
      <c r="C488" s="1"/>
      <c r="D488" s="1"/>
      <c r="E488" s="1"/>
      <c r="F488" s="1"/>
    </row>
    <row r="489" ht="16.5" customHeight="1">
      <c r="A489" s="1"/>
      <c r="B489" s="1"/>
      <c r="C489" s="1"/>
      <c r="D489" s="1"/>
      <c r="E489" s="1"/>
      <c r="F489" s="1"/>
    </row>
    <row r="490" ht="16.5" customHeight="1">
      <c r="A490" s="1"/>
      <c r="B490" s="1"/>
      <c r="C490" s="1"/>
      <c r="D490" s="1"/>
      <c r="E490" s="1"/>
      <c r="F490" s="1"/>
    </row>
    <row r="491" ht="16.5" customHeight="1">
      <c r="A491" s="1"/>
      <c r="B491" s="1"/>
      <c r="C491" s="1"/>
      <c r="D491" s="1"/>
      <c r="E491" s="1"/>
      <c r="F491" s="1"/>
    </row>
    <row r="492" ht="16.5" customHeight="1">
      <c r="A492" s="1"/>
      <c r="B492" s="1"/>
      <c r="C492" s="1"/>
      <c r="D492" s="1"/>
      <c r="E492" s="1"/>
      <c r="F492" s="1"/>
    </row>
    <row r="493" ht="16.5" customHeight="1">
      <c r="A493" s="1"/>
      <c r="B493" s="1"/>
      <c r="C493" s="1"/>
      <c r="D493" s="1"/>
      <c r="E493" s="1"/>
      <c r="F493" s="1"/>
    </row>
    <row r="494" ht="16.5" customHeight="1">
      <c r="A494" s="1"/>
      <c r="B494" s="1"/>
      <c r="C494" s="1"/>
      <c r="D494" s="1"/>
      <c r="E494" s="1"/>
      <c r="F494" s="1"/>
    </row>
    <row r="495" ht="16.5" customHeight="1">
      <c r="A495" s="1"/>
      <c r="B495" s="1"/>
      <c r="C495" s="1"/>
      <c r="D495" s="1"/>
      <c r="E495" s="1"/>
      <c r="F495" s="1"/>
    </row>
    <row r="496" ht="16.5" customHeight="1">
      <c r="A496" s="1"/>
      <c r="B496" s="1"/>
      <c r="C496" s="1"/>
      <c r="D496" s="1"/>
      <c r="E496" s="1"/>
      <c r="F496" s="1"/>
    </row>
    <row r="497" ht="16.5" customHeight="1">
      <c r="A497" s="1"/>
      <c r="B497" s="1"/>
      <c r="C497" s="1"/>
      <c r="D497" s="1"/>
      <c r="E497" s="1"/>
      <c r="F497" s="1"/>
    </row>
    <row r="498" ht="16.5" customHeight="1">
      <c r="A498" s="1"/>
      <c r="B498" s="1"/>
      <c r="C498" s="1"/>
      <c r="D498" s="1"/>
      <c r="E498" s="1"/>
      <c r="F498" s="1"/>
    </row>
    <row r="499" ht="16.5" customHeight="1">
      <c r="A499" s="1"/>
      <c r="B499" s="1"/>
      <c r="C499" s="1"/>
      <c r="D499" s="1"/>
      <c r="E499" s="1"/>
      <c r="F499" s="1"/>
    </row>
    <row r="500" ht="16.5" customHeight="1">
      <c r="A500" s="1"/>
      <c r="B500" s="1"/>
      <c r="C500" s="1"/>
      <c r="D500" s="1"/>
      <c r="E500" s="1"/>
      <c r="F500" s="1"/>
    </row>
    <row r="501" ht="16.5" customHeight="1">
      <c r="A501" s="1"/>
      <c r="B501" s="1"/>
      <c r="C501" s="1"/>
      <c r="D501" s="1"/>
      <c r="E501" s="1"/>
      <c r="F501" s="1"/>
    </row>
    <row r="502" ht="16.5" customHeight="1">
      <c r="A502" s="1"/>
      <c r="B502" s="1"/>
      <c r="C502" s="1"/>
      <c r="D502" s="1"/>
      <c r="E502" s="1"/>
      <c r="F502" s="1"/>
    </row>
    <row r="503" ht="16.5" customHeight="1">
      <c r="A503" s="1"/>
      <c r="B503" s="1"/>
      <c r="C503" s="1"/>
      <c r="D503" s="1"/>
      <c r="E503" s="1"/>
      <c r="F503" s="1"/>
    </row>
    <row r="504" ht="16.5" customHeight="1">
      <c r="A504" s="1"/>
      <c r="B504" s="1"/>
      <c r="C504" s="1"/>
      <c r="D504" s="1"/>
      <c r="E504" s="1"/>
      <c r="F504" s="1"/>
    </row>
    <row r="505" ht="16.5" customHeight="1">
      <c r="A505" s="1"/>
      <c r="B505" s="1"/>
      <c r="C505" s="1"/>
      <c r="D505" s="1"/>
      <c r="E505" s="1"/>
      <c r="F505" s="1"/>
    </row>
    <row r="506" ht="16.5" customHeight="1">
      <c r="A506" s="1"/>
      <c r="B506" s="1"/>
      <c r="C506" s="1"/>
      <c r="D506" s="1"/>
      <c r="E506" s="1"/>
      <c r="F506" s="1"/>
    </row>
    <row r="507" ht="16.5" customHeight="1">
      <c r="A507" s="1"/>
      <c r="B507" s="1"/>
      <c r="C507" s="1"/>
      <c r="D507" s="1"/>
      <c r="E507" s="1"/>
      <c r="F507" s="1"/>
    </row>
    <row r="508" ht="16.5" customHeight="1">
      <c r="A508" s="1"/>
      <c r="B508" s="1"/>
      <c r="C508" s="1"/>
      <c r="D508" s="1"/>
      <c r="E508" s="1"/>
      <c r="F508" s="1"/>
    </row>
    <row r="509" ht="16.5" customHeight="1">
      <c r="A509" s="1"/>
      <c r="B509" s="1"/>
      <c r="C509" s="1"/>
      <c r="D509" s="1"/>
      <c r="E509" s="1"/>
      <c r="F509" s="1"/>
    </row>
    <row r="510" ht="16.5" customHeight="1">
      <c r="A510" s="1"/>
      <c r="B510" s="1"/>
      <c r="C510" s="1"/>
      <c r="D510" s="1"/>
      <c r="E510" s="1"/>
      <c r="F510" s="1"/>
    </row>
    <row r="511" ht="16.5" customHeight="1">
      <c r="A511" s="1"/>
      <c r="B511" s="1"/>
      <c r="C511" s="1"/>
      <c r="D511" s="1"/>
      <c r="E511" s="1"/>
      <c r="F511" s="1"/>
    </row>
    <row r="512" ht="16.5" customHeight="1">
      <c r="A512" s="1"/>
      <c r="B512" s="1"/>
      <c r="C512" s="1"/>
      <c r="D512" s="1"/>
      <c r="E512" s="1"/>
      <c r="F512" s="1"/>
    </row>
    <row r="513" ht="16.5" customHeight="1">
      <c r="A513" s="1"/>
      <c r="B513" s="1"/>
      <c r="C513" s="1"/>
      <c r="D513" s="1"/>
      <c r="E513" s="1"/>
      <c r="F513" s="1"/>
    </row>
    <row r="514" ht="16.5" customHeight="1">
      <c r="A514" s="1"/>
      <c r="B514" s="1"/>
      <c r="C514" s="1"/>
      <c r="D514" s="1"/>
      <c r="E514" s="1"/>
      <c r="F514" s="1"/>
    </row>
    <row r="515" ht="16.5" customHeight="1">
      <c r="A515" s="1"/>
      <c r="B515" s="1"/>
      <c r="C515" s="1"/>
      <c r="D515" s="1"/>
      <c r="E515" s="1"/>
      <c r="F515" s="1"/>
    </row>
    <row r="516" ht="16.5" customHeight="1">
      <c r="A516" s="1"/>
      <c r="B516" s="1"/>
      <c r="C516" s="1"/>
      <c r="D516" s="1"/>
      <c r="E516" s="1"/>
      <c r="F516" s="1"/>
    </row>
    <row r="517" ht="16.5" customHeight="1">
      <c r="A517" s="1"/>
      <c r="B517" s="1"/>
      <c r="C517" s="1"/>
      <c r="D517" s="1"/>
      <c r="E517" s="1"/>
      <c r="F517" s="1"/>
    </row>
    <row r="518" ht="16.5" customHeight="1">
      <c r="A518" s="1"/>
      <c r="B518" s="1"/>
      <c r="C518" s="1"/>
      <c r="D518" s="1"/>
      <c r="E518" s="1"/>
      <c r="F518" s="1"/>
    </row>
    <row r="519" ht="16.5" customHeight="1">
      <c r="A519" s="1"/>
      <c r="B519" s="1"/>
      <c r="C519" s="1"/>
      <c r="D519" s="1"/>
      <c r="E519" s="1"/>
      <c r="F519" s="1"/>
    </row>
    <row r="520" ht="16.5" customHeight="1">
      <c r="A520" s="1"/>
      <c r="B520" s="1"/>
      <c r="C520" s="1"/>
      <c r="D520" s="1"/>
      <c r="E520" s="1"/>
      <c r="F520" s="1"/>
    </row>
    <row r="521" ht="16.5" customHeight="1">
      <c r="A521" s="1"/>
      <c r="B521" s="1"/>
      <c r="C521" s="1"/>
      <c r="D521" s="1"/>
      <c r="E521" s="1"/>
      <c r="F521" s="1"/>
    </row>
    <row r="522" ht="16.5" customHeight="1">
      <c r="A522" s="1"/>
      <c r="B522" s="1"/>
      <c r="C522" s="1"/>
      <c r="D522" s="1"/>
      <c r="E522" s="1"/>
      <c r="F522" s="1"/>
    </row>
    <row r="523" ht="16.5" customHeight="1">
      <c r="A523" s="1"/>
      <c r="B523" s="1"/>
      <c r="C523" s="1"/>
      <c r="D523" s="1"/>
      <c r="E523" s="1"/>
      <c r="F523" s="1"/>
    </row>
    <row r="524" ht="16.5" customHeight="1">
      <c r="A524" s="1"/>
      <c r="B524" s="1"/>
      <c r="C524" s="1"/>
      <c r="D524" s="1"/>
      <c r="E524" s="1"/>
      <c r="F524" s="1"/>
    </row>
    <row r="525" ht="16.5" customHeight="1">
      <c r="A525" s="1"/>
      <c r="B525" s="1"/>
      <c r="C525" s="1"/>
      <c r="D525" s="1"/>
      <c r="E525" s="1"/>
      <c r="F525" s="1"/>
    </row>
    <row r="526" ht="16.5" customHeight="1">
      <c r="A526" s="1"/>
      <c r="B526" s="1"/>
      <c r="C526" s="1"/>
      <c r="D526" s="1"/>
      <c r="E526" s="1"/>
      <c r="F526" s="1"/>
    </row>
    <row r="527" ht="16.5" customHeight="1">
      <c r="A527" s="1"/>
      <c r="B527" s="1"/>
      <c r="C527" s="1"/>
      <c r="D527" s="1"/>
      <c r="E527" s="1"/>
      <c r="F527" s="1"/>
    </row>
    <row r="528" ht="16.5" customHeight="1">
      <c r="A528" s="1"/>
      <c r="B528" s="1"/>
      <c r="C528" s="1"/>
      <c r="D528" s="1"/>
      <c r="E528" s="1"/>
      <c r="F528" s="1"/>
    </row>
    <row r="529" ht="16.5" customHeight="1">
      <c r="A529" s="1"/>
      <c r="B529" s="1"/>
      <c r="C529" s="1"/>
      <c r="D529" s="1"/>
      <c r="E529" s="1"/>
      <c r="F529" s="1"/>
    </row>
    <row r="530" ht="16.5" customHeight="1">
      <c r="A530" s="1"/>
      <c r="B530" s="1"/>
      <c r="C530" s="1"/>
      <c r="D530" s="1"/>
      <c r="E530" s="1"/>
      <c r="F530" s="1"/>
    </row>
    <row r="531" ht="16.5" customHeight="1">
      <c r="A531" s="1"/>
      <c r="B531" s="1"/>
      <c r="C531" s="1"/>
      <c r="D531" s="1"/>
      <c r="E531" s="1"/>
      <c r="F531" s="1"/>
    </row>
    <row r="532" ht="16.5" customHeight="1">
      <c r="A532" s="1"/>
      <c r="B532" s="1"/>
      <c r="C532" s="1"/>
      <c r="D532" s="1"/>
      <c r="E532" s="1"/>
      <c r="F532" s="1"/>
    </row>
    <row r="533" ht="16.5" customHeight="1">
      <c r="A533" s="1"/>
      <c r="B533" s="1"/>
      <c r="C533" s="1"/>
      <c r="D533" s="1"/>
      <c r="E533" s="1"/>
      <c r="F533" s="1"/>
    </row>
    <row r="534" ht="16.5" customHeight="1">
      <c r="A534" s="1"/>
      <c r="B534" s="1"/>
      <c r="C534" s="1"/>
      <c r="D534" s="1"/>
      <c r="E534" s="1"/>
      <c r="F534" s="1"/>
    </row>
    <row r="535" ht="16.5" customHeight="1">
      <c r="A535" s="1"/>
      <c r="B535" s="1"/>
      <c r="C535" s="1"/>
      <c r="D535" s="1"/>
      <c r="E535" s="1"/>
      <c r="F535" s="1"/>
    </row>
    <row r="536" ht="16.5" customHeight="1">
      <c r="A536" s="1"/>
      <c r="B536" s="1"/>
      <c r="C536" s="1"/>
      <c r="D536" s="1"/>
      <c r="E536" s="1"/>
      <c r="F536" s="1"/>
    </row>
    <row r="537" ht="16.5" customHeight="1">
      <c r="A537" s="1"/>
      <c r="B537" s="1"/>
      <c r="C537" s="1"/>
      <c r="D537" s="1"/>
      <c r="E537" s="1"/>
      <c r="F537" s="1"/>
    </row>
    <row r="538" ht="16.5" customHeight="1">
      <c r="A538" s="1"/>
      <c r="B538" s="1"/>
      <c r="C538" s="1"/>
      <c r="D538" s="1"/>
      <c r="E538" s="1"/>
      <c r="F538" s="1"/>
    </row>
    <row r="539" ht="16.5" customHeight="1">
      <c r="A539" s="1"/>
      <c r="B539" s="1"/>
      <c r="C539" s="1"/>
      <c r="D539" s="1"/>
      <c r="E539" s="1"/>
      <c r="F539" s="1"/>
    </row>
    <row r="540" ht="16.5" customHeight="1">
      <c r="A540" s="1"/>
      <c r="B540" s="1"/>
      <c r="C540" s="1"/>
      <c r="D540" s="1"/>
      <c r="E540" s="1"/>
      <c r="F540" s="1"/>
    </row>
    <row r="541" ht="16.5" customHeight="1">
      <c r="A541" s="1"/>
      <c r="B541" s="1"/>
      <c r="C541" s="1"/>
      <c r="D541" s="1"/>
      <c r="E541" s="1"/>
      <c r="F541" s="1"/>
    </row>
    <row r="542" ht="16.5" customHeight="1">
      <c r="A542" s="1"/>
      <c r="B542" s="1"/>
      <c r="C542" s="1"/>
      <c r="D542" s="1"/>
      <c r="E542" s="1"/>
      <c r="F542" s="1"/>
    </row>
    <row r="543" ht="16.5" customHeight="1">
      <c r="A543" s="1"/>
      <c r="B543" s="1"/>
      <c r="C543" s="1"/>
      <c r="D543" s="1"/>
      <c r="E543" s="1"/>
      <c r="F543" s="1"/>
    </row>
    <row r="544" ht="16.5" customHeight="1">
      <c r="A544" s="1"/>
      <c r="B544" s="1"/>
      <c r="C544" s="1"/>
      <c r="D544" s="1"/>
      <c r="E544" s="1"/>
      <c r="F544" s="1"/>
    </row>
    <row r="545" ht="16.5" customHeight="1">
      <c r="A545" s="1"/>
      <c r="B545" s="1"/>
      <c r="C545" s="1"/>
      <c r="D545" s="1"/>
      <c r="E545" s="1"/>
      <c r="F545" s="1"/>
    </row>
    <row r="546" ht="16.5" customHeight="1">
      <c r="A546" s="1"/>
      <c r="B546" s="1"/>
      <c r="C546" s="1"/>
      <c r="D546" s="1"/>
      <c r="E546" s="1"/>
      <c r="F546" s="1"/>
    </row>
    <row r="547" ht="16.5" customHeight="1">
      <c r="A547" s="1"/>
      <c r="B547" s="1"/>
      <c r="C547" s="1"/>
      <c r="D547" s="1"/>
      <c r="E547" s="1"/>
      <c r="F547" s="1"/>
    </row>
    <row r="548" ht="16.5" customHeight="1">
      <c r="A548" s="1"/>
      <c r="B548" s="1"/>
      <c r="C548" s="1"/>
      <c r="D548" s="1"/>
      <c r="E548" s="1"/>
      <c r="F548" s="1"/>
    </row>
    <row r="549" ht="16.5" customHeight="1">
      <c r="A549" s="1"/>
      <c r="B549" s="1"/>
      <c r="C549" s="1"/>
      <c r="D549" s="1"/>
      <c r="E549" s="1"/>
      <c r="F549" s="1"/>
    </row>
    <row r="550" ht="16.5" customHeight="1">
      <c r="A550" s="1"/>
      <c r="B550" s="1"/>
      <c r="C550" s="1"/>
      <c r="D550" s="1"/>
      <c r="E550" s="1"/>
      <c r="F550" s="1"/>
    </row>
    <row r="551" ht="16.5" customHeight="1">
      <c r="A551" s="1"/>
      <c r="B551" s="1"/>
      <c r="C551" s="1"/>
      <c r="D551" s="1"/>
      <c r="E551" s="1"/>
      <c r="F551" s="1"/>
    </row>
    <row r="552" ht="16.5" customHeight="1">
      <c r="A552" s="1"/>
      <c r="B552" s="1"/>
      <c r="C552" s="1"/>
      <c r="D552" s="1"/>
      <c r="E552" s="1"/>
      <c r="F552" s="1"/>
    </row>
    <row r="553" ht="16.5" customHeight="1">
      <c r="A553" s="1"/>
      <c r="B553" s="1"/>
      <c r="C553" s="1"/>
      <c r="D553" s="1"/>
      <c r="E553" s="1"/>
      <c r="F553" s="1"/>
    </row>
    <row r="554" ht="16.5" customHeight="1">
      <c r="A554" s="1"/>
      <c r="B554" s="1"/>
      <c r="C554" s="1"/>
      <c r="D554" s="1"/>
      <c r="E554" s="1"/>
      <c r="F554" s="1"/>
    </row>
    <row r="555" ht="16.5" customHeight="1">
      <c r="A555" s="1"/>
      <c r="B555" s="1"/>
      <c r="C555" s="1"/>
      <c r="D555" s="1"/>
      <c r="E555" s="1"/>
      <c r="F555" s="1"/>
    </row>
    <row r="556" ht="16.5" customHeight="1">
      <c r="A556" s="1"/>
      <c r="B556" s="1"/>
      <c r="C556" s="1"/>
      <c r="D556" s="1"/>
      <c r="E556" s="1"/>
      <c r="F556" s="1"/>
    </row>
    <row r="557" ht="16.5" customHeight="1">
      <c r="A557" s="1"/>
      <c r="B557" s="1"/>
      <c r="C557" s="1"/>
      <c r="D557" s="1"/>
      <c r="E557" s="1"/>
      <c r="F557" s="1"/>
    </row>
    <row r="558" ht="16.5" customHeight="1">
      <c r="A558" s="1"/>
      <c r="B558" s="1"/>
      <c r="C558" s="1"/>
      <c r="D558" s="1"/>
      <c r="E558" s="1"/>
      <c r="F558" s="1"/>
    </row>
    <row r="559" ht="16.5" customHeight="1">
      <c r="A559" s="1"/>
      <c r="B559" s="1"/>
      <c r="C559" s="1"/>
      <c r="D559" s="1"/>
      <c r="E559" s="1"/>
      <c r="F559" s="1"/>
    </row>
    <row r="560" ht="16.5" customHeight="1">
      <c r="A560" s="1"/>
      <c r="B560" s="1"/>
      <c r="C560" s="1"/>
      <c r="D560" s="1"/>
      <c r="E560" s="1"/>
      <c r="F560" s="1"/>
    </row>
    <row r="561" ht="16.5" customHeight="1">
      <c r="A561" s="1"/>
      <c r="B561" s="1"/>
      <c r="C561" s="1"/>
      <c r="D561" s="1"/>
      <c r="E561" s="1"/>
      <c r="F561" s="1"/>
    </row>
    <row r="562" ht="16.5" customHeight="1">
      <c r="A562" s="1"/>
      <c r="B562" s="1"/>
      <c r="C562" s="1"/>
      <c r="D562" s="1"/>
      <c r="E562" s="1"/>
      <c r="F562" s="1"/>
    </row>
    <row r="563" ht="16.5" customHeight="1">
      <c r="A563" s="1"/>
      <c r="B563" s="1"/>
      <c r="C563" s="1"/>
      <c r="D563" s="1"/>
      <c r="E563" s="1"/>
      <c r="F563" s="1"/>
    </row>
    <row r="564" ht="16.5" customHeight="1">
      <c r="A564" s="1"/>
      <c r="B564" s="1"/>
      <c r="C564" s="1"/>
      <c r="D564" s="1"/>
      <c r="E564" s="1"/>
      <c r="F564" s="1"/>
    </row>
    <row r="565" ht="16.5" customHeight="1">
      <c r="A565" s="1"/>
      <c r="B565" s="1"/>
      <c r="C565" s="1"/>
      <c r="D565" s="1"/>
      <c r="E565" s="1"/>
      <c r="F565" s="1"/>
    </row>
    <row r="566" ht="16.5" customHeight="1">
      <c r="A566" s="1"/>
      <c r="B566" s="1"/>
      <c r="C566" s="1"/>
      <c r="D566" s="1"/>
      <c r="E566" s="1"/>
      <c r="F566" s="1"/>
    </row>
    <row r="567" ht="16.5" customHeight="1">
      <c r="A567" s="1"/>
      <c r="B567" s="1"/>
      <c r="C567" s="1"/>
      <c r="D567" s="1"/>
      <c r="E567" s="1"/>
      <c r="F567" s="1"/>
    </row>
    <row r="568" ht="16.5" customHeight="1">
      <c r="A568" s="1"/>
      <c r="B568" s="1"/>
      <c r="C568" s="1"/>
      <c r="D568" s="1"/>
      <c r="E568" s="1"/>
      <c r="F568" s="1"/>
    </row>
    <row r="569" ht="16.5" customHeight="1">
      <c r="A569" s="1"/>
      <c r="B569" s="1"/>
      <c r="C569" s="1"/>
      <c r="D569" s="1"/>
      <c r="E569" s="1"/>
      <c r="F569" s="1"/>
    </row>
    <row r="570" ht="16.5" customHeight="1">
      <c r="A570" s="1"/>
      <c r="B570" s="1"/>
      <c r="C570" s="1"/>
      <c r="D570" s="1"/>
      <c r="E570" s="1"/>
      <c r="F570" s="1"/>
    </row>
    <row r="571" ht="16.5" customHeight="1">
      <c r="A571" s="1"/>
      <c r="B571" s="1"/>
      <c r="C571" s="1"/>
      <c r="D571" s="1"/>
      <c r="E571" s="1"/>
      <c r="F571" s="1"/>
    </row>
    <row r="572" ht="16.5" customHeight="1">
      <c r="A572" s="1"/>
      <c r="B572" s="1"/>
      <c r="C572" s="1"/>
      <c r="D572" s="1"/>
      <c r="E572" s="1"/>
      <c r="F572" s="1"/>
    </row>
    <row r="573" ht="16.5" customHeight="1">
      <c r="A573" s="1"/>
      <c r="B573" s="1"/>
      <c r="C573" s="1"/>
      <c r="D573" s="1"/>
      <c r="E573" s="1"/>
      <c r="F573" s="1"/>
    </row>
    <row r="574" ht="16.5" customHeight="1">
      <c r="A574" s="1"/>
      <c r="B574" s="1"/>
      <c r="C574" s="1"/>
      <c r="D574" s="1"/>
      <c r="E574" s="1"/>
      <c r="F574" s="1"/>
    </row>
    <row r="575" ht="16.5" customHeight="1">
      <c r="A575" s="1"/>
      <c r="B575" s="1"/>
      <c r="C575" s="1"/>
      <c r="D575" s="1"/>
      <c r="E575" s="1"/>
      <c r="F575" s="1"/>
    </row>
    <row r="576" ht="16.5" customHeight="1">
      <c r="A576" s="1"/>
      <c r="B576" s="1"/>
      <c r="C576" s="1"/>
      <c r="D576" s="1"/>
      <c r="E576" s="1"/>
      <c r="F576" s="1"/>
    </row>
    <row r="577" ht="16.5" customHeight="1">
      <c r="A577" s="1"/>
      <c r="B577" s="1"/>
      <c r="C577" s="1"/>
      <c r="D577" s="1"/>
      <c r="E577" s="1"/>
      <c r="F577" s="1"/>
    </row>
    <row r="578" ht="16.5" customHeight="1">
      <c r="A578" s="1"/>
      <c r="B578" s="1"/>
      <c r="C578" s="1"/>
      <c r="D578" s="1"/>
      <c r="E578" s="1"/>
      <c r="F578" s="1"/>
    </row>
    <row r="579" ht="16.5" customHeight="1">
      <c r="A579" s="1"/>
      <c r="B579" s="1"/>
      <c r="C579" s="1"/>
      <c r="D579" s="1"/>
      <c r="E579" s="1"/>
      <c r="F579" s="1"/>
    </row>
    <row r="580" ht="16.5" customHeight="1">
      <c r="A580" s="1"/>
      <c r="B580" s="1"/>
      <c r="C580" s="1"/>
      <c r="D580" s="1"/>
      <c r="E580" s="1"/>
      <c r="F580" s="1"/>
    </row>
    <row r="581" ht="16.5" customHeight="1">
      <c r="A581" s="1"/>
      <c r="B581" s="1"/>
      <c r="C581" s="1"/>
      <c r="D581" s="1"/>
      <c r="E581" s="1"/>
      <c r="F581" s="1"/>
    </row>
    <row r="582" ht="16.5" customHeight="1">
      <c r="A582" s="1"/>
      <c r="B582" s="1"/>
      <c r="C582" s="1"/>
      <c r="D582" s="1"/>
      <c r="E582" s="1"/>
      <c r="F582" s="1"/>
    </row>
    <row r="583" ht="16.5" customHeight="1">
      <c r="A583" s="1"/>
      <c r="B583" s="1"/>
      <c r="C583" s="1"/>
      <c r="D583" s="1"/>
      <c r="E583" s="1"/>
      <c r="F583" s="1"/>
    </row>
    <row r="584" ht="16.5" customHeight="1">
      <c r="A584" s="1"/>
      <c r="B584" s="1"/>
      <c r="C584" s="1"/>
      <c r="D584" s="1"/>
      <c r="E584" s="1"/>
      <c r="F584" s="1"/>
    </row>
    <row r="585" ht="16.5" customHeight="1">
      <c r="A585" s="1"/>
      <c r="B585" s="1"/>
      <c r="C585" s="1"/>
      <c r="D585" s="1"/>
      <c r="E585" s="1"/>
      <c r="F585" s="1"/>
    </row>
    <row r="586" ht="16.5" customHeight="1">
      <c r="A586" s="1"/>
      <c r="B586" s="1"/>
      <c r="C586" s="1"/>
      <c r="D586" s="1"/>
      <c r="E586" s="1"/>
      <c r="F586" s="1"/>
    </row>
    <row r="587" ht="16.5" customHeight="1">
      <c r="A587" s="1"/>
      <c r="B587" s="1"/>
      <c r="C587" s="1"/>
      <c r="D587" s="1"/>
      <c r="E587" s="1"/>
      <c r="F587" s="1"/>
    </row>
    <row r="588" ht="16.5" customHeight="1">
      <c r="A588" s="1"/>
      <c r="B588" s="1"/>
      <c r="C588" s="1"/>
      <c r="D588" s="1"/>
      <c r="E588" s="1"/>
      <c r="F588" s="1"/>
    </row>
    <row r="589" ht="16.5" customHeight="1">
      <c r="A589" s="1"/>
      <c r="B589" s="1"/>
      <c r="C589" s="1"/>
      <c r="D589" s="1"/>
      <c r="E589" s="1"/>
      <c r="F589" s="1"/>
    </row>
    <row r="590" ht="16.5" customHeight="1">
      <c r="A590" s="1"/>
      <c r="B590" s="1"/>
      <c r="C590" s="1"/>
      <c r="D590" s="1"/>
      <c r="E590" s="1"/>
      <c r="F590" s="1"/>
    </row>
    <row r="591" ht="16.5" customHeight="1">
      <c r="A591" s="1"/>
      <c r="B591" s="1"/>
      <c r="C591" s="1"/>
      <c r="D591" s="1"/>
      <c r="E591" s="1"/>
      <c r="F591" s="1"/>
    </row>
    <row r="592" ht="16.5" customHeight="1">
      <c r="A592" s="1"/>
      <c r="B592" s="1"/>
      <c r="C592" s="1"/>
      <c r="D592" s="1"/>
      <c r="E592" s="1"/>
      <c r="F592" s="1"/>
    </row>
    <row r="593" ht="16.5" customHeight="1">
      <c r="A593" s="1"/>
      <c r="B593" s="1"/>
      <c r="C593" s="1"/>
      <c r="D593" s="1"/>
      <c r="E593" s="1"/>
      <c r="F593" s="1"/>
    </row>
    <row r="594" ht="16.5" customHeight="1">
      <c r="A594" s="1"/>
      <c r="B594" s="1"/>
      <c r="C594" s="1"/>
      <c r="D594" s="1"/>
      <c r="E594" s="1"/>
      <c r="F594" s="1"/>
    </row>
    <row r="595" ht="16.5" customHeight="1">
      <c r="A595" s="1"/>
      <c r="B595" s="1"/>
      <c r="C595" s="1"/>
      <c r="D595" s="1"/>
      <c r="E595" s="1"/>
      <c r="F595" s="1"/>
    </row>
    <row r="596" ht="16.5" customHeight="1">
      <c r="A596" s="1"/>
      <c r="B596" s="1"/>
      <c r="C596" s="1"/>
      <c r="D596" s="1"/>
      <c r="E596" s="1"/>
      <c r="F596" s="1"/>
    </row>
    <row r="597" ht="16.5" customHeight="1">
      <c r="A597" s="1"/>
      <c r="B597" s="1"/>
      <c r="C597" s="1"/>
      <c r="D597" s="1"/>
      <c r="E597" s="1"/>
      <c r="F597" s="1"/>
    </row>
    <row r="598" ht="16.5" customHeight="1">
      <c r="A598" s="1"/>
      <c r="B598" s="1"/>
      <c r="C598" s="1"/>
      <c r="D598" s="1"/>
      <c r="E598" s="1"/>
      <c r="F598" s="1"/>
    </row>
    <row r="599" ht="16.5" customHeight="1">
      <c r="A599" s="1"/>
      <c r="B599" s="1"/>
      <c r="C599" s="1"/>
      <c r="D599" s="1"/>
      <c r="E599" s="1"/>
      <c r="F599" s="1"/>
    </row>
    <row r="600" ht="16.5" customHeight="1">
      <c r="A600" s="1"/>
      <c r="B600" s="1"/>
      <c r="C600" s="1"/>
      <c r="D600" s="1"/>
      <c r="E600" s="1"/>
      <c r="F600" s="1"/>
    </row>
    <row r="601" ht="16.5" customHeight="1">
      <c r="A601" s="1"/>
      <c r="B601" s="1"/>
      <c r="C601" s="1"/>
      <c r="D601" s="1"/>
      <c r="E601" s="1"/>
      <c r="F601" s="1"/>
    </row>
    <row r="602" ht="16.5" customHeight="1">
      <c r="A602" s="1"/>
      <c r="B602" s="1"/>
      <c r="C602" s="1"/>
      <c r="D602" s="1"/>
      <c r="E602" s="1"/>
      <c r="F602" s="1"/>
    </row>
    <row r="603" ht="16.5" customHeight="1">
      <c r="A603" s="1"/>
      <c r="B603" s="1"/>
      <c r="C603" s="1"/>
      <c r="D603" s="1"/>
      <c r="E603" s="1"/>
      <c r="F603" s="1"/>
    </row>
    <row r="604" ht="16.5" customHeight="1">
      <c r="A604" s="1"/>
      <c r="B604" s="1"/>
      <c r="C604" s="1"/>
      <c r="D604" s="1"/>
      <c r="E604" s="1"/>
      <c r="F604" s="1"/>
    </row>
    <row r="605" ht="16.5" customHeight="1">
      <c r="A605" s="1"/>
      <c r="B605" s="1"/>
      <c r="C605" s="1"/>
      <c r="D605" s="1"/>
      <c r="E605" s="1"/>
      <c r="F605" s="1"/>
    </row>
    <row r="606" ht="16.5" customHeight="1">
      <c r="A606" s="1"/>
      <c r="B606" s="1"/>
      <c r="C606" s="1"/>
      <c r="D606" s="1"/>
      <c r="E606" s="1"/>
      <c r="F606" s="1"/>
    </row>
    <row r="607" ht="16.5" customHeight="1">
      <c r="A607" s="1"/>
      <c r="B607" s="1"/>
      <c r="C607" s="1"/>
      <c r="D607" s="1"/>
      <c r="E607" s="1"/>
      <c r="F607" s="1"/>
    </row>
    <row r="608" ht="16.5" customHeight="1">
      <c r="A608" s="1"/>
      <c r="B608" s="1"/>
      <c r="C608" s="1"/>
      <c r="D608" s="1"/>
      <c r="E608" s="1"/>
      <c r="F608" s="1"/>
    </row>
    <row r="609" ht="16.5" customHeight="1">
      <c r="A609" s="1"/>
      <c r="B609" s="1"/>
      <c r="C609" s="1"/>
      <c r="D609" s="1"/>
      <c r="E609" s="1"/>
      <c r="F609" s="1"/>
    </row>
    <row r="610" ht="16.5" customHeight="1">
      <c r="A610" s="1"/>
      <c r="B610" s="1"/>
      <c r="C610" s="1"/>
      <c r="D610" s="1"/>
      <c r="E610" s="1"/>
      <c r="F610" s="1"/>
    </row>
    <row r="611" ht="16.5" customHeight="1">
      <c r="A611" s="1"/>
      <c r="B611" s="1"/>
      <c r="C611" s="1"/>
      <c r="D611" s="1"/>
      <c r="E611" s="1"/>
      <c r="F611" s="1"/>
    </row>
    <row r="612" ht="16.5" customHeight="1">
      <c r="A612" s="1"/>
      <c r="B612" s="1"/>
      <c r="C612" s="1"/>
      <c r="D612" s="1"/>
      <c r="E612" s="1"/>
      <c r="F612" s="1"/>
    </row>
    <row r="613" ht="16.5" customHeight="1">
      <c r="A613" s="1"/>
      <c r="B613" s="1"/>
      <c r="C613" s="1"/>
      <c r="D613" s="1"/>
      <c r="E613" s="1"/>
      <c r="F613" s="1"/>
    </row>
    <row r="614" ht="16.5" customHeight="1">
      <c r="A614" s="1"/>
      <c r="B614" s="1"/>
      <c r="C614" s="1"/>
      <c r="D614" s="1"/>
      <c r="E614" s="1"/>
      <c r="F614" s="1"/>
    </row>
    <row r="615" ht="16.5" customHeight="1">
      <c r="A615" s="1"/>
      <c r="B615" s="1"/>
      <c r="C615" s="1"/>
      <c r="D615" s="1"/>
      <c r="E615" s="1"/>
      <c r="F615" s="1"/>
    </row>
    <row r="616" ht="16.5" customHeight="1">
      <c r="A616" s="1"/>
      <c r="B616" s="1"/>
      <c r="C616" s="1"/>
      <c r="D616" s="1"/>
      <c r="E616" s="1"/>
      <c r="F616" s="1"/>
    </row>
    <row r="617" ht="16.5" customHeight="1">
      <c r="A617" s="1"/>
      <c r="B617" s="1"/>
      <c r="C617" s="1"/>
      <c r="D617" s="1"/>
      <c r="E617" s="1"/>
      <c r="F617" s="1"/>
    </row>
    <row r="618" ht="16.5" customHeight="1">
      <c r="A618" s="1"/>
      <c r="B618" s="1"/>
      <c r="C618" s="1"/>
      <c r="D618" s="1"/>
      <c r="E618" s="1"/>
      <c r="F618" s="1"/>
    </row>
    <row r="619" ht="16.5" customHeight="1">
      <c r="A619" s="1"/>
      <c r="B619" s="1"/>
      <c r="C619" s="1"/>
      <c r="D619" s="1"/>
      <c r="E619" s="1"/>
      <c r="F619" s="1"/>
    </row>
    <row r="620" ht="16.5" customHeight="1">
      <c r="A620" s="1"/>
      <c r="B620" s="1"/>
      <c r="C620" s="1"/>
      <c r="D620" s="1"/>
      <c r="E620" s="1"/>
      <c r="F620" s="1"/>
    </row>
    <row r="621" ht="16.5" customHeight="1">
      <c r="A621" s="1"/>
      <c r="B621" s="1"/>
      <c r="C621" s="1"/>
      <c r="D621" s="1"/>
      <c r="E621" s="1"/>
      <c r="F621" s="1"/>
    </row>
    <row r="622" ht="16.5" customHeight="1">
      <c r="A622" s="1"/>
      <c r="B622" s="1"/>
      <c r="C622" s="1"/>
      <c r="D622" s="1"/>
      <c r="E622" s="1"/>
      <c r="F622" s="1"/>
    </row>
    <row r="623" ht="16.5" customHeight="1">
      <c r="A623" s="1"/>
      <c r="B623" s="1"/>
      <c r="C623" s="1"/>
      <c r="D623" s="1"/>
      <c r="E623" s="1"/>
      <c r="F623" s="1"/>
    </row>
    <row r="624" ht="16.5" customHeight="1">
      <c r="A624" s="1"/>
      <c r="B624" s="1"/>
      <c r="C624" s="1"/>
      <c r="D624" s="1"/>
      <c r="E624" s="1"/>
      <c r="F624" s="1"/>
    </row>
    <row r="625" ht="16.5" customHeight="1">
      <c r="A625" s="1"/>
      <c r="B625" s="1"/>
      <c r="C625" s="1"/>
      <c r="D625" s="1"/>
      <c r="E625" s="1"/>
      <c r="F625" s="1"/>
    </row>
    <row r="626" ht="16.5" customHeight="1">
      <c r="A626" s="1"/>
      <c r="B626" s="1"/>
      <c r="C626" s="1"/>
      <c r="D626" s="1"/>
      <c r="E626" s="1"/>
      <c r="F626" s="1"/>
    </row>
    <row r="627" ht="16.5" customHeight="1">
      <c r="A627" s="1"/>
      <c r="B627" s="1"/>
      <c r="C627" s="1"/>
      <c r="D627" s="1"/>
      <c r="E627" s="1"/>
      <c r="F627" s="1"/>
    </row>
    <row r="628" ht="16.5" customHeight="1">
      <c r="A628" s="1"/>
      <c r="B628" s="1"/>
      <c r="C628" s="1"/>
      <c r="D628" s="1"/>
      <c r="E628" s="1"/>
      <c r="F628" s="1"/>
    </row>
    <row r="629" ht="16.5" customHeight="1">
      <c r="A629" s="1"/>
      <c r="B629" s="1"/>
      <c r="C629" s="1"/>
      <c r="D629" s="1"/>
      <c r="E629" s="1"/>
      <c r="F629" s="1"/>
    </row>
    <row r="630" ht="16.5" customHeight="1">
      <c r="A630" s="1"/>
      <c r="B630" s="1"/>
      <c r="C630" s="1"/>
      <c r="D630" s="1"/>
      <c r="E630" s="1"/>
      <c r="F630" s="1"/>
    </row>
    <row r="631" ht="16.5" customHeight="1">
      <c r="A631" s="1"/>
      <c r="B631" s="1"/>
      <c r="C631" s="1"/>
      <c r="D631" s="1"/>
      <c r="E631" s="1"/>
      <c r="F631" s="1"/>
    </row>
    <row r="632" ht="16.5" customHeight="1">
      <c r="A632" s="1"/>
      <c r="B632" s="1"/>
      <c r="C632" s="1"/>
      <c r="D632" s="1"/>
      <c r="E632" s="1"/>
      <c r="F632" s="1"/>
    </row>
    <row r="633" ht="16.5" customHeight="1">
      <c r="A633" s="1"/>
      <c r="B633" s="1"/>
      <c r="C633" s="1"/>
      <c r="D633" s="1"/>
      <c r="E633" s="1"/>
      <c r="F633" s="1"/>
    </row>
    <row r="634" ht="16.5" customHeight="1">
      <c r="A634" s="1"/>
      <c r="B634" s="1"/>
      <c r="C634" s="1"/>
      <c r="D634" s="1"/>
      <c r="E634" s="1"/>
      <c r="F634" s="1"/>
    </row>
    <row r="635" ht="16.5" customHeight="1">
      <c r="A635" s="1"/>
      <c r="B635" s="1"/>
      <c r="C635" s="1"/>
      <c r="D635" s="1"/>
      <c r="E635" s="1"/>
      <c r="F635" s="1"/>
    </row>
    <row r="636" ht="16.5" customHeight="1">
      <c r="A636" s="1"/>
      <c r="B636" s="1"/>
      <c r="C636" s="1"/>
      <c r="D636" s="1"/>
      <c r="E636" s="1"/>
      <c r="F636" s="1"/>
    </row>
    <row r="637" ht="16.5" customHeight="1">
      <c r="A637" s="1"/>
      <c r="B637" s="1"/>
      <c r="C637" s="1"/>
      <c r="D637" s="1"/>
      <c r="E637" s="1"/>
      <c r="F637" s="1"/>
    </row>
    <row r="638" ht="16.5" customHeight="1">
      <c r="A638" s="1"/>
      <c r="B638" s="1"/>
      <c r="C638" s="1"/>
      <c r="D638" s="1"/>
      <c r="E638" s="1"/>
      <c r="F638" s="1"/>
    </row>
    <row r="639" ht="16.5" customHeight="1">
      <c r="A639" s="1"/>
      <c r="B639" s="1"/>
      <c r="C639" s="1"/>
      <c r="D639" s="1"/>
      <c r="E639" s="1"/>
      <c r="F639" s="1"/>
    </row>
    <row r="640" ht="16.5" customHeight="1">
      <c r="A640" s="1"/>
      <c r="B640" s="1"/>
      <c r="C640" s="1"/>
      <c r="D640" s="1"/>
      <c r="E640" s="1"/>
      <c r="F640" s="1"/>
    </row>
    <row r="641" ht="16.5" customHeight="1">
      <c r="A641" s="1"/>
      <c r="B641" s="1"/>
      <c r="C641" s="1"/>
      <c r="D641" s="1"/>
      <c r="E641" s="1"/>
      <c r="F641" s="1"/>
    </row>
    <row r="642" ht="16.5" customHeight="1">
      <c r="A642" s="1"/>
      <c r="B642" s="1"/>
      <c r="C642" s="1"/>
      <c r="D642" s="1"/>
      <c r="E642" s="1"/>
      <c r="F642" s="1"/>
    </row>
    <row r="643" ht="16.5" customHeight="1">
      <c r="A643" s="1"/>
      <c r="B643" s="1"/>
      <c r="C643" s="1"/>
      <c r="D643" s="1"/>
      <c r="E643" s="1"/>
      <c r="F643" s="1"/>
    </row>
    <row r="644" ht="16.5" customHeight="1">
      <c r="A644" s="1"/>
      <c r="B644" s="1"/>
      <c r="C644" s="1"/>
      <c r="D644" s="1"/>
      <c r="E644" s="1"/>
      <c r="F644" s="1"/>
    </row>
    <row r="645" ht="16.5" customHeight="1">
      <c r="A645" s="1"/>
      <c r="B645" s="1"/>
      <c r="C645" s="1"/>
      <c r="D645" s="1"/>
      <c r="E645" s="1"/>
      <c r="F645" s="1"/>
    </row>
    <row r="646" ht="16.5" customHeight="1">
      <c r="A646" s="1"/>
      <c r="B646" s="1"/>
      <c r="C646" s="1"/>
      <c r="D646" s="1"/>
      <c r="E646" s="1"/>
      <c r="F646" s="1"/>
    </row>
    <row r="647" ht="16.5" customHeight="1">
      <c r="A647" s="1"/>
      <c r="B647" s="1"/>
      <c r="C647" s="1"/>
      <c r="D647" s="1"/>
      <c r="E647" s="1"/>
      <c r="F647" s="1"/>
    </row>
    <row r="648" ht="16.5" customHeight="1">
      <c r="A648" s="1"/>
      <c r="B648" s="1"/>
      <c r="C648" s="1"/>
      <c r="D648" s="1"/>
      <c r="E648" s="1"/>
      <c r="F648" s="1"/>
    </row>
    <row r="649" ht="16.5" customHeight="1">
      <c r="A649" s="1"/>
      <c r="B649" s="1"/>
      <c r="C649" s="1"/>
      <c r="D649" s="1"/>
      <c r="E649" s="1"/>
      <c r="F649" s="1"/>
    </row>
    <row r="650" ht="16.5" customHeight="1">
      <c r="A650" s="1"/>
      <c r="B650" s="1"/>
      <c r="C650" s="1"/>
      <c r="D650" s="1"/>
      <c r="E650" s="1"/>
      <c r="F650" s="1"/>
    </row>
    <row r="651" ht="16.5" customHeight="1">
      <c r="A651" s="1"/>
      <c r="B651" s="1"/>
      <c r="C651" s="1"/>
      <c r="D651" s="1"/>
      <c r="E651" s="1"/>
      <c r="F651" s="1"/>
    </row>
    <row r="652" ht="16.5" customHeight="1">
      <c r="A652" s="1"/>
      <c r="B652" s="1"/>
      <c r="C652" s="1"/>
      <c r="D652" s="1"/>
      <c r="E652" s="1"/>
      <c r="F652" s="1"/>
    </row>
    <row r="653" ht="16.5" customHeight="1">
      <c r="A653" s="1"/>
      <c r="B653" s="1"/>
      <c r="C653" s="1"/>
      <c r="D653" s="1"/>
      <c r="E653" s="1"/>
      <c r="F653" s="1"/>
    </row>
    <row r="654" ht="16.5" customHeight="1">
      <c r="A654" s="1"/>
      <c r="B654" s="1"/>
      <c r="C654" s="1"/>
      <c r="D654" s="1"/>
      <c r="E654" s="1"/>
      <c r="F654" s="1"/>
    </row>
    <row r="655" ht="16.5" customHeight="1">
      <c r="A655" s="1"/>
      <c r="B655" s="1"/>
      <c r="C655" s="1"/>
      <c r="D655" s="1"/>
      <c r="E655" s="1"/>
      <c r="F655" s="1"/>
    </row>
    <row r="656" ht="16.5" customHeight="1">
      <c r="A656" s="1"/>
      <c r="B656" s="1"/>
      <c r="C656" s="1"/>
      <c r="D656" s="1"/>
      <c r="E656" s="1"/>
      <c r="F656" s="1"/>
    </row>
    <row r="657" ht="16.5" customHeight="1">
      <c r="A657" s="1"/>
      <c r="B657" s="1"/>
      <c r="C657" s="1"/>
      <c r="D657" s="1"/>
      <c r="E657" s="1"/>
      <c r="F657" s="1"/>
    </row>
    <row r="658" ht="16.5" customHeight="1">
      <c r="A658" s="1"/>
      <c r="B658" s="1"/>
      <c r="C658" s="1"/>
      <c r="D658" s="1"/>
      <c r="E658" s="1"/>
      <c r="F658" s="1"/>
    </row>
    <row r="659" ht="16.5" customHeight="1">
      <c r="A659" s="1"/>
      <c r="B659" s="1"/>
      <c r="C659" s="1"/>
      <c r="D659" s="1"/>
      <c r="E659" s="1"/>
      <c r="F659" s="1"/>
    </row>
    <row r="660" ht="16.5" customHeight="1">
      <c r="A660" s="1"/>
      <c r="B660" s="1"/>
      <c r="C660" s="1"/>
      <c r="D660" s="1"/>
      <c r="E660" s="1"/>
      <c r="F660" s="1"/>
    </row>
    <row r="661" ht="16.5" customHeight="1">
      <c r="A661" s="1"/>
      <c r="B661" s="1"/>
      <c r="C661" s="1"/>
      <c r="D661" s="1"/>
      <c r="E661" s="1"/>
      <c r="F661" s="1"/>
    </row>
    <row r="662" ht="16.5" customHeight="1">
      <c r="A662" s="1"/>
      <c r="B662" s="1"/>
      <c r="C662" s="1"/>
      <c r="D662" s="1"/>
      <c r="E662" s="1"/>
      <c r="F662" s="1"/>
    </row>
    <row r="663" ht="16.5" customHeight="1">
      <c r="A663" s="1"/>
      <c r="B663" s="1"/>
      <c r="C663" s="1"/>
      <c r="D663" s="1"/>
      <c r="E663" s="1"/>
      <c r="F663" s="1"/>
    </row>
    <row r="664" ht="16.5" customHeight="1">
      <c r="A664" s="1"/>
      <c r="B664" s="1"/>
      <c r="C664" s="1"/>
      <c r="D664" s="1"/>
      <c r="E664" s="1"/>
      <c r="F664" s="1"/>
    </row>
    <row r="665" ht="16.5" customHeight="1">
      <c r="A665" s="1"/>
      <c r="B665" s="1"/>
      <c r="C665" s="1"/>
      <c r="D665" s="1"/>
      <c r="E665" s="1"/>
      <c r="F665" s="1"/>
    </row>
    <row r="666" ht="16.5" customHeight="1">
      <c r="A666" s="1"/>
      <c r="B666" s="1"/>
      <c r="C666" s="1"/>
      <c r="D666" s="1"/>
      <c r="E666" s="1"/>
      <c r="F666" s="1"/>
    </row>
    <row r="667" ht="16.5" customHeight="1">
      <c r="A667" s="1"/>
      <c r="B667" s="1"/>
      <c r="C667" s="1"/>
      <c r="D667" s="1"/>
      <c r="E667" s="1"/>
      <c r="F667" s="1"/>
    </row>
    <row r="668" ht="16.5" customHeight="1">
      <c r="A668" s="1"/>
      <c r="B668" s="1"/>
      <c r="C668" s="1"/>
      <c r="D668" s="1"/>
      <c r="E668" s="1"/>
      <c r="F668" s="1"/>
    </row>
    <row r="669" ht="16.5" customHeight="1">
      <c r="A669" s="1"/>
      <c r="B669" s="1"/>
      <c r="C669" s="1"/>
      <c r="D669" s="1"/>
      <c r="E669" s="1"/>
      <c r="F669" s="1"/>
    </row>
    <row r="670" ht="16.5" customHeight="1">
      <c r="A670" s="1"/>
      <c r="B670" s="1"/>
      <c r="C670" s="1"/>
      <c r="D670" s="1"/>
      <c r="E670" s="1"/>
      <c r="F670" s="1"/>
    </row>
    <row r="671" ht="16.5" customHeight="1">
      <c r="A671" s="1"/>
      <c r="B671" s="1"/>
      <c r="C671" s="1"/>
      <c r="D671" s="1"/>
      <c r="E671" s="1"/>
      <c r="F671" s="1"/>
    </row>
    <row r="672" ht="16.5" customHeight="1">
      <c r="A672" s="1"/>
      <c r="B672" s="1"/>
      <c r="C672" s="1"/>
      <c r="D672" s="1"/>
      <c r="E672" s="1"/>
      <c r="F672" s="1"/>
    </row>
    <row r="673" ht="16.5" customHeight="1">
      <c r="A673" s="1"/>
      <c r="B673" s="1"/>
      <c r="C673" s="1"/>
      <c r="D673" s="1"/>
      <c r="E673" s="1"/>
      <c r="F673" s="1"/>
    </row>
    <row r="674" ht="16.5" customHeight="1">
      <c r="A674" s="1"/>
      <c r="B674" s="1"/>
      <c r="C674" s="1"/>
      <c r="D674" s="1"/>
      <c r="E674" s="1"/>
      <c r="F674" s="1"/>
    </row>
    <row r="675" ht="16.5" customHeight="1">
      <c r="A675" s="1"/>
      <c r="B675" s="1"/>
      <c r="C675" s="1"/>
      <c r="D675" s="1"/>
      <c r="E675" s="1"/>
      <c r="F675" s="1"/>
    </row>
    <row r="676" ht="16.5" customHeight="1">
      <c r="A676" s="1"/>
      <c r="B676" s="1"/>
      <c r="C676" s="1"/>
      <c r="D676" s="1"/>
      <c r="E676" s="1"/>
      <c r="F676" s="1"/>
    </row>
    <row r="677" ht="16.5" customHeight="1">
      <c r="A677" s="1"/>
      <c r="B677" s="1"/>
      <c r="C677" s="1"/>
      <c r="D677" s="1"/>
      <c r="E677" s="1"/>
      <c r="F677" s="1"/>
    </row>
    <row r="678" ht="16.5" customHeight="1">
      <c r="A678" s="1"/>
      <c r="B678" s="1"/>
      <c r="C678" s="1"/>
      <c r="D678" s="1"/>
      <c r="E678" s="1"/>
      <c r="F678" s="1"/>
    </row>
    <row r="679" ht="16.5" customHeight="1">
      <c r="A679" s="1"/>
      <c r="B679" s="1"/>
      <c r="C679" s="1"/>
      <c r="D679" s="1"/>
      <c r="E679" s="1"/>
      <c r="F679" s="1"/>
    </row>
    <row r="680" ht="16.5" customHeight="1">
      <c r="A680" s="1"/>
      <c r="B680" s="1"/>
      <c r="C680" s="1"/>
      <c r="D680" s="1"/>
      <c r="E680" s="1"/>
      <c r="F680" s="1"/>
    </row>
    <row r="681" ht="16.5" customHeight="1">
      <c r="A681" s="1"/>
      <c r="B681" s="1"/>
      <c r="C681" s="1"/>
      <c r="D681" s="1"/>
      <c r="E681" s="1"/>
      <c r="F681" s="1"/>
    </row>
    <row r="682" ht="16.5" customHeight="1">
      <c r="A682" s="1"/>
      <c r="B682" s="1"/>
      <c r="C682" s="1"/>
      <c r="D682" s="1"/>
      <c r="E682" s="1"/>
      <c r="F682" s="1"/>
    </row>
    <row r="683" ht="16.5" customHeight="1">
      <c r="A683" s="1"/>
      <c r="B683" s="1"/>
      <c r="C683" s="1"/>
      <c r="D683" s="1"/>
      <c r="E683" s="1"/>
      <c r="F683" s="1"/>
    </row>
    <row r="684" ht="16.5" customHeight="1">
      <c r="A684" s="1"/>
      <c r="B684" s="1"/>
      <c r="C684" s="1"/>
      <c r="D684" s="1"/>
      <c r="E684" s="1"/>
      <c r="F684" s="1"/>
    </row>
    <row r="685" ht="16.5" customHeight="1">
      <c r="A685" s="1"/>
      <c r="B685" s="1"/>
      <c r="C685" s="1"/>
      <c r="D685" s="1"/>
      <c r="E685" s="1"/>
      <c r="F685" s="1"/>
    </row>
    <row r="686" ht="16.5" customHeight="1">
      <c r="A686" s="1"/>
      <c r="B686" s="1"/>
      <c r="C686" s="1"/>
      <c r="D686" s="1"/>
      <c r="E686" s="1"/>
      <c r="F686" s="1"/>
    </row>
    <row r="687" ht="16.5" customHeight="1">
      <c r="A687" s="1"/>
      <c r="B687" s="1"/>
      <c r="C687" s="1"/>
      <c r="D687" s="1"/>
      <c r="E687" s="1"/>
      <c r="F687" s="1"/>
    </row>
    <row r="688" ht="16.5" customHeight="1">
      <c r="A688" s="1"/>
      <c r="B688" s="1"/>
      <c r="C688" s="1"/>
      <c r="D688" s="1"/>
      <c r="E688" s="1"/>
      <c r="F688" s="1"/>
    </row>
    <row r="689" ht="16.5" customHeight="1">
      <c r="A689" s="1"/>
      <c r="B689" s="1"/>
      <c r="C689" s="1"/>
      <c r="D689" s="1"/>
      <c r="E689" s="1"/>
      <c r="F689" s="1"/>
    </row>
    <row r="690" ht="16.5" customHeight="1">
      <c r="A690" s="1"/>
      <c r="B690" s="1"/>
      <c r="C690" s="1"/>
      <c r="D690" s="1"/>
      <c r="E690" s="1"/>
      <c r="F690" s="1"/>
    </row>
    <row r="691" ht="16.5" customHeight="1">
      <c r="A691" s="1"/>
      <c r="B691" s="1"/>
      <c r="C691" s="1"/>
      <c r="D691" s="1"/>
      <c r="E691" s="1"/>
      <c r="F691" s="1"/>
    </row>
    <row r="692" ht="16.5" customHeight="1">
      <c r="A692" s="1"/>
      <c r="B692" s="1"/>
      <c r="C692" s="1"/>
      <c r="D692" s="1"/>
      <c r="E692" s="1"/>
      <c r="F692" s="1"/>
    </row>
    <row r="693" ht="16.5" customHeight="1">
      <c r="A693" s="1"/>
      <c r="B693" s="1"/>
      <c r="C693" s="1"/>
      <c r="D693" s="1"/>
      <c r="E693" s="1"/>
      <c r="F693" s="1"/>
    </row>
    <row r="694" ht="16.5" customHeight="1">
      <c r="A694" s="1"/>
      <c r="B694" s="1"/>
      <c r="C694" s="1"/>
      <c r="D694" s="1"/>
      <c r="E694" s="1"/>
      <c r="F694" s="1"/>
    </row>
    <row r="695" ht="16.5" customHeight="1">
      <c r="A695" s="1"/>
      <c r="B695" s="1"/>
      <c r="C695" s="1"/>
      <c r="D695" s="1"/>
      <c r="E695" s="1"/>
      <c r="F695" s="1"/>
    </row>
    <row r="696" ht="16.5" customHeight="1">
      <c r="A696" s="1"/>
      <c r="B696" s="1"/>
      <c r="C696" s="1"/>
      <c r="D696" s="1"/>
      <c r="E696" s="1"/>
      <c r="F696" s="1"/>
    </row>
    <row r="697" ht="16.5" customHeight="1">
      <c r="A697" s="1"/>
      <c r="B697" s="1"/>
      <c r="C697" s="1"/>
      <c r="D697" s="1"/>
      <c r="E697" s="1"/>
      <c r="F697" s="1"/>
    </row>
    <row r="698" ht="16.5" customHeight="1">
      <c r="A698" s="1"/>
      <c r="B698" s="1"/>
      <c r="C698" s="1"/>
      <c r="D698" s="1"/>
      <c r="E698" s="1"/>
      <c r="F698" s="1"/>
    </row>
    <row r="699" ht="16.5" customHeight="1">
      <c r="A699" s="1"/>
      <c r="B699" s="1"/>
      <c r="C699" s="1"/>
      <c r="D699" s="1"/>
      <c r="E699" s="1"/>
      <c r="F699" s="1"/>
    </row>
    <row r="700" ht="16.5" customHeight="1">
      <c r="A700" s="1"/>
      <c r="B700" s="1"/>
      <c r="C700" s="1"/>
      <c r="D700" s="1"/>
      <c r="E700" s="1"/>
      <c r="F700" s="1"/>
    </row>
    <row r="701" ht="16.5" customHeight="1">
      <c r="A701" s="1"/>
      <c r="B701" s="1"/>
      <c r="C701" s="1"/>
      <c r="D701" s="1"/>
      <c r="E701" s="1"/>
      <c r="F701" s="1"/>
    </row>
    <row r="702" ht="16.5" customHeight="1">
      <c r="A702" s="1"/>
      <c r="B702" s="1"/>
      <c r="C702" s="1"/>
      <c r="D702" s="1"/>
      <c r="E702" s="1"/>
      <c r="F702" s="1"/>
    </row>
    <row r="703" ht="16.5" customHeight="1">
      <c r="A703" s="1"/>
      <c r="B703" s="1"/>
      <c r="C703" s="1"/>
      <c r="D703" s="1"/>
      <c r="E703" s="1"/>
      <c r="F703" s="1"/>
    </row>
    <row r="704" ht="16.5" customHeight="1">
      <c r="A704" s="1"/>
      <c r="B704" s="1"/>
      <c r="C704" s="1"/>
      <c r="D704" s="1"/>
      <c r="E704" s="1"/>
      <c r="F704" s="1"/>
    </row>
    <row r="705" ht="16.5" customHeight="1">
      <c r="A705" s="1"/>
      <c r="B705" s="1"/>
      <c r="C705" s="1"/>
      <c r="D705" s="1"/>
      <c r="E705" s="1"/>
      <c r="F705" s="1"/>
    </row>
    <row r="706" ht="16.5" customHeight="1">
      <c r="A706" s="1"/>
      <c r="B706" s="1"/>
      <c r="C706" s="1"/>
      <c r="D706" s="1"/>
      <c r="E706" s="1"/>
      <c r="F706" s="1"/>
    </row>
    <row r="707" ht="16.5" customHeight="1">
      <c r="A707" s="1"/>
      <c r="B707" s="1"/>
      <c r="C707" s="1"/>
      <c r="D707" s="1"/>
      <c r="E707" s="1"/>
      <c r="F707" s="1"/>
    </row>
    <row r="708" ht="16.5" customHeight="1">
      <c r="A708" s="1"/>
      <c r="B708" s="1"/>
      <c r="C708" s="1"/>
      <c r="D708" s="1"/>
      <c r="E708" s="1"/>
      <c r="F708" s="1"/>
    </row>
    <row r="709" ht="16.5" customHeight="1">
      <c r="A709" s="1"/>
      <c r="B709" s="1"/>
      <c r="C709" s="1"/>
      <c r="D709" s="1"/>
      <c r="E709" s="1"/>
      <c r="F709" s="1"/>
    </row>
    <row r="710" ht="16.5" customHeight="1">
      <c r="A710" s="1"/>
      <c r="B710" s="1"/>
      <c r="C710" s="1"/>
      <c r="D710" s="1"/>
      <c r="E710" s="1"/>
      <c r="F710" s="1"/>
    </row>
    <row r="711" ht="16.5" customHeight="1">
      <c r="A711" s="1"/>
      <c r="B711" s="1"/>
      <c r="C711" s="1"/>
      <c r="D711" s="1"/>
      <c r="E711" s="1"/>
      <c r="F711" s="1"/>
    </row>
    <row r="712" ht="16.5" customHeight="1">
      <c r="A712" s="1"/>
      <c r="B712" s="1"/>
      <c r="C712" s="1"/>
      <c r="D712" s="1"/>
      <c r="E712" s="1"/>
      <c r="F712" s="1"/>
    </row>
    <row r="713" ht="16.5" customHeight="1">
      <c r="A713" s="1"/>
      <c r="B713" s="1"/>
      <c r="C713" s="1"/>
      <c r="D713" s="1"/>
      <c r="E713" s="1"/>
      <c r="F713" s="1"/>
    </row>
    <row r="714" ht="16.5" customHeight="1">
      <c r="A714" s="1"/>
      <c r="B714" s="1"/>
      <c r="C714" s="1"/>
      <c r="D714" s="1"/>
      <c r="E714" s="1"/>
      <c r="F714" s="1"/>
    </row>
    <row r="715" ht="16.5" customHeight="1">
      <c r="A715" s="1"/>
      <c r="B715" s="1"/>
      <c r="C715" s="1"/>
      <c r="D715" s="1"/>
      <c r="E715" s="1"/>
      <c r="F715" s="1"/>
    </row>
    <row r="716" ht="16.5" customHeight="1">
      <c r="A716" s="1"/>
      <c r="B716" s="1"/>
      <c r="C716" s="1"/>
      <c r="D716" s="1"/>
      <c r="E716" s="1"/>
      <c r="F716" s="1"/>
    </row>
    <row r="717" ht="16.5" customHeight="1">
      <c r="A717" s="1"/>
      <c r="B717" s="1"/>
      <c r="C717" s="1"/>
      <c r="D717" s="1"/>
      <c r="E717" s="1"/>
      <c r="F717" s="1"/>
    </row>
    <row r="718" ht="16.5" customHeight="1">
      <c r="A718" s="1"/>
      <c r="B718" s="1"/>
      <c r="C718" s="1"/>
      <c r="D718" s="1"/>
      <c r="E718" s="1"/>
      <c r="F718" s="1"/>
    </row>
    <row r="719" ht="16.5" customHeight="1">
      <c r="A719" s="1"/>
      <c r="B719" s="1"/>
      <c r="C719" s="1"/>
      <c r="D719" s="1"/>
      <c r="E719" s="1"/>
      <c r="F719" s="1"/>
    </row>
    <row r="720" ht="16.5" customHeight="1">
      <c r="A720" s="1"/>
      <c r="B720" s="1"/>
      <c r="C720" s="1"/>
      <c r="D720" s="1"/>
      <c r="E720" s="1"/>
      <c r="F720" s="1"/>
    </row>
    <row r="721" ht="16.5" customHeight="1">
      <c r="A721" s="1"/>
      <c r="B721" s="1"/>
      <c r="C721" s="1"/>
      <c r="D721" s="1"/>
      <c r="E721" s="1"/>
      <c r="F721" s="1"/>
    </row>
    <row r="722" ht="16.5" customHeight="1">
      <c r="A722" s="1"/>
      <c r="B722" s="1"/>
      <c r="C722" s="1"/>
      <c r="D722" s="1"/>
      <c r="E722" s="1"/>
      <c r="F722" s="1"/>
    </row>
    <row r="723" ht="16.5" customHeight="1">
      <c r="A723" s="1"/>
      <c r="B723" s="1"/>
      <c r="C723" s="1"/>
      <c r="D723" s="1"/>
      <c r="E723" s="1"/>
      <c r="F723" s="1"/>
    </row>
    <row r="724" ht="16.5" customHeight="1">
      <c r="A724" s="1"/>
      <c r="B724" s="1"/>
      <c r="C724" s="1"/>
      <c r="D724" s="1"/>
      <c r="E724" s="1"/>
      <c r="F724" s="1"/>
    </row>
    <row r="725" ht="16.5" customHeight="1">
      <c r="A725" s="1"/>
      <c r="B725" s="1"/>
      <c r="C725" s="1"/>
      <c r="D725" s="1"/>
      <c r="E725" s="1"/>
      <c r="F725" s="1"/>
    </row>
    <row r="726" ht="16.5" customHeight="1">
      <c r="A726" s="1"/>
      <c r="B726" s="1"/>
      <c r="C726" s="1"/>
      <c r="D726" s="1"/>
      <c r="E726" s="1"/>
      <c r="F726" s="1"/>
    </row>
    <row r="727" ht="16.5" customHeight="1">
      <c r="A727" s="1"/>
      <c r="B727" s="1"/>
      <c r="C727" s="1"/>
      <c r="D727" s="1"/>
      <c r="E727" s="1"/>
      <c r="F727" s="1"/>
    </row>
    <row r="728" ht="16.5" customHeight="1">
      <c r="A728" s="1"/>
      <c r="B728" s="1"/>
      <c r="C728" s="1"/>
      <c r="D728" s="1"/>
      <c r="E728" s="1"/>
      <c r="F728" s="1"/>
    </row>
    <row r="729" ht="16.5" customHeight="1">
      <c r="A729" s="1"/>
      <c r="B729" s="1"/>
      <c r="C729" s="1"/>
      <c r="D729" s="1"/>
      <c r="E729" s="1"/>
      <c r="F729" s="1"/>
    </row>
    <row r="730" ht="16.5" customHeight="1">
      <c r="A730" s="1"/>
      <c r="B730" s="1"/>
      <c r="C730" s="1"/>
      <c r="D730" s="1"/>
      <c r="E730" s="1"/>
      <c r="F730" s="1"/>
    </row>
    <row r="731" ht="16.5" customHeight="1">
      <c r="A731" s="1"/>
      <c r="B731" s="1"/>
      <c r="C731" s="1"/>
      <c r="D731" s="1"/>
      <c r="E731" s="1"/>
      <c r="F731" s="1"/>
    </row>
    <row r="732" ht="16.5" customHeight="1">
      <c r="A732" s="1"/>
      <c r="B732" s="1"/>
      <c r="C732" s="1"/>
      <c r="D732" s="1"/>
      <c r="E732" s="1"/>
      <c r="F732" s="1"/>
    </row>
    <row r="733" ht="16.5" customHeight="1">
      <c r="A733" s="1"/>
      <c r="B733" s="1"/>
      <c r="C733" s="1"/>
      <c r="D733" s="1"/>
      <c r="E733" s="1"/>
      <c r="F733" s="1"/>
    </row>
    <row r="734" ht="16.5" customHeight="1">
      <c r="A734" s="1"/>
      <c r="B734" s="1"/>
      <c r="C734" s="1"/>
      <c r="D734" s="1"/>
      <c r="E734" s="1"/>
      <c r="F734" s="1"/>
    </row>
    <row r="735" ht="16.5" customHeight="1">
      <c r="A735" s="1"/>
      <c r="B735" s="1"/>
      <c r="C735" s="1"/>
      <c r="D735" s="1"/>
      <c r="E735" s="1"/>
      <c r="F735" s="1"/>
    </row>
    <row r="736" ht="16.5" customHeight="1">
      <c r="A736" s="1"/>
      <c r="B736" s="1"/>
      <c r="C736" s="1"/>
      <c r="D736" s="1"/>
      <c r="E736" s="1"/>
      <c r="F736" s="1"/>
    </row>
    <row r="737" ht="16.5" customHeight="1">
      <c r="A737" s="1"/>
      <c r="B737" s="1"/>
      <c r="C737" s="1"/>
      <c r="D737" s="1"/>
      <c r="E737" s="1"/>
      <c r="F737" s="1"/>
    </row>
    <row r="738" ht="16.5" customHeight="1">
      <c r="A738" s="1"/>
      <c r="B738" s="1"/>
      <c r="C738" s="1"/>
      <c r="D738" s="1"/>
      <c r="E738" s="1"/>
      <c r="F738" s="1"/>
    </row>
    <row r="739" ht="16.5" customHeight="1">
      <c r="A739" s="1"/>
      <c r="B739" s="1"/>
      <c r="C739" s="1"/>
      <c r="D739" s="1"/>
      <c r="E739" s="1"/>
      <c r="F739" s="1"/>
    </row>
    <row r="740" ht="16.5" customHeight="1">
      <c r="A740" s="1"/>
      <c r="B740" s="1"/>
      <c r="C740" s="1"/>
      <c r="D740" s="1"/>
      <c r="E740" s="1"/>
      <c r="F740" s="1"/>
    </row>
    <row r="741" ht="16.5" customHeight="1">
      <c r="A741" s="1"/>
      <c r="B741" s="1"/>
      <c r="C741" s="1"/>
      <c r="D741" s="1"/>
      <c r="E741" s="1"/>
      <c r="F741" s="1"/>
    </row>
    <row r="742" ht="16.5" customHeight="1">
      <c r="A742" s="1"/>
      <c r="B742" s="1"/>
      <c r="C742" s="1"/>
      <c r="D742" s="1"/>
      <c r="E742" s="1"/>
      <c r="F742" s="1"/>
    </row>
    <row r="743" ht="16.5" customHeight="1">
      <c r="A743" s="1"/>
      <c r="B743" s="1"/>
      <c r="C743" s="1"/>
      <c r="D743" s="1"/>
      <c r="E743" s="1"/>
      <c r="F743" s="1"/>
    </row>
    <row r="744" ht="16.5" customHeight="1">
      <c r="A744" s="1"/>
      <c r="B744" s="1"/>
      <c r="C744" s="1"/>
      <c r="D744" s="1"/>
      <c r="E744" s="1"/>
      <c r="F744" s="1"/>
    </row>
    <row r="745" ht="16.5" customHeight="1">
      <c r="A745" s="1"/>
      <c r="B745" s="1"/>
      <c r="C745" s="1"/>
      <c r="D745" s="1"/>
      <c r="E745" s="1"/>
      <c r="F745" s="1"/>
    </row>
    <row r="746" ht="16.5" customHeight="1">
      <c r="A746" s="1"/>
      <c r="B746" s="1"/>
      <c r="C746" s="1"/>
      <c r="D746" s="1"/>
      <c r="E746" s="1"/>
      <c r="F746" s="1"/>
    </row>
    <row r="747" ht="16.5" customHeight="1">
      <c r="A747" s="1"/>
      <c r="B747" s="1"/>
      <c r="C747" s="1"/>
      <c r="D747" s="1"/>
      <c r="E747" s="1"/>
      <c r="F747" s="1"/>
    </row>
    <row r="748" ht="16.5" customHeight="1">
      <c r="A748" s="1"/>
      <c r="B748" s="1"/>
      <c r="C748" s="1"/>
      <c r="D748" s="1"/>
      <c r="E748" s="1"/>
      <c r="F748" s="1"/>
    </row>
    <row r="749" ht="16.5" customHeight="1">
      <c r="A749" s="1"/>
      <c r="B749" s="1"/>
      <c r="C749" s="1"/>
      <c r="D749" s="1"/>
      <c r="E749" s="1"/>
      <c r="F749" s="1"/>
    </row>
    <row r="750" ht="16.5" customHeight="1">
      <c r="A750" s="1"/>
      <c r="B750" s="1"/>
      <c r="C750" s="1"/>
      <c r="D750" s="1"/>
      <c r="E750" s="1"/>
      <c r="F750" s="1"/>
    </row>
    <row r="751" ht="16.5" customHeight="1">
      <c r="A751" s="1"/>
      <c r="B751" s="1"/>
      <c r="C751" s="1"/>
      <c r="D751" s="1"/>
      <c r="E751" s="1"/>
      <c r="F751" s="1"/>
    </row>
    <row r="752" ht="16.5" customHeight="1">
      <c r="A752" s="1"/>
      <c r="B752" s="1"/>
      <c r="C752" s="1"/>
      <c r="D752" s="1"/>
      <c r="E752" s="1"/>
      <c r="F752" s="1"/>
    </row>
    <row r="753" ht="16.5" customHeight="1">
      <c r="A753" s="1"/>
      <c r="B753" s="1"/>
      <c r="C753" s="1"/>
      <c r="D753" s="1"/>
      <c r="E753" s="1"/>
      <c r="F753" s="1"/>
    </row>
    <row r="754" ht="16.5" customHeight="1">
      <c r="A754" s="1"/>
      <c r="B754" s="1"/>
      <c r="C754" s="1"/>
      <c r="D754" s="1"/>
      <c r="E754" s="1"/>
      <c r="F754" s="1"/>
    </row>
    <row r="755" ht="16.5" customHeight="1">
      <c r="A755" s="1"/>
      <c r="B755" s="1"/>
      <c r="C755" s="1"/>
      <c r="D755" s="1"/>
      <c r="E755" s="1"/>
      <c r="F755" s="1"/>
    </row>
    <row r="756" ht="16.5" customHeight="1">
      <c r="A756" s="1"/>
      <c r="B756" s="1"/>
      <c r="C756" s="1"/>
      <c r="D756" s="1"/>
      <c r="E756" s="1"/>
      <c r="F756" s="1"/>
    </row>
    <row r="757" ht="16.5" customHeight="1">
      <c r="A757" s="1"/>
      <c r="B757" s="1"/>
      <c r="C757" s="1"/>
      <c r="D757" s="1"/>
      <c r="E757" s="1"/>
      <c r="F757" s="1"/>
    </row>
    <row r="758" ht="16.5" customHeight="1">
      <c r="A758" s="1"/>
      <c r="B758" s="1"/>
      <c r="C758" s="1"/>
      <c r="D758" s="1"/>
      <c r="E758" s="1"/>
      <c r="F758" s="1"/>
    </row>
    <row r="759" ht="16.5" customHeight="1">
      <c r="A759" s="1"/>
      <c r="B759" s="1"/>
      <c r="C759" s="1"/>
      <c r="D759" s="1"/>
      <c r="E759" s="1"/>
      <c r="F759" s="1"/>
    </row>
    <row r="760" ht="16.5" customHeight="1">
      <c r="A760" s="1"/>
      <c r="B760" s="1"/>
      <c r="C760" s="1"/>
      <c r="D760" s="1"/>
      <c r="E760" s="1"/>
      <c r="F760" s="1"/>
    </row>
    <row r="761" ht="16.5" customHeight="1">
      <c r="A761" s="1"/>
      <c r="B761" s="1"/>
      <c r="C761" s="1"/>
      <c r="D761" s="1"/>
      <c r="E761" s="1"/>
      <c r="F761" s="1"/>
    </row>
    <row r="762" ht="16.5" customHeight="1">
      <c r="A762" s="1"/>
      <c r="B762" s="1"/>
      <c r="C762" s="1"/>
      <c r="D762" s="1"/>
      <c r="E762" s="1"/>
      <c r="F762" s="1"/>
    </row>
    <row r="763" ht="16.5" customHeight="1">
      <c r="A763" s="1"/>
      <c r="B763" s="1"/>
      <c r="C763" s="1"/>
      <c r="D763" s="1"/>
      <c r="E763" s="1"/>
      <c r="F763" s="1"/>
    </row>
    <row r="764" ht="16.5" customHeight="1">
      <c r="A764" s="1"/>
      <c r="B764" s="1"/>
      <c r="C764" s="1"/>
      <c r="D764" s="1"/>
      <c r="E764" s="1"/>
      <c r="F764" s="1"/>
    </row>
    <row r="765" ht="16.5" customHeight="1">
      <c r="A765" s="1"/>
      <c r="B765" s="1"/>
      <c r="C765" s="1"/>
      <c r="D765" s="1"/>
      <c r="E765" s="1"/>
      <c r="F765" s="1"/>
    </row>
    <row r="766" ht="16.5" customHeight="1">
      <c r="A766" s="1"/>
      <c r="B766" s="1"/>
      <c r="C766" s="1"/>
      <c r="D766" s="1"/>
      <c r="E766" s="1"/>
      <c r="F766" s="1"/>
    </row>
    <row r="767" ht="16.5" customHeight="1">
      <c r="A767" s="1"/>
      <c r="B767" s="1"/>
      <c r="C767" s="1"/>
      <c r="D767" s="1"/>
      <c r="E767" s="1"/>
      <c r="F767" s="1"/>
    </row>
    <row r="768" ht="16.5" customHeight="1">
      <c r="A768" s="1"/>
      <c r="B768" s="1"/>
      <c r="C768" s="1"/>
      <c r="D768" s="1"/>
      <c r="E768" s="1"/>
      <c r="F768" s="1"/>
    </row>
    <row r="769" ht="16.5" customHeight="1">
      <c r="A769" s="1"/>
      <c r="B769" s="1"/>
      <c r="C769" s="1"/>
      <c r="D769" s="1"/>
      <c r="E769" s="1"/>
      <c r="F769" s="1"/>
    </row>
    <row r="770" ht="16.5" customHeight="1">
      <c r="A770" s="1"/>
      <c r="B770" s="1"/>
      <c r="C770" s="1"/>
      <c r="D770" s="1"/>
      <c r="E770" s="1"/>
      <c r="F770" s="1"/>
    </row>
    <row r="771" ht="16.5" customHeight="1">
      <c r="A771" s="1"/>
      <c r="B771" s="1"/>
      <c r="C771" s="1"/>
      <c r="D771" s="1"/>
      <c r="E771" s="1"/>
      <c r="F771" s="1"/>
    </row>
    <row r="772" ht="16.5" customHeight="1">
      <c r="A772" s="1"/>
      <c r="B772" s="1"/>
      <c r="C772" s="1"/>
      <c r="D772" s="1"/>
      <c r="E772" s="1"/>
      <c r="F772" s="1"/>
    </row>
    <row r="773" ht="16.5" customHeight="1">
      <c r="A773" s="1"/>
      <c r="B773" s="1"/>
      <c r="C773" s="1"/>
      <c r="D773" s="1"/>
      <c r="E773" s="1"/>
      <c r="F773" s="1"/>
    </row>
    <row r="774" ht="16.5" customHeight="1">
      <c r="A774" s="1"/>
      <c r="B774" s="1"/>
      <c r="C774" s="1"/>
      <c r="D774" s="1"/>
      <c r="E774" s="1"/>
      <c r="F774" s="1"/>
    </row>
    <row r="775" ht="16.5" customHeight="1">
      <c r="A775" s="1"/>
      <c r="B775" s="1"/>
      <c r="C775" s="1"/>
      <c r="D775" s="1"/>
      <c r="E775" s="1"/>
      <c r="F775" s="1"/>
    </row>
    <row r="776" ht="16.5" customHeight="1">
      <c r="A776" s="1"/>
      <c r="B776" s="1"/>
      <c r="C776" s="1"/>
      <c r="D776" s="1"/>
      <c r="E776" s="1"/>
      <c r="F776" s="1"/>
    </row>
    <row r="777" ht="16.5" customHeight="1">
      <c r="A777" s="1"/>
      <c r="B777" s="1"/>
      <c r="C777" s="1"/>
      <c r="D777" s="1"/>
      <c r="E777" s="1"/>
      <c r="F777" s="1"/>
    </row>
    <row r="778" ht="16.5" customHeight="1">
      <c r="A778" s="1"/>
      <c r="B778" s="1"/>
      <c r="C778" s="1"/>
      <c r="D778" s="1"/>
      <c r="E778" s="1"/>
      <c r="F778" s="1"/>
    </row>
    <row r="779" ht="16.5" customHeight="1">
      <c r="A779" s="1"/>
      <c r="B779" s="1"/>
      <c r="C779" s="1"/>
      <c r="D779" s="1"/>
      <c r="E779" s="1"/>
      <c r="F779" s="1"/>
    </row>
    <row r="780" ht="16.5" customHeight="1">
      <c r="A780" s="1"/>
      <c r="B780" s="1"/>
      <c r="C780" s="1"/>
      <c r="D780" s="1"/>
      <c r="E780" s="1"/>
      <c r="F780" s="1"/>
    </row>
    <row r="781" ht="16.5" customHeight="1">
      <c r="A781" s="1"/>
      <c r="B781" s="1"/>
      <c r="C781" s="1"/>
      <c r="D781" s="1"/>
      <c r="E781" s="1"/>
      <c r="F781" s="1"/>
    </row>
    <row r="782" ht="16.5" customHeight="1">
      <c r="A782" s="1"/>
      <c r="B782" s="1"/>
      <c r="C782" s="1"/>
      <c r="D782" s="1"/>
      <c r="E782" s="1"/>
      <c r="F782" s="1"/>
    </row>
    <row r="783" ht="16.5" customHeight="1">
      <c r="A783" s="1"/>
      <c r="B783" s="1"/>
      <c r="C783" s="1"/>
      <c r="D783" s="1"/>
      <c r="E783" s="1"/>
      <c r="F783" s="1"/>
    </row>
    <row r="784" ht="16.5" customHeight="1">
      <c r="A784" s="1"/>
      <c r="B784" s="1"/>
      <c r="C784" s="1"/>
      <c r="D784" s="1"/>
      <c r="E784" s="1"/>
      <c r="F784" s="1"/>
    </row>
    <row r="785" ht="16.5" customHeight="1">
      <c r="A785" s="1"/>
      <c r="B785" s="1"/>
      <c r="C785" s="1"/>
      <c r="D785" s="1"/>
      <c r="E785" s="1"/>
      <c r="F785" s="1"/>
    </row>
    <row r="786" ht="16.5" customHeight="1">
      <c r="A786" s="1"/>
      <c r="B786" s="1"/>
      <c r="C786" s="1"/>
      <c r="D786" s="1"/>
      <c r="E786" s="1"/>
      <c r="F786" s="1"/>
    </row>
    <row r="787" ht="16.5" customHeight="1">
      <c r="A787" s="1"/>
      <c r="B787" s="1"/>
      <c r="C787" s="1"/>
      <c r="D787" s="1"/>
      <c r="E787" s="1"/>
      <c r="F787" s="1"/>
    </row>
    <row r="788" ht="16.5" customHeight="1">
      <c r="A788" s="1"/>
      <c r="B788" s="1"/>
      <c r="C788" s="1"/>
      <c r="D788" s="1"/>
      <c r="E788" s="1"/>
      <c r="F788" s="1"/>
    </row>
    <row r="789" ht="16.5" customHeight="1">
      <c r="A789" s="1"/>
      <c r="B789" s="1"/>
      <c r="C789" s="1"/>
      <c r="D789" s="1"/>
      <c r="E789" s="1"/>
      <c r="F789" s="1"/>
    </row>
    <row r="790" ht="16.5" customHeight="1">
      <c r="A790" s="1"/>
      <c r="B790" s="1"/>
      <c r="C790" s="1"/>
      <c r="D790" s="1"/>
      <c r="E790" s="1"/>
      <c r="F790" s="1"/>
    </row>
    <row r="791" ht="16.5" customHeight="1">
      <c r="A791" s="1"/>
      <c r="B791" s="1"/>
      <c r="C791" s="1"/>
      <c r="D791" s="1"/>
      <c r="E791" s="1"/>
      <c r="F791" s="1"/>
    </row>
    <row r="792" ht="16.5" customHeight="1">
      <c r="A792" s="1"/>
      <c r="B792" s="1"/>
      <c r="C792" s="1"/>
      <c r="D792" s="1"/>
      <c r="E792" s="1"/>
      <c r="F792" s="1"/>
    </row>
    <row r="793" ht="16.5" customHeight="1">
      <c r="A793" s="1"/>
      <c r="B793" s="1"/>
      <c r="C793" s="1"/>
      <c r="D793" s="1"/>
      <c r="E793" s="1"/>
      <c r="F793" s="1"/>
    </row>
    <row r="794" ht="16.5" customHeight="1">
      <c r="A794" s="1"/>
      <c r="B794" s="1"/>
      <c r="C794" s="1"/>
      <c r="D794" s="1"/>
      <c r="E794" s="1"/>
      <c r="F794" s="1"/>
    </row>
    <row r="795" ht="16.5" customHeight="1">
      <c r="A795" s="1"/>
      <c r="B795" s="1"/>
      <c r="C795" s="1"/>
      <c r="D795" s="1"/>
      <c r="E795" s="1"/>
      <c r="F795" s="1"/>
    </row>
    <row r="796" ht="16.5" customHeight="1">
      <c r="A796" s="1"/>
      <c r="B796" s="1"/>
      <c r="C796" s="1"/>
      <c r="D796" s="1"/>
      <c r="E796" s="1"/>
      <c r="F796" s="1"/>
    </row>
    <row r="797" ht="16.5" customHeight="1">
      <c r="A797" s="1"/>
      <c r="B797" s="1"/>
      <c r="C797" s="1"/>
      <c r="D797" s="1"/>
      <c r="E797" s="1"/>
      <c r="F797" s="1"/>
    </row>
    <row r="798" ht="16.5" customHeight="1">
      <c r="A798" s="1"/>
      <c r="B798" s="1"/>
      <c r="C798" s="1"/>
      <c r="D798" s="1"/>
      <c r="E798" s="1"/>
      <c r="F798" s="1"/>
    </row>
    <row r="799" ht="16.5" customHeight="1">
      <c r="A799" s="1"/>
      <c r="B799" s="1"/>
      <c r="C799" s="1"/>
      <c r="D799" s="1"/>
      <c r="E799" s="1"/>
      <c r="F799" s="1"/>
    </row>
    <row r="800" ht="16.5" customHeight="1">
      <c r="A800" s="1"/>
      <c r="B800" s="1"/>
      <c r="C800" s="1"/>
      <c r="D800" s="1"/>
      <c r="E800" s="1"/>
      <c r="F800" s="1"/>
    </row>
    <row r="801" ht="16.5" customHeight="1">
      <c r="A801" s="1"/>
      <c r="B801" s="1"/>
      <c r="C801" s="1"/>
      <c r="D801" s="1"/>
      <c r="E801" s="1"/>
      <c r="F801" s="1"/>
    </row>
    <row r="802" ht="16.5" customHeight="1">
      <c r="A802" s="1"/>
      <c r="B802" s="1"/>
      <c r="C802" s="1"/>
      <c r="D802" s="1"/>
      <c r="E802" s="1"/>
      <c r="F802" s="1"/>
    </row>
    <row r="803" ht="16.5" customHeight="1">
      <c r="A803" s="1"/>
      <c r="B803" s="1"/>
      <c r="C803" s="1"/>
      <c r="D803" s="1"/>
      <c r="E803" s="1"/>
      <c r="F803" s="1"/>
    </row>
    <row r="804" ht="16.5" customHeight="1">
      <c r="A804" s="1"/>
      <c r="B804" s="1"/>
      <c r="C804" s="1"/>
      <c r="D804" s="1"/>
      <c r="E804" s="1"/>
      <c r="F804" s="1"/>
    </row>
    <row r="805" ht="16.5" customHeight="1">
      <c r="A805" s="1"/>
      <c r="B805" s="1"/>
      <c r="C805" s="1"/>
      <c r="D805" s="1"/>
      <c r="E805" s="1"/>
      <c r="F805" s="1"/>
    </row>
    <row r="806" ht="16.5" customHeight="1">
      <c r="A806" s="1"/>
      <c r="B806" s="1"/>
      <c r="C806" s="1"/>
      <c r="D806" s="1"/>
      <c r="E806" s="1"/>
      <c r="F806" s="1"/>
    </row>
    <row r="807" ht="16.5" customHeight="1">
      <c r="A807" s="1"/>
      <c r="B807" s="1"/>
      <c r="C807" s="1"/>
      <c r="D807" s="1"/>
      <c r="E807" s="1"/>
      <c r="F807" s="1"/>
    </row>
    <row r="808" ht="16.5" customHeight="1">
      <c r="A808" s="1"/>
      <c r="B808" s="1"/>
      <c r="C808" s="1"/>
      <c r="D808" s="1"/>
      <c r="E808" s="1"/>
      <c r="F808" s="1"/>
    </row>
    <row r="809" ht="16.5" customHeight="1">
      <c r="A809" s="1"/>
      <c r="B809" s="1"/>
      <c r="C809" s="1"/>
      <c r="D809" s="1"/>
      <c r="E809" s="1"/>
      <c r="F809" s="1"/>
    </row>
    <row r="810" ht="16.5" customHeight="1">
      <c r="A810" s="1"/>
      <c r="B810" s="1"/>
      <c r="C810" s="1"/>
      <c r="D810" s="1"/>
      <c r="E810" s="1"/>
      <c r="F810" s="1"/>
    </row>
    <row r="811" ht="16.5" customHeight="1">
      <c r="A811" s="1"/>
      <c r="B811" s="1"/>
      <c r="C811" s="1"/>
      <c r="D811" s="1"/>
      <c r="E811" s="1"/>
      <c r="F811" s="1"/>
    </row>
    <row r="812" ht="16.5" customHeight="1">
      <c r="A812" s="1"/>
      <c r="B812" s="1"/>
      <c r="C812" s="1"/>
      <c r="D812" s="1"/>
      <c r="E812" s="1"/>
      <c r="F812" s="1"/>
    </row>
    <row r="813" ht="16.5" customHeight="1">
      <c r="A813" s="1"/>
      <c r="B813" s="1"/>
      <c r="C813" s="1"/>
      <c r="D813" s="1"/>
      <c r="E813" s="1"/>
      <c r="F813" s="1"/>
    </row>
    <row r="814" ht="16.5" customHeight="1">
      <c r="A814" s="1"/>
      <c r="B814" s="1"/>
      <c r="C814" s="1"/>
      <c r="D814" s="1"/>
      <c r="E814" s="1"/>
      <c r="F814" s="1"/>
    </row>
    <row r="815" ht="16.5" customHeight="1">
      <c r="A815" s="1"/>
      <c r="B815" s="1"/>
      <c r="C815" s="1"/>
      <c r="D815" s="1"/>
      <c r="E815" s="1"/>
      <c r="F815" s="1"/>
    </row>
    <row r="816" ht="16.5" customHeight="1">
      <c r="A816" s="1"/>
      <c r="B816" s="1"/>
      <c r="C816" s="1"/>
      <c r="D816" s="1"/>
      <c r="E816" s="1"/>
      <c r="F816" s="1"/>
    </row>
    <row r="817" ht="16.5" customHeight="1">
      <c r="A817" s="1"/>
      <c r="B817" s="1"/>
      <c r="C817" s="1"/>
      <c r="D817" s="1"/>
      <c r="E817" s="1"/>
      <c r="F817" s="1"/>
    </row>
    <row r="818" ht="16.5" customHeight="1">
      <c r="A818" s="1"/>
      <c r="B818" s="1"/>
      <c r="C818" s="1"/>
      <c r="D818" s="1"/>
      <c r="E818" s="1"/>
      <c r="F818" s="1"/>
    </row>
    <row r="819" ht="16.5" customHeight="1">
      <c r="A819" s="1"/>
      <c r="B819" s="1"/>
      <c r="C819" s="1"/>
      <c r="D819" s="1"/>
      <c r="E819" s="1"/>
      <c r="F819" s="1"/>
    </row>
    <row r="820" ht="16.5" customHeight="1">
      <c r="A820" s="1"/>
      <c r="B820" s="1"/>
      <c r="C820" s="1"/>
      <c r="D820" s="1"/>
      <c r="E820" s="1"/>
      <c r="F820" s="1"/>
    </row>
    <row r="821" ht="16.5" customHeight="1">
      <c r="A821" s="1"/>
      <c r="B821" s="1"/>
      <c r="C821" s="1"/>
      <c r="D821" s="1"/>
      <c r="E821" s="1"/>
      <c r="F821" s="1"/>
    </row>
    <row r="822" ht="16.5" customHeight="1">
      <c r="A822" s="1"/>
      <c r="B822" s="1"/>
      <c r="C822" s="1"/>
      <c r="D822" s="1"/>
      <c r="E822" s="1"/>
      <c r="F822" s="1"/>
    </row>
    <row r="823" ht="16.5" customHeight="1">
      <c r="A823" s="1"/>
      <c r="B823" s="1"/>
      <c r="C823" s="1"/>
      <c r="D823" s="1"/>
      <c r="E823" s="1"/>
      <c r="F823" s="1"/>
    </row>
    <row r="824" ht="16.5" customHeight="1">
      <c r="A824" s="1"/>
      <c r="B824" s="1"/>
      <c r="C824" s="1"/>
      <c r="D824" s="1"/>
      <c r="E824" s="1"/>
      <c r="F824" s="1"/>
    </row>
    <row r="825" ht="16.5" customHeight="1">
      <c r="A825" s="1"/>
      <c r="B825" s="1"/>
      <c r="C825" s="1"/>
      <c r="D825" s="1"/>
      <c r="E825" s="1"/>
      <c r="F825" s="1"/>
    </row>
    <row r="826" ht="16.5" customHeight="1">
      <c r="A826" s="1"/>
      <c r="B826" s="1"/>
      <c r="C826" s="1"/>
      <c r="D826" s="1"/>
      <c r="E826" s="1"/>
      <c r="F826" s="1"/>
    </row>
    <row r="827" ht="16.5" customHeight="1">
      <c r="A827" s="1"/>
      <c r="B827" s="1"/>
      <c r="C827" s="1"/>
      <c r="D827" s="1"/>
      <c r="E827" s="1"/>
      <c r="F827" s="1"/>
    </row>
    <row r="828" ht="16.5" customHeight="1">
      <c r="A828" s="1"/>
      <c r="B828" s="1"/>
      <c r="C828" s="1"/>
      <c r="D828" s="1"/>
      <c r="E828" s="1"/>
      <c r="F828" s="1"/>
    </row>
    <row r="829" ht="16.5" customHeight="1">
      <c r="A829" s="1"/>
      <c r="B829" s="1"/>
      <c r="C829" s="1"/>
      <c r="D829" s="1"/>
      <c r="E829" s="1"/>
      <c r="F829" s="1"/>
    </row>
    <row r="830" ht="16.5" customHeight="1">
      <c r="A830" s="1"/>
      <c r="B830" s="1"/>
      <c r="C830" s="1"/>
      <c r="D830" s="1"/>
      <c r="E830" s="1"/>
      <c r="F830" s="1"/>
    </row>
    <row r="831" ht="16.5" customHeight="1">
      <c r="A831" s="1"/>
      <c r="B831" s="1"/>
      <c r="C831" s="1"/>
      <c r="D831" s="1"/>
      <c r="E831" s="1"/>
      <c r="F831" s="1"/>
    </row>
    <row r="832" ht="16.5" customHeight="1">
      <c r="A832" s="1"/>
      <c r="B832" s="1"/>
      <c r="C832" s="1"/>
      <c r="D832" s="1"/>
      <c r="E832" s="1"/>
      <c r="F832" s="1"/>
    </row>
    <row r="833" ht="16.5" customHeight="1">
      <c r="A833" s="1"/>
      <c r="B833" s="1"/>
      <c r="C833" s="1"/>
      <c r="D833" s="1"/>
      <c r="E833" s="1"/>
      <c r="F833" s="1"/>
    </row>
    <row r="834" ht="16.5" customHeight="1">
      <c r="A834" s="1"/>
      <c r="B834" s="1"/>
      <c r="C834" s="1"/>
      <c r="D834" s="1"/>
      <c r="E834" s="1"/>
      <c r="F834" s="1"/>
    </row>
    <row r="835" ht="16.5" customHeight="1">
      <c r="A835" s="1"/>
      <c r="B835" s="1"/>
      <c r="C835" s="1"/>
      <c r="D835" s="1"/>
      <c r="E835" s="1"/>
      <c r="F835" s="1"/>
    </row>
    <row r="836" ht="16.5" customHeight="1">
      <c r="A836" s="1"/>
      <c r="B836" s="1"/>
      <c r="C836" s="1"/>
      <c r="D836" s="1"/>
      <c r="E836" s="1"/>
      <c r="F836" s="1"/>
    </row>
    <row r="837" ht="16.5" customHeight="1">
      <c r="A837" s="1"/>
      <c r="B837" s="1"/>
      <c r="C837" s="1"/>
      <c r="D837" s="1"/>
      <c r="E837" s="1"/>
      <c r="F837" s="1"/>
    </row>
    <row r="838" ht="16.5" customHeight="1">
      <c r="A838" s="1"/>
      <c r="B838" s="1"/>
      <c r="C838" s="1"/>
      <c r="D838" s="1"/>
      <c r="E838" s="1"/>
      <c r="F838" s="1"/>
    </row>
    <row r="839" ht="16.5" customHeight="1">
      <c r="A839" s="1"/>
      <c r="B839" s="1"/>
      <c r="C839" s="1"/>
      <c r="D839" s="1"/>
      <c r="E839" s="1"/>
      <c r="F839" s="1"/>
    </row>
    <row r="840" ht="16.5" customHeight="1">
      <c r="A840" s="1"/>
      <c r="B840" s="1"/>
      <c r="C840" s="1"/>
      <c r="D840" s="1"/>
      <c r="E840" s="1"/>
      <c r="F840" s="1"/>
    </row>
    <row r="841" ht="16.5" customHeight="1">
      <c r="A841" s="1"/>
      <c r="B841" s="1"/>
      <c r="C841" s="1"/>
      <c r="D841" s="1"/>
      <c r="E841" s="1"/>
      <c r="F841" s="1"/>
    </row>
    <row r="842" ht="16.5" customHeight="1">
      <c r="A842" s="1"/>
      <c r="B842" s="1"/>
      <c r="C842" s="1"/>
      <c r="D842" s="1"/>
      <c r="E842" s="1"/>
      <c r="F842" s="1"/>
    </row>
    <row r="843" ht="16.5" customHeight="1">
      <c r="A843" s="1"/>
      <c r="B843" s="1"/>
      <c r="C843" s="1"/>
      <c r="D843" s="1"/>
      <c r="E843" s="1"/>
      <c r="F843" s="1"/>
    </row>
    <row r="844" ht="16.5" customHeight="1">
      <c r="A844" s="1"/>
      <c r="B844" s="1"/>
      <c r="C844" s="1"/>
      <c r="D844" s="1"/>
      <c r="E844" s="1"/>
      <c r="F844" s="1"/>
    </row>
    <row r="845" ht="16.5" customHeight="1">
      <c r="A845" s="1"/>
      <c r="B845" s="1"/>
      <c r="C845" s="1"/>
      <c r="D845" s="1"/>
      <c r="E845" s="1"/>
      <c r="F845" s="1"/>
    </row>
    <row r="846" ht="16.5" customHeight="1">
      <c r="A846" s="1"/>
      <c r="B846" s="1"/>
      <c r="C846" s="1"/>
      <c r="D846" s="1"/>
      <c r="E846" s="1"/>
      <c r="F846" s="1"/>
    </row>
    <row r="847" ht="16.5" customHeight="1">
      <c r="A847" s="1"/>
      <c r="B847" s="1"/>
      <c r="C847" s="1"/>
      <c r="D847" s="1"/>
      <c r="E847" s="1"/>
      <c r="F847" s="1"/>
    </row>
    <row r="848" ht="16.5" customHeight="1">
      <c r="A848" s="1"/>
      <c r="B848" s="1"/>
      <c r="C848" s="1"/>
      <c r="D848" s="1"/>
      <c r="E848" s="1"/>
      <c r="F848" s="1"/>
    </row>
    <row r="849" ht="16.5" customHeight="1">
      <c r="A849" s="1"/>
      <c r="B849" s="1"/>
      <c r="C849" s="1"/>
      <c r="D849" s="1"/>
      <c r="E849" s="1"/>
      <c r="F849" s="1"/>
    </row>
    <row r="850" ht="16.5" customHeight="1">
      <c r="A850" s="1"/>
      <c r="B850" s="1"/>
      <c r="C850" s="1"/>
      <c r="D850" s="1"/>
      <c r="E850" s="1"/>
      <c r="F850" s="1"/>
    </row>
    <row r="851" ht="16.5" customHeight="1">
      <c r="A851" s="1"/>
      <c r="B851" s="1"/>
      <c r="C851" s="1"/>
      <c r="D851" s="1"/>
      <c r="E851" s="1"/>
      <c r="F851" s="1"/>
    </row>
    <row r="852" ht="16.5" customHeight="1">
      <c r="A852" s="1"/>
      <c r="B852" s="1"/>
      <c r="C852" s="1"/>
      <c r="D852" s="1"/>
      <c r="E852" s="1"/>
      <c r="F852" s="1"/>
    </row>
    <row r="853" ht="16.5" customHeight="1">
      <c r="A853" s="1"/>
      <c r="B853" s="1"/>
      <c r="C853" s="1"/>
      <c r="D853" s="1"/>
      <c r="E853" s="1"/>
      <c r="F853" s="1"/>
    </row>
    <row r="854" ht="16.5" customHeight="1">
      <c r="A854" s="1"/>
      <c r="B854" s="1"/>
      <c r="C854" s="1"/>
      <c r="D854" s="1"/>
      <c r="E854" s="1"/>
      <c r="F854" s="1"/>
    </row>
    <row r="855" ht="16.5" customHeight="1">
      <c r="A855" s="1"/>
      <c r="B855" s="1"/>
      <c r="C855" s="1"/>
      <c r="D855" s="1"/>
      <c r="E855" s="1"/>
      <c r="F855" s="1"/>
    </row>
    <row r="856" ht="16.5" customHeight="1">
      <c r="A856" s="1"/>
      <c r="B856" s="1"/>
      <c r="C856" s="1"/>
      <c r="D856" s="1"/>
      <c r="E856" s="1"/>
      <c r="F856" s="1"/>
    </row>
    <row r="857" ht="16.5" customHeight="1">
      <c r="A857" s="1"/>
      <c r="B857" s="1"/>
      <c r="C857" s="1"/>
      <c r="D857" s="1"/>
      <c r="E857" s="1"/>
      <c r="F857" s="1"/>
    </row>
    <row r="858" ht="16.5" customHeight="1">
      <c r="A858" s="1"/>
      <c r="B858" s="1"/>
      <c r="C858" s="1"/>
      <c r="D858" s="1"/>
      <c r="E858" s="1"/>
      <c r="F858" s="1"/>
    </row>
    <row r="859" ht="16.5" customHeight="1">
      <c r="A859" s="1"/>
      <c r="B859" s="1"/>
      <c r="C859" s="1"/>
      <c r="D859" s="1"/>
      <c r="E859" s="1"/>
      <c r="F859" s="1"/>
    </row>
    <row r="860" ht="16.5" customHeight="1">
      <c r="A860" s="1"/>
      <c r="B860" s="1"/>
      <c r="C860" s="1"/>
      <c r="D860" s="1"/>
      <c r="E860" s="1"/>
      <c r="F860" s="1"/>
    </row>
    <row r="861" ht="16.5" customHeight="1">
      <c r="A861" s="1"/>
      <c r="B861" s="1"/>
      <c r="C861" s="1"/>
      <c r="D861" s="1"/>
      <c r="E861" s="1"/>
      <c r="F861" s="1"/>
    </row>
    <row r="862" ht="16.5" customHeight="1">
      <c r="A862" s="1"/>
      <c r="B862" s="1"/>
      <c r="C862" s="1"/>
      <c r="D862" s="1"/>
      <c r="E862" s="1"/>
      <c r="F862" s="1"/>
    </row>
    <row r="863" ht="16.5" customHeight="1">
      <c r="A863" s="1"/>
      <c r="B863" s="1"/>
      <c r="C863" s="1"/>
      <c r="D863" s="1"/>
      <c r="E863" s="1"/>
      <c r="F863" s="1"/>
    </row>
    <row r="864" ht="16.5" customHeight="1">
      <c r="A864" s="1"/>
      <c r="B864" s="1"/>
      <c r="C864" s="1"/>
      <c r="D864" s="1"/>
      <c r="E864" s="1"/>
      <c r="F864" s="1"/>
    </row>
    <row r="865" ht="16.5" customHeight="1">
      <c r="A865" s="1"/>
      <c r="B865" s="1"/>
      <c r="C865" s="1"/>
      <c r="D865" s="1"/>
      <c r="E865" s="1"/>
      <c r="F865" s="1"/>
    </row>
    <row r="866" ht="16.5" customHeight="1">
      <c r="A866" s="1"/>
      <c r="B866" s="1"/>
      <c r="C866" s="1"/>
      <c r="D866" s="1"/>
      <c r="E866" s="1"/>
      <c r="F866" s="1"/>
    </row>
    <row r="867" ht="16.5" customHeight="1">
      <c r="A867" s="1"/>
      <c r="B867" s="1"/>
      <c r="C867" s="1"/>
      <c r="D867" s="1"/>
      <c r="E867" s="1"/>
      <c r="F867" s="1"/>
    </row>
    <row r="868" ht="16.5" customHeight="1">
      <c r="A868" s="1"/>
      <c r="B868" s="1"/>
      <c r="C868" s="1"/>
      <c r="D868" s="1"/>
      <c r="E868" s="1"/>
      <c r="F868" s="1"/>
    </row>
    <row r="869" ht="16.5" customHeight="1">
      <c r="A869" s="1"/>
      <c r="B869" s="1"/>
      <c r="C869" s="1"/>
      <c r="D869" s="1"/>
      <c r="E869" s="1"/>
      <c r="F869" s="1"/>
    </row>
    <row r="870" ht="16.5" customHeight="1">
      <c r="A870" s="1"/>
      <c r="B870" s="1"/>
      <c r="C870" s="1"/>
      <c r="D870" s="1"/>
      <c r="E870" s="1"/>
      <c r="F870" s="1"/>
    </row>
    <row r="871" ht="16.5" customHeight="1">
      <c r="A871" s="1"/>
      <c r="B871" s="1"/>
      <c r="C871" s="1"/>
      <c r="D871" s="1"/>
      <c r="E871" s="1"/>
      <c r="F871" s="1"/>
    </row>
    <row r="872" ht="16.5" customHeight="1">
      <c r="A872" s="1"/>
      <c r="B872" s="1"/>
      <c r="C872" s="1"/>
      <c r="D872" s="1"/>
      <c r="E872" s="1"/>
      <c r="F872" s="1"/>
    </row>
    <row r="873" ht="16.5" customHeight="1">
      <c r="A873" s="1"/>
      <c r="B873" s="1"/>
      <c r="C873" s="1"/>
      <c r="D873" s="1"/>
      <c r="E873" s="1"/>
      <c r="F873" s="1"/>
    </row>
    <row r="874" ht="16.5" customHeight="1">
      <c r="A874" s="1"/>
      <c r="B874" s="1"/>
      <c r="C874" s="1"/>
      <c r="D874" s="1"/>
      <c r="E874" s="1"/>
      <c r="F874" s="1"/>
    </row>
    <row r="875" ht="16.5" customHeight="1">
      <c r="A875" s="1"/>
      <c r="B875" s="1"/>
      <c r="C875" s="1"/>
      <c r="D875" s="1"/>
      <c r="E875" s="1"/>
      <c r="F875" s="1"/>
    </row>
    <row r="876" ht="16.5" customHeight="1">
      <c r="A876" s="1"/>
      <c r="B876" s="1"/>
      <c r="C876" s="1"/>
      <c r="D876" s="1"/>
      <c r="E876" s="1"/>
      <c r="F876" s="1"/>
    </row>
    <row r="877" ht="16.5" customHeight="1">
      <c r="A877" s="1"/>
      <c r="B877" s="1"/>
      <c r="C877" s="1"/>
      <c r="D877" s="1"/>
      <c r="E877" s="1"/>
      <c r="F877" s="1"/>
    </row>
    <row r="878" ht="16.5" customHeight="1">
      <c r="A878" s="1"/>
      <c r="B878" s="1"/>
      <c r="C878" s="1"/>
      <c r="D878" s="1"/>
      <c r="E878" s="1"/>
      <c r="F878" s="1"/>
    </row>
    <row r="879" ht="16.5" customHeight="1">
      <c r="A879" s="1"/>
      <c r="B879" s="1"/>
      <c r="C879" s="1"/>
      <c r="D879" s="1"/>
      <c r="E879" s="1"/>
      <c r="F879" s="1"/>
    </row>
    <row r="880" ht="16.5" customHeight="1">
      <c r="A880" s="1"/>
      <c r="B880" s="1"/>
      <c r="C880" s="1"/>
      <c r="D880" s="1"/>
      <c r="E880" s="1"/>
      <c r="F880" s="1"/>
    </row>
    <row r="881" ht="16.5" customHeight="1">
      <c r="A881" s="1"/>
      <c r="B881" s="1"/>
      <c r="C881" s="1"/>
      <c r="D881" s="1"/>
      <c r="E881" s="1"/>
      <c r="F881" s="1"/>
    </row>
    <row r="882" ht="16.5" customHeight="1">
      <c r="A882" s="1"/>
      <c r="B882" s="1"/>
      <c r="C882" s="1"/>
      <c r="D882" s="1"/>
      <c r="E882" s="1"/>
      <c r="F882" s="1"/>
    </row>
    <row r="883" ht="16.5" customHeight="1">
      <c r="A883" s="1"/>
      <c r="B883" s="1"/>
      <c r="C883" s="1"/>
      <c r="D883" s="1"/>
      <c r="E883" s="1"/>
      <c r="F883" s="1"/>
    </row>
    <row r="884" ht="16.5" customHeight="1">
      <c r="A884" s="1"/>
      <c r="B884" s="1"/>
      <c r="C884" s="1"/>
      <c r="D884" s="1"/>
      <c r="E884" s="1"/>
      <c r="F884" s="1"/>
    </row>
    <row r="885" ht="16.5" customHeight="1">
      <c r="A885" s="1"/>
      <c r="B885" s="1"/>
      <c r="C885" s="1"/>
      <c r="D885" s="1"/>
      <c r="E885" s="1"/>
      <c r="F885" s="1"/>
    </row>
    <row r="886" ht="16.5" customHeight="1">
      <c r="A886" s="1"/>
      <c r="B886" s="1"/>
      <c r="C886" s="1"/>
      <c r="D886" s="1"/>
      <c r="E886" s="1"/>
      <c r="F886" s="1"/>
    </row>
    <row r="887" ht="16.5" customHeight="1">
      <c r="A887" s="1"/>
      <c r="B887" s="1"/>
      <c r="C887" s="1"/>
      <c r="D887" s="1"/>
      <c r="E887" s="1"/>
      <c r="F887" s="1"/>
    </row>
    <row r="888" ht="16.5" customHeight="1">
      <c r="A888" s="1"/>
      <c r="B888" s="1"/>
      <c r="C888" s="1"/>
      <c r="D888" s="1"/>
      <c r="E888" s="1"/>
      <c r="F888" s="1"/>
    </row>
    <row r="889" ht="16.5" customHeight="1">
      <c r="A889" s="1"/>
      <c r="B889" s="1"/>
      <c r="C889" s="1"/>
      <c r="D889" s="1"/>
      <c r="E889" s="1"/>
      <c r="F889" s="1"/>
    </row>
    <row r="890" ht="16.5" customHeight="1">
      <c r="A890" s="1"/>
      <c r="B890" s="1"/>
      <c r="C890" s="1"/>
      <c r="D890" s="1"/>
      <c r="E890" s="1"/>
      <c r="F890" s="1"/>
    </row>
    <row r="891" ht="16.5" customHeight="1">
      <c r="A891" s="1"/>
      <c r="B891" s="1"/>
      <c r="C891" s="1"/>
      <c r="D891" s="1"/>
      <c r="E891" s="1"/>
      <c r="F891" s="1"/>
    </row>
    <row r="892" ht="16.5" customHeight="1">
      <c r="A892" s="1"/>
      <c r="B892" s="1"/>
      <c r="C892" s="1"/>
      <c r="D892" s="1"/>
      <c r="E892" s="1"/>
      <c r="F892" s="1"/>
    </row>
    <row r="893" ht="16.5" customHeight="1">
      <c r="A893" s="1"/>
      <c r="B893" s="1"/>
      <c r="C893" s="1"/>
      <c r="D893" s="1"/>
      <c r="E893" s="1"/>
      <c r="F893" s="1"/>
    </row>
    <row r="894" ht="16.5" customHeight="1">
      <c r="A894" s="1"/>
      <c r="B894" s="1"/>
      <c r="C894" s="1"/>
      <c r="D894" s="1"/>
      <c r="E894" s="1"/>
      <c r="F894" s="1"/>
    </row>
    <row r="895" ht="16.5" customHeight="1">
      <c r="A895" s="1"/>
      <c r="B895" s="1"/>
      <c r="C895" s="1"/>
      <c r="D895" s="1"/>
      <c r="E895" s="1"/>
      <c r="F895" s="1"/>
    </row>
    <row r="896" ht="16.5" customHeight="1">
      <c r="A896" s="1"/>
      <c r="B896" s="1"/>
      <c r="C896" s="1"/>
      <c r="D896" s="1"/>
      <c r="E896" s="1"/>
      <c r="F896" s="1"/>
    </row>
    <row r="897" ht="16.5" customHeight="1">
      <c r="A897" s="1"/>
      <c r="B897" s="1"/>
      <c r="C897" s="1"/>
      <c r="D897" s="1"/>
      <c r="E897" s="1"/>
      <c r="F897" s="1"/>
    </row>
    <row r="898" ht="16.5" customHeight="1">
      <c r="A898" s="1"/>
      <c r="B898" s="1"/>
      <c r="C898" s="1"/>
      <c r="D898" s="1"/>
      <c r="E898" s="1"/>
      <c r="F898" s="1"/>
    </row>
    <row r="899" ht="16.5" customHeight="1">
      <c r="A899" s="1"/>
      <c r="B899" s="1"/>
      <c r="C899" s="1"/>
      <c r="D899" s="1"/>
      <c r="E899" s="1"/>
      <c r="F899" s="1"/>
    </row>
    <row r="900" ht="16.5" customHeight="1">
      <c r="A900" s="1"/>
      <c r="B900" s="1"/>
      <c r="C900" s="1"/>
      <c r="D900" s="1"/>
      <c r="E900" s="1"/>
      <c r="F900" s="1"/>
    </row>
    <row r="901" ht="16.5" customHeight="1">
      <c r="A901" s="1"/>
      <c r="B901" s="1"/>
      <c r="C901" s="1"/>
      <c r="D901" s="1"/>
      <c r="E901" s="1"/>
      <c r="F901" s="1"/>
    </row>
    <row r="902" ht="16.5" customHeight="1">
      <c r="A902" s="1"/>
      <c r="B902" s="1"/>
      <c r="C902" s="1"/>
      <c r="D902" s="1"/>
      <c r="E902" s="1"/>
      <c r="F902" s="1"/>
    </row>
    <row r="903" ht="16.5" customHeight="1">
      <c r="A903" s="1"/>
      <c r="B903" s="1"/>
      <c r="C903" s="1"/>
      <c r="D903" s="1"/>
      <c r="E903" s="1"/>
      <c r="F903" s="1"/>
    </row>
    <row r="904" ht="16.5" customHeight="1">
      <c r="A904" s="1"/>
      <c r="B904" s="1"/>
      <c r="C904" s="1"/>
      <c r="D904" s="1"/>
      <c r="E904" s="1"/>
      <c r="F904" s="1"/>
    </row>
    <row r="905" ht="16.5" customHeight="1">
      <c r="A905" s="1"/>
      <c r="B905" s="1"/>
      <c r="C905" s="1"/>
      <c r="D905" s="1"/>
      <c r="E905" s="1"/>
      <c r="F905" s="1"/>
    </row>
    <row r="906" ht="16.5" customHeight="1">
      <c r="A906" s="1"/>
      <c r="B906" s="1"/>
      <c r="C906" s="1"/>
      <c r="D906" s="1"/>
      <c r="E906" s="1"/>
      <c r="F906" s="1"/>
    </row>
    <row r="907" ht="16.5" customHeight="1">
      <c r="A907" s="1"/>
      <c r="B907" s="1"/>
      <c r="C907" s="1"/>
      <c r="D907" s="1"/>
      <c r="E907" s="1"/>
      <c r="F907" s="1"/>
    </row>
    <row r="908" ht="16.5" customHeight="1">
      <c r="A908" s="1"/>
      <c r="B908" s="1"/>
      <c r="C908" s="1"/>
      <c r="D908" s="1"/>
      <c r="E908" s="1"/>
      <c r="F908" s="1"/>
    </row>
    <row r="909" ht="16.5" customHeight="1">
      <c r="A909" s="1"/>
      <c r="B909" s="1"/>
      <c r="C909" s="1"/>
      <c r="D909" s="1"/>
      <c r="E909" s="1"/>
      <c r="F909" s="1"/>
    </row>
    <row r="910" ht="16.5" customHeight="1">
      <c r="A910" s="1"/>
      <c r="B910" s="1"/>
      <c r="C910" s="1"/>
      <c r="D910" s="1"/>
      <c r="E910" s="1"/>
      <c r="F910" s="1"/>
    </row>
    <row r="911" ht="16.5" customHeight="1">
      <c r="A911" s="1"/>
      <c r="B911" s="1"/>
      <c r="C911" s="1"/>
      <c r="D911" s="1"/>
      <c r="E911" s="1"/>
      <c r="F911" s="1"/>
    </row>
    <row r="912" ht="16.5" customHeight="1">
      <c r="A912" s="1"/>
      <c r="B912" s="1"/>
      <c r="C912" s="1"/>
      <c r="D912" s="1"/>
      <c r="E912" s="1"/>
      <c r="F912" s="1"/>
    </row>
    <row r="913" ht="16.5" customHeight="1">
      <c r="A913" s="1"/>
      <c r="B913" s="1"/>
      <c r="C913" s="1"/>
      <c r="D913" s="1"/>
      <c r="E913" s="1"/>
      <c r="F913" s="1"/>
    </row>
    <row r="914" ht="16.5" customHeight="1">
      <c r="A914" s="1"/>
      <c r="B914" s="1"/>
      <c r="C914" s="1"/>
      <c r="D914" s="1"/>
      <c r="E914" s="1"/>
      <c r="F914" s="1"/>
    </row>
    <row r="915" ht="16.5" customHeight="1">
      <c r="A915" s="1"/>
      <c r="B915" s="1"/>
      <c r="C915" s="1"/>
      <c r="D915" s="1"/>
      <c r="E915" s="1"/>
      <c r="F915" s="1"/>
    </row>
    <row r="916" ht="16.5" customHeight="1">
      <c r="A916" s="1"/>
      <c r="B916" s="1"/>
      <c r="C916" s="1"/>
      <c r="D916" s="1"/>
      <c r="E916" s="1"/>
      <c r="F916" s="1"/>
    </row>
    <row r="917" ht="16.5" customHeight="1">
      <c r="A917" s="1"/>
      <c r="B917" s="1"/>
      <c r="C917" s="1"/>
      <c r="D917" s="1"/>
      <c r="E917" s="1"/>
      <c r="F917" s="1"/>
    </row>
    <row r="918" ht="16.5" customHeight="1">
      <c r="A918" s="1"/>
      <c r="B918" s="1"/>
      <c r="C918" s="1"/>
      <c r="D918" s="1"/>
      <c r="E918" s="1"/>
      <c r="F918" s="1"/>
    </row>
    <row r="919" ht="16.5" customHeight="1">
      <c r="A919" s="1"/>
      <c r="B919" s="1"/>
      <c r="C919" s="1"/>
      <c r="D919" s="1"/>
      <c r="E919" s="1"/>
      <c r="F919" s="1"/>
    </row>
    <row r="920" ht="16.5" customHeight="1">
      <c r="A920" s="1"/>
      <c r="B920" s="1"/>
      <c r="C920" s="1"/>
      <c r="D920" s="1"/>
      <c r="E920" s="1"/>
      <c r="F920" s="1"/>
    </row>
    <row r="921" ht="16.5" customHeight="1">
      <c r="A921" s="1"/>
      <c r="B921" s="1"/>
      <c r="C921" s="1"/>
      <c r="D921" s="1"/>
      <c r="E921" s="1"/>
      <c r="F921" s="1"/>
    </row>
    <row r="922" ht="16.5" customHeight="1">
      <c r="A922" s="1"/>
      <c r="B922" s="1"/>
      <c r="C922" s="1"/>
      <c r="D922" s="1"/>
      <c r="E922" s="1"/>
      <c r="F922" s="1"/>
    </row>
    <row r="923" ht="16.5" customHeight="1">
      <c r="A923" s="1"/>
      <c r="B923" s="1"/>
      <c r="C923" s="1"/>
      <c r="D923" s="1"/>
      <c r="E923" s="1"/>
      <c r="F923" s="1"/>
    </row>
    <row r="924" ht="16.5" customHeight="1">
      <c r="A924" s="1"/>
      <c r="B924" s="1"/>
      <c r="C924" s="1"/>
      <c r="D924" s="1"/>
      <c r="E924" s="1"/>
      <c r="F924" s="1"/>
    </row>
    <row r="925" ht="16.5" customHeight="1">
      <c r="A925" s="1"/>
      <c r="B925" s="1"/>
      <c r="C925" s="1"/>
      <c r="D925" s="1"/>
      <c r="E925" s="1"/>
      <c r="F925" s="1"/>
    </row>
    <row r="926" ht="16.5" customHeight="1">
      <c r="A926" s="1"/>
      <c r="B926" s="1"/>
      <c r="C926" s="1"/>
      <c r="D926" s="1"/>
      <c r="E926" s="1"/>
      <c r="F926" s="1"/>
    </row>
    <row r="927" ht="16.5" customHeight="1">
      <c r="A927" s="1"/>
      <c r="B927" s="1"/>
      <c r="C927" s="1"/>
      <c r="D927" s="1"/>
      <c r="E927" s="1"/>
      <c r="F927" s="1"/>
    </row>
    <row r="928" ht="16.5" customHeight="1">
      <c r="A928" s="1"/>
      <c r="B928" s="1"/>
      <c r="C928" s="1"/>
      <c r="D928" s="1"/>
      <c r="E928" s="1"/>
      <c r="F928" s="1"/>
    </row>
    <row r="929" ht="16.5" customHeight="1">
      <c r="A929" s="1"/>
      <c r="B929" s="1"/>
      <c r="C929" s="1"/>
      <c r="D929" s="1"/>
      <c r="E929" s="1"/>
      <c r="F929" s="1"/>
    </row>
    <row r="930" ht="16.5" customHeight="1">
      <c r="A930" s="1"/>
      <c r="B930" s="1"/>
      <c r="C930" s="1"/>
      <c r="D930" s="1"/>
      <c r="E930" s="1"/>
      <c r="F930" s="1"/>
    </row>
    <row r="931" ht="16.5" customHeight="1">
      <c r="A931" s="1"/>
      <c r="B931" s="1"/>
      <c r="C931" s="1"/>
      <c r="D931" s="1"/>
      <c r="E931" s="1"/>
      <c r="F931" s="1"/>
    </row>
    <row r="932" ht="16.5" customHeight="1">
      <c r="A932" s="1"/>
      <c r="B932" s="1"/>
      <c r="C932" s="1"/>
      <c r="D932" s="1"/>
      <c r="E932" s="1"/>
      <c r="F932" s="1"/>
    </row>
    <row r="933" ht="16.5" customHeight="1">
      <c r="A933" s="1"/>
      <c r="B933" s="1"/>
      <c r="C933" s="1"/>
      <c r="D933" s="1"/>
      <c r="E933" s="1"/>
      <c r="F933" s="1"/>
    </row>
    <row r="934" ht="16.5" customHeight="1">
      <c r="A934" s="1"/>
      <c r="B934" s="1"/>
      <c r="C934" s="1"/>
      <c r="D934" s="1"/>
      <c r="E934" s="1"/>
      <c r="F934" s="1"/>
    </row>
    <row r="935" ht="16.5" customHeight="1">
      <c r="A935" s="1"/>
      <c r="B935" s="1"/>
      <c r="C935" s="1"/>
      <c r="D935" s="1"/>
      <c r="E935" s="1"/>
      <c r="F935" s="1"/>
    </row>
    <row r="936" ht="16.5" customHeight="1">
      <c r="A936" s="1"/>
      <c r="B936" s="1"/>
      <c r="C936" s="1"/>
      <c r="D936" s="1"/>
      <c r="E936" s="1"/>
      <c r="F936" s="1"/>
    </row>
    <row r="937" ht="16.5" customHeight="1">
      <c r="A937" s="1"/>
      <c r="B937" s="1"/>
      <c r="C937" s="1"/>
      <c r="D937" s="1"/>
      <c r="E937" s="1"/>
      <c r="F937" s="1"/>
    </row>
    <row r="938" ht="16.5" customHeight="1">
      <c r="A938" s="1"/>
      <c r="B938" s="1"/>
      <c r="C938" s="1"/>
      <c r="D938" s="1"/>
      <c r="E938" s="1"/>
      <c r="F938" s="1"/>
    </row>
    <row r="939" ht="16.5" customHeight="1">
      <c r="A939" s="1"/>
      <c r="B939" s="1"/>
      <c r="C939" s="1"/>
      <c r="D939" s="1"/>
      <c r="E939" s="1"/>
      <c r="F939" s="1"/>
    </row>
    <row r="940" ht="16.5" customHeight="1">
      <c r="A940" s="1"/>
      <c r="B940" s="1"/>
      <c r="C940" s="1"/>
      <c r="D940" s="1"/>
      <c r="E940" s="1"/>
      <c r="F940" s="1"/>
    </row>
    <row r="941" ht="16.5" customHeight="1">
      <c r="A941" s="1"/>
      <c r="B941" s="1"/>
      <c r="C941" s="1"/>
      <c r="D941" s="1"/>
      <c r="E941" s="1"/>
      <c r="F941" s="1"/>
    </row>
    <row r="942" ht="16.5" customHeight="1">
      <c r="A942" s="1"/>
      <c r="B942" s="1"/>
      <c r="C942" s="1"/>
      <c r="D942" s="1"/>
      <c r="E942" s="1"/>
      <c r="F942" s="1"/>
    </row>
    <row r="943" ht="16.5" customHeight="1">
      <c r="A943" s="1"/>
      <c r="B943" s="1"/>
      <c r="C943" s="1"/>
      <c r="D943" s="1"/>
      <c r="E943" s="1"/>
      <c r="F943" s="1"/>
    </row>
    <row r="944" ht="16.5" customHeight="1">
      <c r="A944" s="1"/>
      <c r="B944" s="1"/>
      <c r="C944" s="1"/>
      <c r="D944" s="1"/>
      <c r="E944" s="1"/>
      <c r="F944" s="1"/>
    </row>
    <row r="945" ht="16.5" customHeight="1">
      <c r="A945" s="1"/>
      <c r="B945" s="1"/>
      <c r="C945" s="1"/>
      <c r="D945" s="1"/>
      <c r="E945" s="1"/>
      <c r="F945" s="1"/>
    </row>
    <row r="946" ht="16.5" customHeight="1">
      <c r="A946" s="1"/>
      <c r="B946" s="1"/>
      <c r="C946" s="1"/>
      <c r="D946" s="1"/>
      <c r="E946" s="1"/>
      <c r="F946" s="1"/>
    </row>
    <row r="947" ht="16.5" customHeight="1">
      <c r="A947" s="1"/>
      <c r="B947" s="1"/>
      <c r="C947" s="1"/>
      <c r="D947" s="1"/>
      <c r="E947" s="1"/>
      <c r="F947" s="1"/>
    </row>
    <row r="948" ht="16.5" customHeight="1">
      <c r="A948" s="1"/>
      <c r="B948" s="1"/>
      <c r="C948" s="1"/>
      <c r="D948" s="1"/>
      <c r="E948" s="1"/>
      <c r="F948" s="1"/>
    </row>
    <row r="949" ht="16.5" customHeight="1">
      <c r="A949" s="1"/>
      <c r="B949" s="1"/>
      <c r="C949" s="1"/>
      <c r="D949" s="1"/>
      <c r="E949" s="1"/>
      <c r="F949" s="1"/>
    </row>
    <row r="950" ht="16.5" customHeight="1">
      <c r="A950" s="1"/>
      <c r="B950" s="1"/>
      <c r="C950" s="1"/>
      <c r="D950" s="1"/>
      <c r="E950" s="1"/>
      <c r="F950" s="1"/>
    </row>
    <row r="951" ht="16.5" customHeight="1">
      <c r="A951" s="1"/>
      <c r="B951" s="1"/>
      <c r="C951" s="1"/>
      <c r="D951" s="1"/>
      <c r="E951" s="1"/>
      <c r="F951" s="1"/>
    </row>
    <row r="952" ht="16.5" customHeight="1">
      <c r="A952" s="1"/>
      <c r="B952" s="1"/>
      <c r="C952" s="1"/>
      <c r="D952" s="1"/>
      <c r="E952" s="1"/>
      <c r="F952" s="1"/>
    </row>
    <row r="953" ht="16.5" customHeight="1">
      <c r="A953" s="1"/>
      <c r="B953" s="1"/>
      <c r="C953" s="1"/>
      <c r="D953" s="1"/>
      <c r="E953" s="1"/>
      <c r="F953" s="1"/>
    </row>
    <row r="954" ht="16.5" customHeight="1">
      <c r="A954" s="1"/>
      <c r="B954" s="1"/>
      <c r="C954" s="1"/>
      <c r="D954" s="1"/>
      <c r="E954" s="1"/>
      <c r="F954" s="1"/>
    </row>
    <row r="955" ht="16.5" customHeight="1">
      <c r="A955" s="1"/>
      <c r="B955" s="1"/>
      <c r="C955" s="1"/>
      <c r="D955" s="1"/>
      <c r="E955" s="1"/>
      <c r="F955" s="1"/>
    </row>
    <row r="956" ht="16.5" customHeight="1">
      <c r="A956" s="1"/>
      <c r="B956" s="1"/>
      <c r="C956" s="1"/>
      <c r="D956" s="1"/>
      <c r="E956" s="1"/>
      <c r="F956" s="1"/>
    </row>
    <row r="957" ht="16.5" customHeight="1">
      <c r="A957" s="1"/>
      <c r="B957" s="1"/>
      <c r="C957" s="1"/>
      <c r="D957" s="1"/>
      <c r="E957" s="1"/>
      <c r="F957" s="1"/>
    </row>
    <row r="958" ht="16.5" customHeight="1">
      <c r="A958" s="1"/>
      <c r="B958" s="1"/>
      <c r="C958" s="1"/>
      <c r="D958" s="1"/>
      <c r="E958" s="1"/>
      <c r="F958" s="1"/>
    </row>
    <row r="959" ht="16.5" customHeight="1">
      <c r="A959" s="1"/>
      <c r="B959" s="1"/>
      <c r="C959" s="1"/>
      <c r="D959" s="1"/>
      <c r="E959" s="1"/>
      <c r="F959" s="1"/>
    </row>
    <row r="960" ht="16.5" customHeight="1">
      <c r="A960" s="1"/>
      <c r="B960" s="1"/>
      <c r="C960" s="1"/>
      <c r="D960" s="1"/>
      <c r="E960" s="1"/>
      <c r="F960" s="1"/>
    </row>
    <row r="961" ht="16.5" customHeight="1">
      <c r="A961" s="1"/>
      <c r="B961" s="1"/>
      <c r="C961" s="1"/>
      <c r="D961" s="1"/>
      <c r="E961" s="1"/>
      <c r="F961" s="1"/>
    </row>
    <row r="962" ht="16.5" customHeight="1">
      <c r="A962" s="1"/>
      <c r="B962" s="1"/>
      <c r="C962" s="1"/>
      <c r="D962" s="1"/>
      <c r="E962" s="1"/>
      <c r="F962" s="1"/>
    </row>
    <row r="963" ht="16.5" customHeight="1">
      <c r="A963" s="1"/>
      <c r="B963" s="1"/>
      <c r="C963" s="1"/>
      <c r="D963" s="1"/>
      <c r="E963" s="1"/>
      <c r="F963" s="1"/>
    </row>
    <row r="964" ht="16.5" customHeight="1">
      <c r="A964" s="1"/>
      <c r="B964" s="1"/>
      <c r="C964" s="1"/>
      <c r="D964" s="1"/>
      <c r="E964" s="1"/>
      <c r="F964" s="1"/>
    </row>
    <row r="965" ht="16.5" customHeight="1">
      <c r="A965" s="1"/>
      <c r="B965" s="1"/>
      <c r="C965" s="1"/>
      <c r="D965" s="1"/>
      <c r="E965" s="1"/>
      <c r="F965" s="1"/>
    </row>
    <row r="966" ht="16.5" customHeight="1">
      <c r="A966" s="1"/>
      <c r="B966" s="1"/>
      <c r="C966" s="1"/>
      <c r="D966" s="1"/>
      <c r="E966" s="1"/>
      <c r="F966" s="1"/>
    </row>
    <row r="967" ht="16.5" customHeight="1">
      <c r="A967" s="1"/>
      <c r="B967" s="1"/>
      <c r="C967" s="1"/>
      <c r="D967" s="1"/>
      <c r="E967" s="1"/>
      <c r="F967" s="1"/>
    </row>
    <row r="968" ht="16.5" customHeight="1">
      <c r="A968" s="1"/>
      <c r="B968" s="1"/>
      <c r="C968" s="1"/>
      <c r="D968" s="1"/>
      <c r="E968" s="1"/>
      <c r="F968" s="1"/>
    </row>
    <row r="969" ht="16.5" customHeight="1">
      <c r="A969" s="1"/>
      <c r="B969" s="1"/>
      <c r="C969" s="1"/>
      <c r="D969" s="1"/>
      <c r="E969" s="1"/>
      <c r="F969" s="1"/>
    </row>
    <row r="970" ht="16.5" customHeight="1">
      <c r="A970" s="1"/>
      <c r="B970" s="1"/>
      <c r="C970" s="1"/>
      <c r="D970" s="1"/>
      <c r="E970" s="1"/>
      <c r="F970" s="1"/>
    </row>
    <row r="971" ht="16.5" customHeight="1">
      <c r="A971" s="1"/>
      <c r="B971" s="1"/>
      <c r="C971" s="1"/>
      <c r="D971" s="1"/>
      <c r="E971" s="1"/>
      <c r="F971" s="1"/>
    </row>
    <row r="972" ht="16.5" customHeight="1">
      <c r="A972" s="1"/>
      <c r="B972" s="1"/>
      <c r="C972" s="1"/>
      <c r="D972" s="1"/>
      <c r="E972" s="1"/>
      <c r="F972" s="1"/>
    </row>
    <row r="973" ht="16.5" customHeight="1">
      <c r="A973" s="1"/>
      <c r="B973" s="1"/>
      <c r="C973" s="1"/>
      <c r="D973" s="1"/>
      <c r="E973" s="1"/>
      <c r="F973" s="1"/>
    </row>
    <row r="974" ht="16.5" customHeight="1">
      <c r="A974" s="1"/>
      <c r="B974" s="1"/>
      <c r="C974" s="1"/>
      <c r="D974" s="1"/>
      <c r="E974" s="1"/>
      <c r="F974" s="1"/>
    </row>
    <row r="975" ht="16.5" customHeight="1">
      <c r="A975" s="1"/>
      <c r="B975" s="1"/>
      <c r="C975" s="1"/>
      <c r="D975" s="1"/>
      <c r="E975" s="1"/>
      <c r="F975" s="1"/>
    </row>
    <row r="976" ht="16.5" customHeight="1">
      <c r="A976" s="1"/>
      <c r="B976" s="1"/>
      <c r="C976" s="1"/>
      <c r="D976" s="1"/>
      <c r="E976" s="1"/>
      <c r="F976" s="1"/>
    </row>
    <row r="977" ht="16.5" customHeight="1">
      <c r="A977" s="1"/>
      <c r="B977" s="1"/>
      <c r="C977" s="1"/>
      <c r="D977" s="1"/>
      <c r="E977" s="1"/>
      <c r="F977" s="1"/>
    </row>
    <row r="978" ht="16.5" customHeight="1">
      <c r="A978" s="1"/>
      <c r="B978" s="1"/>
      <c r="C978" s="1"/>
      <c r="D978" s="1"/>
      <c r="E978" s="1"/>
      <c r="F978" s="1"/>
    </row>
    <row r="979" ht="16.5" customHeight="1">
      <c r="A979" s="1"/>
      <c r="B979" s="1"/>
      <c r="C979" s="1"/>
      <c r="D979" s="1"/>
      <c r="E979" s="1"/>
      <c r="F979" s="1"/>
    </row>
    <row r="980" ht="16.5" customHeight="1">
      <c r="A980" s="1"/>
      <c r="B980" s="1"/>
      <c r="C980" s="1"/>
      <c r="D980" s="1"/>
      <c r="E980" s="1"/>
      <c r="F980" s="1"/>
    </row>
    <row r="981" ht="16.5" customHeight="1">
      <c r="A981" s="1"/>
      <c r="B981" s="1"/>
      <c r="C981" s="1"/>
      <c r="D981" s="1"/>
      <c r="E981" s="1"/>
      <c r="F981" s="1"/>
    </row>
    <row r="982" ht="16.5" customHeight="1">
      <c r="A982" s="1"/>
      <c r="B982" s="1"/>
      <c r="C982" s="1"/>
      <c r="D982" s="1"/>
      <c r="E982" s="1"/>
      <c r="F982" s="1"/>
    </row>
    <row r="983" ht="16.5" customHeight="1">
      <c r="A983" s="1"/>
      <c r="B983" s="1"/>
      <c r="C983" s="1"/>
      <c r="D983" s="1"/>
      <c r="E983" s="1"/>
      <c r="F983" s="1"/>
    </row>
    <row r="984" ht="16.5" customHeight="1">
      <c r="A984" s="1"/>
      <c r="B984" s="1"/>
      <c r="C984" s="1"/>
      <c r="D984" s="1"/>
      <c r="E984" s="1"/>
      <c r="F984" s="1"/>
    </row>
    <row r="985" ht="16.5" customHeight="1">
      <c r="A985" s="1"/>
      <c r="B985" s="1"/>
      <c r="C985" s="1"/>
      <c r="D985" s="1"/>
      <c r="E985" s="1"/>
      <c r="F985" s="1"/>
    </row>
    <row r="986" ht="16.5" customHeight="1">
      <c r="A986" s="1"/>
      <c r="B986" s="1"/>
      <c r="C986" s="1"/>
      <c r="D986" s="1"/>
      <c r="E986" s="1"/>
      <c r="F986" s="1"/>
    </row>
    <row r="987" ht="16.5" customHeight="1">
      <c r="A987" s="1"/>
      <c r="B987" s="1"/>
      <c r="C987" s="1"/>
      <c r="D987" s="1"/>
      <c r="E987" s="1"/>
      <c r="F987" s="1"/>
    </row>
    <row r="988" ht="16.5" customHeight="1">
      <c r="A988" s="1"/>
      <c r="B988" s="1"/>
      <c r="C988" s="1"/>
      <c r="D988" s="1"/>
      <c r="E988" s="1"/>
      <c r="F988" s="1"/>
    </row>
    <row r="989" ht="16.5" customHeight="1">
      <c r="A989" s="1"/>
      <c r="B989" s="1"/>
      <c r="C989" s="1"/>
      <c r="D989" s="1"/>
      <c r="E989" s="1"/>
      <c r="F989" s="1"/>
    </row>
    <row r="990" ht="16.5" customHeight="1">
      <c r="A990" s="1"/>
      <c r="B990" s="1"/>
      <c r="C990" s="1"/>
      <c r="D990" s="1"/>
      <c r="E990" s="1"/>
      <c r="F990" s="1"/>
    </row>
    <row r="991" ht="16.5" customHeight="1">
      <c r="A991" s="1"/>
      <c r="B991" s="1"/>
      <c r="C991" s="1"/>
      <c r="D991" s="1"/>
      <c r="E991" s="1"/>
      <c r="F991" s="1"/>
    </row>
    <row r="992" ht="16.5" customHeight="1">
      <c r="A992" s="1"/>
      <c r="B992" s="1"/>
      <c r="C992" s="1"/>
      <c r="D992" s="1"/>
      <c r="E992" s="1"/>
      <c r="F992" s="1"/>
    </row>
    <row r="993" ht="16.5" customHeight="1">
      <c r="A993" s="1"/>
      <c r="B993" s="1"/>
      <c r="C993" s="1"/>
      <c r="D993" s="1"/>
      <c r="E993" s="1"/>
      <c r="F993" s="1"/>
    </row>
    <row r="994" ht="16.5" customHeight="1">
      <c r="A994" s="1"/>
      <c r="B994" s="1"/>
      <c r="C994" s="1"/>
      <c r="D994" s="1"/>
      <c r="E994" s="1"/>
      <c r="F994" s="1"/>
    </row>
    <row r="995" ht="16.5" customHeight="1">
      <c r="A995" s="1"/>
      <c r="B995" s="1"/>
      <c r="C995" s="1"/>
      <c r="D995" s="1"/>
      <c r="E995" s="1"/>
      <c r="F995" s="1"/>
    </row>
    <row r="996" ht="16.5" customHeight="1">
      <c r="A996" s="1"/>
      <c r="B996" s="1"/>
      <c r="C996" s="1"/>
      <c r="D996" s="1"/>
      <c r="E996" s="1"/>
      <c r="F996" s="1"/>
    </row>
    <row r="997" ht="16.5" customHeight="1">
      <c r="A997" s="1"/>
      <c r="B997" s="1"/>
      <c r="C997" s="1"/>
      <c r="D997" s="1"/>
      <c r="E997" s="1"/>
      <c r="F997" s="1"/>
    </row>
    <row r="998" ht="16.5" customHeight="1">
      <c r="A998" s="1"/>
      <c r="B998" s="1"/>
      <c r="C998" s="1"/>
      <c r="D998" s="1"/>
      <c r="E998" s="1"/>
      <c r="F998" s="1"/>
    </row>
    <row r="999" ht="16.5" customHeight="1">
      <c r="A999" s="1"/>
      <c r="B999" s="1"/>
      <c r="C999" s="1"/>
      <c r="D999" s="1"/>
      <c r="E999" s="1"/>
      <c r="F999" s="1"/>
    </row>
    <row r="1000" ht="16.5" customHeight="1">
      <c r="A1000" s="1"/>
      <c r="B1000" s="1"/>
      <c r="C1000" s="1"/>
      <c r="D1000" s="1"/>
      <c r="E1000" s="1"/>
      <c r="F1000" s="1"/>
    </row>
  </sheetData>
  <mergeCells count="22">
    <mergeCell ref="A9:A13"/>
    <mergeCell ref="A14:A18"/>
    <mergeCell ref="A19:A23"/>
    <mergeCell ref="A24:A28"/>
    <mergeCell ref="A31:A35"/>
    <mergeCell ref="A2:B2"/>
    <mergeCell ref="A3:C3"/>
    <mergeCell ref="A4:A8"/>
    <mergeCell ref="B4:B5"/>
    <mergeCell ref="B6:B7"/>
    <mergeCell ref="B9:B10"/>
    <mergeCell ref="B11:B12"/>
    <mergeCell ref="B26:B27"/>
    <mergeCell ref="B31:B32"/>
    <mergeCell ref="B33:B34"/>
    <mergeCell ref="B14:B15"/>
    <mergeCell ref="B16:B17"/>
    <mergeCell ref="B19:B20"/>
    <mergeCell ref="B21:B22"/>
    <mergeCell ref="B24:B25"/>
    <mergeCell ref="A29:C29"/>
    <mergeCell ref="A30:C30"/>
  </mergeCells>
  <printOptions/>
  <pageMargins bottom="0.75" footer="0.0" header="0.0" left="0.25" right="0.25" top="0.75"/>
  <pageSetup paperSize="9" orientation="landscape"/>
  <drawing r:id="rId1"/>
</worksheet>
</file>